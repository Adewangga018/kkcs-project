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. KERJA\K K C S\Laporan Bulanan\2026\"/>
    </mc:Choice>
  </mc:AlternateContent>
  <xr:revisionPtr revIDLastSave="0" documentId="13_ncr:1_{B3DD2C20-2439-4447-AC70-3EAFDF063812}" xr6:coauthVersionLast="47" xr6:coauthVersionMax="47" xr10:uidLastSave="{00000000-0000-0000-0000-000000000000}"/>
  <bookViews>
    <workbookView xWindow="-120" yWindow="-120" windowWidth="29040" windowHeight="15720" tabRatio="595" xr2:uid="{00000000-000D-0000-FFFF-FFFF00000000}"/>
  </bookViews>
  <sheets>
    <sheet name="NR" sheetId="8" r:id="rId1"/>
    <sheet name="LR" sheetId="9" r:id="rId2"/>
    <sheet name="WS Trial balance" sheetId="1" r:id="rId3"/>
    <sheet name="MUTASI 2026" sheetId="27" r:id="rId4"/>
    <sheet name="PIRUT" sheetId="29" r:id="rId5"/>
    <sheet name="BB" sheetId="26" r:id="rId6"/>
  </sheets>
  <externalReferences>
    <externalReference r:id="rId7"/>
  </externalReferences>
  <definedNames>
    <definedName name="_xlnm._FilterDatabase" localSheetId="5" hidden="1">BB!$A$7:$L$152</definedName>
    <definedName name="_xlnm._FilterDatabase" localSheetId="3" hidden="1">'MUTASI 2026'!$A$4:$M$174</definedName>
    <definedName name="_xlnm._FilterDatabase" localSheetId="4" hidden="1">PIRUT!$B$7:$J$98</definedName>
    <definedName name="_xlnm._FilterDatabase" localSheetId="2" hidden="1">'WS Trial balance'!$B$6:$H$51</definedName>
    <definedName name="ACC" localSheetId="1">#REF!</definedName>
    <definedName name="ACC" localSheetId="0">#REF!</definedName>
    <definedName name="ACC" localSheetId="2">#REF!</definedName>
    <definedName name="ACC">#REF!</definedName>
    <definedName name="ACCOUNT" localSheetId="1">#REF!</definedName>
    <definedName name="ACCOUNT" localSheetId="0">#REF!</definedName>
    <definedName name="ACCOUNT" localSheetId="2">#REF!</definedName>
    <definedName name="ACCOUNT">#REF!</definedName>
    <definedName name="AKUN" localSheetId="1">#REF!</definedName>
    <definedName name="AKUN" localSheetId="0">#REF!</definedName>
    <definedName name="AKUN" localSheetId="2">#REF!</definedName>
    <definedName name="AKUN">#REF!</definedName>
    <definedName name="AKUNDUA" localSheetId="1">#REF!</definedName>
    <definedName name="AKUNDUA" localSheetId="0">#REF!</definedName>
    <definedName name="AKUNDUA" localSheetId="2">#REF!</definedName>
    <definedName name="AKUNDUA">#REF!</definedName>
    <definedName name="AKUNEMPAT" localSheetId="1">#REF!</definedName>
    <definedName name="AKUNEMPAT" localSheetId="0">#REF!</definedName>
    <definedName name="AKUNEMPAT" localSheetId="2">#REF!</definedName>
    <definedName name="AKUNEMPAT">#REF!</definedName>
    <definedName name="akunlima">[1]AKUNLIMA!$A$2:$C$310</definedName>
    <definedName name="AKUNTIGA" localSheetId="1">#REF!</definedName>
    <definedName name="AKUNTIGA" localSheetId="0">#REF!</definedName>
    <definedName name="AKUNTIGA" localSheetId="2">#REF!</definedName>
    <definedName name="AKUNTIGA">#REF!</definedName>
    <definedName name="asa" localSheetId="1">#REF!</definedName>
    <definedName name="asa">#REF!</definedName>
    <definedName name="_xlnm.Database" localSheetId="1">#REF!</definedName>
    <definedName name="_xlnm.Database" localSheetId="2">'WS Trial balance'!$C$6:$H$67</definedName>
    <definedName name="_xlnm.Database">#REF!</definedName>
    <definedName name="JAN" localSheetId="1">#REF!</definedName>
    <definedName name="JAN" localSheetId="0">#REF!</definedName>
    <definedName name="JAN" localSheetId="2">#REF!</definedName>
    <definedName name="JAN">#REF!</definedName>
    <definedName name="OMSET" localSheetId="1">#REF!</definedName>
    <definedName name="OMSET" localSheetId="0">#REF!</definedName>
    <definedName name="OMSET" localSheetId="2">#REF!</definedName>
    <definedName name="OMSET">#REF!</definedName>
    <definedName name="_xlnm.Print_Area" localSheetId="1">LR!$B$2:$E$27</definedName>
    <definedName name="_xlnm.Print_Area" localSheetId="0">NR!$B$2:$O$37</definedName>
    <definedName name="_xlnm.Print_Area" localSheetId="2">'WS Trial balance'!$C$3:$M$51</definedName>
    <definedName name="_xlnm.Print_Area">#REF!</definedName>
    <definedName name="_xlnm.Print_Titles" localSheetId="2">'WS Trial balance'!$C:$H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" i="8" l="1"/>
  <c r="O30" i="8"/>
  <c r="O28" i="8"/>
  <c r="O27" i="8"/>
  <c r="O25" i="8"/>
  <c r="O24" i="8"/>
  <c r="O18" i="8"/>
  <c r="O17" i="8"/>
  <c r="O14" i="8"/>
  <c r="O12" i="8"/>
  <c r="H13" i="8"/>
  <c r="H12" i="8"/>
  <c r="H10" i="8"/>
  <c r="H9" i="8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8" i="29"/>
  <c r="J17" i="29"/>
  <c r="J16" i="29"/>
  <c r="J15" i="29"/>
  <c r="J14" i="29"/>
  <c r="J13" i="29"/>
  <c r="J12" i="29"/>
  <c r="J11" i="29"/>
  <c r="J10" i="29"/>
  <c r="J9" i="29"/>
  <c r="J8" i="29"/>
  <c r="I4" i="29"/>
  <c r="H4" i="29"/>
  <c r="G4" i="29"/>
  <c r="F4" i="29"/>
  <c r="D4" i="29"/>
  <c r="J4" i="29" l="1"/>
  <c r="B158" i="27" l="1"/>
  <c r="L157" i="27"/>
  <c r="L158" i="27" s="1"/>
  <c r="K157" i="27"/>
  <c r="K158" i="27" s="1"/>
  <c r="J157" i="27"/>
  <c r="J158" i="27" s="1"/>
  <c r="H157" i="27"/>
  <c r="H158" i="27" s="1"/>
  <c r="I158" i="27" s="1"/>
  <c r="E157" i="27"/>
  <c r="E158" i="27" s="1"/>
  <c r="D157" i="27"/>
  <c r="D158" i="27" s="1"/>
  <c r="C157" i="27"/>
  <c r="C158" i="27" s="1"/>
  <c r="B157" i="27"/>
  <c r="I156" i="27"/>
  <c r="B156" i="27"/>
  <c r="B154" i="27"/>
  <c r="L153" i="27"/>
  <c r="L154" i="27" s="1"/>
  <c r="K153" i="27"/>
  <c r="K154" i="27" s="1"/>
  <c r="J153" i="27"/>
  <c r="J154" i="27" s="1"/>
  <c r="H153" i="27"/>
  <c r="H154" i="27" s="1"/>
  <c r="I154" i="27" s="1"/>
  <c r="E153" i="27"/>
  <c r="E154" i="27" s="1"/>
  <c r="D153" i="27"/>
  <c r="D154" i="27" s="1"/>
  <c r="C153" i="27"/>
  <c r="C154" i="27" s="1"/>
  <c r="B153" i="27"/>
  <c r="I152" i="27"/>
  <c r="B152" i="27"/>
  <c r="B150" i="27"/>
  <c r="L149" i="27"/>
  <c r="L150" i="27" s="1"/>
  <c r="K149" i="27"/>
  <c r="K150" i="27" s="1"/>
  <c r="J149" i="27"/>
  <c r="J150" i="27" s="1"/>
  <c r="H149" i="27"/>
  <c r="H150" i="27" s="1"/>
  <c r="I150" i="27" s="1"/>
  <c r="E149" i="27"/>
  <c r="E150" i="27" s="1"/>
  <c r="D149" i="27"/>
  <c r="D150" i="27" s="1"/>
  <c r="C149" i="27"/>
  <c r="C150" i="27" s="1"/>
  <c r="B149" i="27"/>
  <c r="I148" i="27"/>
  <c r="B148" i="27"/>
  <c r="B146" i="27"/>
  <c r="L145" i="27"/>
  <c r="L146" i="27" s="1"/>
  <c r="K145" i="27"/>
  <c r="K146" i="27" s="1"/>
  <c r="J145" i="27"/>
  <c r="J146" i="27" s="1"/>
  <c r="H145" i="27"/>
  <c r="H146" i="27" s="1"/>
  <c r="I146" i="27" s="1"/>
  <c r="E145" i="27"/>
  <c r="E146" i="27" s="1"/>
  <c r="D145" i="27"/>
  <c r="D146" i="27" s="1"/>
  <c r="C145" i="27"/>
  <c r="C146" i="27" s="1"/>
  <c r="B145" i="27"/>
  <c r="I144" i="27"/>
  <c r="B144" i="27"/>
  <c r="L142" i="27"/>
  <c r="K142" i="27"/>
  <c r="J142" i="27"/>
  <c r="H142" i="27"/>
  <c r="G142" i="27"/>
  <c r="I142" i="27" s="1"/>
  <c r="E142" i="27"/>
  <c r="D142" i="27"/>
  <c r="C142" i="27"/>
  <c r="B142" i="27"/>
  <c r="I141" i="27"/>
  <c r="B141" i="27"/>
  <c r="D138" i="27"/>
  <c r="D139" i="27" s="1"/>
  <c r="B139" i="27"/>
  <c r="L138" i="27"/>
  <c r="L139" i="27" s="1"/>
  <c r="K138" i="27"/>
  <c r="K139" i="27" s="1"/>
  <c r="J138" i="27"/>
  <c r="J139" i="27" s="1"/>
  <c r="H138" i="27"/>
  <c r="H139" i="27" s="1"/>
  <c r="I139" i="27" s="1"/>
  <c r="E138" i="27"/>
  <c r="E139" i="27" s="1"/>
  <c r="C138" i="27"/>
  <c r="C139" i="27" s="1"/>
  <c r="B138" i="27"/>
  <c r="I137" i="27"/>
  <c r="B137" i="27"/>
  <c r="B135" i="27"/>
  <c r="L134" i="27"/>
  <c r="L135" i="27" s="1"/>
  <c r="K134" i="27"/>
  <c r="K135" i="27" s="1"/>
  <c r="J134" i="27"/>
  <c r="J135" i="27" s="1"/>
  <c r="H134" i="27"/>
  <c r="I134" i="27" s="1"/>
  <c r="E134" i="27"/>
  <c r="E135" i="27" s="1"/>
  <c r="D134" i="27"/>
  <c r="D135" i="27" s="1"/>
  <c r="C134" i="27"/>
  <c r="C135" i="27" s="1"/>
  <c r="B134" i="27"/>
  <c r="I133" i="27"/>
  <c r="B133" i="27"/>
  <c r="D130" i="27"/>
  <c r="D131" i="27" s="1"/>
  <c r="B131" i="27"/>
  <c r="L130" i="27"/>
  <c r="L131" i="27" s="1"/>
  <c r="K130" i="27"/>
  <c r="K131" i="27" s="1"/>
  <c r="J130" i="27"/>
  <c r="J131" i="27" s="1"/>
  <c r="H130" i="27"/>
  <c r="H131" i="27" s="1"/>
  <c r="I131" i="27" s="1"/>
  <c r="E130" i="27"/>
  <c r="E131" i="27" s="1"/>
  <c r="C130" i="27"/>
  <c r="C131" i="27" s="1"/>
  <c r="B130" i="27"/>
  <c r="I129" i="27"/>
  <c r="B129" i="27"/>
  <c r="B127" i="27"/>
  <c r="L126" i="27"/>
  <c r="L127" i="27" s="1"/>
  <c r="K126" i="27"/>
  <c r="K127" i="27" s="1"/>
  <c r="J126" i="27"/>
  <c r="J127" i="27" s="1"/>
  <c r="H126" i="27"/>
  <c r="H127" i="27" s="1"/>
  <c r="I127" i="27" s="1"/>
  <c r="E126" i="27"/>
  <c r="E127" i="27" s="1"/>
  <c r="D126" i="27"/>
  <c r="D127" i="27" s="1"/>
  <c r="C126" i="27"/>
  <c r="C127" i="27" s="1"/>
  <c r="B126" i="27"/>
  <c r="I125" i="27"/>
  <c r="B125" i="27"/>
  <c r="L123" i="27"/>
  <c r="K123" i="27"/>
  <c r="J123" i="27"/>
  <c r="H123" i="27"/>
  <c r="G123" i="27"/>
  <c r="I123" i="27" s="1"/>
  <c r="E123" i="27"/>
  <c r="D123" i="27"/>
  <c r="C123" i="27"/>
  <c r="B123" i="27"/>
  <c r="I122" i="27"/>
  <c r="B122" i="27"/>
  <c r="L120" i="27"/>
  <c r="K120" i="27"/>
  <c r="J120" i="27"/>
  <c r="H120" i="27"/>
  <c r="G120" i="27"/>
  <c r="I120" i="27" s="1"/>
  <c r="E120" i="27"/>
  <c r="D120" i="27"/>
  <c r="C120" i="27"/>
  <c r="B120" i="27"/>
  <c r="I119" i="27"/>
  <c r="B119" i="27"/>
  <c r="H117" i="27"/>
  <c r="I117" i="27" s="1"/>
  <c r="B117" i="27"/>
  <c r="L116" i="27"/>
  <c r="L117" i="27" s="1"/>
  <c r="K116" i="27"/>
  <c r="K117" i="27" s="1"/>
  <c r="J116" i="27"/>
  <c r="J117" i="27" s="1"/>
  <c r="I116" i="27"/>
  <c r="E116" i="27"/>
  <c r="E117" i="27" s="1"/>
  <c r="D116" i="27"/>
  <c r="D117" i="27" s="1"/>
  <c r="C116" i="27"/>
  <c r="C117" i="27" s="1"/>
  <c r="B116" i="27"/>
  <c r="I115" i="27"/>
  <c r="B115" i="27"/>
  <c r="B112" i="27"/>
  <c r="L113" i="27"/>
  <c r="K113" i="27"/>
  <c r="J113" i="27"/>
  <c r="H113" i="27"/>
  <c r="G113" i="27"/>
  <c r="I113" i="27" s="1"/>
  <c r="E113" i="27"/>
  <c r="D113" i="27"/>
  <c r="C113" i="27"/>
  <c r="B113" i="27"/>
  <c r="I112" i="27"/>
  <c r="B110" i="27"/>
  <c r="L109" i="27"/>
  <c r="L110" i="27" s="1"/>
  <c r="K109" i="27"/>
  <c r="K110" i="27" s="1"/>
  <c r="J109" i="27"/>
  <c r="J110" i="27" s="1"/>
  <c r="H110" i="27"/>
  <c r="I110" i="27" s="1"/>
  <c r="E109" i="27"/>
  <c r="E110" i="27" s="1"/>
  <c r="D109" i="27"/>
  <c r="D110" i="27" s="1"/>
  <c r="C109" i="27"/>
  <c r="C110" i="27" s="1"/>
  <c r="B109" i="27"/>
  <c r="I108" i="27"/>
  <c r="B108" i="27"/>
  <c r="B106" i="27"/>
  <c r="L105" i="27"/>
  <c r="L106" i="27" s="1"/>
  <c r="K105" i="27"/>
  <c r="K106" i="27" s="1"/>
  <c r="J105" i="27"/>
  <c r="J106" i="27" s="1"/>
  <c r="H105" i="27"/>
  <c r="H106" i="27" s="1"/>
  <c r="I106" i="27" s="1"/>
  <c r="E105" i="27"/>
  <c r="E106" i="27" s="1"/>
  <c r="D105" i="27"/>
  <c r="D106" i="27" s="1"/>
  <c r="C105" i="27"/>
  <c r="C106" i="27" s="1"/>
  <c r="B105" i="27"/>
  <c r="I104" i="27"/>
  <c r="B104" i="27"/>
  <c r="I157" i="27" l="1"/>
  <c r="I153" i="27"/>
  <c r="I149" i="27"/>
  <c r="I145" i="27"/>
  <c r="I138" i="27"/>
  <c r="H135" i="27"/>
  <c r="I135" i="27" s="1"/>
  <c r="I130" i="27"/>
  <c r="I126" i="27"/>
  <c r="I109" i="27"/>
  <c r="I105" i="27"/>
  <c r="H99" i="27" l="1"/>
  <c r="I99" i="27" s="1"/>
  <c r="B99" i="27"/>
  <c r="K98" i="27"/>
  <c r="K99" i="27" s="1"/>
  <c r="J98" i="27"/>
  <c r="G98" i="27"/>
  <c r="I98" i="27" s="1"/>
  <c r="E98" i="27"/>
  <c r="E99" i="27" s="1"/>
  <c r="D98" i="27"/>
  <c r="D99" i="27" s="1"/>
  <c r="C98" i="27"/>
  <c r="C99" i="27" s="1"/>
  <c r="B98" i="27"/>
  <c r="I97" i="27"/>
  <c r="B97" i="27"/>
  <c r="H95" i="27"/>
  <c r="I95" i="27" s="1"/>
  <c r="B95" i="27"/>
  <c r="K94" i="27"/>
  <c r="K95" i="27" s="1"/>
  <c r="J94" i="27"/>
  <c r="G94" i="27"/>
  <c r="I94" i="27" s="1"/>
  <c r="E94" i="27"/>
  <c r="E95" i="27" s="1"/>
  <c r="D94" i="27"/>
  <c r="D95" i="27" s="1"/>
  <c r="C94" i="27"/>
  <c r="C95" i="27" s="1"/>
  <c r="B94" i="27"/>
  <c r="I93" i="27"/>
  <c r="B93" i="27"/>
  <c r="H56" i="27"/>
  <c r="B91" i="27"/>
  <c r="K90" i="27"/>
  <c r="K91" i="27" s="1"/>
  <c r="J90" i="27"/>
  <c r="G90" i="27"/>
  <c r="I90" i="27" s="1"/>
  <c r="E90" i="27"/>
  <c r="E91" i="27" s="1"/>
  <c r="D90" i="27"/>
  <c r="D91" i="27" s="1"/>
  <c r="C90" i="27"/>
  <c r="C91" i="27" s="1"/>
  <c r="B90" i="27"/>
  <c r="I89" i="27"/>
  <c r="B89" i="27"/>
  <c r="H19" i="27"/>
  <c r="H68" i="27"/>
  <c r="H65" i="27"/>
  <c r="H62" i="27"/>
  <c r="H59" i="27"/>
  <c r="H86" i="27"/>
  <c r="G86" i="27"/>
  <c r="G85" i="27"/>
  <c r="H87" i="27" s="1"/>
  <c r="I87" i="27" s="1"/>
  <c r="G81" i="27"/>
  <c r="I81" i="27" s="1"/>
  <c r="B87" i="27"/>
  <c r="K86" i="27"/>
  <c r="J86" i="27"/>
  <c r="E86" i="27"/>
  <c r="E87" i="27" s="1"/>
  <c r="D86" i="27"/>
  <c r="D87" i="27" s="1"/>
  <c r="C86" i="27"/>
  <c r="C87" i="27" s="1"/>
  <c r="B86" i="27"/>
  <c r="B85" i="27"/>
  <c r="G46" i="27"/>
  <c r="H82" i="27"/>
  <c r="G6" i="27"/>
  <c r="B83" i="27"/>
  <c r="K82" i="27"/>
  <c r="K83" i="27" s="1"/>
  <c r="J82" i="27"/>
  <c r="G82" i="27"/>
  <c r="E82" i="27"/>
  <c r="E83" i="27" s="1"/>
  <c r="D82" i="27"/>
  <c r="D83" i="27" s="1"/>
  <c r="C82" i="27"/>
  <c r="C83" i="27" s="1"/>
  <c r="B82" i="27"/>
  <c r="B81" i="27"/>
  <c r="H91" i="27" l="1"/>
  <c r="I91" i="27" s="1"/>
  <c r="I86" i="27"/>
  <c r="I85" i="27"/>
  <c r="H83" i="27"/>
  <c r="I83" i="27" s="1"/>
  <c r="I82" i="27"/>
  <c r="L102" i="27" l="1"/>
  <c r="K102" i="27"/>
  <c r="J102" i="27"/>
  <c r="H102" i="27"/>
  <c r="G102" i="27"/>
  <c r="I102" i="27" s="1"/>
  <c r="E102" i="27"/>
  <c r="D102" i="27"/>
  <c r="C102" i="27"/>
  <c r="B102" i="27"/>
  <c r="I101" i="27"/>
  <c r="B101" i="27"/>
  <c r="B79" i="27"/>
  <c r="B78" i="27"/>
  <c r="L79" i="27"/>
  <c r="K79" i="27"/>
  <c r="J79" i="27"/>
  <c r="H79" i="27"/>
  <c r="G79" i="27"/>
  <c r="E79" i="27"/>
  <c r="D79" i="27"/>
  <c r="C79" i="27"/>
  <c r="I78" i="27"/>
  <c r="I79" i="27" l="1"/>
  <c r="B76" i="27"/>
  <c r="B75" i="27"/>
  <c r="B73" i="27"/>
  <c r="B72" i="27"/>
  <c r="B71" i="27"/>
  <c r="B70" i="27"/>
  <c r="I76" i="27"/>
  <c r="E76" i="27"/>
  <c r="D76" i="27"/>
  <c r="C76" i="27"/>
  <c r="I75" i="27"/>
  <c r="I73" i="27"/>
  <c r="I72" i="27"/>
  <c r="I71" i="27"/>
  <c r="E71" i="27"/>
  <c r="E72" i="27" s="1"/>
  <c r="E73" i="27" s="1"/>
  <c r="D71" i="27"/>
  <c r="D72" i="27" s="1"/>
  <c r="D73" i="27" s="1"/>
  <c r="C71" i="27"/>
  <c r="C72" i="27" s="1"/>
  <c r="C73" i="27" s="1"/>
  <c r="J70" i="27"/>
  <c r="J71" i="27" s="1"/>
  <c r="J72" i="27" s="1"/>
  <c r="J73" i="27" s="1"/>
  <c r="M67" i="1"/>
  <c r="M66" i="1"/>
  <c r="L65" i="1"/>
  <c r="M64" i="1"/>
  <c r="M63" i="1"/>
  <c r="M62" i="1"/>
  <c r="M61" i="1"/>
  <c r="L60" i="1"/>
  <c r="L59" i="1"/>
  <c r="L58" i="1"/>
  <c r="L56" i="1"/>
  <c r="J56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M29" i="1"/>
  <c r="L28" i="1"/>
  <c r="H34" i="8"/>
  <c r="M27" i="1"/>
  <c r="L26" i="1"/>
  <c r="L25" i="1"/>
  <c r="M24" i="1"/>
  <c r="M23" i="1"/>
  <c r="M22" i="1"/>
  <c r="M21" i="1"/>
  <c r="M20" i="1"/>
  <c r="M19" i="1"/>
  <c r="M18" i="1"/>
  <c r="M17" i="1"/>
  <c r="M16" i="1"/>
  <c r="M15" i="1"/>
  <c r="M14" i="1"/>
  <c r="M13" i="1"/>
  <c r="L12" i="1"/>
  <c r="M11" i="1"/>
  <c r="M10" i="1"/>
  <c r="M9" i="1"/>
  <c r="M8" i="1"/>
  <c r="M7" i="1"/>
  <c r="L68" i="27"/>
  <c r="K68" i="27"/>
  <c r="J68" i="27"/>
  <c r="G68" i="27"/>
  <c r="E68" i="27"/>
  <c r="D68" i="27"/>
  <c r="C68" i="27"/>
  <c r="B68" i="27"/>
  <c r="I67" i="27"/>
  <c r="B67" i="27"/>
  <c r="L65" i="27"/>
  <c r="K65" i="27"/>
  <c r="J65" i="27"/>
  <c r="G65" i="27"/>
  <c r="E65" i="27"/>
  <c r="D65" i="27"/>
  <c r="C65" i="27"/>
  <c r="B65" i="27"/>
  <c r="I64" i="27"/>
  <c r="B64" i="27"/>
  <c r="L62" i="27"/>
  <c r="K62" i="27"/>
  <c r="J62" i="27"/>
  <c r="G62" i="27"/>
  <c r="E62" i="27"/>
  <c r="D62" i="27"/>
  <c r="C62" i="27"/>
  <c r="B62" i="27"/>
  <c r="I61" i="27"/>
  <c r="B61" i="27"/>
  <c r="H70" i="27" l="1"/>
  <c r="I65" i="27"/>
  <c r="I68" i="27"/>
  <c r="I62" i="27"/>
  <c r="G70" i="27"/>
  <c r="I70" i="27" l="1"/>
  <c r="K70" i="27" s="1"/>
  <c r="L70" i="27" l="1"/>
  <c r="K71" i="27"/>
  <c r="K72" i="27" s="1"/>
  <c r="K73" i="27" s="1"/>
  <c r="L59" i="27" l="1"/>
  <c r="K59" i="27"/>
  <c r="J59" i="27"/>
  <c r="G59" i="27"/>
  <c r="E59" i="27"/>
  <c r="D59" i="27"/>
  <c r="C59" i="27"/>
  <c r="B59" i="27"/>
  <c r="I58" i="27"/>
  <c r="B58" i="27"/>
  <c r="L56" i="27"/>
  <c r="K56" i="27"/>
  <c r="I56" i="27"/>
  <c r="E56" i="27"/>
  <c r="D56" i="27"/>
  <c r="C56" i="27"/>
  <c r="B56" i="27"/>
  <c r="I55" i="27"/>
  <c r="B55" i="27"/>
  <c r="H53" i="27"/>
  <c r="I53" i="27" s="1"/>
  <c r="B53" i="27"/>
  <c r="L52" i="27"/>
  <c r="L53" i="27" s="1"/>
  <c r="K52" i="27"/>
  <c r="K53" i="27" s="1"/>
  <c r="J52" i="27"/>
  <c r="J53" i="27" s="1"/>
  <c r="I52" i="27"/>
  <c r="E52" i="27"/>
  <c r="E53" i="27" s="1"/>
  <c r="D52" i="27"/>
  <c r="D53" i="27" s="1"/>
  <c r="C52" i="27"/>
  <c r="C53" i="27" s="1"/>
  <c r="B52" i="27"/>
  <c r="I51" i="27"/>
  <c r="B51" i="27"/>
  <c r="L49" i="27"/>
  <c r="G49" i="27"/>
  <c r="I49" i="27" s="1"/>
  <c r="E49" i="27"/>
  <c r="D49" i="27"/>
  <c r="C49" i="27"/>
  <c r="B49" i="27"/>
  <c r="I48" i="27"/>
  <c r="B48" i="27"/>
  <c r="L46" i="27"/>
  <c r="I46" i="27"/>
  <c r="E46" i="27"/>
  <c r="D46" i="27"/>
  <c r="C46" i="27"/>
  <c r="B46" i="27"/>
  <c r="I45" i="27"/>
  <c r="B45" i="27"/>
  <c r="L43" i="27"/>
  <c r="K43" i="27"/>
  <c r="J43" i="27"/>
  <c r="G43" i="27"/>
  <c r="I43" i="27" s="1"/>
  <c r="E43" i="27"/>
  <c r="D43" i="27"/>
  <c r="C43" i="27"/>
  <c r="B43" i="27"/>
  <c r="I42" i="27"/>
  <c r="B42" i="27"/>
  <c r="I59" i="27" l="1"/>
  <c r="B40" i="27"/>
  <c r="B39" i="27"/>
  <c r="B38" i="27"/>
  <c r="B37" i="27"/>
  <c r="B36" i="27"/>
  <c r="B35" i="27"/>
  <c r="G39" i="27"/>
  <c r="I39" i="27" s="1"/>
  <c r="L38" i="27"/>
  <c r="L39" i="27" s="1"/>
  <c r="I38" i="27"/>
  <c r="I37" i="27"/>
  <c r="L36" i="27"/>
  <c r="K36" i="27"/>
  <c r="K37" i="27" s="1"/>
  <c r="K38" i="27" s="1"/>
  <c r="K39" i="27" s="1"/>
  <c r="K40" i="27" s="1"/>
  <c r="J36" i="27"/>
  <c r="J37" i="27" s="1"/>
  <c r="J38" i="27" s="1"/>
  <c r="J39" i="27" s="1"/>
  <c r="J40" i="27" s="1"/>
  <c r="I36" i="27"/>
  <c r="E36" i="27"/>
  <c r="E37" i="27" s="1"/>
  <c r="E38" i="27" s="1"/>
  <c r="E39" i="27" s="1"/>
  <c r="E40" i="27" s="1"/>
  <c r="D36" i="27"/>
  <c r="D37" i="27" s="1"/>
  <c r="D38" i="27" s="1"/>
  <c r="D39" i="27" s="1"/>
  <c r="D40" i="27" s="1"/>
  <c r="C36" i="27"/>
  <c r="C37" i="27" s="1"/>
  <c r="C38" i="27" s="1"/>
  <c r="C39" i="27" s="1"/>
  <c r="C40" i="27" s="1"/>
  <c r="I35" i="27"/>
  <c r="H33" i="27"/>
  <c r="I33" i="27" s="1"/>
  <c r="B33" i="27"/>
  <c r="L32" i="27"/>
  <c r="L33" i="27" s="1"/>
  <c r="K32" i="27"/>
  <c r="K33" i="27" s="1"/>
  <c r="J32" i="27"/>
  <c r="J33" i="27" s="1"/>
  <c r="I32" i="27"/>
  <c r="E32" i="27"/>
  <c r="E33" i="27" s="1"/>
  <c r="D32" i="27"/>
  <c r="D33" i="27" s="1"/>
  <c r="C32" i="27"/>
  <c r="C33" i="27" s="1"/>
  <c r="B32" i="27"/>
  <c r="I31" i="27"/>
  <c r="B31" i="27"/>
  <c r="H29" i="27"/>
  <c r="I29" i="27" s="1"/>
  <c r="B29" i="27"/>
  <c r="L28" i="27"/>
  <c r="L29" i="27" s="1"/>
  <c r="K28" i="27"/>
  <c r="K29" i="27" s="1"/>
  <c r="J28" i="27"/>
  <c r="J29" i="27" s="1"/>
  <c r="I28" i="27"/>
  <c r="E28" i="27"/>
  <c r="E29" i="27" s="1"/>
  <c r="D28" i="27"/>
  <c r="D29" i="27" s="1"/>
  <c r="C28" i="27"/>
  <c r="C29" i="27" s="1"/>
  <c r="B28" i="27"/>
  <c r="I27" i="27"/>
  <c r="B27" i="27"/>
  <c r="B25" i="27"/>
  <c r="B24" i="27"/>
  <c r="L25" i="27"/>
  <c r="K25" i="27"/>
  <c r="J25" i="27"/>
  <c r="H25" i="27"/>
  <c r="G25" i="27"/>
  <c r="I25" i="27" s="1"/>
  <c r="E25" i="27"/>
  <c r="D25" i="27"/>
  <c r="C25" i="27"/>
  <c r="I24" i="27"/>
  <c r="L22" i="27"/>
  <c r="K22" i="27"/>
  <c r="J22" i="27"/>
  <c r="G22" i="27"/>
  <c r="I22" i="27" s="1"/>
  <c r="E22" i="27"/>
  <c r="D22" i="27"/>
  <c r="C22" i="27"/>
  <c r="B22" i="27"/>
  <c r="I21" i="27"/>
  <c r="B21" i="27"/>
  <c r="B19" i="27"/>
  <c r="B18" i="27"/>
  <c r="L19" i="27"/>
  <c r="K19" i="27"/>
  <c r="I19" i="27"/>
  <c r="E19" i="27"/>
  <c r="D19" i="27"/>
  <c r="C19" i="27"/>
  <c r="I18" i="27"/>
  <c r="B16" i="27"/>
  <c r="B15" i="27"/>
  <c r="B14" i="27"/>
  <c r="H16" i="27"/>
  <c r="I16" i="27" s="1"/>
  <c r="L15" i="27"/>
  <c r="L16" i="27" s="1"/>
  <c r="K15" i="27"/>
  <c r="K16" i="27" s="1"/>
  <c r="J15" i="27"/>
  <c r="J16" i="27" s="1"/>
  <c r="I15" i="27"/>
  <c r="E15" i="27"/>
  <c r="E16" i="27" s="1"/>
  <c r="D15" i="27"/>
  <c r="D16" i="27" s="1"/>
  <c r="C15" i="27"/>
  <c r="C16" i="27" s="1"/>
  <c r="I14" i="27"/>
  <c r="B12" i="27"/>
  <c r="B11" i="27"/>
  <c r="L12" i="27"/>
  <c r="G12" i="27"/>
  <c r="I12" i="27" s="1"/>
  <c r="E12" i="27"/>
  <c r="D12" i="27"/>
  <c r="C12" i="27"/>
  <c r="I11" i="27"/>
  <c r="B9" i="27"/>
  <c r="B8" i="27"/>
  <c r="L9" i="27"/>
  <c r="K9" i="27"/>
  <c r="J9" i="27"/>
  <c r="G9" i="27"/>
  <c r="I9" i="27" s="1"/>
  <c r="E9" i="27"/>
  <c r="D9" i="27"/>
  <c r="C9" i="27"/>
  <c r="I8" i="27"/>
  <c r="B5" i="27"/>
  <c r="B6" i="27"/>
  <c r="L6" i="27"/>
  <c r="I6" i="27"/>
  <c r="E6" i="27"/>
  <c r="D6" i="27"/>
  <c r="C6" i="27"/>
  <c r="I5" i="27"/>
  <c r="N31" i="8"/>
  <c r="N22" i="8"/>
  <c r="N37" i="8" s="1"/>
  <c r="N7" i="8"/>
  <c r="N6" i="8"/>
  <c r="G34" i="8"/>
  <c r="G28" i="8"/>
  <c r="G30" i="8" s="1"/>
  <c r="G19" i="8"/>
  <c r="J47" i="1" l="1"/>
  <c r="J33" i="1"/>
  <c r="J19" i="1"/>
  <c r="K46" i="1"/>
  <c r="K32" i="1"/>
  <c r="K18" i="1"/>
  <c r="J67" i="1"/>
  <c r="J16" i="1"/>
  <c r="K28" i="1"/>
  <c r="J42" i="1"/>
  <c r="K41" i="1"/>
  <c r="J13" i="1"/>
  <c r="J40" i="1"/>
  <c r="K62" i="1"/>
  <c r="J39" i="1"/>
  <c r="K22" i="1"/>
  <c r="J22" i="1"/>
  <c r="K58" i="1"/>
  <c r="J58" i="1"/>
  <c r="K34" i="1"/>
  <c r="J34" i="1"/>
  <c r="K33" i="1"/>
  <c r="K27" i="1"/>
  <c r="J26" i="1"/>
  <c r="K39" i="1"/>
  <c r="J11" i="1"/>
  <c r="K59" i="1"/>
  <c r="J35" i="1"/>
  <c r="J46" i="1"/>
  <c r="J32" i="1"/>
  <c r="J18" i="1"/>
  <c r="K45" i="1"/>
  <c r="K17" i="1"/>
  <c r="J30" i="1"/>
  <c r="K42" i="1"/>
  <c r="J65" i="1"/>
  <c r="J14" i="1"/>
  <c r="K64" i="1"/>
  <c r="J64" i="1"/>
  <c r="K63" i="1"/>
  <c r="J63" i="1"/>
  <c r="J62" i="1"/>
  <c r="K31" i="1"/>
  <c r="K40" i="1"/>
  <c r="K25" i="1"/>
  <c r="J36" i="1"/>
  <c r="K35" i="1"/>
  <c r="K48" i="1"/>
  <c r="J48" i="1"/>
  <c r="J45" i="1"/>
  <c r="J31" i="1"/>
  <c r="J17" i="1"/>
  <c r="K67" i="1"/>
  <c r="K44" i="1"/>
  <c r="K30" i="1"/>
  <c r="K16" i="1"/>
  <c r="J44" i="1"/>
  <c r="K65" i="1"/>
  <c r="K14" i="1"/>
  <c r="J28" i="1"/>
  <c r="K13" i="1"/>
  <c r="J41" i="1"/>
  <c r="K26" i="1"/>
  <c r="K11" i="1"/>
  <c r="J25" i="1"/>
  <c r="K8" i="1"/>
  <c r="J59" i="1"/>
  <c r="J21" i="1"/>
  <c r="K47" i="1"/>
  <c r="K43" i="1"/>
  <c r="K29" i="1"/>
  <c r="K15" i="1"/>
  <c r="J43" i="1"/>
  <c r="J29" i="1"/>
  <c r="J15" i="1"/>
  <c r="J27" i="1"/>
  <c r="K12" i="1"/>
  <c r="J12" i="1"/>
  <c r="K7" i="1"/>
  <c r="K61" i="1"/>
  <c r="K38" i="1"/>
  <c r="K24" i="1"/>
  <c r="K10" i="1"/>
  <c r="J61" i="1"/>
  <c r="J38" i="1"/>
  <c r="J24" i="1"/>
  <c r="J10" i="1"/>
  <c r="K60" i="1"/>
  <c r="K37" i="1"/>
  <c r="K23" i="1"/>
  <c r="K9" i="1"/>
  <c r="J60" i="1"/>
  <c r="J37" i="1"/>
  <c r="J23" i="1"/>
  <c r="J9" i="1"/>
  <c r="K36" i="1"/>
  <c r="J8" i="1"/>
  <c r="K21" i="1"/>
  <c r="J7" i="1"/>
  <c r="K20" i="1"/>
  <c r="J20" i="1"/>
  <c r="K19" i="1"/>
  <c r="H40" i="27"/>
  <c r="K66" i="1" s="1"/>
  <c r="G40" i="27"/>
  <c r="I40" i="27" s="1"/>
  <c r="G37" i="8"/>
  <c r="J66" i="1" l="1"/>
  <c r="D11" i="9"/>
  <c r="M35" i="1"/>
  <c r="D12" i="9"/>
  <c r="L61" i="1"/>
  <c r="L19" i="1"/>
  <c r="L8" i="1"/>
  <c r="M30" i="1"/>
  <c r="L23" i="1"/>
  <c r="M28" i="1"/>
  <c r="M46" i="1"/>
  <c r="D26" i="9"/>
  <c r="L67" i="1"/>
  <c r="D22" i="9"/>
  <c r="M38" i="1"/>
  <c r="M37" i="1"/>
  <c r="M44" i="1"/>
  <c r="L17" i="1"/>
  <c r="D10" i="9"/>
  <c r="L24" i="1"/>
  <c r="M34" i="1"/>
  <c r="M41" i="1"/>
  <c r="L64" i="1"/>
  <c r="D18" i="9"/>
  <c r="M31" i="1"/>
  <c r="L18" i="1"/>
  <c r="L16" i="1"/>
  <c r="L7" i="1"/>
  <c r="J50" i="1"/>
  <c r="M33" i="1"/>
  <c r="M58" i="1"/>
  <c r="M12" i="1"/>
  <c r="L27" i="1"/>
  <c r="L20" i="1"/>
  <c r="M39" i="1"/>
  <c r="M32" i="1"/>
  <c r="L15" i="1"/>
  <c r="M65" i="1"/>
  <c r="L13" i="1"/>
  <c r="M25" i="1"/>
  <c r="H28" i="8"/>
  <c r="H30" i="8" s="1"/>
  <c r="M42" i="1"/>
  <c r="K69" i="1"/>
  <c r="K71" i="1" s="1"/>
  <c r="D9" i="9"/>
  <c r="M48" i="1"/>
  <c r="D13" i="9"/>
  <c r="L62" i="1"/>
  <c r="M59" i="1"/>
  <c r="M36" i="1"/>
  <c r="M43" i="1"/>
  <c r="M60" i="1"/>
  <c r="L10" i="1"/>
  <c r="M45" i="1"/>
  <c r="L11" i="1"/>
  <c r="L29" i="1"/>
  <c r="L21" i="1"/>
  <c r="L63" i="1"/>
  <c r="D14" i="9"/>
  <c r="L22" i="1"/>
  <c r="L9" i="1"/>
  <c r="M47" i="1"/>
  <c r="M40" i="1"/>
  <c r="L14" i="1"/>
  <c r="M26" i="1"/>
  <c r="K50" i="1"/>
  <c r="K51" i="1" l="1"/>
  <c r="J70" i="1" s="1"/>
  <c r="E22" i="9"/>
  <c r="L66" i="1"/>
  <c r="L69" i="1"/>
  <c r="E12" i="9"/>
  <c r="L50" i="1"/>
  <c r="M50" i="1"/>
  <c r="E10" i="9"/>
  <c r="J69" i="1"/>
  <c r="D19" i="9"/>
  <c r="E18" i="9"/>
  <c r="M69" i="1"/>
  <c r="D23" i="9"/>
  <c r="D24" i="9" s="1"/>
  <c r="E14" i="9"/>
  <c r="E9" i="9"/>
  <c r="D15" i="9"/>
  <c r="E13" i="9"/>
  <c r="E11" i="9"/>
  <c r="E26" i="9"/>
  <c r="H19" i="8" l="1"/>
  <c r="H37" i="8" s="1"/>
  <c r="J71" i="1"/>
  <c r="K72" i="1" s="1"/>
  <c r="D20" i="9"/>
  <c r="D25" i="9" s="1"/>
  <c r="D27" i="9" s="1"/>
  <c r="M51" i="1"/>
  <c r="M72" i="1" s="1"/>
  <c r="E15" i="9"/>
  <c r="E19" i="9"/>
  <c r="L70" i="1"/>
  <c r="L71" i="1" s="1"/>
  <c r="M71" i="1"/>
  <c r="E23" i="9"/>
  <c r="M31" i="8"/>
  <c r="M22" i="8"/>
  <c r="M37" i="8" s="1"/>
  <c r="M7" i="8"/>
  <c r="M6" i="8"/>
  <c r="F34" i="8"/>
  <c r="F28" i="8"/>
  <c r="F30" i="8" s="1"/>
  <c r="F19" i="8"/>
  <c r="F37" i="8" s="1"/>
  <c r="L72" i="1" l="1"/>
  <c r="E24" i="9"/>
  <c r="E20" i="9"/>
  <c r="E25" i="9" l="1"/>
  <c r="E27" i="9" s="1"/>
  <c r="J97" i="26"/>
  <c r="J40" i="26"/>
  <c r="I143" i="26"/>
  <c r="I97" i="26" l="1"/>
  <c r="K97" i="26" s="1"/>
  <c r="L97" i="26" s="1"/>
  <c r="I40" i="26"/>
  <c r="K40" i="26" s="1"/>
  <c r="L40" i="26" s="1"/>
  <c r="J143" i="26" l="1"/>
  <c r="K143" i="26" s="1"/>
  <c r="L143" i="26" s="1"/>
  <c r="I26" i="26" l="1"/>
  <c r="J152" i="26"/>
  <c r="I152" i="26"/>
  <c r="J151" i="26"/>
  <c r="I151" i="26"/>
  <c r="J150" i="26"/>
  <c r="I150" i="26"/>
  <c r="J149" i="26"/>
  <c r="I149" i="26"/>
  <c r="J148" i="26"/>
  <c r="I148" i="26"/>
  <c r="J147" i="26"/>
  <c r="I147" i="26"/>
  <c r="J146" i="26"/>
  <c r="I146" i="26"/>
  <c r="J145" i="26"/>
  <c r="I145" i="26"/>
  <c r="J144" i="26"/>
  <c r="I144" i="26"/>
  <c r="J142" i="26"/>
  <c r="I142" i="26"/>
  <c r="J141" i="26"/>
  <c r="I141" i="26"/>
  <c r="J140" i="26"/>
  <c r="I140" i="26"/>
  <c r="J139" i="26"/>
  <c r="I139" i="26"/>
  <c r="J138" i="26"/>
  <c r="I138" i="26"/>
  <c r="J137" i="26"/>
  <c r="I137" i="26"/>
  <c r="J136" i="26"/>
  <c r="I136" i="26"/>
  <c r="J135" i="26"/>
  <c r="I135" i="26"/>
  <c r="J134" i="26"/>
  <c r="I134" i="26"/>
  <c r="J133" i="26"/>
  <c r="I133" i="26"/>
  <c r="J132" i="26"/>
  <c r="I132" i="26"/>
  <c r="J131" i="26"/>
  <c r="I131" i="26"/>
  <c r="J130" i="26"/>
  <c r="I130" i="26"/>
  <c r="J129" i="26"/>
  <c r="I129" i="26"/>
  <c r="J128" i="26"/>
  <c r="I128" i="26"/>
  <c r="J127" i="26"/>
  <c r="I127" i="26"/>
  <c r="J126" i="26"/>
  <c r="I126" i="26"/>
  <c r="J125" i="26"/>
  <c r="I125" i="26"/>
  <c r="J124" i="26"/>
  <c r="I124" i="26"/>
  <c r="J123" i="26"/>
  <c r="I123" i="26"/>
  <c r="J122" i="26"/>
  <c r="I122" i="26"/>
  <c r="J121" i="26"/>
  <c r="I121" i="26"/>
  <c r="J120" i="26"/>
  <c r="I120" i="26"/>
  <c r="J119" i="26"/>
  <c r="I119" i="26"/>
  <c r="J118" i="26"/>
  <c r="I118" i="26"/>
  <c r="J117" i="26"/>
  <c r="I117" i="26"/>
  <c r="J116" i="26"/>
  <c r="I116" i="26"/>
  <c r="J115" i="26"/>
  <c r="I115" i="26"/>
  <c r="J114" i="26"/>
  <c r="I114" i="26"/>
  <c r="J113" i="26"/>
  <c r="I113" i="26"/>
  <c r="J112" i="26"/>
  <c r="I112" i="26"/>
  <c r="J111" i="26"/>
  <c r="I111" i="26"/>
  <c r="J110" i="26"/>
  <c r="I110" i="26"/>
  <c r="J109" i="26"/>
  <c r="I109" i="26"/>
  <c r="J108" i="26"/>
  <c r="I108" i="26"/>
  <c r="J107" i="26"/>
  <c r="I107" i="26"/>
  <c r="J106" i="26"/>
  <c r="I106" i="26"/>
  <c r="J105" i="26"/>
  <c r="I105" i="26"/>
  <c r="J104" i="26"/>
  <c r="I104" i="26"/>
  <c r="J103" i="26"/>
  <c r="I103" i="26"/>
  <c r="J102" i="26"/>
  <c r="I102" i="26"/>
  <c r="J101" i="26"/>
  <c r="I101" i="26"/>
  <c r="J100" i="26"/>
  <c r="I100" i="26"/>
  <c r="J99" i="26"/>
  <c r="I99" i="26"/>
  <c r="J98" i="26"/>
  <c r="I98" i="26"/>
  <c r="J96" i="26"/>
  <c r="I96" i="26"/>
  <c r="J95" i="26"/>
  <c r="I95" i="26"/>
  <c r="J94" i="26"/>
  <c r="I94" i="26"/>
  <c r="J93" i="26"/>
  <c r="I93" i="26"/>
  <c r="J92" i="26"/>
  <c r="I92" i="26"/>
  <c r="J91" i="26"/>
  <c r="I91" i="26"/>
  <c r="J90" i="26"/>
  <c r="I90" i="26"/>
  <c r="J89" i="26"/>
  <c r="I89" i="26"/>
  <c r="J88" i="26"/>
  <c r="I88" i="26"/>
  <c r="J87" i="26"/>
  <c r="I87" i="26"/>
  <c r="J86" i="26"/>
  <c r="I86" i="26"/>
  <c r="J85" i="26"/>
  <c r="I85" i="26"/>
  <c r="J84" i="26"/>
  <c r="I84" i="26"/>
  <c r="J83" i="26"/>
  <c r="I83" i="26"/>
  <c r="J82" i="26"/>
  <c r="I82" i="26"/>
  <c r="J81" i="26"/>
  <c r="I81" i="26"/>
  <c r="J80" i="26"/>
  <c r="I80" i="26"/>
  <c r="J79" i="26"/>
  <c r="I79" i="26"/>
  <c r="J78" i="26"/>
  <c r="I78" i="26"/>
  <c r="J77" i="26"/>
  <c r="I77" i="26"/>
  <c r="J76" i="26"/>
  <c r="I76" i="26"/>
  <c r="J75" i="26"/>
  <c r="I75" i="26"/>
  <c r="J74" i="26"/>
  <c r="I74" i="26"/>
  <c r="J73" i="26"/>
  <c r="I73" i="26"/>
  <c r="J72" i="26"/>
  <c r="I72" i="26"/>
  <c r="J71" i="26"/>
  <c r="I71" i="26"/>
  <c r="J70" i="26"/>
  <c r="I70" i="26"/>
  <c r="J69" i="26"/>
  <c r="I69" i="26"/>
  <c r="J68" i="26"/>
  <c r="I68" i="26"/>
  <c r="J67" i="26"/>
  <c r="I67" i="26"/>
  <c r="J66" i="26"/>
  <c r="I66" i="26"/>
  <c r="J65" i="26"/>
  <c r="I65" i="26"/>
  <c r="J64" i="26"/>
  <c r="I64" i="26"/>
  <c r="J63" i="26"/>
  <c r="I63" i="26"/>
  <c r="J62" i="26"/>
  <c r="I62" i="26"/>
  <c r="J61" i="26"/>
  <c r="I61" i="26"/>
  <c r="J60" i="26"/>
  <c r="I60" i="26"/>
  <c r="J59" i="26"/>
  <c r="I59" i="26"/>
  <c r="J58" i="26"/>
  <c r="I58" i="26"/>
  <c r="J57" i="26"/>
  <c r="I57" i="26"/>
  <c r="J56" i="26"/>
  <c r="I56" i="26"/>
  <c r="J55" i="26"/>
  <c r="I55" i="26"/>
  <c r="J54" i="26"/>
  <c r="I54" i="26"/>
  <c r="J53" i="26"/>
  <c r="I53" i="26"/>
  <c r="J52" i="26"/>
  <c r="I52" i="26"/>
  <c r="J51" i="26"/>
  <c r="I51" i="26"/>
  <c r="J50" i="26"/>
  <c r="I50" i="26"/>
  <c r="J49" i="26"/>
  <c r="I49" i="26"/>
  <c r="J48" i="26"/>
  <c r="I48" i="26"/>
  <c r="J47" i="26"/>
  <c r="I47" i="26"/>
  <c r="J46" i="26"/>
  <c r="I46" i="26"/>
  <c r="J45" i="26"/>
  <c r="I45" i="26"/>
  <c r="J44" i="26"/>
  <c r="I44" i="26"/>
  <c r="J43" i="26"/>
  <c r="I43" i="26"/>
  <c r="J42" i="26"/>
  <c r="I42" i="26"/>
  <c r="J41" i="26"/>
  <c r="I41" i="26"/>
  <c r="J39" i="26"/>
  <c r="I39" i="26"/>
  <c r="J38" i="26"/>
  <c r="I38" i="26"/>
  <c r="J37" i="26"/>
  <c r="I37" i="26"/>
  <c r="J36" i="26"/>
  <c r="I36" i="26"/>
  <c r="J35" i="26"/>
  <c r="I35" i="26"/>
  <c r="J34" i="26"/>
  <c r="I34" i="26"/>
  <c r="J33" i="26"/>
  <c r="I33" i="26"/>
  <c r="J32" i="26"/>
  <c r="I32" i="26"/>
  <c r="J31" i="26"/>
  <c r="I31" i="26"/>
  <c r="J29" i="26"/>
  <c r="I29" i="26"/>
  <c r="J28" i="26"/>
  <c r="I28" i="26"/>
  <c r="J27" i="26"/>
  <c r="I27" i="26"/>
  <c r="J26" i="26"/>
  <c r="J25" i="26"/>
  <c r="I25" i="26"/>
  <c r="J24" i="26"/>
  <c r="I24" i="26"/>
  <c r="J23" i="26"/>
  <c r="I23" i="26"/>
  <c r="J22" i="26"/>
  <c r="I22" i="26"/>
  <c r="J21" i="26"/>
  <c r="I21" i="26"/>
  <c r="J20" i="26"/>
  <c r="I20" i="26"/>
  <c r="J19" i="26"/>
  <c r="I19" i="26"/>
  <c r="J18" i="26"/>
  <c r="I18" i="26"/>
  <c r="J17" i="26"/>
  <c r="I17" i="26"/>
  <c r="J16" i="26"/>
  <c r="I16" i="26"/>
  <c r="J15" i="26"/>
  <c r="I15" i="26"/>
  <c r="J14" i="26"/>
  <c r="I14" i="26"/>
  <c r="J13" i="26"/>
  <c r="I13" i="26"/>
  <c r="I12" i="26"/>
  <c r="J11" i="26"/>
  <c r="I11" i="26"/>
  <c r="J9" i="26"/>
  <c r="I9" i="26"/>
  <c r="J8" i="26"/>
  <c r="I8" i="26"/>
  <c r="J10" i="26"/>
  <c r="J30" i="26" l="1"/>
  <c r="J12" i="26"/>
  <c r="L31" i="8"/>
  <c r="L22" i="8"/>
  <c r="L7" i="8"/>
  <c r="L6" i="8"/>
  <c r="E34" i="8"/>
  <c r="E28" i="8"/>
  <c r="E30" i="8" s="1"/>
  <c r="E19" i="8"/>
  <c r="J5" i="26" l="1"/>
  <c r="I10" i="26"/>
  <c r="I30" i="26"/>
  <c r="L37" i="8"/>
  <c r="E37" i="8"/>
  <c r="I5" i="26" l="1"/>
  <c r="I1" i="27"/>
  <c r="I2" i="27" l="1"/>
  <c r="H1" i="27" s="1"/>
  <c r="J1" i="27"/>
  <c r="K77" i="26"/>
  <c r="L77" i="26" s="1"/>
  <c r="K32" i="26" l="1"/>
  <c r="L32" i="26" s="1"/>
  <c r="K30" i="26" l="1"/>
  <c r="L30" i="26" s="1"/>
  <c r="K76" i="26" l="1"/>
  <c r="L76" i="26" s="1"/>
  <c r="K75" i="26"/>
  <c r="L75" i="26" s="1"/>
  <c r="K20" i="26"/>
  <c r="L20" i="26" s="1"/>
  <c r="K21" i="26"/>
  <c r="L21" i="26" s="1"/>
  <c r="K28" i="26"/>
  <c r="L28" i="26" s="1"/>
  <c r="K24" i="26"/>
  <c r="L24" i="26" s="1"/>
  <c r="K25" i="26"/>
  <c r="L25" i="26" s="1"/>
  <c r="K74" i="26" l="1"/>
  <c r="L74" i="26" s="1"/>
  <c r="K39" i="26" l="1"/>
  <c r="L39" i="26" s="1"/>
  <c r="K31" i="26" l="1"/>
  <c r="L31" i="26" s="1"/>
  <c r="K38" i="26"/>
  <c r="L38" i="26" s="1"/>
  <c r="K127" i="26" l="1"/>
  <c r="L127" i="26" s="1"/>
  <c r="K29" i="26" l="1"/>
  <c r="L29" i="26" s="1"/>
  <c r="K37" i="26"/>
  <c r="L37" i="26" s="1"/>
  <c r="C54" i="1"/>
  <c r="H50" i="1"/>
  <c r="G50" i="1"/>
  <c r="K126" i="26" l="1"/>
  <c r="L126" i="26" s="1"/>
  <c r="K148" i="26"/>
  <c r="L148" i="26" l="1"/>
  <c r="K27" i="26" l="1"/>
  <c r="L27" i="26" s="1"/>
  <c r="K22" i="26"/>
  <c r="L22" i="26" s="1"/>
  <c r="K95" i="26"/>
  <c r="L95" i="26" s="1"/>
  <c r="K26" i="26" l="1"/>
  <c r="L26" i="26" s="1"/>
  <c r="K96" i="26"/>
  <c r="L96" i="26" s="1"/>
  <c r="K147" i="26"/>
  <c r="L147" i="26" s="1"/>
  <c r="K121" i="26"/>
  <c r="L121" i="26" s="1"/>
  <c r="K140" i="26"/>
  <c r="L140" i="26" l="1"/>
  <c r="K142" i="26"/>
  <c r="K94" i="26"/>
  <c r="L94" i="26" s="1"/>
  <c r="L142" i="26" l="1"/>
  <c r="K104" i="26" l="1"/>
  <c r="L104" i="26" s="1"/>
  <c r="K137" i="26"/>
  <c r="L137" i="26" s="1"/>
  <c r="K105" i="26"/>
  <c r="L105" i="26" s="1"/>
  <c r="K103" i="26"/>
  <c r="L103" i="26" s="1"/>
  <c r="K124" i="26"/>
  <c r="L124" i="26" s="1"/>
  <c r="K138" i="26"/>
  <c r="L138" i="26" s="1"/>
  <c r="K139" i="26"/>
  <c r="L139" i="26" l="1"/>
  <c r="K31" i="8"/>
  <c r="K22" i="8"/>
  <c r="H3" i="26" l="1"/>
  <c r="H2" i="26"/>
  <c r="I2" i="26" s="1"/>
  <c r="H1" i="26"/>
  <c r="I1" i="26" s="1"/>
  <c r="K152" i="26" l="1"/>
  <c r="L152" i="26" s="1"/>
  <c r="K151" i="26"/>
  <c r="L151" i="26" s="1"/>
  <c r="H5" i="26"/>
  <c r="H69" i="1"/>
  <c r="H71" i="1" s="1"/>
  <c r="G69" i="1"/>
  <c r="G56" i="1"/>
  <c r="F56" i="1"/>
  <c r="D7" i="9"/>
  <c r="E7" i="9" s="1"/>
  <c r="B4" i="9"/>
  <c r="O7" i="8"/>
  <c r="K7" i="8"/>
  <c r="O6" i="8"/>
  <c r="K6" i="8"/>
  <c r="D34" i="8" l="1"/>
  <c r="G70" i="1"/>
  <c r="G71" i="1" s="1"/>
  <c r="D28" i="8"/>
  <c r="H51" i="1"/>
  <c r="D19" i="8"/>
  <c r="K82" i="26"/>
  <c r="L82" i="26" s="1"/>
  <c r="K98" i="26"/>
  <c r="L98" i="26" s="1"/>
  <c r="K110" i="26"/>
  <c r="K146" i="26"/>
  <c r="L146" i="26" s="1"/>
  <c r="K101" i="26"/>
  <c r="L101" i="26" s="1"/>
  <c r="K128" i="26"/>
  <c r="K130" i="26"/>
  <c r="L130" i="26" s="1"/>
  <c r="K116" i="26"/>
  <c r="L116" i="26" s="1"/>
  <c r="K141" i="26"/>
  <c r="K115" i="26"/>
  <c r="L115" i="26" s="1"/>
  <c r="K85" i="26"/>
  <c r="L85" i="26" s="1"/>
  <c r="K93" i="26"/>
  <c r="L93" i="26" s="1"/>
  <c r="K125" i="26"/>
  <c r="L125" i="26" s="1"/>
  <c r="K135" i="26"/>
  <c r="L135" i="26" s="1"/>
  <c r="K64" i="26"/>
  <c r="L64" i="26" s="1"/>
  <c r="K107" i="26"/>
  <c r="L107" i="26" s="1"/>
  <c r="G1" i="27" s="1"/>
  <c r="K112" i="26"/>
  <c r="K90" i="26"/>
  <c r="L90" i="26" s="1"/>
  <c r="K136" i="26"/>
  <c r="L136" i="26" s="1"/>
  <c r="K150" i="26"/>
  <c r="K41" i="26"/>
  <c r="L41" i="26" s="1"/>
  <c r="K44" i="26"/>
  <c r="L44" i="26" s="1"/>
  <c r="K48" i="26"/>
  <c r="L48" i="26" s="1"/>
  <c r="K52" i="26"/>
  <c r="L52" i="26" s="1"/>
  <c r="K56" i="26"/>
  <c r="L56" i="26" s="1"/>
  <c r="K84" i="26"/>
  <c r="L84" i="26" s="1"/>
  <c r="K129" i="26"/>
  <c r="L129" i="26" s="1"/>
  <c r="K133" i="26"/>
  <c r="L133" i="26" s="1"/>
  <c r="K144" i="26"/>
  <c r="L144" i="26" s="1"/>
  <c r="K9" i="26"/>
  <c r="L9" i="26" s="1"/>
  <c r="K12" i="26"/>
  <c r="L12" i="26" s="1"/>
  <c r="K13" i="26"/>
  <c r="L13" i="26" s="1"/>
  <c r="K16" i="26"/>
  <c r="L16" i="26" s="1"/>
  <c r="K87" i="26"/>
  <c r="L87" i="26" s="1"/>
  <c r="K88" i="26"/>
  <c r="L88" i="26" s="1"/>
  <c r="K92" i="26"/>
  <c r="L92" i="26" s="1"/>
  <c r="K100" i="26"/>
  <c r="L100" i="26" s="1"/>
  <c r="K106" i="26"/>
  <c r="L106" i="26" s="1"/>
  <c r="K114" i="26"/>
  <c r="L114" i="26" s="1"/>
  <c r="K119" i="26"/>
  <c r="L119" i="26" s="1"/>
  <c r="K15" i="26"/>
  <c r="L15" i="26" s="1"/>
  <c r="K23" i="26"/>
  <c r="L23" i="26" s="1"/>
  <c r="K34" i="26"/>
  <c r="L34" i="26" s="1"/>
  <c r="K36" i="26"/>
  <c r="L36" i="26" s="1"/>
  <c r="K43" i="26"/>
  <c r="L43" i="26" s="1"/>
  <c r="K47" i="26"/>
  <c r="L47" i="26" s="1"/>
  <c r="K51" i="26"/>
  <c r="L51" i="26" s="1"/>
  <c r="K55" i="26"/>
  <c r="L55" i="26" s="1"/>
  <c r="K59" i="26"/>
  <c r="L59" i="26" s="1"/>
  <c r="K66" i="26"/>
  <c r="L66" i="26" s="1"/>
  <c r="K70" i="26"/>
  <c r="L70" i="26" s="1"/>
  <c r="K78" i="26"/>
  <c r="L78" i="26" s="1"/>
  <c r="K86" i="26"/>
  <c r="L86" i="26" s="1"/>
  <c r="K99" i="26"/>
  <c r="L99" i="26" s="1"/>
  <c r="K118" i="26"/>
  <c r="L118" i="26" s="1"/>
  <c r="K131" i="26"/>
  <c r="L131" i="26" s="1"/>
  <c r="K35" i="26"/>
  <c r="L35" i="26" s="1"/>
  <c r="K42" i="26"/>
  <c r="L42" i="26" s="1"/>
  <c r="K46" i="26"/>
  <c r="L46" i="26" s="1"/>
  <c r="K50" i="26"/>
  <c r="L50" i="26" s="1"/>
  <c r="K54" i="26"/>
  <c r="L54" i="26" s="1"/>
  <c r="K58" i="26"/>
  <c r="L58" i="26" s="1"/>
  <c r="K65" i="26"/>
  <c r="L65" i="26" s="1"/>
  <c r="K69" i="26"/>
  <c r="L69" i="26" s="1"/>
  <c r="K73" i="26"/>
  <c r="L73" i="26" s="1"/>
  <c r="K108" i="26"/>
  <c r="L108" i="26" s="1"/>
  <c r="K17" i="26"/>
  <c r="L17" i="26" s="1"/>
  <c r="K45" i="26"/>
  <c r="L45" i="26" s="1"/>
  <c r="K49" i="26"/>
  <c r="L49" i="26" s="1"/>
  <c r="K53" i="26"/>
  <c r="L53" i="26" s="1"/>
  <c r="K57" i="26"/>
  <c r="L57" i="26" s="1"/>
  <c r="K61" i="26"/>
  <c r="L61" i="26" s="1"/>
  <c r="K63" i="26"/>
  <c r="L63" i="26" s="1"/>
  <c r="K68" i="26"/>
  <c r="L68" i="26" s="1"/>
  <c r="K72" i="26"/>
  <c r="L72" i="26" s="1"/>
  <c r="K80" i="26"/>
  <c r="L80" i="26" s="1"/>
  <c r="K89" i="26"/>
  <c r="L89" i="26" s="1"/>
  <c r="K109" i="26"/>
  <c r="K113" i="26"/>
  <c r="L113" i="26" s="1"/>
  <c r="K117" i="26"/>
  <c r="K123" i="26"/>
  <c r="L123" i="26" s="1"/>
  <c r="K132" i="26"/>
  <c r="K122" i="26"/>
  <c r="L122" i="26" s="1"/>
  <c r="K134" i="26"/>
  <c r="K145" i="26"/>
  <c r="L145" i="26" s="1"/>
  <c r="K60" i="26"/>
  <c r="L60" i="26" s="1"/>
  <c r="K62" i="26"/>
  <c r="L62" i="26" s="1"/>
  <c r="K67" i="26"/>
  <c r="L67" i="26" s="1"/>
  <c r="K71" i="26"/>
  <c r="L71" i="26" s="1"/>
  <c r="K79" i="26"/>
  <c r="L79" i="26" s="1"/>
  <c r="K8" i="26"/>
  <c r="L8" i="26" s="1"/>
  <c r="K10" i="26"/>
  <c r="L10" i="26" s="1"/>
  <c r="K11" i="26"/>
  <c r="L11" i="26" s="1"/>
  <c r="K14" i="26"/>
  <c r="L14" i="26" s="1"/>
  <c r="K18" i="26"/>
  <c r="L18" i="26" s="1"/>
  <c r="K33" i="26"/>
  <c r="L33" i="26" s="1"/>
  <c r="K81" i="26"/>
  <c r="L81" i="26" s="1"/>
  <c r="K83" i="26"/>
  <c r="L83" i="26" s="1"/>
  <c r="K91" i="26"/>
  <c r="L91" i="26" s="1"/>
  <c r="K102" i="26"/>
  <c r="L102" i="26" s="1"/>
  <c r="K111" i="26"/>
  <c r="K120" i="26"/>
  <c r="L120" i="26" s="1"/>
  <c r="M75" i="1" l="1"/>
  <c r="L2" i="26"/>
  <c r="L132" i="26"/>
  <c r="L128" i="26"/>
  <c r="L150" i="26"/>
  <c r="L117" i="26"/>
  <c r="L109" i="26"/>
  <c r="L110" i="26"/>
  <c r="L111" i="26"/>
  <c r="L134" i="26"/>
  <c r="L141" i="26"/>
  <c r="L112" i="26"/>
  <c r="D30" i="8"/>
  <c r="D37" i="8" s="1"/>
  <c r="K37" i="8"/>
  <c r="H4" i="26"/>
  <c r="O22" i="8" l="1"/>
  <c r="Q58" i="1" l="1"/>
  <c r="P58" i="1"/>
  <c r="E29" i="9" l="1"/>
  <c r="K149" i="26" l="1"/>
  <c r="L149" i="26" l="1"/>
  <c r="L3" i="26" l="1"/>
  <c r="K19" i="26" l="1"/>
  <c r="L19" i="26" l="1"/>
  <c r="K5" i="26"/>
  <c r="L5" i="26" l="1"/>
  <c r="L1" i="26"/>
  <c r="L4" i="26" l="1"/>
  <c r="O31" i="8" l="1"/>
  <c r="O37" i="8" s="1"/>
</calcChain>
</file>

<file path=xl/sharedStrings.xml><?xml version="1.0" encoding="utf-8"?>
<sst xmlns="http://schemas.openxmlformats.org/spreadsheetml/2006/main" count="1434" uniqueCount="675">
  <si>
    <t>ACCOUNT</t>
  </si>
  <si>
    <t>KODE</t>
  </si>
  <si>
    <t>DEBET</t>
  </si>
  <si>
    <t>KREDIT</t>
  </si>
  <si>
    <t>A01</t>
  </si>
  <si>
    <t>KAS</t>
  </si>
  <si>
    <t>D</t>
  </si>
  <si>
    <t>A02</t>
  </si>
  <si>
    <t>BANK</t>
  </si>
  <si>
    <t>A03</t>
  </si>
  <si>
    <t>A04</t>
  </si>
  <si>
    <t>A07</t>
  </si>
  <si>
    <t>K</t>
  </si>
  <si>
    <t>A06</t>
  </si>
  <si>
    <t>PIUTANG LAIN-LAIN</t>
  </si>
  <si>
    <t>A13</t>
  </si>
  <si>
    <t>UANG MUKA PEMBELIAN</t>
  </si>
  <si>
    <t>A14</t>
  </si>
  <si>
    <t>UANG MUKA PAJAK</t>
  </si>
  <si>
    <t>A16</t>
  </si>
  <si>
    <t>PENYERTAAN MODAL</t>
  </si>
  <si>
    <t>A15</t>
  </si>
  <si>
    <t>A05</t>
  </si>
  <si>
    <t>A08</t>
  </si>
  <si>
    <t>A09</t>
  </si>
  <si>
    <t>A10</t>
  </si>
  <si>
    <t>A11</t>
  </si>
  <si>
    <t>AKTIVA PAJAK TANGGUHAN</t>
  </si>
  <si>
    <t>A22</t>
  </si>
  <si>
    <t>AKTIVA DALAM PELAKSANAAN</t>
  </si>
  <si>
    <t>TANAH</t>
  </si>
  <si>
    <t>KENDARAAN</t>
  </si>
  <si>
    <t>INVENTARIS KANTOR</t>
  </si>
  <si>
    <t>A20</t>
  </si>
  <si>
    <t>AKM.PH ASET TETAP</t>
  </si>
  <si>
    <t>A19</t>
  </si>
  <si>
    <t>A21</t>
  </si>
  <si>
    <t>AKTIVA LAIN-LAIN</t>
  </si>
  <si>
    <t>P01</t>
  </si>
  <si>
    <t>P03</t>
  </si>
  <si>
    <t>P01A</t>
  </si>
  <si>
    <t>P01B</t>
  </si>
  <si>
    <t>P01C</t>
  </si>
  <si>
    <t>P04</t>
  </si>
  <si>
    <t>P02</t>
  </si>
  <si>
    <t>P06</t>
  </si>
  <si>
    <t>P05</t>
  </si>
  <si>
    <t>BIAYA YANG MASIH HARUS DIBAYAR</t>
  </si>
  <si>
    <t>P07</t>
  </si>
  <si>
    <t>P08</t>
  </si>
  <si>
    <t>P09</t>
  </si>
  <si>
    <t>P10</t>
  </si>
  <si>
    <t>P11</t>
  </si>
  <si>
    <t>P13</t>
  </si>
  <si>
    <t>P14</t>
  </si>
  <si>
    <t>P15</t>
  </si>
  <si>
    <t>LABA BELUM DICADANGKAN</t>
  </si>
  <si>
    <t xml:space="preserve">JUMLAH </t>
  </si>
  <si>
    <t>LABA (RUGI)</t>
  </si>
  <si>
    <t>LR01</t>
  </si>
  <si>
    <t>LR02</t>
  </si>
  <si>
    <t>LR05</t>
  </si>
  <si>
    <t>BIAYA UMUM DAN ADMINISTRASI</t>
  </si>
  <si>
    <t>LR06</t>
  </si>
  <si>
    <t>LR07</t>
  </si>
  <si>
    <t>PENDAPATAN DILUAR USAHA</t>
  </si>
  <si>
    <t>BIAYA DILUAR USAHA</t>
  </si>
  <si>
    <t>BEBAN PAJAK PENGHASILAN</t>
  </si>
  <si>
    <t>BALANCE</t>
  </si>
  <si>
    <t>Account</t>
  </si>
  <si>
    <t>Keterangan</t>
  </si>
  <si>
    <t>Report_NR</t>
  </si>
  <si>
    <t>Kas</t>
  </si>
  <si>
    <t>AKTIVA</t>
  </si>
  <si>
    <t>Bank</t>
  </si>
  <si>
    <t>Uang Muka Pembelian</t>
  </si>
  <si>
    <t>Uang Muka Pajak</t>
  </si>
  <si>
    <t>Penyertaan Modal</t>
  </si>
  <si>
    <t>Aktiva Pajak Tangguhan</t>
  </si>
  <si>
    <t>Tanah</t>
  </si>
  <si>
    <t>Kendaraan</t>
  </si>
  <si>
    <t>Inventaris Kantor</t>
  </si>
  <si>
    <t>PASIVA</t>
  </si>
  <si>
    <t>Uang Muka Penjualan</t>
  </si>
  <si>
    <t>Ekuitas</t>
  </si>
  <si>
    <t>Cadangan</t>
  </si>
  <si>
    <t>periode</t>
  </si>
  <si>
    <t>TANGGAL</t>
  </si>
  <si>
    <t>JMLDEB</t>
  </si>
  <si>
    <t>JMLKRED</t>
  </si>
  <si>
    <t>QTY</t>
  </si>
  <si>
    <t>SOURCE</t>
  </si>
  <si>
    <t>KETERANGAN</t>
  </si>
  <si>
    <t>Nama_Rekanan</t>
  </si>
  <si>
    <t>BIAYA MATERAI</t>
  </si>
  <si>
    <t>No</t>
  </si>
  <si>
    <t>Uraian</t>
  </si>
  <si>
    <t>I</t>
  </si>
  <si>
    <t>Aset Lancar</t>
  </si>
  <si>
    <t>VIII</t>
  </si>
  <si>
    <t>Liabilitas Jangka Pendek</t>
  </si>
  <si>
    <t>Biaya yg Dibayar Dimuka</t>
  </si>
  <si>
    <t>Total Aset Lancar :</t>
  </si>
  <si>
    <t>II</t>
  </si>
  <si>
    <t>III</t>
  </si>
  <si>
    <t>IV</t>
  </si>
  <si>
    <t>Aset Tetap Berwujud</t>
  </si>
  <si>
    <t>Bangunan dan Instalasi Listrik</t>
  </si>
  <si>
    <t>Grand Total Liabilitas</t>
  </si>
  <si>
    <t>Mesin dan Peralatan</t>
  </si>
  <si>
    <t>Nilai Perolehan</t>
  </si>
  <si>
    <t>Akumulasi Penyusutan Aktiva Tetap</t>
  </si>
  <si>
    <t>V</t>
  </si>
  <si>
    <t>Aset Tetap Tak Berwujud</t>
  </si>
  <si>
    <t>Laba Belum dicadangkan</t>
  </si>
  <si>
    <t>Software Komputer</t>
  </si>
  <si>
    <t>Laba Setelah Pajak</t>
  </si>
  <si>
    <t>Ak. Amrt. Software Komputer</t>
  </si>
  <si>
    <t>Total Ekuitas :</t>
  </si>
  <si>
    <t>Total Aset Tetap Tak Berwujud :</t>
  </si>
  <si>
    <t>VI</t>
  </si>
  <si>
    <t>VII</t>
  </si>
  <si>
    <t>Aset Lain-lain</t>
  </si>
  <si>
    <t>Grand Total Aset</t>
  </si>
  <si>
    <t>Grand Total Liabilitas dan Ekuitas</t>
  </si>
  <si>
    <t>NERACA</t>
  </si>
  <si>
    <t>PER</t>
  </si>
  <si>
    <t xml:space="preserve">Pendapatan </t>
  </si>
  <si>
    <t>Laba kotor</t>
  </si>
  <si>
    <t>Beban Usaha</t>
  </si>
  <si>
    <t>Beban Umum dan Administrasi</t>
  </si>
  <si>
    <t>Jumlah Beban Usaha :</t>
  </si>
  <si>
    <t>Laba usaha</t>
  </si>
  <si>
    <t>Pendapatan / (Beban) di luar usaha</t>
  </si>
  <si>
    <t>Jumlah Pendapatan/(Beban) di luar usaha:</t>
  </si>
  <si>
    <t>Laba Sebelum Pajak</t>
  </si>
  <si>
    <t>Beban Pajak</t>
  </si>
  <si>
    <t>LAPORAN LABA / (RUGI)</t>
  </si>
  <si>
    <t>JANUARI</t>
  </si>
  <si>
    <t>AMOUNT</t>
  </si>
  <si>
    <t>Utang Pajak</t>
  </si>
  <si>
    <t>Utang Bank</t>
  </si>
  <si>
    <t>PENDAPATAN JASA GIRO</t>
  </si>
  <si>
    <t>Uang Muka Operasional</t>
  </si>
  <si>
    <t>31 Desember 2022</t>
  </si>
  <si>
    <t>A</t>
  </si>
  <si>
    <t>SALDO AWAL</t>
  </si>
  <si>
    <t>SALDO AKHIR</t>
  </si>
  <si>
    <t>MUTASI</t>
  </si>
  <si>
    <t>LR</t>
  </si>
  <si>
    <t>SUBTOTAL</t>
  </si>
  <si>
    <t>01.000.0000</t>
  </si>
  <si>
    <t>01.001.0000</t>
  </si>
  <si>
    <t>01.009.0000</t>
  </si>
  <si>
    <t>02.000.0000</t>
  </si>
  <si>
    <t>02.001.0000</t>
  </si>
  <si>
    <t>02.002.0000</t>
  </si>
  <si>
    <t>03.000.0000</t>
  </si>
  <si>
    <t>03.001.0000</t>
  </si>
  <si>
    <t>03.002.0000</t>
  </si>
  <si>
    <t>04.000.0000</t>
  </si>
  <si>
    <t>05.000.0000</t>
  </si>
  <si>
    <t>06.000.0000</t>
  </si>
  <si>
    <t>09.000.0000</t>
  </si>
  <si>
    <t>10.000.0000</t>
  </si>
  <si>
    <t>10.001.0000</t>
  </si>
  <si>
    <t>11.000.0000</t>
  </si>
  <si>
    <t>11.001.0000</t>
  </si>
  <si>
    <t>11.001.0001</t>
  </si>
  <si>
    <t>11.001.0002</t>
  </si>
  <si>
    <t>11.001.0003</t>
  </si>
  <si>
    <t>11.002.0000</t>
  </si>
  <si>
    <t>12.000.0000</t>
  </si>
  <si>
    <t>13.000.0000</t>
  </si>
  <si>
    <t>14.000.0000</t>
  </si>
  <si>
    <t>15.000.0000</t>
  </si>
  <si>
    <t>16.000.0000</t>
  </si>
  <si>
    <t>16.001.0000</t>
  </si>
  <si>
    <t>16.002.0000</t>
  </si>
  <si>
    <t>17.000.0000</t>
  </si>
  <si>
    <t>17.001.0000</t>
  </si>
  <si>
    <t>17.002.0000</t>
  </si>
  <si>
    <t>18.000.0000</t>
  </si>
  <si>
    <t>18.001.0000</t>
  </si>
  <si>
    <t>19.000.0000</t>
  </si>
  <si>
    <t>19.001.0000</t>
  </si>
  <si>
    <t>22.000.0000</t>
  </si>
  <si>
    <t>23.000.0000</t>
  </si>
  <si>
    <t>24.000.0000</t>
  </si>
  <si>
    <t>25.000.0000</t>
  </si>
  <si>
    <t>26.000.0000</t>
  </si>
  <si>
    <t>26.001.0000</t>
  </si>
  <si>
    <t>27.000.0000</t>
  </si>
  <si>
    <t>27.001.0000</t>
  </si>
  <si>
    <t>29.000.0000</t>
  </si>
  <si>
    <t>30.000.0000</t>
  </si>
  <si>
    <t>31.000.0000</t>
  </si>
  <si>
    <t>32.000.0000</t>
  </si>
  <si>
    <t>33.000.0000</t>
  </si>
  <si>
    <t>33.001.0000</t>
  </si>
  <si>
    <t>33.001.0001</t>
  </si>
  <si>
    <t>33.001.0002</t>
  </si>
  <si>
    <t>33.001.0003</t>
  </si>
  <si>
    <t>33.001.0004</t>
  </si>
  <si>
    <t>33.001.0005</t>
  </si>
  <si>
    <t>33.002.0000</t>
  </si>
  <si>
    <t>33.002.0001</t>
  </si>
  <si>
    <t>33.002.0002</t>
  </si>
  <si>
    <t>33.002.0003</t>
  </si>
  <si>
    <t>34.000.0000</t>
  </si>
  <si>
    <t>35.000.0000</t>
  </si>
  <si>
    <t>36.000.0000</t>
  </si>
  <si>
    <t>37.000.0000</t>
  </si>
  <si>
    <t>38.000.0000</t>
  </si>
  <si>
    <t>40.000.0000</t>
  </si>
  <si>
    <t>41.000.0000</t>
  </si>
  <si>
    <t>42.000.0000</t>
  </si>
  <si>
    <t>43.000.0000</t>
  </si>
  <si>
    <t>50.000.0000</t>
  </si>
  <si>
    <t>60.000.0000</t>
  </si>
  <si>
    <t>60.001.0000</t>
  </si>
  <si>
    <t>60.001.0100</t>
  </si>
  <si>
    <t>60.001.0200</t>
  </si>
  <si>
    <t>60.001.0300</t>
  </si>
  <si>
    <t>60.002.0000</t>
  </si>
  <si>
    <t>60.002.0100</t>
  </si>
  <si>
    <t>60.002.0200</t>
  </si>
  <si>
    <t>60.002.0300</t>
  </si>
  <si>
    <t>70.000.0000</t>
  </si>
  <si>
    <t>70.000.0100</t>
  </si>
  <si>
    <t>70.000.0200</t>
  </si>
  <si>
    <t>70.000.0300</t>
  </si>
  <si>
    <t>70.000.0400</t>
  </si>
  <si>
    <t>70.000.0900</t>
  </si>
  <si>
    <t>71.000.0000</t>
  </si>
  <si>
    <t>71.000.0100</t>
  </si>
  <si>
    <t>71.000.0200</t>
  </si>
  <si>
    <t>71.000.0300</t>
  </si>
  <si>
    <t>71.000.0900</t>
  </si>
  <si>
    <t>80.000.0000</t>
  </si>
  <si>
    <t>80.000.0001</t>
  </si>
  <si>
    <t>80.000.0002</t>
  </si>
  <si>
    <t>KAS INDUK</t>
  </si>
  <si>
    <t>AYAT SILANG KAS &amp; BANK</t>
  </si>
  <si>
    <t>SURAT BERHARGA</t>
  </si>
  <si>
    <t>DEPOSITO</t>
  </si>
  <si>
    <t>PIUTANG USAHA</t>
  </si>
  <si>
    <t>CADANGAN PENGHAPUSAN PIUTANG USAHA</t>
  </si>
  <si>
    <t>BIAYA DIBAYAR DIMUKA</t>
  </si>
  <si>
    <t>UANG MUKA KASBON BIAYA OPERASIONAL</t>
  </si>
  <si>
    <t>UANG MUKA PAJAK PENGHASILAN (PPH)</t>
  </si>
  <si>
    <t>PPH PASAL 22</t>
  </si>
  <si>
    <t>PPH PASAL 23</t>
  </si>
  <si>
    <t>PPH PASAL 25</t>
  </si>
  <si>
    <t>UANG MUKA PAJAK PERTAMBAHAN NILAI (PPN)</t>
  </si>
  <si>
    <t>BANGUNAN</t>
  </si>
  <si>
    <t>BANGUNAN PERMANEN</t>
  </si>
  <si>
    <t>BANGUNAN SEMI PERMANEN</t>
  </si>
  <si>
    <t>AKM.PH. BANGUNAN</t>
  </si>
  <si>
    <t>AKM.PH. BANGUNAN PERMANEN</t>
  </si>
  <si>
    <t>AKM.PH. BANGUNAN SEMI PERMANEN</t>
  </si>
  <si>
    <t>MESIN DAN PERALATAN PABRIK</t>
  </si>
  <si>
    <t>AKM.PH. MESIN DAN PERALATAN</t>
  </si>
  <si>
    <t>AKM.PH. KENDARAAN</t>
  </si>
  <si>
    <t>AKM.PH. INVENTARIS KANTOR</t>
  </si>
  <si>
    <t>AKTIVA TIDAK BERWUJUD</t>
  </si>
  <si>
    <t>AKM.AMRTS. AKTIVA TIDAK BERWUJUD</t>
  </si>
  <si>
    <t>PPH PASAL 4 (2)</t>
  </si>
  <si>
    <t>PPH PASAL 21</t>
  </si>
  <si>
    <t>PPH PASAL 25/29</t>
  </si>
  <si>
    <t>PPH FINAL</t>
  </si>
  <si>
    <t>PPN KELUARAN</t>
  </si>
  <si>
    <t>PPN MASUKAN</t>
  </si>
  <si>
    <t>PPN MASA KURANG BAYAR</t>
  </si>
  <si>
    <t>UANG MUKA PENJUALAN</t>
  </si>
  <si>
    <t>SAHAM YANG TELAH DISETOR</t>
  </si>
  <si>
    <t>LABA TELAH DICADANGKAN</t>
  </si>
  <si>
    <t>LABA / (RUGI) TAHUN BERJALAN</t>
  </si>
  <si>
    <t>BIAYA PEGAWAI</t>
  </si>
  <si>
    <t>BIAYA UMUM</t>
  </si>
  <si>
    <t>PENDAPATAN BUNGA DEPOSITO</t>
  </si>
  <si>
    <t>PENDAPATAN DILUAR USAHA LAINNYA</t>
  </si>
  <si>
    <t>BIAYA BUNGA</t>
  </si>
  <si>
    <t>BIAYA DILUAR USAHA LAINNYA</t>
  </si>
  <si>
    <t>BEBAN PAJAK TAHUN BERJALAN</t>
  </si>
  <si>
    <t>BEBAN PAJAK TANGGUHAN</t>
  </si>
  <si>
    <t>Debet</t>
  </si>
  <si>
    <t>Kredit</t>
  </si>
  <si>
    <t>P</t>
  </si>
  <si>
    <t>L</t>
  </si>
  <si>
    <t>LR08</t>
  </si>
  <si>
    <t>N.BUKTI</t>
  </si>
  <si>
    <t>31 Desember 2023</t>
  </si>
  <si>
    <t>BANK KELUAR</t>
  </si>
  <si>
    <t>BANK MASUK</t>
  </si>
  <si>
    <t>JURNAL MANUAL</t>
  </si>
  <si>
    <t>Surat Berharga</t>
  </si>
  <si>
    <t>Piutang Anggota</t>
  </si>
  <si>
    <t>Piutang Non Anggota</t>
  </si>
  <si>
    <t>Cad. Penyisihan</t>
  </si>
  <si>
    <t>Simpanan Sukarela I</t>
  </si>
  <si>
    <t>Simpanan Sukarela II</t>
  </si>
  <si>
    <t>Utang Anggota</t>
  </si>
  <si>
    <t>Utang Non Anggota</t>
  </si>
  <si>
    <t>Utang Bunga</t>
  </si>
  <si>
    <t>Utang Lain-Lain</t>
  </si>
  <si>
    <t>Simpanan Pokok</t>
  </si>
  <si>
    <t>Wajib</t>
  </si>
  <si>
    <t>Hibah</t>
  </si>
  <si>
    <t>SHU</t>
  </si>
  <si>
    <t>K K C S</t>
  </si>
  <si>
    <t>BANK MANDIRI</t>
  </si>
  <si>
    <t>BANK CENTRAL ASIA (BCA)</t>
  </si>
  <si>
    <t>SIMPANAN INVESTASI</t>
  </si>
  <si>
    <t>PIUTANG ANGGOTA</t>
  </si>
  <si>
    <t>04.001.0000</t>
  </si>
  <si>
    <t>04.002.0000</t>
  </si>
  <si>
    <t>PIUTANG NON ANGGOTA</t>
  </si>
  <si>
    <t>MESIN</t>
  </si>
  <si>
    <t>AKM.PH. MESIN</t>
  </si>
  <si>
    <t>SOFTWARE</t>
  </si>
  <si>
    <t>AKM.AMRTS. SOFTWARE</t>
  </si>
  <si>
    <t>UTANG  USAHA</t>
  </si>
  <si>
    <t>30.001.0000</t>
  </si>
  <si>
    <t>UTANG ANGGOTA</t>
  </si>
  <si>
    <t>30.002.0000</t>
  </si>
  <si>
    <t>UTANG NON ANGGOTA</t>
  </si>
  <si>
    <t>30.003.0000</t>
  </si>
  <si>
    <t>30.004.0000</t>
  </si>
  <si>
    <t>A04A</t>
  </si>
  <si>
    <t>A04B</t>
  </si>
  <si>
    <t>A12</t>
  </si>
  <si>
    <t>A17</t>
  </si>
  <si>
    <t>A18</t>
  </si>
  <si>
    <t>P01D</t>
  </si>
  <si>
    <t>UTANG BANK</t>
  </si>
  <si>
    <t>UTANG LAIN-LAIN</t>
  </si>
  <si>
    <t>UTANG PAJAK</t>
  </si>
  <si>
    <t>UTANG PAJAK PENGHASILAN (PPH)</t>
  </si>
  <si>
    <t>UTANG PAJAK PERTAMBAHAN NILAI (PPN)</t>
  </si>
  <si>
    <t>UTANG JANGKA PANJANG TELAH JATUH TEMPO</t>
  </si>
  <si>
    <t>UTANG PAJAK TANGGUHAN</t>
  </si>
  <si>
    <t>UTANG INVESTASI JANGKA PANJANG</t>
  </si>
  <si>
    <t>P12</t>
  </si>
  <si>
    <t>PENDAPATAN</t>
  </si>
  <si>
    <t>LR01A</t>
  </si>
  <si>
    <t>LR01B</t>
  </si>
  <si>
    <t>LR01C</t>
  </si>
  <si>
    <t>BIAYA POKOK</t>
  </si>
  <si>
    <t>LR02A</t>
  </si>
  <si>
    <t>PENDAPATAN PINJAMAN RUTIN</t>
  </si>
  <si>
    <t>PENDAPATAN PINJAMAN KHUSUS</t>
  </si>
  <si>
    <t>PENDAPATAN PINJAMAN LAIN-LAIN</t>
  </si>
  <si>
    <t>BIAYA POKOK PINJAMAN RUTIN</t>
  </si>
  <si>
    <t>BIAYA POKOK PINJAMAN KHUSUS</t>
  </si>
  <si>
    <t>BIAYA POKOK PINJAMAN LAIN-LAIN</t>
  </si>
  <si>
    <t>LR02B</t>
  </si>
  <si>
    <t>LR02C</t>
  </si>
  <si>
    <t>50.001.0000</t>
  </si>
  <si>
    <t>50.002.0000</t>
  </si>
  <si>
    <t>50.003.0000</t>
  </si>
  <si>
    <t>51.000.0000</t>
  </si>
  <si>
    <t>51.001.0000</t>
  </si>
  <si>
    <t>51.002.0000</t>
  </si>
  <si>
    <t>51.003.0000</t>
  </si>
  <si>
    <t>BIAYA GAJI</t>
  </si>
  <si>
    <t>BIAYA INSENTIF</t>
  </si>
  <si>
    <t>BIAYA OPERASIONAL</t>
  </si>
  <si>
    <t>BIAYA LEGALITAS</t>
  </si>
  <si>
    <t>60.003.0000</t>
  </si>
  <si>
    <t>60.003.0100</t>
  </si>
  <si>
    <t>BIAYA SOSIAL KEAGAMAAN</t>
  </si>
  <si>
    <t>BIAYA SOSIAL KESEHATAN</t>
  </si>
  <si>
    <t>BIAYA SOSIAL SUMBANGAN</t>
  </si>
  <si>
    <t>60.003.0200</t>
  </si>
  <si>
    <t>60.003.0300</t>
  </si>
  <si>
    <t>BIAYA ATK</t>
  </si>
  <si>
    <t>PENJUALAN BARANG BEKAS</t>
  </si>
  <si>
    <t>PENDAPATAN ADM SIMPANAN INVESTASI</t>
  </si>
  <si>
    <t>PENDAPATAN SIMPANAN INVESTASI</t>
  </si>
  <si>
    <t>70.000.0500</t>
  </si>
  <si>
    <t>70.000.0600</t>
  </si>
  <si>
    <t>PENJUALAN LELANG</t>
  </si>
  <si>
    <t>70.000.0700</t>
  </si>
  <si>
    <t>BIAYA LELANG</t>
  </si>
  <si>
    <t>SIMPANAN POKOK</t>
  </si>
  <si>
    <t>SIMPANAN WAJIB</t>
  </si>
  <si>
    <t>HIBAH</t>
  </si>
  <si>
    <t>P16</t>
  </si>
  <si>
    <t>44.000.0000</t>
  </si>
  <si>
    <t>45.000.0000</t>
  </si>
  <si>
    <t>46.000.0000</t>
  </si>
  <si>
    <t>70.000.0800</t>
  </si>
  <si>
    <t>PENDAPATAN SEWA FORKLIFT</t>
  </si>
  <si>
    <t>PENDAPATAN SEWA KENDARAAN</t>
  </si>
  <si>
    <t>BIAYA REPRESENTATIF</t>
  </si>
  <si>
    <t>CLEARING FEE</t>
  </si>
  <si>
    <t>BIAYA KLIRING, TRANSFER, ADM BANK</t>
  </si>
  <si>
    <t>BIAYA ADMIN GIRO</t>
  </si>
  <si>
    <t>PEND. BUNGA GIRO</t>
  </si>
  <si>
    <t>BIAYA PAJAK GIRO</t>
  </si>
  <si>
    <t>60.002.0400</t>
  </si>
  <si>
    <t>BIAYA PENAGIHAN</t>
  </si>
  <si>
    <t>KOPERASI KARYAWAN CIPTA SEJAHTERA</t>
  </si>
  <si>
    <t>PEMBEBANAN PENYISIHAN PIUTANG</t>
  </si>
  <si>
    <t>71.000.0400</t>
  </si>
  <si>
    <t>BIAYA PENYISIHAN PIUTANG</t>
  </si>
  <si>
    <t>SIMPANAN SUKARELA I</t>
  </si>
  <si>
    <t>SIMPANAN SUKARELA II</t>
  </si>
  <si>
    <t>Biaya YMHD</t>
  </si>
  <si>
    <t>Pendapatan Lain-lain</t>
  </si>
  <si>
    <t>Biaya Lain-lain</t>
  </si>
  <si>
    <t>Pinjaman Rutin</t>
  </si>
  <si>
    <t>Pinjaman Khusus</t>
  </si>
  <si>
    <t>Pinjaman Lain</t>
  </si>
  <si>
    <t>HPP Pinj. Rutin</t>
  </si>
  <si>
    <t>HPP Pinj. Khusus</t>
  </si>
  <si>
    <t>HPP Pinj. Lain</t>
  </si>
  <si>
    <t>60.002.0500</t>
  </si>
  <si>
    <t>BIAYA RAPAT</t>
  </si>
  <si>
    <t>j-k</t>
  </si>
  <si>
    <t>SELISIH LEBIH/KURANG TRANSFER</t>
  </si>
  <si>
    <t>34.000.0001</t>
  </si>
  <si>
    <t>BYMHD FORKLIFT</t>
  </si>
  <si>
    <t>34.000.0002</t>
  </si>
  <si>
    <t>BYMHD KSO</t>
  </si>
  <si>
    <t>34.000.0003</t>
  </si>
  <si>
    <t>BYMHD ORIX</t>
  </si>
  <si>
    <t>04.002.0001</t>
  </si>
  <si>
    <t>04.002.0002</t>
  </si>
  <si>
    <t>04.002.0003</t>
  </si>
  <si>
    <t>04.002.0004</t>
  </si>
  <si>
    <t>04.002.0005</t>
  </si>
  <si>
    <t>04.002.0006</t>
  </si>
  <si>
    <t>ABABYL</t>
  </si>
  <si>
    <t>BP. AGUNG</t>
  </si>
  <si>
    <t>SEWA FORKLIFT</t>
  </si>
  <si>
    <t>04.001.0001</t>
  </si>
  <si>
    <t>04.001.0002</t>
  </si>
  <si>
    <t>04.001.0003</t>
  </si>
  <si>
    <t>04.001.0004</t>
  </si>
  <si>
    <t>PINJAMAN RUTIN</t>
  </si>
  <si>
    <t>PUTB</t>
  </si>
  <si>
    <t>PINJAMAN KHUSUS</t>
  </si>
  <si>
    <t>PINJAMAN UMUM</t>
  </si>
  <si>
    <t>30.002.0001</t>
  </si>
  <si>
    <t>30.002.0002</t>
  </si>
  <si>
    <t>30.002.0003</t>
  </si>
  <si>
    <t>PETROMART GCS</t>
  </si>
  <si>
    <t>ORIX MOBIL BP YANTO</t>
  </si>
  <si>
    <t>10.000.0001</t>
  </si>
  <si>
    <t>10.000.0002</t>
  </si>
  <si>
    <t>PENGADAAN KALENDER</t>
  </si>
  <si>
    <t>10.000.0003</t>
  </si>
  <si>
    <t>KSO SI</t>
  </si>
  <si>
    <t>GCS - SIMPANAN INVESTASI</t>
  </si>
  <si>
    <t>GCS - SEWA MOBIL</t>
  </si>
  <si>
    <t>BP YANTO SEWA MOBIL</t>
  </si>
  <si>
    <t>GCS - SEWA FORKLIFT</t>
  </si>
  <si>
    <t>04.002.0007</t>
  </si>
  <si>
    <t>GCS - KSO SI</t>
  </si>
  <si>
    <t>GCS - PENGADAAN BARANG</t>
  </si>
  <si>
    <t>04.002.0008</t>
  </si>
  <si>
    <t>GCS - HAK TERAKHIR KOMPENSASI</t>
  </si>
  <si>
    <t>04.002.0009</t>
  </si>
  <si>
    <t>30.002.0004</t>
  </si>
  <si>
    <t>DENDA/KLAIM MOBIL BP YANTO</t>
  </si>
  <si>
    <t>31 Desember 2024</t>
  </si>
  <si>
    <t>BY REPRESENTATIF ADMIN KKCS FARID F</t>
  </si>
  <si>
    <t>PENERIMAAN SIMPANAN WAJIB ANGGOTA</t>
  </si>
  <si>
    <t>LABA/RUGI DARI PENDAPATAN SEWA KENDARAAN</t>
  </si>
  <si>
    <t>PENDAPATAN PENGADAAN BARANG</t>
  </si>
  <si>
    <t>70.000.1000</t>
  </si>
  <si>
    <t>70.000.1001</t>
  </si>
  <si>
    <t>10.000.0010</t>
  </si>
  <si>
    <t>LAIN-LAIN</t>
  </si>
  <si>
    <t>34.000.1000</t>
  </si>
  <si>
    <t>KAS MASUK</t>
  </si>
  <si>
    <t>KAS KELUAR</t>
  </si>
  <si>
    <t>ANGSURAN PINJAMAN LAIN AN. BUKHORI</t>
  </si>
  <si>
    <t>ANGSURAN PINJAMAN LAIN AN. FADELAN</t>
  </si>
  <si>
    <t>PP</t>
  </si>
  <si>
    <t>BO</t>
  </si>
  <si>
    <t>BU</t>
  </si>
  <si>
    <t>PL</t>
  </si>
  <si>
    <t>BC</t>
  </si>
  <si>
    <t>PJ</t>
  </si>
  <si>
    <t>31 Desember 2025</t>
  </si>
  <si>
    <t>ANGSURAN PINJAMAN LAIN AN. ISFAK</t>
  </si>
  <si>
    <t>ANGSURAN PINJAMAN LAIN AN. SOLICHIN</t>
  </si>
  <si>
    <t>ANGSURAN PINJAMAN LAIN AN. ARI WIBOWO</t>
  </si>
  <si>
    <t>ANGSURAN PINJAMAN LAIN AN. SETYO H</t>
  </si>
  <si>
    <t>TAHUN 2023 - 2026</t>
  </si>
  <si>
    <t>MDR-2601001</t>
  </si>
  <si>
    <t>PEMBAYARAN KE ORIX SEWA BULAN KE 42 (DES)</t>
  </si>
  <si>
    <t>MDR-2601002</t>
  </si>
  <si>
    <t>PINJAMAN RUTIN SAFI'I, 12X</t>
  </si>
  <si>
    <t>MDR-2601003</t>
  </si>
  <si>
    <t>TERIMA DARI GCS SEWA FORKLIFT PERIODE 202511</t>
  </si>
  <si>
    <t>MDR-2601004</t>
  </si>
  <si>
    <t>MDR-2601005</t>
  </si>
  <si>
    <t>PINJAMAN RUTIN JOKO P, 24X</t>
  </si>
  <si>
    <t>MDR-2601006</t>
  </si>
  <si>
    <t>PEMBAYARAN JASA FORKLIFT ACHMAD LUTHFIE PERIODE 202511</t>
  </si>
  <si>
    <t>MDR-2601007</t>
  </si>
  <si>
    <t>PINJAMAN RUTIN SOLICHIN, 36X, KOMPENSASI</t>
  </si>
  <si>
    <t>PINJAMAN RUTIN SUGENG H, 36X, KOMPENSASI</t>
  </si>
  <si>
    <t>MDR-2601008</t>
  </si>
  <si>
    <t>MDR-2601009</t>
  </si>
  <si>
    <t>PINJAMAN RUTIN WIDYA NS, 60X, KOMPENSASI</t>
  </si>
  <si>
    <t>TERIMA DARI GCS POTONGAN GAJI BULAN JANUARI 2026</t>
  </si>
  <si>
    <t>MDR-2601010</t>
  </si>
  <si>
    <t>MDR-2601011</t>
  </si>
  <si>
    <t>PINJAMAN RUTIN SUMARSONO, 24X</t>
  </si>
  <si>
    <t>MDR-2601012</t>
  </si>
  <si>
    <t>MDR-2601013</t>
  </si>
  <si>
    <t>PEMBAYARAN KE ORIX SEWA BULAN KE 43 (JAN)</t>
  </si>
  <si>
    <t>MDR-2601014</t>
  </si>
  <si>
    <t>PINJAMAN RUTIN DARWANTO, 60X, KOMPENSASI</t>
  </si>
  <si>
    <t>MDR-2601015</t>
  </si>
  <si>
    <t>TERIMA DARI GCS SEWA FORKLIFT PERIODE 202512</t>
  </si>
  <si>
    <t>MDR-2601016</t>
  </si>
  <si>
    <t>TERIMA SEWA KENDARAAN 1 UNIT MOBIL PERIODE BLN MEI 2025</t>
  </si>
  <si>
    <t>MDR-2601017</t>
  </si>
  <si>
    <t>MDR-2601018</t>
  </si>
  <si>
    <t>MDR-2601019</t>
  </si>
  <si>
    <t>TERIMA SEWA KENDARAAN 1 UNIT MOBIL PERIODE BLN JUNI 2025</t>
  </si>
  <si>
    <t>TERIMA SEWA KENDARAAN 1 UNIT MOBIL PERIODE BLN JULI 2025</t>
  </si>
  <si>
    <t>TERIMA SEWA KENDARAAN 1 UNIT MOBIL PERIODE BLN AGUSTUS 2025</t>
  </si>
  <si>
    <t>BALANCE SHEET, TAHUN 2026</t>
  </si>
  <si>
    <t>PROFIT AND LOSS, TAHUN 2026</t>
  </si>
  <si>
    <t>SALDO AWAL 2026</t>
  </si>
  <si>
    <t>MUTASI JANUARI 2026</t>
  </si>
  <si>
    <t>SALDO AKHIR JANUARI 2026</t>
  </si>
  <si>
    <t>MDR-2601020</t>
  </si>
  <si>
    <t>BCA-2601001</t>
  </si>
  <si>
    <t>JRM-2601001</t>
  </si>
  <si>
    <t>JRM-2601002</t>
  </si>
  <si>
    <t>PENYESUAIAN SELISIH PIUTANG RUTIN</t>
  </si>
  <si>
    <t>JASA SEWA KENDARAAN MASA DES 2025</t>
  </si>
  <si>
    <t>BIAYA SEWA KENDARAN MASA DES 2025</t>
  </si>
  <si>
    <t>JASA SEWA KENDARAAN MASA JAN 2026</t>
  </si>
  <si>
    <t>BIAYA SEWA KENDARAN MASA JAN 2026</t>
  </si>
  <si>
    <t>JRM-2601003</t>
  </si>
  <si>
    <t>JRM-2601004</t>
  </si>
  <si>
    <t>JASA SEWA FORKLIFT MASA NOP 2025</t>
  </si>
  <si>
    <t>BIAYA SEWA FORKLIFT MASA NOP 2025</t>
  </si>
  <si>
    <t>JRM-2601005</t>
  </si>
  <si>
    <t>JASA SEWA FORKLIFT MASA DES 2025</t>
  </si>
  <si>
    <t>BIAYA SEWA FORKLIFT MASA DES 2025</t>
  </si>
  <si>
    <t>LABA/RUGI DARI PENDAPATAN SEWA FORKLIFT</t>
  </si>
  <si>
    <t>JASA SEWA FORKLIFT MASA JAN 2026</t>
  </si>
  <si>
    <t>BIAYA SEWA FORKLIFT MASA JAN 2026</t>
  </si>
  <si>
    <t>JRM-2601006</t>
  </si>
  <si>
    <t>JRM-2601007</t>
  </si>
  <si>
    <t>KAS-2601001</t>
  </si>
  <si>
    <t>KAS-2601002</t>
  </si>
  <si>
    <t>PELUNASAN PINJAMAN LAIN AN. ARI WIBOWO</t>
  </si>
  <si>
    <t>KAS-2601003</t>
  </si>
  <si>
    <t>PINJAMAN LAIN AN. ARI WIBOWO</t>
  </si>
  <si>
    <t>KAS-2601004</t>
  </si>
  <si>
    <t>PELUNASAN PINJAMAN LAIN AN. AGUS RIYANTO</t>
  </si>
  <si>
    <t>KAS-2601005</t>
  </si>
  <si>
    <t>ONGKIR BAJU PAK KOSA</t>
  </si>
  <si>
    <t>KAS-2601006</t>
  </si>
  <si>
    <t>KAS-2601007</t>
  </si>
  <si>
    <t>KAS-2601008</t>
  </si>
  <si>
    <t>KAS-2601009</t>
  </si>
  <si>
    <t>ANGSURAN PINJAMAN LAIN AN. HANDOKO TS</t>
  </si>
  <si>
    <t>KAS-2601010</t>
  </si>
  <si>
    <t>KAS-2601011</t>
  </si>
  <si>
    <t>PINJAMAN LAIN AN. AGUS R</t>
  </si>
  <si>
    <t>KAS-2601012</t>
  </si>
  <si>
    <t>ANGSURAN PINJAMAN LAIN AN. AGUS S</t>
  </si>
  <si>
    <t>KAS-2601013</t>
  </si>
  <si>
    <t>KAS-2601014</t>
  </si>
  <si>
    <t>KAS-2601015</t>
  </si>
  <si>
    <t>31 Januari 2026</t>
  </si>
  <si>
    <t>N A M A</t>
  </si>
  <si>
    <t>SALDO AWAL TAHUN</t>
  </si>
  <si>
    <t>SALDO BB</t>
  </si>
  <si>
    <t>KOMPENSASI</t>
  </si>
  <si>
    <t>UTANG</t>
  </si>
  <si>
    <t>BAYAR MANDIRI</t>
  </si>
  <si>
    <t>BAYAR POTONG</t>
  </si>
  <si>
    <t>.</t>
  </si>
  <si>
    <t>ABDUL RAHMAN, SE</t>
  </si>
  <si>
    <t>ABDUL ROCHIM,SP.</t>
  </si>
  <si>
    <t>ACH. WACHYUDI</t>
  </si>
  <si>
    <t>ADY PURNOMO</t>
  </si>
  <si>
    <t>AENAL DARWIS</t>
  </si>
  <si>
    <t>AGHNIA PUTRI RUSIANTO</t>
  </si>
  <si>
    <t>AHMAD MUKHLIS K.</t>
  </si>
  <si>
    <t>ARDHI YUNANTO</t>
  </si>
  <si>
    <t>ARI KUNCORO</t>
  </si>
  <si>
    <t>ARI RAHAYU</t>
  </si>
  <si>
    <t>BAGUS ADITA</t>
  </si>
  <si>
    <t>BAMBANG SYAMADJI</t>
  </si>
  <si>
    <t>BURNAMA KUSUMA DR.,SE</t>
  </si>
  <si>
    <t>CHOIRI,SE</t>
  </si>
  <si>
    <t>DANDUNG KASIATNO</t>
  </si>
  <si>
    <t>DARWANTO</t>
  </si>
  <si>
    <t>DEWI FATMAWATI</t>
  </si>
  <si>
    <t>DIAH PUSPITASARI</t>
  </si>
  <si>
    <t>DICKY SUSANTHO</t>
  </si>
  <si>
    <t>DWI RINI P, SE</t>
  </si>
  <si>
    <t>ENDIN TAFRIORO</t>
  </si>
  <si>
    <t>ERLY NURLIANTI</t>
  </si>
  <si>
    <t>FABIAN ABDUL GAFFAR</t>
  </si>
  <si>
    <t>FADELAN CHADARIANTO</t>
  </si>
  <si>
    <t>FIFI EMMALIA,SE</t>
  </si>
  <si>
    <t>GOLIK</t>
  </si>
  <si>
    <t>HADI SANYOTO, SE</t>
  </si>
  <si>
    <t>HANDOKO TEJO SAPUTRO, STp.</t>
  </si>
  <si>
    <t>HARI EKO SUSANTO, SE</t>
  </si>
  <si>
    <t>HARJO SUCIPTO</t>
  </si>
  <si>
    <t>HENDRAWAN NDOEN</t>
  </si>
  <si>
    <t>HENY ISTIANA</t>
  </si>
  <si>
    <t>HERMANTO</t>
  </si>
  <si>
    <t>HERY PURNOMO</t>
  </si>
  <si>
    <t>I DEWA PUTU CANDRA K., ST</t>
  </si>
  <si>
    <t xml:space="preserve">ISFA' </t>
  </si>
  <si>
    <t>ITA SUDARWATI</t>
  </si>
  <si>
    <t>IWAN RANGGA KUSUMA</t>
  </si>
  <si>
    <t>JAFRINDA REZA ELTRICO</t>
  </si>
  <si>
    <t>JOKO PURWANTO,SE</t>
  </si>
  <si>
    <t>KUSNAN</t>
  </si>
  <si>
    <t>KUSNO</t>
  </si>
  <si>
    <t>LAKSANA MUS ARDHIANTO</t>
  </si>
  <si>
    <t>LILIK MUNAWATI</t>
  </si>
  <si>
    <t>LISTYO HARTONO</t>
  </si>
  <si>
    <t>LUBANA NAZMA S.</t>
  </si>
  <si>
    <t>M. CHASIM</t>
  </si>
  <si>
    <t>M. NASERUL</t>
  </si>
  <si>
    <t>M. SYAMSUDDIN, SE</t>
  </si>
  <si>
    <t>MASTUR</t>
  </si>
  <si>
    <t>MONDA MORINA HARAHAP</t>
  </si>
  <si>
    <t>MUH. ALI S.</t>
  </si>
  <si>
    <t>MUHAMMAD ARIF SURACHMAN</t>
  </si>
  <si>
    <t>MUHARI RIZKITA</t>
  </si>
  <si>
    <t>NANANG BUDI D, SE</t>
  </si>
  <si>
    <t>NURUDIN</t>
  </si>
  <si>
    <t>PURWANTO</t>
  </si>
  <si>
    <t>RIADHO KURNIAWAN</t>
  </si>
  <si>
    <t>RIDLO PATYODI</t>
  </si>
  <si>
    <t>RIZKY VILIYANT ISMARYONO</t>
  </si>
  <si>
    <t>RONNY P. KUKUH</t>
  </si>
  <si>
    <t>RUDI HARTONO</t>
  </si>
  <si>
    <t>SAFI'I</t>
  </si>
  <si>
    <t>SETYO HARYONO</t>
  </si>
  <si>
    <t>SHOLIKIN</t>
  </si>
  <si>
    <t>SLAMET RYADI</t>
  </si>
  <si>
    <t>SOEYANTO</t>
  </si>
  <si>
    <t>SOLICHIN</t>
  </si>
  <si>
    <t>SRI RAHAYU</t>
  </si>
  <si>
    <t>SUBAGIO JUNAEDI</t>
  </si>
  <si>
    <t>SUBKHAN</t>
  </si>
  <si>
    <t>SUGENG HARIANTO</t>
  </si>
  <si>
    <t>SUMARSONO</t>
  </si>
  <si>
    <t>SUNACHI</t>
  </si>
  <si>
    <t>SUTAN PRIATMAJA</t>
  </si>
  <si>
    <t>SUTO SUSENO</t>
  </si>
  <si>
    <t>SUWADI</t>
  </si>
  <si>
    <t>SUWANDI</t>
  </si>
  <si>
    <t>SYAMSUL HUDA</t>
  </si>
  <si>
    <t>T. SAFRIZALUDDIN</t>
  </si>
  <si>
    <t>TEDJO WAHYONO</t>
  </si>
  <si>
    <t>TEGUH PRIYONO</t>
  </si>
  <si>
    <t>WAKIMAN</t>
  </si>
  <si>
    <t>WIDODO</t>
  </si>
  <si>
    <t>WIDYA NANANG SURYANTO, ST</t>
  </si>
  <si>
    <t>WYNFRIED ARDIAN DIDOK</t>
  </si>
  <si>
    <t>YODI ERMANTO</t>
  </si>
  <si>
    <t>YUDI ISFANDIYARI</t>
  </si>
  <si>
    <t>YUDISTIRA SIGIT 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</si>
</sst>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Rp&quot;* #,##0_);_(&quot;Rp&quot;* \(#,##0\);_(&quot;Rp&quot;* &quot;-&quot;_);_(@_)"/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4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Times New Roman"/>
      <family val="1"/>
    </font>
    <font>
      <sz val="11"/>
      <color theme="0"/>
      <name val="Calibri"/>
      <family val="2"/>
      <scheme val="minor"/>
    </font>
    <font>
      <b/>
      <sz val="14"/>
      <color theme="0"/>
      <name val="Arial Narrow"/>
      <family val="2"/>
    </font>
    <font>
      <b/>
      <sz val="10"/>
      <color theme="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1"/>
      <color rgb="FFFF0000"/>
      <name val="Calibri"/>
      <family val="2"/>
      <scheme val="minor"/>
    </font>
    <font>
      <sz val="9"/>
      <color rgb="FFFF0000"/>
      <name val="Arial Narrow"/>
      <family val="2"/>
    </font>
    <font>
      <sz val="9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charset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name val="Times New Roman"/>
      <family val="1"/>
    </font>
    <font>
      <sz val="9"/>
      <color theme="1"/>
      <name val="Calibri"/>
      <family val="2"/>
      <charset val="1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charset val="1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charset val="1"/>
      <scheme val="minor"/>
    </font>
    <font>
      <b/>
      <sz val="9"/>
      <color rgb="FFFF0000"/>
      <name val="Calibri"/>
      <family val="2"/>
      <scheme val="minor"/>
    </font>
    <font>
      <sz val="9"/>
      <color rgb="FF0070C0"/>
      <name val="Calibri"/>
      <family val="2"/>
      <scheme val="minor"/>
    </font>
    <font>
      <sz val="9"/>
      <color rgb="FF00B0F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double">
        <color auto="1"/>
      </right>
      <top style="thin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uble">
        <color auto="1"/>
      </right>
      <top style="dotted">
        <color auto="1"/>
      </top>
      <bottom style="dotted">
        <color auto="1"/>
      </bottom>
      <diagonal/>
    </border>
    <border>
      <left style="double">
        <color auto="1"/>
      </left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double">
        <color auto="1"/>
      </right>
      <top/>
      <bottom style="dotted">
        <color auto="1"/>
      </bottom>
      <diagonal/>
    </border>
    <border>
      <left style="double">
        <color auto="1"/>
      </left>
      <right style="double">
        <color auto="1"/>
      </right>
      <top style="dotted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auto="1"/>
      </right>
      <top style="dotted">
        <color auto="1"/>
      </top>
      <bottom style="double">
        <color auto="1"/>
      </bottom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47">
    <xf numFmtId="0" fontId="0" fillId="0" borderId="0" xfId="0"/>
    <xf numFmtId="0" fontId="3" fillId="0" borderId="0" xfId="3" applyFont="1"/>
    <xf numFmtId="1" fontId="3" fillId="0" borderId="0" xfId="3" applyNumberFormat="1" applyFont="1"/>
    <xf numFmtId="0" fontId="3" fillId="2" borderId="0" xfId="3" applyFont="1" applyFill="1"/>
    <xf numFmtId="1" fontId="3" fillId="2" borderId="0" xfId="3" applyNumberFormat="1" applyFont="1" applyFill="1"/>
    <xf numFmtId="164" fontId="3" fillId="0" borderId="0" xfId="1" applyNumberFormat="1" applyFont="1" applyFill="1"/>
    <xf numFmtId="0" fontId="4" fillId="0" borderId="0" xfId="3" applyFont="1"/>
    <xf numFmtId="0" fontId="5" fillId="2" borderId="0" xfId="3" applyFont="1" applyFill="1"/>
    <xf numFmtId="43" fontId="7" fillId="2" borderId="4" xfId="4" applyFont="1" applyFill="1" applyBorder="1" applyAlignment="1">
      <alignment horizontal="centerContinuous"/>
    </xf>
    <xf numFmtId="43" fontId="7" fillId="2" borderId="5" xfId="4" applyFont="1" applyFill="1" applyBorder="1" applyAlignment="1">
      <alignment horizontal="centerContinuous"/>
    </xf>
    <xf numFmtId="0" fontId="7" fillId="3" borderId="4" xfId="3" applyFont="1" applyFill="1" applyBorder="1" applyAlignment="1">
      <alignment horizontal="centerContinuous"/>
    </xf>
    <xf numFmtId="0" fontId="5" fillId="0" borderId="0" xfId="3" applyFont="1"/>
    <xf numFmtId="0" fontId="7" fillId="2" borderId="3" xfId="3" applyFont="1" applyFill="1" applyBorder="1" applyAlignment="1">
      <alignment horizontal="center"/>
    </xf>
    <xf numFmtId="0" fontId="7" fillId="3" borderId="3" xfId="3" applyFont="1" applyFill="1" applyBorder="1" applyAlignment="1">
      <alignment horizontal="center"/>
    </xf>
    <xf numFmtId="1" fontId="8" fillId="0" borderId="9" xfId="3" applyNumberFormat="1" applyFont="1" applyBorder="1"/>
    <xf numFmtId="43" fontId="8" fillId="0" borderId="10" xfId="4" applyFont="1" applyFill="1" applyBorder="1"/>
    <xf numFmtId="1" fontId="8" fillId="0" borderId="10" xfId="3" applyNumberFormat="1" applyFont="1" applyBorder="1"/>
    <xf numFmtId="1" fontId="8" fillId="0" borderId="11" xfId="3" applyNumberFormat="1" applyFont="1" applyBorder="1"/>
    <xf numFmtId="43" fontId="8" fillId="0" borderId="11" xfId="4" applyFont="1" applyFill="1" applyBorder="1"/>
    <xf numFmtId="1" fontId="8" fillId="0" borderId="12" xfId="3" applyNumberFormat="1" applyFont="1" applyBorder="1"/>
    <xf numFmtId="43" fontId="8" fillId="0" borderId="12" xfId="4" applyFont="1" applyFill="1" applyBorder="1"/>
    <xf numFmtId="43" fontId="8" fillId="0" borderId="13" xfId="4" applyFont="1" applyFill="1" applyBorder="1"/>
    <xf numFmtId="1" fontId="8" fillId="0" borderId="14" xfId="3" applyNumberFormat="1" applyFont="1" applyBorder="1"/>
    <xf numFmtId="43" fontId="8" fillId="4" borderId="14" xfId="4" applyFont="1" applyFill="1" applyBorder="1"/>
    <xf numFmtId="43" fontId="8" fillId="0" borderId="14" xfId="4" applyFont="1" applyFill="1" applyBorder="1"/>
    <xf numFmtId="43" fontId="8" fillId="5" borderId="14" xfId="4" applyFont="1" applyFill="1" applyBorder="1"/>
    <xf numFmtId="43" fontId="8" fillId="6" borderId="14" xfId="4" applyFont="1" applyFill="1" applyBorder="1"/>
    <xf numFmtId="1" fontId="8" fillId="0" borderId="15" xfId="3" applyNumberFormat="1" applyFont="1" applyBorder="1"/>
    <xf numFmtId="43" fontId="8" fillId="0" borderId="15" xfId="4" applyFont="1" applyBorder="1"/>
    <xf numFmtId="43" fontId="8" fillId="0" borderId="15" xfId="3" applyNumberFormat="1" applyFont="1" applyBorder="1"/>
    <xf numFmtId="1" fontId="8" fillId="2" borderId="0" xfId="3" applyNumberFormat="1" applyFont="1" applyFill="1"/>
    <xf numFmtId="43" fontId="8" fillId="2" borderId="0" xfId="3" applyNumberFormat="1" applyFont="1" applyFill="1"/>
    <xf numFmtId="1" fontId="8" fillId="0" borderId="0" xfId="3" applyNumberFormat="1" applyFont="1"/>
    <xf numFmtId="164" fontId="8" fillId="0" borderId="0" xfId="1" applyNumberFormat="1" applyFont="1" applyBorder="1"/>
    <xf numFmtId="43" fontId="9" fillId="0" borderId="0" xfId="5" applyNumberFormat="1" applyFont="1" applyBorder="1"/>
    <xf numFmtId="10" fontId="9" fillId="0" borderId="0" xfId="5" applyNumberFormat="1" applyFont="1" applyBorder="1"/>
    <xf numFmtId="164" fontId="8" fillId="0" borderId="0" xfId="6" applyNumberFormat="1" applyFont="1" applyBorder="1"/>
    <xf numFmtId="0" fontId="4" fillId="0" borderId="6" xfId="3" applyFont="1" applyBorder="1"/>
    <xf numFmtId="1" fontId="8" fillId="0" borderId="6" xfId="3" applyNumberFormat="1" applyFont="1" applyBorder="1"/>
    <xf numFmtId="164" fontId="8" fillId="0" borderId="6" xfId="6" applyNumberFormat="1" applyFont="1" applyBorder="1"/>
    <xf numFmtId="43" fontId="8" fillId="0" borderId="6" xfId="3" applyNumberFormat="1" applyFont="1" applyBorder="1"/>
    <xf numFmtId="10" fontId="8" fillId="0" borderId="6" xfId="2" applyNumberFormat="1" applyFont="1" applyBorder="1"/>
    <xf numFmtId="164" fontId="9" fillId="0" borderId="6" xfId="6" applyNumberFormat="1" applyFont="1" applyBorder="1"/>
    <xf numFmtId="43" fontId="7" fillId="2" borderId="4" xfId="3" applyNumberFormat="1" applyFont="1" applyFill="1" applyBorder="1" applyAlignment="1">
      <alignment horizontal="centerContinuous"/>
    </xf>
    <xf numFmtId="0" fontId="7" fillId="2" borderId="4" xfId="3" applyFont="1" applyFill="1" applyBorder="1" applyAlignment="1">
      <alignment horizontal="centerContinuous"/>
    </xf>
    <xf numFmtId="0" fontId="7" fillId="2" borderId="17" xfId="3" applyFont="1" applyFill="1" applyBorder="1" applyAlignment="1">
      <alignment horizontal="center"/>
    </xf>
    <xf numFmtId="0" fontId="7" fillId="3" borderId="17" xfId="3" applyFont="1" applyFill="1" applyBorder="1" applyAlignment="1">
      <alignment horizontal="center"/>
    </xf>
    <xf numFmtId="1" fontId="9" fillId="0" borderId="11" xfId="3" applyNumberFormat="1" applyFont="1" applyBorder="1"/>
    <xf numFmtId="1" fontId="8" fillId="0" borderId="18" xfId="3" applyNumberFormat="1" applyFont="1" applyBorder="1"/>
    <xf numFmtId="1" fontId="9" fillId="0" borderId="18" xfId="3" applyNumberFormat="1" applyFont="1" applyBorder="1"/>
    <xf numFmtId="0" fontId="8" fillId="0" borderId="14" xfId="3" applyFont="1" applyBorder="1"/>
    <xf numFmtId="43" fontId="8" fillId="0" borderId="14" xfId="3" applyNumberFormat="1" applyFont="1" applyBorder="1"/>
    <xf numFmtId="0" fontId="10" fillId="2" borderId="0" xfId="3" applyFont="1" applyFill="1"/>
    <xf numFmtId="1" fontId="11" fillId="0" borderId="19" xfId="3" applyNumberFormat="1" applyFont="1" applyBorder="1"/>
    <xf numFmtId="0" fontId="11" fillId="0" borderId="19" xfId="3" applyFont="1" applyBorder="1"/>
    <xf numFmtId="43" fontId="11" fillId="0" borderId="19" xfId="3" applyNumberFormat="1" applyFont="1" applyBorder="1"/>
    <xf numFmtId="1" fontId="10" fillId="2" borderId="0" xfId="3" applyNumberFormat="1" applyFont="1" applyFill="1"/>
    <xf numFmtId="0" fontId="10" fillId="0" borderId="0" xfId="3" applyFont="1"/>
    <xf numFmtId="0" fontId="12" fillId="0" borderId="0" xfId="3" applyFont="1"/>
    <xf numFmtId="43" fontId="12" fillId="0" borderId="0" xfId="3" applyNumberFormat="1" applyFont="1"/>
    <xf numFmtId="0" fontId="12" fillId="2" borderId="0" xfId="3" applyFont="1" applyFill="1"/>
    <xf numFmtId="1" fontId="12" fillId="0" borderId="0" xfId="3" applyNumberFormat="1" applyFont="1"/>
    <xf numFmtId="41" fontId="0" fillId="0" borderId="0" xfId="7" applyFont="1"/>
    <xf numFmtId="41" fontId="15" fillId="0" borderId="9" xfId="7" applyFont="1" applyBorder="1" applyAlignment="1">
      <alignment horizontal="center"/>
    </xf>
    <xf numFmtId="41" fontId="15" fillId="0" borderId="9" xfId="7" applyFont="1" applyBorder="1"/>
    <xf numFmtId="41" fontId="15" fillId="0" borderId="11" xfId="7" applyFont="1" applyBorder="1" applyAlignment="1">
      <alignment horizontal="center"/>
    </xf>
    <xf numFmtId="41" fontId="0" fillId="0" borderId="11" xfId="7" applyFont="1" applyBorder="1"/>
    <xf numFmtId="41" fontId="15" fillId="0" borderId="12" xfId="7" applyFont="1" applyBorder="1"/>
    <xf numFmtId="41" fontId="15" fillId="0" borderId="11" xfId="7" applyFont="1" applyBorder="1"/>
    <xf numFmtId="41" fontId="0" fillId="0" borderId="13" xfId="7" applyFont="1" applyBorder="1"/>
    <xf numFmtId="41" fontId="17" fillId="0" borderId="11" xfId="7" applyFont="1" applyBorder="1"/>
    <xf numFmtId="41" fontId="21" fillId="0" borderId="9" xfId="7" applyFont="1" applyFill="1" applyBorder="1" applyAlignment="1">
      <alignment vertical="center"/>
    </xf>
    <xf numFmtId="41" fontId="20" fillId="0" borderId="23" xfId="7" applyFont="1" applyFill="1" applyBorder="1" applyAlignment="1">
      <alignment vertical="center"/>
    </xf>
    <xf numFmtId="41" fontId="21" fillId="0" borderId="12" xfId="7" applyFont="1" applyFill="1" applyBorder="1" applyAlignment="1">
      <alignment vertical="center"/>
    </xf>
    <xf numFmtId="41" fontId="22" fillId="0" borderId="23" xfId="7" applyFont="1" applyFill="1" applyBorder="1" applyAlignment="1">
      <alignment vertical="center"/>
    </xf>
    <xf numFmtId="41" fontId="23" fillId="0" borderId="23" xfId="7" applyFont="1" applyFill="1" applyBorder="1" applyAlignment="1">
      <alignment vertical="center"/>
    </xf>
    <xf numFmtId="41" fontId="21" fillId="0" borderId="23" xfId="7" applyFont="1" applyFill="1" applyBorder="1" applyAlignment="1">
      <alignment vertical="center"/>
    </xf>
    <xf numFmtId="41" fontId="21" fillId="0" borderId="13" xfId="7" applyFont="1" applyFill="1" applyBorder="1" applyAlignment="1">
      <alignment vertical="center"/>
    </xf>
    <xf numFmtId="41" fontId="18" fillId="0" borderId="0" xfId="7" applyFont="1" applyFill="1"/>
    <xf numFmtId="41" fontId="20" fillId="0" borderId="0" xfId="7" applyFont="1" applyFill="1" applyAlignment="1">
      <alignment horizontal="center" vertical="center"/>
    </xf>
    <xf numFmtId="41" fontId="20" fillId="0" borderId="0" xfId="7" applyFont="1" applyFill="1" applyAlignment="1">
      <alignment vertical="center"/>
    </xf>
    <xf numFmtId="41" fontId="20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vertical="center"/>
    </xf>
    <xf numFmtId="41" fontId="20" fillId="0" borderId="0" xfId="7" applyFont="1" applyFill="1" applyBorder="1" applyAlignment="1">
      <alignment vertical="center"/>
    </xf>
    <xf numFmtId="41" fontId="21" fillId="0" borderId="22" xfId="7" applyFont="1" applyFill="1" applyBorder="1" applyAlignment="1">
      <alignment vertical="center"/>
    </xf>
    <xf numFmtId="41" fontId="21" fillId="0" borderId="0" xfId="7" applyFont="1" applyFill="1" applyBorder="1" applyAlignment="1">
      <alignment horizontal="left" vertical="center"/>
    </xf>
    <xf numFmtId="41" fontId="20" fillId="0" borderId="24" xfId="7" applyFont="1" applyFill="1" applyBorder="1" applyAlignment="1">
      <alignment vertical="center"/>
    </xf>
    <xf numFmtId="41" fontId="21" fillId="0" borderId="25" xfId="7" applyFont="1" applyFill="1" applyBorder="1" applyAlignment="1">
      <alignment horizontal="left" vertical="center"/>
    </xf>
    <xf numFmtId="0" fontId="21" fillId="0" borderId="12" xfId="7" quotePrefix="1" applyNumberFormat="1" applyFont="1" applyFill="1" applyBorder="1" applyAlignment="1">
      <alignment horizontal="center" vertical="center"/>
    </xf>
    <xf numFmtId="41" fontId="19" fillId="0" borderId="0" xfId="7" applyFont="1" applyFill="1" applyAlignment="1">
      <alignment vertical="center"/>
    </xf>
    <xf numFmtId="0" fontId="24" fillId="0" borderId="12" xfId="7" applyNumberFormat="1" applyFont="1" applyFill="1" applyBorder="1" applyAlignment="1">
      <alignment horizontal="center" vertical="center"/>
    </xf>
    <xf numFmtId="41" fontId="24" fillId="0" borderId="9" xfId="7" applyFont="1" applyFill="1" applyBorder="1" applyAlignment="1">
      <alignment vertical="center"/>
    </xf>
    <xf numFmtId="41" fontId="24" fillId="0" borderId="12" xfId="7" applyFont="1" applyFill="1" applyBorder="1" applyAlignment="1">
      <alignment vertical="center"/>
    </xf>
    <xf numFmtId="41" fontId="24" fillId="0" borderId="23" xfId="7" applyFont="1" applyFill="1" applyBorder="1" applyAlignment="1">
      <alignment vertical="center"/>
    </xf>
    <xf numFmtId="41" fontId="24" fillId="0" borderId="13" xfId="7" applyFont="1" applyFill="1" applyBorder="1" applyAlignment="1">
      <alignment vertical="center"/>
    </xf>
    <xf numFmtId="0" fontId="25" fillId="0" borderId="6" xfId="3" applyFont="1" applyBorder="1"/>
    <xf numFmtId="1" fontId="8" fillId="0" borderId="9" xfId="3" quotePrefix="1" applyNumberFormat="1" applyFont="1" applyBorder="1"/>
    <xf numFmtId="41" fontId="15" fillId="0" borderId="23" xfId="7" applyFont="1" applyBorder="1" applyAlignment="1">
      <alignment horizontal="center"/>
    </xf>
    <xf numFmtId="41" fontId="3" fillId="0" borderId="0" xfId="1" applyFont="1" applyFill="1"/>
    <xf numFmtId="164" fontId="0" fillId="0" borderId="0" xfId="1" applyNumberFormat="1" applyFont="1"/>
    <xf numFmtId="41" fontId="15" fillId="0" borderId="13" xfId="7" applyFont="1" applyBorder="1" applyAlignment="1">
      <alignment horizontal="center"/>
    </xf>
    <xf numFmtId="41" fontId="15" fillId="0" borderId="13" xfId="7" applyFont="1" applyBorder="1"/>
    <xf numFmtId="17" fontId="19" fillId="0" borderId="0" xfId="7" applyNumberFormat="1" applyFont="1" applyFill="1" applyAlignment="1">
      <alignment vertical="center"/>
    </xf>
    <xf numFmtId="41" fontId="21" fillId="0" borderId="11" xfId="7" applyFont="1" applyFill="1" applyBorder="1" applyAlignment="1">
      <alignment vertical="center"/>
    </xf>
    <xf numFmtId="41" fontId="24" fillId="0" borderId="11" xfId="7" applyFont="1" applyFill="1" applyBorder="1" applyAlignment="1">
      <alignment vertical="center"/>
    </xf>
    <xf numFmtId="43" fontId="3" fillId="0" borderId="0" xfId="3" applyNumberFormat="1" applyFont="1"/>
    <xf numFmtId="0" fontId="26" fillId="0" borderId="0" xfId="0" applyFont="1"/>
    <xf numFmtId="41" fontId="0" fillId="0" borderId="23" xfId="7" applyFont="1" applyBorder="1"/>
    <xf numFmtId="0" fontId="32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9" fontId="18" fillId="0" borderId="0" xfId="2" applyFont="1" applyFill="1"/>
    <xf numFmtId="10" fontId="19" fillId="0" borderId="0" xfId="2" applyNumberFormat="1" applyFont="1" applyFill="1" applyAlignment="1">
      <alignment vertical="center"/>
    </xf>
    <xf numFmtId="0" fontId="34" fillId="0" borderId="0" xfId="0" applyFont="1" applyAlignment="1">
      <alignment horizontal="center"/>
    </xf>
    <xf numFmtId="164" fontId="34" fillId="0" borderId="0" xfId="1" applyNumberFormat="1" applyFont="1" applyAlignment="1">
      <alignment horizontal="center"/>
    </xf>
    <xf numFmtId="164" fontId="0" fillId="9" borderId="0" xfId="1" applyNumberFormat="1" applyFont="1" applyFill="1"/>
    <xf numFmtId="164" fontId="0" fillId="10" borderId="0" xfId="1" applyNumberFormat="1" applyFont="1" applyFill="1"/>
    <xf numFmtId="164" fontId="0" fillId="5" borderId="0" xfId="1" applyNumberFormat="1" applyFont="1" applyFill="1"/>
    <xf numFmtId="0" fontId="34" fillId="11" borderId="0" xfId="0" applyFont="1" applyFill="1"/>
    <xf numFmtId="0" fontId="34" fillId="7" borderId="0" xfId="0" applyFont="1" applyFill="1"/>
    <xf numFmtId="0" fontId="34" fillId="12" borderId="0" xfId="0" applyFont="1" applyFill="1"/>
    <xf numFmtId="164" fontId="34" fillId="11" borderId="0" xfId="1" applyNumberFormat="1" applyFont="1" applyFill="1"/>
    <xf numFmtId="164" fontId="34" fillId="7" borderId="0" xfId="1" applyNumberFormat="1" applyFont="1" applyFill="1"/>
    <xf numFmtId="164" fontId="34" fillId="12" borderId="0" xfId="1" applyNumberFormat="1" applyFont="1" applyFill="1"/>
    <xf numFmtId="164" fontId="29" fillId="0" borderId="0" xfId="1" applyNumberFormat="1" applyFont="1"/>
    <xf numFmtId="0" fontId="35" fillId="8" borderId="0" xfId="0" applyFont="1" applyFill="1"/>
    <xf numFmtId="164" fontId="35" fillId="8" borderId="0" xfId="1" applyNumberFormat="1" applyFont="1" applyFill="1"/>
    <xf numFmtId="0" fontId="30" fillId="0" borderId="0" xfId="0" applyFont="1"/>
    <xf numFmtId="0" fontId="36" fillId="0" borderId="0" xfId="0" applyFont="1"/>
    <xf numFmtId="0" fontId="33" fillId="0" borderId="0" xfId="0" applyFont="1"/>
    <xf numFmtId="0" fontId="26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4" fontId="26" fillId="0" borderId="0" xfId="0" applyNumberFormat="1" applyFont="1" applyAlignment="1">
      <alignment horizontal="center"/>
    </xf>
    <xf numFmtId="43" fontId="4" fillId="0" borderId="0" xfId="9" applyFont="1" applyFill="1" applyAlignment="1"/>
    <xf numFmtId="14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/>
    </xf>
    <xf numFmtId="43" fontId="0" fillId="0" borderId="0" xfId="9" applyFont="1" applyFill="1"/>
    <xf numFmtId="0" fontId="26" fillId="0" borderId="0" xfId="0" quotePrefix="1" applyFont="1" applyAlignment="1">
      <alignment horizontal="center"/>
    </xf>
    <xf numFmtId="43" fontId="27" fillId="0" borderId="0" xfId="9" applyFont="1" applyFill="1"/>
    <xf numFmtId="43" fontId="26" fillId="0" borderId="0" xfId="9" applyFont="1" applyFill="1"/>
    <xf numFmtId="43" fontId="28" fillId="0" borderId="0" xfId="9" applyFont="1" applyFill="1"/>
    <xf numFmtId="43" fontId="32" fillId="0" borderId="0" xfId="9" applyFont="1" applyFill="1" applyAlignment="1">
      <alignment horizontal="center"/>
    </xf>
    <xf numFmtId="43" fontId="12" fillId="0" borderId="0" xfId="9" applyFont="1" applyFill="1" applyAlignment="1">
      <alignment horizontal="center"/>
    </xf>
    <xf numFmtId="43" fontId="33" fillId="0" borderId="0" xfId="9" applyFont="1" applyFill="1"/>
    <xf numFmtId="0" fontId="26" fillId="0" borderId="0" xfId="0" applyFont="1" applyAlignment="1">
      <alignment horizontal="justify"/>
    </xf>
    <xf numFmtId="0" fontId="12" fillId="0" borderId="0" xfId="0" applyFont="1" applyAlignment="1">
      <alignment horizontal="justify"/>
    </xf>
    <xf numFmtId="0" fontId="33" fillId="0" borderId="0" xfId="0" applyFont="1" applyAlignment="1">
      <alignment horizontal="justify"/>
    </xf>
    <xf numFmtId="0" fontId="0" fillId="0" borderId="0" xfId="0" quotePrefix="1"/>
    <xf numFmtId="43" fontId="30" fillId="0" borderId="0" xfId="9" applyFont="1" applyFill="1"/>
    <xf numFmtId="43" fontId="16" fillId="0" borderId="9" xfId="9" applyFont="1" applyFill="1" applyBorder="1" applyAlignment="1">
      <alignment horizontal="center" vertical="center"/>
    </xf>
    <xf numFmtId="43" fontId="15" fillId="0" borderId="13" xfId="9" quotePrefix="1" applyFont="1" applyFill="1" applyBorder="1" applyAlignment="1">
      <alignment horizontal="center" vertical="center"/>
    </xf>
    <xf numFmtId="43" fontId="0" fillId="0" borderId="9" xfId="9" applyFont="1" applyFill="1" applyBorder="1"/>
    <xf numFmtId="43" fontId="0" fillId="0" borderId="11" xfId="9" applyFont="1" applyFill="1" applyBorder="1"/>
    <xf numFmtId="43" fontId="0" fillId="0" borderId="23" xfId="9" applyFont="1" applyFill="1" applyBorder="1"/>
    <xf numFmtId="43" fontId="15" fillId="0" borderId="12" xfId="9" applyFont="1" applyFill="1" applyBorder="1"/>
    <xf numFmtId="43" fontId="15" fillId="0" borderId="11" xfId="9" applyFont="1" applyFill="1" applyBorder="1"/>
    <xf numFmtId="43" fontId="0" fillId="0" borderId="13" xfId="9" applyFont="1" applyFill="1" applyBorder="1"/>
    <xf numFmtId="43" fontId="15" fillId="0" borderId="13" xfId="9" applyFont="1" applyFill="1" applyBorder="1"/>
    <xf numFmtId="43" fontId="0" fillId="0" borderId="0" xfId="9" applyFont="1"/>
    <xf numFmtId="43" fontId="15" fillId="0" borderId="9" xfId="9" applyFont="1" applyFill="1" applyBorder="1" applyAlignment="1">
      <alignment horizontal="center" vertical="center"/>
    </xf>
    <xf numFmtId="43" fontId="15" fillId="0" borderId="13" xfId="9" applyFont="1" applyFill="1" applyBorder="1" applyAlignment="1">
      <alignment horizontal="center" vertical="center"/>
    </xf>
    <xf numFmtId="43" fontId="3" fillId="0" borderId="11" xfId="9" applyFont="1" applyFill="1" applyBorder="1"/>
    <xf numFmtId="43" fontId="3" fillId="0" borderId="23" xfId="9" applyFont="1" applyFill="1" applyBorder="1"/>
    <xf numFmtId="43" fontId="0" fillId="0" borderId="9" xfId="9" applyFont="1" applyBorder="1"/>
    <xf numFmtId="43" fontId="0" fillId="0" borderId="23" xfId="9" applyFont="1" applyBorder="1"/>
    <xf numFmtId="11" fontId="0" fillId="0" borderId="0" xfId="7" applyNumberFormat="1" applyFont="1"/>
    <xf numFmtId="0" fontId="37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43" fontId="36" fillId="0" borderId="0" xfId="9" applyFont="1"/>
    <xf numFmtId="43" fontId="31" fillId="0" borderId="0" xfId="9" applyFont="1" applyFill="1" applyAlignment="1">
      <alignment horizontal="center"/>
    </xf>
    <xf numFmtId="43" fontId="38" fillId="0" borderId="0" xfId="9" applyFont="1" applyFill="1" applyAlignment="1">
      <alignment horizontal="center"/>
    </xf>
    <xf numFmtId="43" fontId="3" fillId="0" borderId="0" xfId="9" applyFont="1"/>
    <xf numFmtId="164" fontId="35" fillId="13" borderId="0" xfId="1" applyNumberFormat="1" applyFont="1" applyFill="1"/>
    <xf numFmtId="43" fontId="26" fillId="0" borderId="0" xfId="9" applyFont="1"/>
    <xf numFmtId="43" fontId="26" fillId="0" borderId="0" xfId="9" applyFont="1" applyAlignment="1">
      <alignment horizontal="justify"/>
    </xf>
    <xf numFmtId="12" fontId="15" fillId="7" borderId="13" xfId="9" quotePrefix="1" applyNumberFormat="1" applyFont="1" applyFill="1" applyBorder="1" applyAlignment="1">
      <alignment horizontal="center" vertical="center"/>
    </xf>
    <xf numFmtId="41" fontId="14" fillId="0" borderId="0" xfId="7" applyFont="1" applyAlignment="1">
      <alignment horizontal="center" vertical="center"/>
    </xf>
    <xf numFmtId="17" fontId="14" fillId="0" borderId="0" xfId="7" quotePrefix="1" applyNumberFormat="1" applyFont="1" applyFill="1" applyAlignment="1">
      <alignment horizontal="center" vertical="center"/>
    </xf>
    <xf numFmtId="41" fontId="15" fillId="0" borderId="20" xfId="7" applyFont="1" applyBorder="1" applyAlignment="1">
      <alignment horizontal="center"/>
    </xf>
    <xf numFmtId="41" fontId="15" fillId="0" borderId="21" xfId="7" applyFont="1" applyBorder="1" applyAlignment="1">
      <alignment horizontal="center"/>
    </xf>
    <xf numFmtId="41" fontId="15" fillId="0" borderId="12" xfId="7" applyFont="1" applyBorder="1" applyAlignment="1">
      <alignment horizontal="center" vertical="center"/>
    </xf>
    <xf numFmtId="41" fontId="15" fillId="0" borderId="9" xfId="7" applyFont="1" applyBorder="1" applyAlignment="1">
      <alignment horizontal="center" vertical="center"/>
    </xf>
    <xf numFmtId="41" fontId="15" fillId="0" borderId="13" xfId="7" applyFont="1" applyBorder="1" applyAlignment="1">
      <alignment horizontal="center" vertical="center"/>
    </xf>
    <xf numFmtId="41" fontId="14" fillId="0" borderId="20" xfId="7" applyFont="1" applyFill="1" applyBorder="1" applyAlignment="1">
      <alignment horizontal="center" vertical="center"/>
    </xf>
    <xf numFmtId="41" fontId="14" fillId="0" borderId="21" xfId="7" applyFont="1" applyFill="1" applyBorder="1" applyAlignment="1">
      <alignment horizontal="center" vertical="center"/>
    </xf>
    <xf numFmtId="41" fontId="21" fillId="0" borderId="12" xfId="7" applyFont="1" applyFill="1" applyBorder="1" applyAlignment="1">
      <alignment horizontal="center" vertical="center"/>
    </xf>
    <xf numFmtId="0" fontId="4" fillId="0" borderId="0" xfId="3" applyFont="1" applyAlignment="1">
      <alignment horizontal="left"/>
    </xf>
    <xf numFmtId="1" fontId="6" fillId="2" borderId="1" xfId="3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1" fontId="7" fillId="2" borderId="3" xfId="3" applyNumberFormat="1" applyFont="1" applyFill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1" fontId="7" fillId="2" borderId="16" xfId="3" applyNumberFormat="1" applyFont="1" applyFill="1" applyBorder="1" applyAlignment="1">
      <alignment horizontal="center" vertical="center" wrapText="1"/>
    </xf>
    <xf numFmtId="43" fontId="39" fillId="0" borderId="0" xfId="9" applyFont="1" applyFill="1" applyAlignment="1">
      <alignment horizontal="center"/>
    </xf>
    <xf numFmtId="0" fontId="38" fillId="0" borderId="0" xfId="0" applyFont="1"/>
    <xf numFmtId="43" fontId="33" fillId="0" borderId="0" xfId="9" applyFont="1" applyBorder="1"/>
    <xf numFmtId="43" fontId="38" fillId="0" borderId="0" xfId="9" applyFont="1" applyBorder="1"/>
    <xf numFmtId="0" fontId="40" fillId="0" borderId="0" xfId="0" applyFont="1"/>
    <xf numFmtId="0" fontId="37" fillId="0" borderId="0" xfId="0" applyFont="1"/>
    <xf numFmtId="0" fontId="12" fillId="0" borderId="0" xfId="0" applyFont="1"/>
    <xf numFmtId="43" fontId="32" fillId="0" borderId="26" xfId="9" applyFont="1" applyBorder="1"/>
    <xf numFmtId="0" fontId="3" fillId="0" borderId="0" xfId="0" applyFont="1" applyAlignment="1">
      <alignment vertical="center"/>
    </xf>
    <xf numFmtId="0" fontId="32" fillId="0" borderId="27" xfId="0" applyFont="1" applyBorder="1" applyAlignment="1">
      <alignment horizontal="center" vertical="center"/>
    </xf>
    <xf numFmtId="43" fontId="41" fillId="0" borderId="28" xfId="9" applyFont="1" applyFill="1" applyBorder="1" applyAlignment="1">
      <alignment horizontal="center" vertical="center"/>
    </xf>
    <xf numFmtId="43" fontId="41" fillId="14" borderId="29" xfId="9" applyFont="1" applyFill="1" applyBorder="1" applyAlignment="1">
      <alignment horizontal="center" vertical="center"/>
    </xf>
    <xf numFmtId="43" fontId="41" fillId="14" borderId="30" xfId="9" applyFont="1" applyFill="1" applyBorder="1" applyAlignment="1">
      <alignment horizontal="center" vertical="center"/>
    </xf>
    <xf numFmtId="43" fontId="41" fillId="14" borderId="31" xfId="9" applyFont="1" applyFill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43" fontId="32" fillId="0" borderId="33" xfId="9" applyFont="1" applyBorder="1" applyAlignment="1">
      <alignment horizontal="center"/>
    </xf>
    <xf numFmtId="43" fontId="32" fillId="0" borderId="34" xfId="9" applyFont="1" applyBorder="1" applyAlignment="1">
      <alignment horizontal="center"/>
    </xf>
    <xf numFmtId="43" fontId="32" fillId="0" borderId="21" xfId="9" applyFont="1" applyBorder="1" applyAlignment="1">
      <alignment horizontal="center"/>
    </xf>
    <xf numFmtId="43" fontId="32" fillId="0" borderId="35" xfId="9" applyFont="1" applyBorder="1" applyAlignment="1">
      <alignment horizontal="center"/>
    </xf>
    <xf numFmtId="0" fontId="32" fillId="15" borderId="33" xfId="0" applyFont="1" applyFill="1" applyBorder="1" applyAlignment="1">
      <alignment horizontal="center" vertical="center"/>
    </xf>
    <xf numFmtId="43" fontId="32" fillId="15" borderId="33" xfId="9" applyFont="1" applyFill="1" applyBorder="1" applyAlignment="1">
      <alignment horizontal="center"/>
    </xf>
    <xf numFmtId="43" fontId="32" fillId="15" borderId="34" xfId="9" applyFont="1" applyFill="1" applyBorder="1" applyAlignment="1">
      <alignment horizontal="center"/>
    </xf>
    <xf numFmtId="43" fontId="32" fillId="15" borderId="21" xfId="9" applyFont="1" applyFill="1" applyBorder="1" applyAlignment="1">
      <alignment horizontal="center"/>
    </xf>
    <xf numFmtId="43" fontId="32" fillId="15" borderId="35" xfId="9" applyFont="1" applyFill="1" applyBorder="1" applyAlignment="1">
      <alignment horizontal="center"/>
    </xf>
    <xf numFmtId="43" fontId="38" fillId="0" borderId="0" xfId="0" applyNumberFormat="1" applyFont="1"/>
    <xf numFmtId="42" fontId="12" fillId="0" borderId="36" xfId="0" quotePrefix="1" applyNumberFormat="1" applyFont="1" applyBorder="1" applyAlignment="1">
      <alignment horizontal="left" indent="1"/>
    </xf>
    <xf numFmtId="42" fontId="12" fillId="0" borderId="0" xfId="0" quotePrefix="1" applyNumberFormat="1" applyFont="1" applyAlignment="1">
      <alignment horizontal="left"/>
    </xf>
    <xf numFmtId="43" fontId="33" fillId="6" borderId="36" xfId="9" applyFont="1" applyFill="1" applyBorder="1"/>
    <xf numFmtId="43" fontId="33" fillId="0" borderId="37" xfId="9" applyFont="1" applyBorder="1"/>
    <xf numFmtId="43" fontId="33" fillId="0" borderId="38" xfId="9" applyFont="1" applyBorder="1"/>
    <xf numFmtId="43" fontId="38" fillId="0" borderId="38" xfId="9" applyFont="1" applyBorder="1"/>
    <xf numFmtId="43" fontId="33" fillId="6" borderId="39" xfId="9" applyFont="1" applyFill="1" applyBorder="1"/>
    <xf numFmtId="42" fontId="12" fillId="0" borderId="40" xfId="0" quotePrefix="1" applyNumberFormat="1" applyFont="1" applyBorder="1" applyAlignment="1">
      <alignment horizontal="left" indent="1"/>
    </xf>
    <xf numFmtId="43" fontId="33" fillId="6" borderId="40" xfId="9" applyFont="1" applyFill="1" applyBorder="1"/>
    <xf numFmtId="43" fontId="33" fillId="0" borderId="41" xfId="9" applyFont="1" applyBorder="1"/>
    <xf numFmtId="43" fontId="33" fillId="0" borderId="42" xfId="9" applyFont="1" applyBorder="1"/>
    <xf numFmtId="43" fontId="38" fillId="0" borderId="42" xfId="9" applyFont="1" applyBorder="1"/>
    <xf numFmtId="43" fontId="33" fillId="6" borderId="43" xfId="9" applyFont="1" applyFill="1" applyBorder="1"/>
    <xf numFmtId="43" fontId="33" fillId="6" borderId="44" xfId="9" applyFont="1" applyFill="1" applyBorder="1"/>
    <xf numFmtId="43" fontId="33" fillId="0" borderId="45" xfId="9" applyFont="1" applyBorder="1"/>
    <xf numFmtId="43" fontId="33" fillId="0" borderId="46" xfId="9" applyFont="1" applyBorder="1"/>
    <xf numFmtId="43" fontId="38" fillId="0" borderId="46" xfId="9" applyFont="1" applyBorder="1"/>
    <xf numFmtId="43" fontId="33" fillId="6" borderId="47" xfId="9" applyFont="1" applyFill="1" applyBorder="1"/>
    <xf numFmtId="43" fontId="33" fillId="0" borderId="41" xfId="9" applyFont="1" applyFill="1" applyBorder="1"/>
    <xf numFmtId="43" fontId="33" fillId="0" borderId="42" xfId="9" applyFont="1" applyFill="1" applyBorder="1"/>
    <xf numFmtId="42" fontId="12" fillId="0" borderId="48" xfId="0" quotePrefix="1" applyNumberFormat="1" applyFont="1" applyBorder="1" applyAlignment="1">
      <alignment horizontal="left" indent="1"/>
    </xf>
    <xf numFmtId="43" fontId="33" fillId="6" borderId="48" xfId="9" applyFont="1" applyFill="1" applyBorder="1"/>
    <xf numFmtId="43" fontId="33" fillId="0" borderId="49" xfId="9" applyFont="1" applyBorder="1"/>
    <xf numFmtId="43" fontId="33" fillId="0" borderId="50" xfId="9" applyFont="1" applyBorder="1"/>
    <xf numFmtId="43" fontId="38" fillId="0" borderId="50" xfId="9" applyFont="1" applyBorder="1"/>
    <xf numFmtId="43" fontId="33" fillId="6" borderId="51" xfId="9" applyFont="1" applyFill="1" applyBorder="1"/>
  </cellXfs>
  <cellStyles count="10">
    <cellStyle name="Comma" xfId="9" builtinId="3"/>
    <cellStyle name="Comma [0]" xfId="1" builtinId="6"/>
    <cellStyle name="Comma [0] 2" xfId="6" xr:uid="{00000000-0005-0000-0000-000001000000}"/>
    <cellStyle name="Comma [0] 3" xfId="7" xr:uid="{00000000-0005-0000-0000-000002000000}"/>
    <cellStyle name="Comma 2" xfId="4" xr:uid="{00000000-0005-0000-0000-000003000000}"/>
    <cellStyle name="Normal" xfId="0" builtinId="0"/>
    <cellStyle name="Normal 2" xfId="3" xr:uid="{00000000-0005-0000-0000-000005000000}"/>
    <cellStyle name="Normal 3" xfId="8" xr:uid="{151CDC17-565D-405A-84F7-BFA89E98F302}"/>
    <cellStyle name="Percent" xfId="2" builtinId="5"/>
    <cellStyle name="Percent 2" xfId="5" xr:uid="{00000000-0005-0000-0000-000007000000}"/>
  </cellStyles>
  <dxfs count="8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9-10-2017\---2017---\00.%20URGENT\01.%20Order%20P.%20Joko\Persiapan%20Month%20End%202017\Laporan%20WORKSHEET%202017_per%20Apr%20(Month%20En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 TAHUNAN"/>
      <sheetName val="WORKING  BULANAN"/>
      <sheetName val="1 (ada yg brbh)"/>
      <sheetName val="2 (ada + jur hut)"/>
      <sheetName val="3"/>
      <sheetName val="4 (ada yg brbh)"/>
      <sheetName val="5"/>
      <sheetName val="AKUNLIM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110101</v>
          </cell>
          <cell r="B2" t="str">
            <v>Kas IDR Gresik</v>
          </cell>
          <cell r="C2" t="str">
            <v>A01</v>
          </cell>
        </row>
        <row r="3">
          <cell r="A3" t="str">
            <v>110102</v>
          </cell>
          <cell r="B3" t="str">
            <v>Kas IDR Medan</v>
          </cell>
          <cell r="C3" t="str">
            <v>A01</v>
          </cell>
        </row>
        <row r="4">
          <cell r="A4" t="str">
            <v>110103</v>
          </cell>
          <cell r="B4" t="str">
            <v>Kas IDR Makassar</v>
          </cell>
          <cell r="C4" t="str">
            <v>A01</v>
          </cell>
        </row>
        <row r="5">
          <cell r="A5" t="str">
            <v>110104</v>
          </cell>
          <cell r="B5" t="str">
            <v>Kas IDR Lampung</v>
          </cell>
          <cell r="C5" t="str">
            <v>A01</v>
          </cell>
        </row>
        <row r="6">
          <cell r="A6" t="str">
            <v>110110</v>
          </cell>
          <cell r="B6" t="str">
            <v>Kas USD</v>
          </cell>
          <cell r="C6" t="str">
            <v>A01</v>
          </cell>
        </row>
        <row r="7">
          <cell r="A7" t="str">
            <v>110120</v>
          </cell>
          <cell r="B7" t="str">
            <v>Kas Kecil IDR KIG</v>
          </cell>
          <cell r="C7" t="str">
            <v>A01</v>
          </cell>
        </row>
        <row r="8">
          <cell r="A8" t="str">
            <v>110201</v>
          </cell>
          <cell r="B8" t="str">
            <v>Giro Mandiri Gresik</v>
          </cell>
          <cell r="C8" t="str">
            <v>A02</v>
          </cell>
        </row>
        <row r="9">
          <cell r="A9" t="str">
            <v>110202</v>
          </cell>
          <cell r="B9" t="str">
            <v xml:space="preserve">Giro BNI'46 Gresik                                          </v>
          </cell>
          <cell r="C9" t="str">
            <v>A02</v>
          </cell>
        </row>
        <row r="10">
          <cell r="A10" t="str">
            <v>110203</v>
          </cell>
          <cell r="B10" t="str">
            <v>Giro Lippo Gresik</v>
          </cell>
          <cell r="C10" t="str">
            <v>A02</v>
          </cell>
        </row>
        <row r="11">
          <cell r="A11" t="str">
            <v>110204</v>
          </cell>
          <cell r="B11" t="str">
            <v>Giro Niaga Gresik</v>
          </cell>
          <cell r="C11" t="str">
            <v>A02</v>
          </cell>
        </row>
        <row r="12">
          <cell r="A12" t="str">
            <v>110205</v>
          </cell>
          <cell r="B12" t="str">
            <v>Giro BRI I Gresik</v>
          </cell>
          <cell r="C12" t="str">
            <v>A02</v>
          </cell>
        </row>
        <row r="13">
          <cell r="A13" t="str">
            <v>110206</v>
          </cell>
          <cell r="B13" t="str">
            <v>Giro Agro Gresik</v>
          </cell>
          <cell r="C13" t="str">
            <v>A02</v>
          </cell>
        </row>
        <row r="14">
          <cell r="A14" t="str">
            <v>110207</v>
          </cell>
          <cell r="B14" t="str">
            <v>Giro BCA Gresik</v>
          </cell>
          <cell r="C14" t="str">
            <v>A02</v>
          </cell>
        </row>
        <row r="15">
          <cell r="A15" t="str">
            <v>110208</v>
          </cell>
          <cell r="B15" t="str">
            <v>Giro Bank Jatim Gresik</v>
          </cell>
          <cell r="C15" t="str">
            <v>A02</v>
          </cell>
        </row>
        <row r="16">
          <cell r="A16" t="str">
            <v>110209</v>
          </cell>
          <cell r="B16" t="str">
            <v>Giro Dollar Mandiri Gresik</v>
          </cell>
          <cell r="C16" t="str">
            <v>A02</v>
          </cell>
        </row>
        <row r="17">
          <cell r="A17" t="str">
            <v>110210</v>
          </cell>
          <cell r="B17" t="str">
            <v>Giro Dollar CIMB Niaga Gresik</v>
          </cell>
          <cell r="C17" t="str">
            <v>A02</v>
          </cell>
        </row>
        <row r="18">
          <cell r="A18" t="str">
            <v>110211</v>
          </cell>
          <cell r="B18" t="str">
            <v>Giro Bank Jatim Surabaya</v>
          </cell>
          <cell r="C18" t="str">
            <v>A02</v>
          </cell>
        </row>
        <row r="19">
          <cell r="A19" t="str">
            <v>110212</v>
          </cell>
          <cell r="B19" t="str">
            <v>Giro Dollar Panin Surabaya</v>
          </cell>
          <cell r="C19" t="str">
            <v>A02</v>
          </cell>
        </row>
        <row r="20">
          <cell r="A20" t="str">
            <v>110213</v>
          </cell>
          <cell r="B20" t="str">
            <v>Giro Mandiri Medan</v>
          </cell>
          <cell r="C20" t="str">
            <v>A02</v>
          </cell>
        </row>
        <row r="21">
          <cell r="A21" t="str">
            <v>110214</v>
          </cell>
          <cell r="B21" t="str">
            <v xml:space="preserve">Giro BNI'46 Medan                                           </v>
          </cell>
          <cell r="C21" t="str">
            <v>A02</v>
          </cell>
        </row>
        <row r="22">
          <cell r="A22" t="str">
            <v>110215</v>
          </cell>
          <cell r="B22" t="str">
            <v>Giro BRI Medan</v>
          </cell>
          <cell r="C22" t="str">
            <v>A02</v>
          </cell>
        </row>
        <row r="23">
          <cell r="A23" t="str">
            <v>110216</v>
          </cell>
          <cell r="B23" t="str">
            <v xml:space="preserve">Giro BNI'46 Makassar                                        </v>
          </cell>
          <cell r="C23" t="str">
            <v>A02</v>
          </cell>
        </row>
        <row r="24">
          <cell r="A24" t="str">
            <v>110217</v>
          </cell>
          <cell r="B24" t="str">
            <v>Giro Bukopin Makassar</v>
          </cell>
          <cell r="C24" t="str">
            <v>A02</v>
          </cell>
        </row>
        <row r="25">
          <cell r="A25" t="str">
            <v>110218</v>
          </cell>
          <cell r="B25" t="str">
            <v>Giro BRI Sidrap Makassar</v>
          </cell>
          <cell r="C25" t="str">
            <v>A02</v>
          </cell>
        </row>
        <row r="26">
          <cell r="A26" t="str">
            <v>110219</v>
          </cell>
          <cell r="B26" t="str">
            <v>Giro Mandiri Makassar</v>
          </cell>
          <cell r="C26" t="str">
            <v>A02</v>
          </cell>
        </row>
        <row r="27">
          <cell r="A27" t="str">
            <v>110220</v>
          </cell>
          <cell r="B27" t="str">
            <v>Giro BRI Makassar</v>
          </cell>
          <cell r="C27" t="str">
            <v>A02</v>
          </cell>
        </row>
        <row r="28">
          <cell r="A28" t="str">
            <v>110221</v>
          </cell>
          <cell r="B28" t="str">
            <v>Giro Mandiri Lampung</v>
          </cell>
          <cell r="C28" t="str">
            <v>A02</v>
          </cell>
        </row>
        <row r="29">
          <cell r="A29" t="str">
            <v>110222</v>
          </cell>
          <cell r="B29" t="str">
            <v>Giro BRI Lampung</v>
          </cell>
          <cell r="C29" t="str">
            <v>A02</v>
          </cell>
        </row>
        <row r="30">
          <cell r="A30" t="str">
            <v>110223</v>
          </cell>
          <cell r="B30" t="str">
            <v>Giro BRI II Gresik</v>
          </cell>
          <cell r="C30" t="str">
            <v>A02</v>
          </cell>
        </row>
        <row r="31">
          <cell r="A31" t="str">
            <v>110224</v>
          </cell>
          <cell r="B31" t="str">
            <v>Giro Bank DBS Surabaya</v>
          </cell>
          <cell r="C31" t="str">
            <v>A02</v>
          </cell>
        </row>
        <row r="32">
          <cell r="A32" t="str">
            <v>110225</v>
          </cell>
          <cell r="B32" t="str">
            <v>Giro Bank DBS Dolar Surabaya</v>
          </cell>
          <cell r="C32" t="str">
            <v>A02</v>
          </cell>
        </row>
        <row r="33">
          <cell r="A33" t="str">
            <v>110226</v>
          </cell>
          <cell r="B33" t="str">
            <v>KMK Bank Mandiri</v>
          </cell>
          <cell r="C33" t="str">
            <v>P08</v>
          </cell>
        </row>
        <row r="34">
          <cell r="A34" t="str">
            <v>110227</v>
          </cell>
          <cell r="B34" t="str">
            <v>KMK CIMB Niaga</v>
          </cell>
          <cell r="C34" t="str">
            <v>P08</v>
          </cell>
        </row>
        <row r="35">
          <cell r="A35" t="str">
            <v>110228</v>
          </cell>
          <cell r="B35" t="str">
            <v>KMK CIMB Niaga Dolar</v>
          </cell>
          <cell r="C35" t="str">
            <v>P01A</v>
          </cell>
        </row>
        <row r="36">
          <cell r="A36" t="str">
            <v>110229</v>
          </cell>
          <cell r="B36" t="str">
            <v>Giro BRI Rajawali Surabaya</v>
          </cell>
          <cell r="C36" t="str">
            <v>A02</v>
          </cell>
        </row>
        <row r="37">
          <cell r="A37" t="str">
            <v>110230</v>
          </cell>
          <cell r="B37" t="str">
            <v>Giro BRI III Gresik</v>
          </cell>
          <cell r="C37" t="str">
            <v>A02</v>
          </cell>
        </row>
        <row r="38">
          <cell r="A38" t="str">
            <v>110231</v>
          </cell>
          <cell r="B38" t="str">
            <v>Giro Mandiri Gresik 2</v>
          </cell>
          <cell r="C38" t="str">
            <v>A02</v>
          </cell>
        </row>
        <row r="39">
          <cell r="A39" t="str">
            <v>110232</v>
          </cell>
          <cell r="B39" t="str">
            <v>Giro BRI III Escrow</v>
          </cell>
          <cell r="C39" t="str">
            <v>A02</v>
          </cell>
        </row>
        <row r="40">
          <cell r="A40" t="str">
            <v>110251</v>
          </cell>
          <cell r="B40" t="str">
            <v>Giro Mandiri Gresik - (Bank Perantara)</v>
          </cell>
          <cell r="C40" t="str">
            <v>A02</v>
          </cell>
        </row>
        <row r="41">
          <cell r="A41" t="str">
            <v>110252</v>
          </cell>
          <cell r="B41" t="str">
            <v xml:space="preserve">Giro BNI'46 Gresik - (Bank Perantara)                       </v>
          </cell>
          <cell r="C41" t="str">
            <v>A02</v>
          </cell>
        </row>
        <row r="42">
          <cell r="A42" t="str">
            <v>110253</v>
          </cell>
          <cell r="B42" t="str">
            <v>Giro Lippo Gresik - (Bank Perantara)</v>
          </cell>
          <cell r="C42" t="str">
            <v>A02</v>
          </cell>
        </row>
        <row r="43">
          <cell r="A43" t="str">
            <v>110254</v>
          </cell>
          <cell r="B43" t="str">
            <v>Giro Niaga Gresik - (Bank Perantara)</v>
          </cell>
          <cell r="C43" t="str">
            <v>A02</v>
          </cell>
        </row>
        <row r="44">
          <cell r="A44" t="str">
            <v>110255</v>
          </cell>
          <cell r="B44" t="str">
            <v>Giro BRI Gresik - (Bank Perantara)</v>
          </cell>
          <cell r="C44" t="str">
            <v>A02</v>
          </cell>
        </row>
        <row r="45">
          <cell r="A45" t="str">
            <v>110256</v>
          </cell>
          <cell r="B45" t="str">
            <v>Giro Agro Gresik - (Bank Perantara)</v>
          </cell>
          <cell r="C45" t="str">
            <v>A02</v>
          </cell>
        </row>
        <row r="46">
          <cell r="A46" t="str">
            <v>110257</v>
          </cell>
          <cell r="B46" t="str">
            <v>Giro BCA Gresik - (Bank Perantara)</v>
          </cell>
          <cell r="C46" t="str">
            <v>A02</v>
          </cell>
        </row>
        <row r="47">
          <cell r="A47" t="str">
            <v>110258</v>
          </cell>
          <cell r="B47" t="str">
            <v>Giro Bank Jatim Gresik - (Bank Perantara)</v>
          </cell>
          <cell r="C47" t="str">
            <v>A02</v>
          </cell>
        </row>
        <row r="48">
          <cell r="A48" t="str">
            <v>110259</v>
          </cell>
          <cell r="B48" t="str">
            <v>Giro Dollar Mandiri Gresik - (Bank Perantara)</v>
          </cell>
          <cell r="C48" t="str">
            <v>A02</v>
          </cell>
        </row>
        <row r="49">
          <cell r="A49" t="str">
            <v>110260</v>
          </cell>
          <cell r="B49" t="str">
            <v>Giro Dollar CIMB Niaga Gresik - (Bank Perantara)</v>
          </cell>
          <cell r="C49" t="str">
            <v>A02</v>
          </cell>
        </row>
        <row r="50">
          <cell r="A50" t="str">
            <v>110261</v>
          </cell>
          <cell r="B50" t="str">
            <v>Giro Bank Jatim Surabaya - (Bank Perantara)</v>
          </cell>
          <cell r="C50" t="str">
            <v>A02</v>
          </cell>
        </row>
        <row r="51">
          <cell r="A51" t="str">
            <v>110262</v>
          </cell>
          <cell r="B51" t="str">
            <v>Giro Dollar Panin Surabaya - (Bank Perantara)</v>
          </cell>
          <cell r="C51" t="str">
            <v>A02</v>
          </cell>
        </row>
        <row r="52">
          <cell r="A52" t="str">
            <v>110263</v>
          </cell>
          <cell r="B52" t="str">
            <v>Giro Mandiri Medan - (Bank Perantara)</v>
          </cell>
          <cell r="C52" t="str">
            <v>A02</v>
          </cell>
        </row>
        <row r="53">
          <cell r="A53" t="str">
            <v>110264</v>
          </cell>
          <cell r="B53" t="str">
            <v xml:space="preserve">Giro BNI'46 Medan - (Bank Perantara)                        </v>
          </cell>
          <cell r="C53" t="str">
            <v>A02</v>
          </cell>
        </row>
        <row r="54">
          <cell r="A54" t="str">
            <v>110265</v>
          </cell>
          <cell r="B54" t="str">
            <v>Giro BRI Medan - (Bank Perantara)</v>
          </cell>
          <cell r="C54" t="str">
            <v>A02</v>
          </cell>
        </row>
        <row r="55">
          <cell r="A55" t="str">
            <v>110266</v>
          </cell>
          <cell r="B55" t="str">
            <v xml:space="preserve">Giro BNI'46 Makassar - (Bank Perantara)                     </v>
          </cell>
          <cell r="C55" t="str">
            <v>A02</v>
          </cell>
        </row>
        <row r="56">
          <cell r="A56" t="str">
            <v>110267</v>
          </cell>
          <cell r="B56" t="str">
            <v>Giro Bukopin Makassar - (Bank Perantara)</v>
          </cell>
          <cell r="C56" t="str">
            <v>A02</v>
          </cell>
        </row>
        <row r="57">
          <cell r="A57" t="str">
            <v>110268</v>
          </cell>
          <cell r="B57" t="str">
            <v>Giro BRI Sidrap Makassar - (Bank Perantara)</v>
          </cell>
          <cell r="C57" t="str">
            <v>A02</v>
          </cell>
        </row>
        <row r="58">
          <cell r="A58" t="str">
            <v>110269</v>
          </cell>
          <cell r="B58" t="str">
            <v>Giro Mandiri Makassar - (Bank Perantara)</v>
          </cell>
          <cell r="C58" t="str">
            <v>A02</v>
          </cell>
        </row>
        <row r="59">
          <cell r="A59" t="str">
            <v>110270</v>
          </cell>
          <cell r="B59" t="str">
            <v>Giro BRI Makassar - (Bank Perantara)</v>
          </cell>
          <cell r="C59" t="str">
            <v>A02</v>
          </cell>
        </row>
        <row r="60">
          <cell r="A60" t="str">
            <v>110271</v>
          </cell>
          <cell r="B60" t="str">
            <v>Giro Mandiri Lampung - (Bank Perantara)</v>
          </cell>
          <cell r="C60" t="str">
            <v>A02</v>
          </cell>
        </row>
        <row r="61">
          <cell r="A61" t="str">
            <v>110272</v>
          </cell>
          <cell r="B61" t="str">
            <v>KMK Mandiri Gresik - (Bank Perantara)</v>
          </cell>
          <cell r="C61" t="str">
            <v>A02</v>
          </cell>
        </row>
        <row r="62">
          <cell r="A62" t="str">
            <v>110273</v>
          </cell>
          <cell r="B62" t="str">
            <v>KMK Bank BRI</v>
          </cell>
          <cell r="C62" t="str">
            <v>P08</v>
          </cell>
        </row>
        <row r="63">
          <cell r="A63" t="str">
            <v>110274</v>
          </cell>
          <cell r="B63" t="str">
            <v>KMK BCA Syariah Gresik</v>
          </cell>
          <cell r="C63" t="str">
            <v>A02</v>
          </cell>
        </row>
        <row r="64">
          <cell r="A64" t="str">
            <v>110275</v>
          </cell>
          <cell r="B64" t="str">
            <v>Giro BCA Syariah Gresik</v>
          </cell>
          <cell r="C64" t="str">
            <v>A02</v>
          </cell>
        </row>
        <row r="65">
          <cell r="A65" t="str">
            <v>110276</v>
          </cell>
          <cell r="B65" t="str">
            <v>KMK TR Mandiri</v>
          </cell>
          <cell r="C65" t="str">
            <v>A02</v>
          </cell>
        </row>
        <row r="66">
          <cell r="A66" t="str">
            <v>110277</v>
          </cell>
          <cell r="B66" t="str">
            <v>KMK Loan DF Mandiri</v>
          </cell>
          <cell r="C66" t="str">
            <v>A02</v>
          </cell>
        </row>
        <row r="67">
          <cell r="A67" t="str">
            <v>110278</v>
          </cell>
          <cell r="B67" t="str">
            <v>Giro Bank Lampung Cab. Metro</v>
          </cell>
          <cell r="C67" t="str">
            <v>A02</v>
          </cell>
        </row>
        <row r="68">
          <cell r="A68" t="str">
            <v>110279</v>
          </cell>
          <cell r="B68" t="str">
            <v>Giro Bank Lampung Cab. Lampung Tengah</v>
          </cell>
          <cell r="C68" t="str">
            <v>A02</v>
          </cell>
        </row>
        <row r="69">
          <cell r="A69" t="str">
            <v>110301</v>
          </cell>
          <cell r="B69" t="str">
            <v>Bank Garansi Gresik</v>
          </cell>
          <cell r="C69" t="str">
            <v>A03</v>
          </cell>
        </row>
        <row r="70">
          <cell r="A70" t="str">
            <v>110302</v>
          </cell>
          <cell r="B70" t="str">
            <v>Deposito Berjangka Gresik</v>
          </cell>
          <cell r="C70" t="str">
            <v>A03</v>
          </cell>
        </row>
        <row r="71">
          <cell r="A71" t="str">
            <v>110303</v>
          </cell>
          <cell r="B71" t="str">
            <v>DOC Gresik</v>
          </cell>
          <cell r="C71" t="str">
            <v>A03</v>
          </cell>
        </row>
        <row r="72">
          <cell r="A72" t="str">
            <v>110304</v>
          </cell>
          <cell r="B72" t="str">
            <v>Deposito Dollar Gresik</v>
          </cell>
          <cell r="C72" t="str">
            <v>A03</v>
          </cell>
        </row>
        <row r="73">
          <cell r="A73" t="str">
            <v>110305</v>
          </cell>
          <cell r="B73" t="str">
            <v>Setor Jaminan Skbdn</v>
          </cell>
          <cell r="C73" t="str">
            <v>A03</v>
          </cell>
        </row>
        <row r="74">
          <cell r="A74" t="str">
            <v>110306</v>
          </cell>
          <cell r="B74" t="str">
            <v>Surat-Surat Berharga</v>
          </cell>
          <cell r="C74" t="str">
            <v>A03</v>
          </cell>
        </row>
        <row r="75">
          <cell r="A75" t="str">
            <v>110307</v>
          </cell>
          <cell r="B75" t="str">
            <v>Saham</v>
          </cell>
          <cell r="C75" t="str">
            <v>A03</v>
          </cell>
        </row>
        <row r="76">
          <cell r="A76" t="str">
            <v>110308</v>
          </cell>
          <cell r="B76" t="str">
            <v>Bank Garansi Medan</v>
          </cell>
          <cell r="C76" t="str">
            <v>A03</v>
          </cell>
        </row>
        <row r="77">
          <cell r="A77" t="str">
            <v>110309</v>
          </cell>
          <cell r="B77" t="str">
            <v>Deposito Berjangka Medan</v>
          </cell>
          <cell r="C77" t="str">
            <v>A03</v>
          </cell>
        </row>
        <row r="78">
          <cell r="A78" t="str">
            <v>110310</v>
          </cell>
          <cell r="B78" t="str">
            <v>DOC Medan</v>
          </cell>
          <cell r="C78" t="str">
            <v>A03</v>
          </cell>
        </row>
        <row r="79">
          <cell r="A79" t="str">
            <v>110401</v>
          </cell>
          <cell r="B79" t="str">
            <v>Piutang Usaha</v>
          </cell>
          <cell r="C79" t="str">
            <v>A04</v>
          </cell>
        </row>
        <row r="80">
          <cell r="A80" t="str">
            <v>110402</v>
          </cell>
          <cell r="B80" t="str">
            <v>Piutang Affiliasi</v>
          </cell>
          <cell r="C80" t="str">
            <v>A05</v>
          </cell>
        </row>
        <row r="81">
          <cell r="A81" t="str">
            <v>110403</v>
          </cell>
          <cell r="B81" t="str">
            <v>Piutang Lain - lain</v>
          </cell>
          <cell r="C81" t="str">
            <v>A06</v>
          </cell>
        </row>
        <row r="82">
          <cell r="A82" t="str">
            <v>110501</v>
          </cell>
          <cell r="B82" t="str">
            <v>Cad. PH Piutang Usaha</v>
          </cell>
          <cell r="C82" t="str">
            <v>A07</v>
          </cell>
        </row>
        <row r="83">
          <cell r="A83" t="str">
            <v>110502</v>
          </cell>
          <cell r="B83" t="str">
            <v>Cad. PH Piutang Lain - lain</v>
          </cell>
          <cell r="C83" t="str">
            <v>A07</v>
          </cell>
        </row>
        <row r="84">
          <cell r="A84" t="str">
            <v>110600</v>
          </cell>
          <cell r="B84" t="str">
            <v>Persediaan Barang Jadi</v>
          </cell>
          <cell r="C84" t="str">
            <v>A08</v>
          </cell>
        </row>
        <row r="85">
          <cell r="A85" t="str">
            <v>110601</v>
          </cell>
          <cell r="B85" t="str">
            <v>Pupuk Subsidi</v>
          </cell>
          <cell r="C85" t="str">
            <v>A08</v>
          </cell>
        </row>
        <row r="86">
          <cell r="A86" t="str">
            <v>110602</v>
          </cell>
          <cell r="B86" t="str">
            <v>Pupuk Non Subsidi</v>
          </cell>
          <cell r="C86" t="str">
            <v>A08</v>
          </cell>
        </row>
        <row r="87">
          <cell r="A87" t="str">
            <v>110603</v>
          </cell>
          <cell r="B87" t="str">
            <v>Pupuk Non Subsidi Ritail</v>
          </cell>
          <cell r="C87" t="str">
            <v>A08</v>
          </cell>
        </row>
        <row r="88">
          <cell r="A88" t="str">
            <v>110604</v>
          </cell>
          <cell r="B88" t="str">
            <v>Pupuk Indrustri</v>
          </cell>
          <cell r="C88" t="str">
            <v>A08</v>
          </cell>
        </row>
        <row r="89">
          <cell r="A89" t="str">
            <v>110605</v>
          </cell>
          <cell r="B89" t="str">
            <v>Pestisida</v>
          </cell>
          <cell r="C89" t="str">
            <v>A08</v>
          </cell>
        </row>
        <row r="90">
          <cell r="A90" t="str">
            <v>110606</v>
          </cell>
          <cell r="B90" t="str">
            <v>Bahan Kimia</v>
          </cell>
          <cell r="C90" t="str">
            <v>A08</v>
          </cell>
        </row>
        <row r="91">
          <cell r="A91" t="str">
            <v>110607</v>
          </cell>
          <cell r="B91" t="str">
            <v>Kesuplieran Bahan Teknik</v>
          </cell>
          <cell r="C91" t="str">
            <v>A08</v>
          </cell>
        </row>
        <row r="92">
          <cell r="A92" t="str">
            <v>110608</v>
          </cell>
          <cell r="B92" t="str">
            <v>Kesuplieran Bahan Kimia</v>
          </cell>
          <cell r="C92" t="str">
            <v>A08</v>
          </cell>
        </row>
        <row r="93">
          <cell r="A93" t="str">
            <v>110609</v>
          </cell>
          <cell r="B93" t="str">
            <v>Bibit Benih</v>
          </cell>
          <cell r="C93" t="str">
            <v>A08</v>
          </cell>
        </row>
        <row r="94">
          <cell r="A94" t="str">
            <v>110610</v>
          </cell>
          <cell r="B94" t="str">
            <v>Benih</v>
          </cell>
          <cell r="C94" t="str">
            <v>A08</v>
          </cell>
        </row>
        <row r="95">
          <cell r="A95" t="str">
            <v>110611</v>
          </cell>
          <cell r="B95" t="str">
            <v>Jasa Angkutan Pupuk</v>
          </cell>
          <cell r="C95" t="str">
            <v>A08</v>
          </cell>
        </row>
        <row r="96">
          <cell r="A96" t="str">
            <v>110612</v>
          </cell>
          <cell r="B96" t="str">
            <v>Jasa Angkutan Non Pupuk</v>
          </cell>
          <cell r="C96" t="str">
            <v>A08</v>
          </cell>
        </row>
        <row r="97">
          <cell r="A97" t="str">
            <v>110613</v>
          </cell>
          <cell r="B97" t="str">
            <v>Hasil Produksi Petroganik</v>
          </cell>
          <cell r="C97" t="str">
            <v>A08</v>
          </cell>
        </row>
        <row r="98">
          <cell r="A98" t="str">
            <v>110701</v>
          </cell>
          <cell r="B98" t="str">
            <v>Persediaan Barang Dalam Proses</v>
          </cell>
          <cell r="C98" t="str">
            <v>A09</v>
          </cell>
        </row>
        <row r="99">
          <cell r="A99" t="str">
            <v>110801</v>
          </cell>
          <cell r="B99" t="str">
            <v>Bahan Baku Produksi</v>
          </cell>
          <cell r="C99" t="str">
            <v>A10</v>
          </cell>
        </row>
        <row r="100">
          <cell r="A100" t="str">
            <v>110802</v>
          </cell>
          <cell r="B100" t="str">
            <v>Bahan Penolong Produksi</v>
          </cell>
          <cell r="C100" t="str">
            <v>A10</v>
          </cell>
        </row>
        <row r="101">
          <cell r="A101" t="str">
            <v>110803</v>
          </cell>
          <cell r="B101" t="str">
            <v>Peralatan Keselamat Kerja</v>
          </cell>
          <cell r="C101" t="str">
            <v>A10</v>
          </cell>
        </row>
        <row r="102">
          <cell r="A102" t="str">
            <v>110804</v>
          </cell>
          <cell r="B102" t="str">
            <v>Hasil Produksi Petroganik</v>
          </cell>
          <cell r="C102" t="str">
            <v>A10</v>
          </cell>
        </row>
        <row r="103">
          <cell r="A103" t="str">
            <v>110805</v>
          </cell>
          <cell r="B103" t="str">
            <v>Hasil Panen Padi</v>
          </cell>
          <cell r="C103" t="str">
            <v>A10</v>
          </cell>
        </row>
        <row r="104">
          <cell r="A104" t="str">
            <v>110901</v>
          </cell>
          <cell r="B104" t="str">
            <v>Bahan Penolong Petroganik</v>
          </cell>
          <cell r="C104" t="str">
            <v>A11</v>
          </cell>
        </row>
        <row r="105">
          <cell r="A105" t="str">
            <v>110902</v>
          </cell>
          <cell r="B105" t="str">
            <v>Peralatan Keselamat Kerja</v>
          </cell>
          <cell r="C105" t="str">
            <v>A11</v>
          </cell>
        </row>
        <row r="106">
          <cell r="A106" t="str">
            <v>111001</v>
          </cell>
          <cell r="B106" t="str">
            <v>Uang Muka Pembelian</v>
          </cell>
          <cell r="C106" t="str">
            <v>A13</v>
          </cell>
        </row>
        <row r="107">
          <cell r="A107" t="str">
            <v>111002</v>
          </cell>
          <cell r="B107" t="str">
            <v>Uang Muka Pajak</v>
          </cell>
          <cell r="C107" t="str">
            <v>A14</v>
          </cell>
        </row>
        <row r="108">
          <cell r="A108" t="str">
            <v>111003</v>
          </cell>
          <cell r="B108" t="str">
            <v>Uang Muka Lain - Lain</v>
          </cell>
          <cell r="C108" t="str">
            <v>A15</v>
          </cell>
        </row>
        <row r="109">
          <cell r="A109" t="str">
            <v>111100</v>
          </cell>
          <cell r="B109" t="str">
            <v>Biaya Yang Dibayar Dimuka</v>
          </cell>
          <cell r="C109" t="str">
            <v>A15</v>
          </cell>
        </row>
        <row r="110">
          <cell r="A110" t="str">
            <v>111101</v>
          </cell>
          <cell r="B110" t="str">
            <v>BYDD Asuransi</v>
          </cell>
          <cell r="C110" t="str">
            <v>A15</v>
          </cell>
        </row>
        <row r="111">
          <cell r="A111" t="str">
            <v>111102</v>
          </cell>
          <cell r="B111" t="str">
            <v>BYDD Pajak</v>
          </cell>
          <cell r="C111" t="str">
            <v>A15</v>
          </cell>
        </row>
        <row r="112">
          <cell r="A112" t="str">
            <v>111103</v>
          </cell>
          <cell r="B112" t="str">
            <v>BYDD Sewa</v>
          </cell>
          <cell r="C112" t="str">
            <v>A15</v>
          </cell>
        </row>
        <row r="113">
          <cell r="A113" t="str">
            <v>111104</v>
          </cell>
          <cell r="B113" t="str">
            <v>BYDD Transportasi</v>
          </cell>
          <cell r="C113" t="str">
            <v>A15</v>
          </cell>
        </row>
        <row r="114">
          <cell r="A114" t="str">
            <v>111105</v>
          </cell>
          <cell r="B114" t="str">
            <v>BYDD Lain -lain</v>
          </cell>
          <cell r="C114" t="str">
            <v>A15</v>
          </cell>
        </row>
        <row r="115">
          <cell r="A115" t="str">
            <v>111200</v>
          </cell>
          <cell r="B115" t="str">
            <v>Persediaan Barang Habis Pakai</v>
          </cell>
          <cell r="C115" t="str">
            <v>A112</v>
          </cell>
        </row>
        <row r="116">
          <cell r="A116" t="str">
            <v>120101</v>
          </cell>
          <cell r="B116" t="str">
            <v>Sumber Alam Organik Sejahtera, PT</v>
          </cell>
          <cell r="C116" t="str">
            <v>A16</v>
          </cell>
        </row>
        <row r="117">
          <cell r="A117" t="str">
            <v>120102</v>
          </cell>
          <cell r="B117" t="str">
            <v>Sumekar Abdi Sejahtera, PT</v>
          </cell>
          <cell r="C117" t="str">
            <v>A16</v>
          </cell>
        </row>
        <row r="118">
          <cell r="A118" t="str">
            <v>121002</v>
          </cell>
          <cell r="B118" t="str">
            <v>KOSONG</v>
          </cell>
          <cell r="C118" t="str">
            <v>A16</v>
          </cell>
        </row>
        <row r="119">
          <cell r="A119" t="str">
            <v>130101</v>
          </cell>
          <cell r="B119" t="str">
            <v>Aktiva Pajak Tangguhan</v>
          </cell>
          <cell r="C119" t="str">
            <v>A17A</v>
          </cell>
        </row>
        <row r="120">
          <cell r="A120" t="str">
            <v>140101</v>
          </cell>
          <cell r="B120" t="str">
            <v>Aktiva Imbalan Pasca Kerja</v>
          </cell>
          <cell r="C120" t="str">
            <v>A17</v>
          </cell>
        </row>
        <row r="121">
          <cell r="A121" t="str">
            <v>150101</v>
          </cell>
          <cell r="B121" t="str">
            <v>Tanah</v>
          </cell>
          <cell r="C121" t="str">
            <v>A18A</v>
          </cell>
        </row>
        <row r="122">
          <cell r="A122" t="str">
            <v>150102</v>
          </cell>
          <cell r="B122" t="str">
            <v>Gedung Dan Instalasi Listrik</v>
          </cell>
          <cell r="C122" t="str">
            <v>A18B</v>
          </cell>
        </row>
        <row r="123">
          <cell r="A123" t="str">
            <v>150103</v>
          </cell>
          <cell r="B123" t="str">
            <v>Kendaraan</v>
          </cell>
          <cell r="C123" t="str">
            <v>A18C</v>
          </cell>
        </row>
        <row r="124">
          <cell r="A124" t="str">
            <v>150104</v>
          </cell>
          <cell r="B124" t="str">
            <v>Mesin &amp; Peralatan Pabrik</v>
          </cell>
          <cell r="C124" t="str">
            <v>A18D</v>
          </cell>
        </row>
        <row r="125">
          <cell r="A125" t="str">
            <v>150105</v>
          </cell>
          <cell r="B125" t="str">
            <v>Inventaris Kantor</v>
          </cell>
          <cell r="C125" t="str">
            <v>A18E</v>
          </cell>
        </row>
        <row r="126">
          <cell r="A126" t="str">
            <v>150200</v>
          </cell>
          <cell r="B126" t="str">
            <v>Aktiva Tetap Tak Berwujud</v>
          </cell>
          <cell r="C126" t="str">
            <v>A19</v>
          </cell>
        </row>
        <row r="127">
          <cell r="A127" t="str">
            <v>150201</v>
          </cell>
          <cell r="B127" t="str">
            <v>Aktiva Tetap Tak Berwujud</v>
          </cell>
          <cell r="C127" t="str">
            <v>A19</v>
          </cell>
        </row>
        <row r="128">
          <cell r="A128" t="str">
            <v>160102</v>
          </cell>
          <cell r="B128" t="str">
            <v>Akm.PH Gedung &amp; Instalasi Listrik</v>
          </cell>
          <cell r="C128" t="str">
            <v>A20</v>
          </cell>
        </row>
        <row r="129">
          <cell r="A129" t="str">
            <v>160103</v>
          </cell>
          <cell r="B129" t="str">
            <v>Akm.PH Kendaraan</v>
          </cell>
          <cell r="C129" t="str">
            <v>A20</v>
          </cell>
        </row>
        <row r="130">
          <cell r="A130" t="str">
            <v>160104</v>
          </cell>
          <cell r="B130" t="str">
            <v>Akm.PH Mesin &amp; Peralatan Pabrik</v>
          </cell>
          <cell r="C130" t="str">
            <v>A20</v>
          </cell>
        </row>
        <row r="131">
          <cell r="A131" t="str">
            <v>160105</v>
          </cell>
          <cell r="B131" t="str">
            <v>Akm.PH Inventaris Kantor</v>
          </cell>
          <cell r="C131" t="str">
            <v>A20</v>
          </cell>
        </row>
        <row r="132">
          <cell r="A132" t="str">
            <v>160200</v>
          </cell>
          <cell r="B132" t="str">
            <v>Akm.PH Aktiva Tetap Tak Berwujud</v>
          </cell>
          <cell r="C132" t="str">
            <v>A21</v>
          </cell>
        </row>
        <row r="133">
          <cell r="A133" t="str">
            <v>170000</v>
          </cell>
          <cell r="B133" t="str">
            <v>Aktiva Dalam Pelaksanaan</v>
          </cell>
          <cell r="C133" t="str">
            <v>A22</v>
          </cell>
        </row>
        <row r="134">
          <cell r="A134" t="str">
            <v>170100</v>
          </cell>
          <cell r="B134" t="str">
            <v>Pengembangan Software Sistem Informasi</v>
          </cell>
          <cell r="C134" t="str">
            <v>A22</v>
          </cell>
        </row>
        <row r="135">
          <cell r="A135" t="str">
            <v>170200</v>
          </cell>
          <cell r="B135" t="str">
            <v>Kendaraan</v>
          </cell>
          <cell r="C135" t="str">
            <v>A22</v>
          </cell>
        </row>
        <row r="136">
          <cell r="A136" t="str">
            <v>170300</v>
          </cell>
          <cell r="B136" t="str">
            <v>Produksi / Pabrik</v>
          </cell>
          <cell r="C136" t="str">
            <v>A22</v>
          </cell>
        </row>
        <row r="137">
          <cell r="A137" t="str">
            <v>170400</v>
          </cell>
          <cell r="B137" t="str">
            <v>Bangunan</v>
          </cell>
          <cell r="C137" t="str">
            <v>A22</v>
          </cell>
        </row>
        <row r="138">
          <cell r="A138" t="str">
            <v>180000</v>
          </cell>
          <cell r="B138" t="str">
            <v>Aktiva Lain-2</v>
          </cell>
          <cell r="C138" t="str">
            <v>A23</v>
          </cell>
        </row>
        <row r="139">
          <cell r="A139" t="str">
            <v>180100</v>
          </cell>
          <cell r="B139" t="str">
            <v>Piutang Dalam Perkara</v>
          </cell>
          <cell r="C139" t="str">
            <v>A23</v>
          </cell>
        </row>
        <row r="140">
          <cell r="A140" t="str">
            <v>180200</v>
          </cell>
          <cell r="B140" t="str">
            <v>Penyisihan Piutang Perkara</v>
          </cell>
          <cell r="C140" t="str">
            <v>A23</v>
          </cell>
        </row>
        <row r="141">
          <cell r="A141" t="str">
            <v>180300</v>
          </cell>
          <cell r="B141" t="str">
            <v>Aset Sitaan</v>
          </cell>
          <cell r="C141" t="str">
            <v>A23</v>
          </cell>
        </row>
        <row r="142">
          <cell r="A142" t="str">
            <v>180400</v>
          </cell>
          <cell r="B142" t="str">
            <v>Aset Pabrik Petroganik Ex PT SAOS</v>
          </cell>
          <cell r="C142" t="str">
            <v>A23</v>
          </cell>
        </row>
        <row r="143">
          <cell r="A143" t="str">
            <v>180500</v>
          </cell>
          <cell r="B143" t="str">
            <v>Konsorsium MBU</v>
          </cell>
          <cell r="C143" t="str">
            <v>A23</v>
          </cell>
        </row>
        <row r="144">
          <cell r="A144" t="str">
            <v>180600</v>
          </cell>
          <cell r="B144" t="str">
            <v>Jaminan Botol</v>
          </cell>
          <cell r="C144" t="str">
            <v>A23</v>
          </cell>
        </row>
        <row r="145">
          <cell r="A145" t="str">
            <v>180700</v>
          </cell>
          <cell r="B145" t="str">
            <v>Aktiva Dalam Proses Jual</v>
          </cell>
          <cell r="C145" t="str">
            <v>A23</v>
          </cell>
        </row>
        <row r="146">
          <cell r="A146" t="str">
            <v>210100</v>
          </cell>
          <cell r="B146" t="str">
            <v>Hutang Dagang</v>
          </cell>
          <cell r="C146" t="str">
            <v>P01</v>
          </cell>
        </row>
        <row r="147">
          <cell r="A147" t="str">
            <v>210200</v>
          </cell>
          <cell r="B147" t="str">
            <v>Hutang Bank</v>
          </cell>
          <cell r="C147" t="str">
            <v>P01A</v>
          </cell>
        </row>
        <row r="148">
          <cell r="A148" t="str">
            <v>210300</v>
          </cell>
          <cell r="B148" t="str">
            <v>Hutang Affiliasi</v>
          </cell>
          <cell r="C148" t="str">
            <v>P02</v>
          </cell>
        </row>
        <row r="149">
          <cell r="A149" t="str">
            <v>210400</v>
          </cell>
          <cell r="B149" t="str">
            <v>Hutang Pajak</v>
          </cell>
          <cell r="C149" t="str">
            <v>P03</v>
          </cell>
        </row>
        <row r="150">
          <cell r="A150" t="str">
            <v>210500</v>
          </cell>
          <cell r="B150" t="str">
            <v>Hutang Lain-Lain</v>
          </cell>
          <cell r="C150" t="str">
            <v>P04</v>
          </cell>
        </row>
        <row r="151">
          <cell r="A151" t="str">
            <v>210600</v>
          </cell>
          <cell r="B151" t="str">
            <v>Biaya Yang Masih Harus Dibayar</v>
          </cell>
          <cell r="C151" t="str">
            <v>P05</v>
          </cell>
        </row>
        <row r="152">
          <cell r="A152" t="str">
            <v>---210602</v>
          </cell>
          <cell r="B152" t="str">
            <v>Biaya Yang Masih Harus Dibayar</v>
          </cell>
          <cell r="C152" t="str">
            <v>P05</v>
          </cell>
        </row>
        <row r="153">
          <cell r="A153" t="str">
            <v>---210603</v>
          </cell>
          <cell r="B153" t="str">
            <v>Biaya Yang Masih Harus Dibayar</v>
          </cell>
          <cell r="C153" t="str">
            <v>P05</v>
          </cell>
        </row>
        <row r="154">
          <cell r="A154" t="str">
            <v>210700</v>
          </cell>
          <cell r="B154" t="str">
            <v>UM Penjualan - Pupuk Subsidi</v>
          </cell>
          <cell r="C154" t="str">
            <v>P06</v>
          </cell>
        </row>
        <row r="155">
          <cell r="A155" t="str">
            <v>210701</v>
          </cell>
          <cell r="B155" t="str">
            <v>UM Penjualan - Pupuk Subsidi</v>
          </cell>
          <cell r="C155" t="str">
            <v>P06</v>
          </cell>
        </row>
        <row r="156">
          <cell r="A156" t="str">
            <v>210702</v>
          </cell>
          <cell r="B156" t="str">
            <v>UM Penjualan - Pupuk Non Subsidi</v>
          </cell>
          <cell r="C156" t="str">
            <v>P06</v>
          </cell>
        </row>
        <row r="157">
          <cell r="A157" t="str">
            <v>210703</v>
          </cell>
          <cell r="B157" t="str">
            <v>UM Penjualan - Pupuk Non Subsidi Ritail</v>
          </cell>
          <cell r="C157" t="str">
            <v>P06</v>
          </cell>
        </row>
        <row r="158">
          <cell r="A158" t="str">
            <v>210704</v>
          </cell>
          <cell r="B158" t="str">
            <v>UM Penjualan - Pupuk Indrustri</v>
          </cell>
          <cell r="C158" t="str">
            <v>P06</v>
          </cell>
        </row>
        <row r="159">
          <cell r="A159" t="str">
            <v>210705</v>
          </cell>
          <cell r="B159" t="str">
            <v>UM Penjualan - Pestisida</v>
          </cell>
          <cell r="C159" t="str">
            <v>P06</v>
          </cell>
        </row>
        <row r="160">
          <cell r="A160" t="str">
            <v>210706</v>
          </cell>
          <cell r="B160" t="str">
            <v>UM Penjualan - Bahan Kimia</v>
          </cell>
          <cell r="C160" t="str">
            <v>P06</v>
          </cell>
        </row>
        <row r="161">
          <cell r="A161" t="str">
            <v>210707</v>
          </cell>
          <cell r="B161" t="str">
            <v>UM Penjualan - Kesuplieran Bahan Teknik</v>
          </cell>
          <cell r="C161" t="str">
            <v>P06</v>
          </cell>
        </row>
        <row r="162">
          <cell r="A162" t="str">
            <v>210708</v>
          </cell>
          <cell r="B162" t="str">
            <v>UM Penjualan - Kesuplieran Bahan Kimia</v>
          </cell>
          <cell r="C162" t="str">
            <v>P06</v>
          </cell>
        </row>
        <row r="163">
          <cell r="A163" t="str">
            <v>210709</v>
          </cell>
          <cell r="B163" t="str">
            <v>UM Penjualan - Bibit Benih</v>
          </cell>
          <cell r="C163" t="str">
            <v>P06</v>
          </cell>
        </row>
        <row r="164">
          <cell r="A164" t="str">
            <v>210710</v>
          </cell>
          <cell r="B164" t="str">
            <v>UM Penjualan - Benih</v>
          </cell>
          <cell r="C164" t="str">
            <v>P06</v>
          </cell>
        </row>
        <row r="165">
          <cell r="A165" t="str">
            <v>210711</v>
          </cell>
          <cell r="B165" t="str">
            <v>UM Penjualan - Jasa Angkutan Pupuk</v>
          </cell>
          <cell r="C165" t="str">
            <v>P06</v>
          </cell>
        </row>
        <row r="166">
          <cell r="A166" t="str">
            <v>210712</v>
          </cell>
          <cell r="B166" t="str">
            <v>UM Penjualan - Jasa Angkutan Non Pupuk</v>
          </cell>
          <cell r="C166" t="str">
            <v>P06</v>
          </cell>
        </row>
        <row r="167">
          <cell r="A167" t="str">
            <v>210713</v>
          </cell>
          <cell r="B167" t="str">
            <v>UM Penjualan - Jasa Pengelolaan Gudang</v>
          </cell>
          <cell r="C167" t="str">
            <v>P06</v>
          </cell>
        </row>
        <row r="168">
          <cell r="A168" t="str">
            <v>210714</v>
          </cell>
          <cell r="B168" t="str">
            <v>UM Penjualan - Hasil Produksi Petroganik</v>
          </cell>
          <cell r="C168" t="str">
            <v>P06</v>
          </cell>
        </row>
        <row r="169">
          <cell r="A169" t="str">
            <v>210800</v>
          </cell>
          <cell r="B169" t="str">
            <v>Hutang Jangka Panjang</v>
          </cell>
          <cell r="C169" t="str">
            <v>P07</v>
          </cell>
        </row>
        <row r="170">
          <cell r="A170" t="str">
            <v>210801</v>
          </cell>
          <cell r="B170" t="str">
            <v>Hutang Jangka Panjang jatuh Tempo</v>
          </cell>
          <cell r="C170" t="str">
            <v>P07</v>
          </cell>
        </row>
        <row r="171">
          <cell r="A171" t="str">
            <v>220100</v>
          </cell>
          <cell r="B171" t="str">
            <v>Hutang Bank Jangka Panjang</v>
          </cell>
          <cell r="C171" t="str">
            <v>P08</v>
          </cell>
        </row>
        <row r="172">
          <cell r="A172" t="str">
            <v>220200</v>
          </cell>
          <cell r="B172" t="str">
            <v>Hutang Investasi</v>
          </cell>
          <cell r="C172" t="str">
            <v>P09</v>
          </cell>
        </row>
        <row r="173">
          <cell r="A173" t="str">
            <v>220300</v>
          </cell>
          <cell r="B173" t="str">
            <v>Kewajiban Imbalan Pasca Kerja</v>
          </cell>
          <cell r="C173" t="str">
            <v>P10</v>
          </cell>
        </row>
        <row r="174">
          <cell r="A174" t="str">
            <v>220400</v>
          </cell>
          <cell r="B174" t="str">
            <v>Hutang Jangka Panjang Lainnya</v>
          </cell>
          <cell r="C174" t="str">
            <v>P11</v>
          </cell>
        </row>
        <row r="175">
          <cell r="A175" t="str">
            <v>230101</v>
          </cell>
          <cell r="B175" t="str">
            <v>Kewajiban Pajak Tangguhan</v>
          </cell>
          <cell r="C175" t="str">
            <v>P12</v>
          </cell>
        </row>
        <row r="176">
          <cell r="A176" t="str">
            <v>240101</v>
          </cell>
          <cell r="B176" t="str">
            <v>Saham Statutair</v>
          </cell>
          <cell r="C176" t="str">
            <v>P14</v>
          </cell>
        </row>
        <row r="177">
          <cell r="A177" t="str">
            <v>240102</v>
          </cell>
          <cell r="B177" t="str">
            <v>Saham Belum Ditempatkan</v>
          </cell>
          <cell r="C177" t="str">
            <v>P15</v>
          </cell>
        </row>
        <row r="178">
          <cell r="A178" t="str">
            <v>240103</v>
          </cell>
          <cell r="B178" t="str">
            <v>Saham Yang Telah Disetor</v>
          </cell>
          <cell r="C178" t="str">
            <v>P16</v>
          </cell>
        </row>
        <row r="179">
          <cell r="A179" t="str">
            <v>240200</v>
          </cell>
          <cell r="B179" t="str">
            <v>Laba yang dicadangkan</v>
          </cell>
          <cell r="C179" t="str">
            <v>P19</v>
          </cell>
        </row>
        <row r="180">
          <cell r="A180" t="str">
            <v>240201</v>
          </cell>
          <cell r="B180" t="str">
            <v>Laba yang dicadangkan</v>
          </cell>
          <cell r="C180" t="str">
            <v>P19A</v>
          </cell>
        </row>
        <row r="181">
          <cell r="A181" t="str">
            <v>240301</v>
          </cell>
          <cell r="B181" t="str">
            <v>Laba/(Rugi) Tahun Berjalan</v>
          </cell>
          <cell r="C181" t="str">
            <v>P18</v>
          </cell>
        </row>
        <row r="182">
          <cell r="A182" t="str">
            <v>240302</v>
          </cell>
          <cell r="B182" t="str">
            <v>Laba/(Rugi)Belum Dicadangkan</v>
          </cell>
          <cell r="C182" t="str">
            <v>P19</v>
          </cell>
        </row>
        <row r="183">
          <cell r="A183" t="str">
            <v>240400</v>
          </cell>
          <cell r="B183" t="str">
            <v>Ayat Silang Antar Cabang</v>
          </cell>
          <cell r="C183" t="str">
            <v>P14</v>
          </cell>
        </row>
        <row r="184">
          <cell r="A184" t="str">
            <v>240401</v>
          </cell>
          <cell r="B184" t="str">
            <v>Ayat Silang Antar Cabang Gresik</v>
          </cell>
          <cell r="C184" t="str">
            <v>A02</v>
          </cell>
        </row>
        <row r="185">
          <cell r="A185" t="str">
            <v>240402</v>
          </cell>
          <cell r="B185" t="str">
            <v>Ayat Silang Antar Cabang Medan</v>
          </cell>
          <cell r="C185" t="str">
            <v>A02</v>
          </cell>
        </row>
        <row r="186">
          <cell r="A186" t="str">
            <v>240403</v>
          </cell>
          <cell r="B186" t="str">
            <v>Ayat Silang Antar Cabang Makassar</v>
          </cell>
          <cell r="C186" t="str">
            <v>A02</v>
          </cell>
        </row>
        <row r="187">
          <cell r="A187" t="str">
            <v>240404</v>
          </cell>
          <cell r="B187" t="str">
            <v>Ayat Silang Antar Cabang Lampung</v>
          </cell>
          <cell r="C187" t="str">
            <v>A02</v>
          </cell>
        </row>
        <row r="188">
          <cell r="A188" t="str">
            <v>240500</v>
          </cell>
          <cell r="B188" t="str">
            <v>KOSONG</v>
          </cell>
          <cell r="C188" t="str">
            <v>P14</v>
          </cell>
        </row>
        <row r="189">
          <cell r="A189" t="str">
            <v>250100</v>
          </cell>
          <cell r="B189" t="str">
            <v>Penjualan Pupuk</v>
          </cell>
          <cell r="C189" t="str">
            <v>LR01</v>
          </cell>
        </row>
        <row r="190">
          <cell r="A190" t="str">
            <v>250101</v>
          </cell>
          <cell r="B190" t="str">
            <v>Pupuk Subsidi</v>
          </cell>
          <cell r="C190" t="str">
            <v>LR01</v>
          </cell>
        </row>
        <row r="191">
          <cell r="A191" t="str">
            <v>250102</v>
          </cell>
          <cell r="B191" t="str">
            <v>Pupuk Non Subsidi</v>
          </cell>
          <cell r="C191" t="str">
            <v>LR01</v>
          </cell>
        </row>
        <row r="192">
          <cell r="A192" t="str">
            <v>250103</v>
          </cell>
          <cell r="B192" t="str">
            <v>Pupuk Non Subsidi Ritail</v>
          </cell>
          <cell r="C192" t="str">
            <v>LR01</v>
          </cell>
        </row>
        <row r="193">
          <cell r="A193" t="str">
            <v>250104</v>
          </cell>
          <cell r="B193" t="str">
            <v>Pupuk Indrustri</v>
          </cell>
          <cell r="C193" t="str">
            <v>LR01</v>
          </cell>
        </row>
        <row r="194">
          <cell r="A194" t="str">
            <v>250105</v>
          </cell>
          <cell r="B194" t="str">
            <v>Pestisida</v>
          </cell>
          <cell r="C194" t="str">
            <v>LR01</v>
          </cell>
        </row>
        <row r="195">
          <cell r="A195" t="str">
            <v>250106</v>
          </cell>
          <cell r="B195" t="str">
            <v>Bahan Kimia</v>
          </cell>
          <cell r="C195" t="str">
            <v>LR01</v>
          </cell>
        </row>
        <row r="196">
          <cell r="A196" t="str">
            <v>250107</v>
          </cell>
          <cell r="B196" t="str">
            <v>Kesuplieran Bahan Teknik</v>
          </cell>
          <cell r="C196" t="str">
            <v>LR01</v>
          </cell>
        </row>
        <row r="197">
          <cell r="A197" t="str">
            <v>250108</v>
          </cell>
          <cell r="B197" t="str">
            <v>Kesuplieran Bahan Kimia</v>
          </cell>
          <cell r="C197" t="str">
            <v>LR01</v>
          </cell>
        </row>
        <row r="198">
          <cell r="A198" t="str">
            <v>250109</v>
          </cell>
          <cell r="B198" t="str">
            <v>Bibit Benih</v>
          </cell>
          <cell r="C198" t="str">
            <v>LR01</v>
          </cell>
        </row>
        <row r="199">
          <cell r="A199" t="str">
            <v>250110</v>
          </cell>
          <cell r="B199" t="str">
            <v>Benih</v>
          </cell>
          <cell r="C199" t="str">
            <v>LR01</v>
          </cell>
        </row>
        <row r="200">
          <cell r="A200" t="str">
            <v>250111</v>
          </cell>
          <cell r="B200" t="str">
            <v>Jasa Angkutan Pupuk</v>
          </cell>
          <cell r="C200" t="str">
            <v>LR01</v>
          </cell>
        </row>
        <row r="201">
          <cell r="A201" t="str">
            <v>250112</v>
          </cell>
          <cell r="B201" t="str">
            <v>Jasa Angkutan Non Pupuk</v>
          </cell>
          <cell r="C201" t="str">
            <v>LR01</v>
          </cell>
        </row>
        <row r="202">
          <cell r="A202" t="str">
            <v>250113</v>
          </cell>
          <cell r="B202" t="str">
            <v>Jasa Pengelolaan Gudang</v>
          </cell>
          <cell r="C202" t="str">
            <v>LR01</v>
          </cell>
        </row>
        <row r="203">
          <cell r="A203" t="str">
            <v>250114</v>
          </cell>
          <cell r="B203" t="str">
            <v>Hasil Produksi Petroganik</v>
          </cell>
          <cell r="C203" t="str">
            <v>LR01</v>
          </cell>
        </row>
        <row r="204">
          <cell r="A204" t="str">
            <v>250200</v>
          </cell>
          <cell r="B204" t="str">
            <v>Diskon Penjualan Pupuk</v>
          </cell>
          <cell r="C204" t="str">
            <v>LR03</v>
          </cell>
        </row>
        <row r="205">
          <cell r="A205" t="str">
            <v>250201</v>
          </cell>
          <cell r="B205" t="str">
            <v>Pupuk Subsidi</v>
          </cell>
          <cell r="C205" t="str">
            <v>LR03</v>
          </cell>
        </row>
        <row r="206">
          <cell r="A206" t="str">
            <v>250202</v>
          </cell>
          <cell r="B206" t="str">
            <v>Pupuk Non Subsidi</v>
          </cell>
          <cell r="C206" t="str">
            <v>LR03</v>
          </cell>
        </row>
        <row r="207">
          <cell r="A207" t="str">
            <v>250203</v>
          </cell>
          <cell r="B207" t="str">
            <v>Pupuk Non Subsidi Ritail</v>
          </cell>
          <cell r="C207" t="str">
            <v>LR03</v>
          </cell>
        </row>
        <row r="208">
          <cell r="A208" t="str">
            <v>250204</v>
          </cell>
          <cell r="B208" t="str">
            <v>Pupuk Indrustri</v>
          </cell>
          <cell r="C208" t="str">
            <v>LR03</v>
          </cell>
        </row>
        <row r="209">
          <cell r="A209" t="str">
            <v>250205</v>
          </cell>
          <cell r="B209" t="str">
            <v>Pestisida</v>
          </cell>
          <cell r="C209" t="str">
            <v>LR03</v>
          </cell>
        </row>
        <row r="210">
          <cell r="A210" t="str">
            <v>250206</v>
          </cell>
          <cell r="B210" t="str">
            <v>Bahan Kimia</v>
          </cell>
          <cell r="C210" t="str">
            <v>LR03</v>
          </cell>
        </row>
        <row r="211">
          <cell r="A211" t="str">
            <v>250207</v>
          </cell>
          <cell r="B211" t="str">
            <v>Kesuplieran Bahan Teknik</v>
          </cell>
          <cell r="C211" t="str">
            <v>LR03</v>
          </cell>
        </row>
        <row r="212">
          <cell r="A212" t="str">
            <v>250208</v>
          </cell>
          <cell r="B212" t="str">
            <v>Kesuplieran Bahan Kimia</v>
          </cell>
          <cell r="C212" t="str">
            <v>LR03</v>
          </cell>
        </row>
        <row r="213">
          <cell r="A213" t="str">
            <v>250209</v>
          </cell>
          <cell r="B213" t="str">
            <v>Bibit Benih</v>
          </cell>
          <cell r="C213" t="str">
            <v>LR03</v>
          </cell>
        </row>
        <row r="214">
          <cell r="A214" t="str">
            <v>250210</v>
          </cell>
          <cell r="B214" t="str">
            <v>Benih</v>
          </cell>
          <cell r="C214" t="str">
            <v>LR03</v>
          </cell>
        </row>
        <row r="215">
          <cell r="A215" t="str">
            <v>250211</v>
          </cell>
          <cell r="B215" t="str">
            <v>Jasa Angkutan Pupuk</v>
          </cell>
          <cell r="C215" t="str">
            <v>LR03</v>
          </cell>
        </row>
        <row r="216">
          <cell r="A216" t="str">
            <v>250212</v>
          </cell>
          <cell r="B216" t="str">
            <v>Jasa Angkutan Non Pupuk</v>
          </cell>
          <cell r="C216" t="str">
            <v>LR03</v>
          </cell>
        </row>
        <row r="217">
          <cell r="A217" t="str">
            <v>250213</v>
          </cell>
          <cell r="B217" t="str">
            <v>Jasa Pengelolaan Gudang</v>
          </cell>
          <cell r="C217" t="str">
            <v>LR03</v>
          </cell>
        </row>
        <row r="218">
          <cell r="A218" t="str">
            <v>250214</v>
          </cell>
          <cell r="B218" t="str">
            <v>Hasil Produksi Petroganik</v>
          </cell>
          <cell r="C218" t="str">
            <v>LR03</v>
          </cell>
        </row>
        <row r="219">
          <cell r="A219" t="str">
            <v>250301</v>
          </cell>
          <cell r="B219" t="str">
            <v>Pupuk Subsidi</v>
          </cell>
          <cell r="C219" t="str">
            <v>LR04</v>
          </cell>
        </row>
        <row r="220">
          <cell r="A220" t="str">
            <v>250302</v>
          </cell>
          <cell r="B220" t="str">
            <v>Pupuk Non Subsidi</v>
          </cell>
          <cell r="C220" t="str">
            <v>LR04</v>
          </cell>
        </row>
        <row r="221">
          <cell r="A221" t="str">
            <v>250303</v>
          </cell>
          <cell r="B221" t="str">
            <v>Pupuk Non Subsidi Ritail</v>
          </cell>
          <cell r="C221" t="str">
            <v>LR04</v>
          </cell>
        </row>
        <row r="222">
          <cell r="A222" t="str">
            <v>250304</v>
          </cell>
          <cell r="B222" t="str">
            <v>Pupuk Indrustri</v>
          </cell>
          <cell r="C222" t="str">
            <v>LR04</v>
          </cell>
        </row>
        <row r="223">
          <cell r="A223" t="str">
            <v>250305</v>
          </cell>
          <cell r="B223" t="str">
            <v>Pestisida</v>
          </cell>
          <cell r="C223" t="str">
            <v>LR04</v>
          </cell>
        </row>
        <row r="224">
          <cell r="A224" t="str">
            <v>250306</v>
          </cell>
          <cell r="B224" t="str">
            <v>Bahan Kimia</v>
          </cell>
          <cell r="C224" t="str">
            <v>LR04</v>
          </cell>
        </row>
        <row r="225">
          <cell r="A225" t="str">
            <v>250307</v>
          </cell>
          <cell r="B225" t="str">
            <v>Kesuplieran Bahan Teknik</v>
          </cell>
          <cell r="C225" t="str">
            <v>LR04</v>
          </cell>
        </row>
        <row r="226">
          <cell r="A226" t="str">
            <v>250308</v>
          </cell>
          <cell r="B226" t="str">
            <v>Kesuplieran Bahan Kimia</v>
          </cell>
          <cell r="C226" t="str">
            <v>LR04</v>
          </cell>
        </row>
        <row r="227">
          <cell r="A227" t="str">
            <v>250309</v>
          </cell>
          <cell r="B227" t="str">
            <v>Bibit Benih</v>
          </cell>
          <cell r="C227" t="str">
            <v>LR04</v>
          </cell>
        </row>
        <row r="228">
          <cell r="A228" t="str">
            <v>250310</v>
          </cell>
          <cell r="B228" t="str">
            <v>Benih</v>
          </cell>
          <cell r="C228" t="str">
            <v>LR04</v>
          </cell>
        </row>
        <row r="229">
          <cell r="A229" t="str">
            <v>250311</v>
          </cell>
          <cell r="B229" t="str">
            <v>Jasa Angkutan Pupuk</v>
          </cell>
          <cell r="C229" t="str">
            <v>LR04</v>
          </cell>
        </row>
        <row r="230">
          <cell r="A230" t="str">
            <v>250312</v>
          </cell>
          <cell r="B230" t="str">
            <v>Jasa Angkutan Non Pupuk</v>
          </cell>
          <cell r="C230" t="str">
            <v>LR04</v>
          </cell>
        </row>
        <row r="231">
          <cell r="A231" t="str">
            <v>250313</v>
          </cell>
          <cell r="B231" t="str">
            <v>Jasa Pengelolaan Gudang</v>
          </cell>
          <cell r="C231" t="str">
            <v>LR04</v>
          </cell>
        </row>
        <row r="232">
          <cell r="A232" t="str">
            <v>250314</v>
          </cell>
          <cell r="B232" t="str">
            <v>Hasil Produksi Petroganik</v>
          </cell>
          <cell r="C232" t="str">
            <v>LR04</v>
          </cell>
        </row>
        <row r="233">
          <cell r="A233" t="str">
            <v>250400</v>
          </cell>
          <cell r="B233" t="str">
            <v>Harga Pokok Penjualan</v>
          </cell>
          <cell r="C233" t="str">
            <v>LR02</v>
          </cell>
        </row>
        <row r="234">
          <cell r="A234" t="str">
            <v>250401</v>
          </cell>
          <cell r="B234" t="str">
            <v>Harga Bahan Pokok Barang</v>
          </cell>
          <cell r="C234" t="str">
            <v>LR02</v>
          </cell>
        </row>
        <row r="235">
          <cell r="A235" t="str">
            <v>250402</v>
          </cell>
          <cell r="B235" t="str">
            <v>Kesusutan Barang</v>
          </cell>
          <cell r="C235" t="str">
            <v>LR02</v>
          </cell>
        </row>
        <row r="236">
          <cell r="A236" t="str">
            <v>250403</v>
          </cell>
          <cell r="B236" t="str">
            <v>Harga Bahan Baku Produksi</v>
          </cell>
          <cell r="C236" t="str">
            <v>LR02</v>
          </cell>
        </row>
        <row r="237">
          <cell r="A237" t="str">
            <v>250404</v>
          </cell>
          <cell r="B237" t="str">
            <v>Harga Bahan Pokok Produksi (Adj)</v>
          </cell>
          <cell r="C237" t="str">
            <v>LR02</v>
          </cell>
        </row>
        <row r="238">
          <cell r="A238" t="str">
            <v>250405</v>
          </cell>
          <cell r="B238" t="str">
            <v>Harga Bahan Penolong Produksi</v>
          </cell>
          <cell r="C238" t="str">
            <v>LR02</v>
          </cell>
        </row>
        <row r="239">
          <cell r="A239" t="str">
            <v>250406</v>
          </cell>
          <cell r="B239" t="str">
            <v>Biaya Diperhitungkan ke HPP</v>
          </cell>
          <cell r="C239" t="str">
            <v>LR02</v>
          </cell>
        </row>
        <row r="240">
          <cell r="A240" t="str">
            <v>260100</v>
          </cell>
          <cell r="B240" t="str">
            <v>Biaya Umum Dan Administrasi</v>
          </cell>
          <cell r="C240" t="str">
            <v>LR05</v>
          </cell>
        </row>
        <row r="241">
          <cell r="A241" t="str">
            <v>260101</v>
          </cell>
          <cell r="B241" t="str">
            <v>Biaya Gaji, Upah Dan Honorarium</v>
          </cell>
          <cell r="C241" t="str">
            <v>LR05</v>
          </cell>
        </row>
        <row r="242">
          <cell r="A242" t="str">
            <v>260102</v>
          </cell>
          <cell r="B242" t="str">
            <v>Biaya Gaji Karyawan Dbp</v>
          </cell>
          <cell r="C242" t="str">
            <v>LR05</v>
          </cell>
        </row>
        <row r="243">
          <cell r="A243" t="str">
            <v>260103</v>
          </cell>
          <cell r="B243" t="str">
            <v>Biaya Natura Dan Uang Makan</v>
          </cell>
          <cell r="C243" t="str">
            <v>LR05</v>
          </cell>
        </row>
        <row r="244">
          <cell r="A244" t="str">
            <v>260104</v>
          </cell>
          <cell r="B244" t="str">
            <v>Biaya Perawatan Dan Pengobatan</v>
          </cell>
          <cell r="C244" t="str">
            <v>LR05</v>
          </cell>
        </row>
        <row r="245">
          <cell r="A245" t="str">
            <v>260105</v>
          </cell>
          <cell r="B245" t="str">
            <v xml:space="preserve">Biaya Kesejahteraan Karyawan </v>
          </cell>
          <cell r="C245" t="str">
            <v>LR05</v>
          </cell>
        </row>
        <row r="246">
          <cell r="A246" t="str">
            <v>260106</v>
          </cell>
          <cell r="B246" t="str">
            <v>Biaya Asuransi Karyawan</v>
          </cell>
          <cell r="C246" t="str">
            <v>LR05</v>
          </cell>
        </row>
        <row r="247">
          <cell r="A247" t="str">
            <v>260107</v>
          </cell>
          <cell r="B247" t="str">
            <v>Biaya Bbc</v>
          </cell>
          <cell r="C247" t="str">
            <v>LR05</v>
          </cell>
        </row>
        <row r="248">
          <cell r="A248" t="str">
            <v>260108</v>
          </cell>
          <cell r="B248" t="str">
            <v>Biaya Keagamaan</v>
          </cell>
          <cell r="C248" t="str">
            <v>LR05</v>
          </cell>
        </row>
        <row r="249">
          <cell r="A249" t="str">
            <v>260109</v>
          </cell>
          <cell r="B249" t="str">
            <v>Biaya Insentif</v>
          </cell>
          <cell r="C249" t="str">
            <v>LR05</v>
          </cell>
        </row>
        <row r="250">
          <cell r="A250" t="str">
            <v>260110</v>
          </cell>
          <cell r="B250" t="str">
            <v>Biaya Jasa Operasional</v>
          </cell>
          <cell r="C250" t="str">
            <v>LR05</v>
          </cell>
        </row>
        <row r="251">
          <cell r="A251" t="str">
            <v>260111</v>
          </cell>
          <cell r="B251" t="str">
            <v>Biaya Diklat &amp; Seminar</v>
          </cell>
          <cell r="C251" t="str">
            <v>LR05</v>
          </cell>
        </row>
        <row r="252">
          <cell r="A252" t="str">
            <v>260112</v>
          </cell>
          <cell r="B252" t="str">
            <v>Biaya Perjalanan Dinas</v>
          </cell>
          <cell r="C252" t="str">
            <v>LR05</v>
          </cell>
        </row>
        <row r="253">
          <cell r="A253" t="str">
            <v>260113</v>
          </cell>
          <cell r="B253" t="str">
            <v>Biaya Alat Tulis, Cetak &amp; Foto Copy</v>
          </cell>
          <cell r="C253" t="str">
            <v>LR05</v>
          </cell>
        </row>
        <row r="254">
          <cell r="A254" t="str">
            <v>260114</v>
          </cell>
          <cell r="B254" t="str">
            <v>Biaya Pos, Telepon &amp; Telegram</v>
          </cell>
          <cell r="C254" t="str">
            <v>LR05</v>
          </cell>
        </row>
        <row r="255">
          <cell r="A255" t="str">
            <v>260115</v>
          </cell>
          <cell r="B255" t="str">
            <v>Biaya Materai</v>
          </cell>
          <cell r="C255" t="str">
            <v>LR05</v>
          </cell>
        </row>
        <row r="256">
          <cell r="A256" t="str">
            <v>260116</v>
          </cell>
          <cell r="B256" t="str">
            <v>Biaya Surat Kabar</v>
          </cell>
          <cell r="C256" t="str">
            <v>LR05</v>
          </cell>
        </row>
        <row r="257">
          <cell r="A257" t="str">
            <v>260117</v>
          </cell>
          <cell r="B257" t="str">
            <v>Biaya Rapat Dan Tamu</v>
          </cell>
          <cell r="C257" t="str">
            <v>LR05</v>
          </cell>
        </row>
        <row r="258">
          <cell r="A258" t="str">
            <v>260118</v>
          </cell>
          <cell r="B258" t="str">
            <v>Biaya Audit Dan Konsultan Manajemen</v>
          </cell>
          <cell r="C258" t="str">
            <v>LR05</v>
          </cell>
        </row>
        <row r="259">
          <cell r="A259" t="str">
            <v>260119</v>
          </cell>
          <cell r="B259" t="str">
            <v>Biaya Asuransi</v>
          </cell>
          <cell r="C259" t="str">
            <v>LR05</v>
          </cell>
        </row>
        <row r="260">
          <cell r="A260" t="str">
            <v>260120</v>
          </cell>
          <cell r="B260" t="str">
            <v>Biaya Administrasi Bank</v>
          </cell>
          <cell r="C260" t="str">
            <v>LR05</v>
          </cell>
        </row>
        <row r="261">
          <cell r="A261" t="str">
            <v>260121</v>
          </cell>
          <cell r="B261" t="str">
            <v>Biaya Sewa Kantor, Listrik Dan Air</v>
          </cell>
          <cell r="C261" t="str">
            <v>LR05</v>
          </cell>
        </row>
        <row r="262">
          <cell r="A262" t="str">
            <v>260122</v>
          </cell>
          <cell r="B262" t="str">
            <v>Biaya Transportasi, Bahan Bakar &amp; Oli</v>
          </cell>
          <cell r="C262" t="str">
            <v>LR05</v>
          </cell>
        </row>
        <row r="263">
          <cell r="A263" t="str">
            <v>260123</v>
          </cell>
          <cell r="B263" t="str">
            <v>Biaya Sewa Kendaraan</v>
          </cell>
          <cell r="C263" t="str">
            <v>LR05</v>
          </cell>
        </row>
        <row r="264">
          <cell r="A264" t="str">
            <v>260124</v>
          </cell>
          <cell r="B264" t="str">
            <v>Biaya Pemeliharaan Gedung dan Bangunan</v>
          </cell>
          <cell r="C264" t="str">
            <v>LR05</v>
          </cell>
        </row>
        <row r="265">
          <cell r="A265" t="str">
            <v>260125</v>
          </cell>
          <cell r="B265" t="str">
            <v>Biaya Pemeliharaan Kendaraan</v>
          </cell>
          <cell r="C265" t="str">
            <v>LR05</v>
          </cell>
        </row>
        <row r="266">
          <cell r="A266" t="str">
            <v>260126</v>
          </cell>
          <cell r="B266" t="str">
            <v>Biaya Bantuan Sosial</v>
          </cell>
          <cell r="C266" t="str">
            <v>LR05</v>
          </cell>
        </row>
        <row r="267">
          <cell r="A267" t="str">
            <v>260127</v>
          </cell>
          <cell r="B267" t="str">
            <v>Biaya Penyusutan</v>
          </cell>
          <cell r="C267" t="str">
            <v>LR05</v>
          </cell>
        </row>
        <row r="268">
          <cell r="A268" t="str">
            <v>260128</v>
          </cell>
          <cell r="B268" t="str">
            <v>Biaya Umum Dan Lain-Lain</v>
          </cell>
          <cell r="C268" t="str">
            <v>LR05</v>
          </cell>
        </row>
        <row r="269">
          <cell r="A269" t="str">
            <v>260200</v>
          </cell>
          <cell r="B269" t="str">
            <v>Biaya Gaji, Upah Dan Honorarium</v>
          </cell>
          <cell r="C269" t="str">
            <v>LR06</v>
          </cell>
        </row>
        <row r="270">
          <cell r="A270" t="str">
            <v>260201</v>
          </cell>
          <cell r="B270" t="str">
            <v>Biaya Gaji, Upah Dan Honorarium</v>
          </cell>
          <cell r="C270" t="str">
            <v>LR06</v>
          </cell>
        </row>
        <row r="271">
          <cell r="A271" t="str">
            <v>260202</v>
          </cell>
          <cell r="B271" t="str">
            <v>Biaya Gaji Karyawan Dbp</v>
          </cell>
          <cell r="C271" t="str">
            <v>LR06</v>
          </cell>
        </row>
        <row r="272">
          <cell r="A272" t="str">
            <v>260203</v>
          </cell>
          <cell r="B272" t="str">
            <v>Biaya Natura Dan Uang Makan</v>
          </cell>
          <cell r="C272" t="str">
            <v>LR06</v>
          </cell>
        </row>
        <row r="273">
          <cell r="A273" t="str">
            <v>260204</v>
          </cell>
          <cell r="B273" t="str">
            <v>Biaya Perawatan Dan Pengobatan</v>
          </cell>
          <cell r="C273" t="str">
            <v>LR06</v>
          </cell>
        </row>
        <row r="274">
          <cell r="A274" t="str">
            <v>260205</v>
          </cell>
          <cell r="B274" t="str">
            <v xml:space="preserve">Biaya Kesejahteraan Karyawan </v>
          </cell>
          <cell r="C274" t="str">
            <v>LR06</v>
          </cell>
        </row>
        <row r="275">
          <cell r="A275" t="str">
            <v>260206</v>
          </cell>
          <cell r="B275" t="str">
            <v>Biaya Asuransi Karyawan</v>
          </cell>
          <cell r="C275" t="str">
            <v>LR06</v>
          </cell>
        </row>
        <row r="276">
          <cell r="A276" t="str">
            <v>260207</v>
          </cell>
          <cell r="B276" t="str">
            <v>Biaya Bbc</v>
          </cell>
          <cell r="C276" t="str">
            <v>LR06</v>
          </cell>
        </row>
        <row r="277">
          <cell r="A277" t="str">
            <v>260208</v>
          </cell>
          <cell r="B277" t="str">
            <v>Biaya Keagamaan</v>
          </cell>
          <cell r="C277" t="str">
            <v>LR06</v>
          </cell>
        </row>
        <row r="278">
          <cell r="A278" t="str">
            <v>260209</v>
          </cell>
          <cell r="B278" t="str">
            <v>Biaya Insentif</v>
          </cell>
          <cell r="C278" t="str">
            <v>LR06</v>
          </cell>
        </row>
        <row r="279">
          <cell r="A279" t="str">
            <v>260210</v>
          </cell>
          <cell r="B279" t="str">
            <v>Biaya Jasa Operasional</v>
          </cell>
          <cell r="C279" t="str">
            <v>LR06</v>
          </cell>
        </row>
        <row r="280">
          <cell r="A280" t="str">
            <v>260211</v>
          </cell>
          <cell r="B280" t="str">
            <v>Biaya Diklat &amp; Seminar</v>
          </cell>
          <cell r="C280" t="str">
            <v>LR06</v>
          </cell>
        </row>
        <row r="281">
          <cell r="A281" t="str">
            <v>260212</v>
          </cell>
          <cell r="B281" t="str">
            <v>Biaya Perjalanan Dinas</v>
          </cell>
          <cell r="C281" t="str">
            <v>LR06</v>
          </cell>
        </row>
        <row r="282">
          <cell r="A282" t="str">
            <v>260213</v>
          </cell>
          <cell r="B282" t="str">
            <v>Biaya Alat Tulis, Cetak &amp; Foto Copy</v>
          </cell>
          <cell r="C282" t="str">
            <v>LR06</v>
          </cell>
        </row>
        <row r="283">
          <cell r="A283" t="str">
            <v>260214</v>
          </cell>
          <cell r="B283" t="str">
            <v>Biaya Pos, Telepon &amp; Telegram</v>
          </cell>
          <cell r="C283" t="str">
            <v>LR06</v>
          </cell>
        </row>
        <row r="284">
          <cell r="A284" t="str">
            <v>260215</v>
          </cell>
          <cell r="B284" t="str">
            <v>Biaya Materai</v>
          </cell>
          <cell r="C284" t="str">
            <v>LR06</v>
          </cell>
        </row>
        <row r="285">
          <cell r="A285" t="str">
            <v>260216</v>
          </cell>
          <cell r="B285" t="str">
            <v>Biaya Surat Kabar</v>
          </cell>
          <cell r="C285" t="str">
            <v>LR06</v>
          </cell>
        </row>
        <row r="286">
          <cell r="A286" t="str">
            <v>260217</v>
          </cell>
          <cell r="B286" t="str">
            <v>Biaya Rapat Dan Tamu</v>
          </cell>
          <cell r="C286" t="str">
            <v>LR06</v>
          </cell>
        </row>
        <row r="287">
          <cell r="A287" t="str">
            <v>260218</v>
          </cell>
          <cell r="B287" t="str">
            <v>Biaya Audit Dan Konsultan Manajemen</v>
          </cell>
          <cell r="C287" t="str">
            <v>LR06</v>
          </cell>
        </row>
        <row r="288">
          <cell r="A288" t="str">
            <v>260219</v>
          </cell>
          <cell r="B288" t="str">
            <v>Biaya Asuransi</v>
          </cell>
          <cell r="C288" t="str">
            <v>LR06</v>
          </cell>
        </row>
        <row r="289">
          <cell r="A289" t="str">
            <v>260220</v>
          </cell>
          <cell r="B289" t="str">
            <v>Biaya Administrasi Bank</v>
          </cell>
          <cell r="C289" t="str">
            <v>LR06</v>
          </cell>
        </row>
        <row r="290">
          <cell r="A290" t="str">
            <v>260221</v>
          </cell>
          <cell r="B290" t="str">
            <v>Biaya Sewa Kantor, Listrik Dan Air</v>
          </cell>
          <cell r="C290" t="str">
            <v>LR06</v>
          </cell>
        </row>
        <row r="291">
          <cell r="A291" t="str">
            <v>260222</v>
          </cell>
          <cell r="B291" t="str">
            <v>Biaya Transportasi, Bahan Bakar &amp; Oli</v>
          </cell>
          <cell r="C291" t="str">
            <v>LR06</v>
          </cell>
        </row>
        <row r="292">
          <cell r="A292" t="str">
            <v>260223</v>
          </cell>
          <cell r="B292" t="str">
            <v>Biaya Sewa Kendaraan</v>
          </cell>
          <cell r="C292" t="str">
            <v>LR06</v>
          </cell>
        </row>
        <row r="293">
          <cell r="A293" t="str">
            <v>260224</v>
          </cell>
          <cell r="B293" t="str">
            <v>Biaya Pemeliharaan Kantor</v>
          </cell>
          <cell r="C293" t="str">
            <v>LR06</v>
          </cell>
        </row>
        <row r="294">
          <cell r="A294" t="str">
            <v>260225</v>
          </cell>
          <cell r="B294" t="str">
            <v>Biaya Pemeliharaan Rumah Dinas</v>
          </cell>
          <cell r="C294" t="str">
            <v>LR06</v>
          </cell>
        </row>
        <row r="295">
          <cell r="A295" t="str">
            <v>260226</v>
          </cell>
          <cell r="B295" t="str">
            <v>Biaya Pemeliharaan Pabrik</v>
          </cell>
          <cell r="C295" t="str">
            <v>LR06</v>
          </cell>
        </row>
        <row r="296">
          <cell r="A296" t="str">
            <v>260227</v>
          </cell>
          <cell r="B296" t="str">
            <v>Biaya Pemeliharaan Gudang</v>
          </cell>
          <cell r="C296" t="str">
            <v>LR06</v>
          </cell>
        </row>
        <row r="297">
          <cell r="A297" t="str">
            <v>260228</v>
          </cell>
          <cell r="B297" t="str">
            <v>Biaya Pemeliharaan Kendaraan</v>
          </cell>
          <cell r="C297" t="str">
            <v>LR06</v>
          </cell>
        </row>
        <row r="298">
          <cell r="A298" t="str">
            <v>260229</v>
          </cell>
          <cell r="B298" t="str">
            <v xml:space="preserve">Biaya Penyusustan </v>
          </cell>
          <cell r="C298" t="str">
            <v>LR06</v>
          </cell>
        </row>
        <row r="299">
          <cell r="A299" t="str">
            <v>260230</v>
          </cell>
          <cell r="B299" t="str">
            <v>Biaya Pemasaran Kabupaten (Ppk)</v>
          </cell>
          <cell r="C299" t="str">
            <v>LR06</v>
          </cell>
        </row>
        <row r="300">
          <cell r="A300" t="str">
            <v>260231</v>
          </cell>
          <cell r="B300" t="str">
            <v>Biaya Promosi / Advertensi</v>
          </cell>
          <cell r="C300" t="str">
            <v>LR06</v>
          </cell>
        </row>
        <row r="301">
          <cell r="A301" t="str">
            <v>260232</v>
          </cell>
          <cell r="B301" t="str">
            <v>Biaya Umum Dan Lain-Lain</v>
          </cell>
          <cell r="C301" t="str">
            <v>LR06</v>
          </cell>
        </row>
        <row r="302">
          <cell r="A302" t="str">
            <v>260300</v>
          </cell>
          <cell r="B302" t="str">
            <v>Biaya Bunga</v>
          </cell>
          <cell r="C302" t="str">
            <v>LR07</v>
          </cell>
        </row>
        <row r="303">
          <cell r="A303" t="str">
            <v>260301</v>
          </cell>
          <cell r="B303" t="str">
            <v>Biaya Bunga</v>
          </cell>
          <cell r="C303" t="str">
            <v>LR07</v>
          </cell>
        </row>
        <row r="304">
          <cell r="A304" t="str">
            <v>270100</v>
          </cell>
          <cell r="B304" t="str">
            <v>Pendapatan Penjualan Aktiva Tetap</v>
          </cell>
          <cell r="C304" t="str">
            <v>LR09</v>
          </cell>
        </row>
        <row r="305">
          <cell r="A305" t="str">
            <v>270101</v>
          </cell>
          <cell r="B305" t="str">
            <v>Pendapatan Penjualan Aktiva Tetap</v>
          </cell>
          <cell r="C305" t="str">
            <v>LR09</v>
          </cell>
        </row>
        <row r="306">
          <cell r="A306" t="str">
            <v>270102</v>
          </cell>
          <cell r="B306" t="str">
            <v>Pendapatan Lain - lain</v>
          </cell>
          <cell r="C306" t="str">
            <v>LR09</v>
          </cell>
        </row>
        <row r="307">
          <cell r="A307" t="str">
            <v>270200</v>
          </cell>
          <cell r="B307" t="str">
            <v>Biaya Diluar Usaha</v>
          </cell>
          <cell r="C307" t="str">
            <v>LR09</v>
          </cell>
        </row>
        <row r="308">
          <cell r="A308" t="str">
            <v>270201</v>
          </cell>
          <cell r="B308" t="str">
            <v>Biaya Lain - lain Diluar Usaha</v>
          </cell>
          <cell r="C308" t="str">
            <v>LR09</v>
          </cell>
        </row>
        <row r="309">
          <cell r="A309" t="str">
            <v>280100</v>
          </cell>
          <cell r="B309" t="str">
            <v>Beban Pajak Penghasilan</v>
          </cell>
          <cell r="C309" t="str">
            <v>LR10</v>
          </cell>
        </row>
        <row r="310">
          <cell r="A310" t="str">
            <v>290100</v>
          </cell>
          <cell r="B310" t="str">
            <v>Laba (Rugi) dipindahkan</v>
          </cell>
          <cell r="C310" t="str">
            <v>LR11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2:V44"/>
  <sheetViews>
    <sheetView tabSelected="1" zoomScale="80" zoomScaleNormal="80" workbookViewId="0">
      <pane ySplit="7" topLeftCell="A8" activePane="bottomLeft" state="frozen"/>
      <selection pane="bottomLeft" activeCell="G49" sqref="G49"/>
    </sheetView>
  </sheetViews>
  <sheetFormatPr defaultColWidth="9.140625" defaultRowHeight="15" outlineLevelCol="1" x14ac:dyDescent="0.25"/>
  <cols>
    <col min="1" max="2" width="5.28515625" style="62" customWidth="1"/>
    <col min="3" max="3" width="38.42578125" style="62" bestFit="1" customWidth="1"/>
    <col min="4" max="4" width="20.140625" style="136" customWidth="1" outlineLevel="1"/>
    <col min="5" max="8" width="20.140625" style="136" customWidth="1"/>
    <col min="9" max="9" width="5.28515625" style="62" customWidth="1"/>
    <col min="10" max="10" width="40.7109375" style="62" bestFit="1" customWidth="1"/>
    <col min="11" max="11" width="20.140625" style="136" customWidth="1" outlineLevel="1"/>
    <col min="12" max="14" width="20.140625" style="136" customWidth="1"/>
    <col min="15" max="15" width="19.5703125" style="136" bestFit="1" customWidth="1"/>
    <col min="16" max="16" width="19.140625" style="99" bestFit="1" customWidth="1"/>
    <col min="17" max="17" width="16.28515625" style="62" bestFit="1" customWidth="1"/>
    <col min="18" max="18" width="13.42578125" style="62" bestFit="1" customWidth="1"/>
    <col min="19" max="20" width="9.140625" style="62"/>
    <col min="21" max="22" width="9.140625" style="99"/>
    <col min="23" max="23" width="9.140625" style="62"/>
    <col min="24" max="24" width="15.140625" style="62" bestFit="1" customWidth="1"/>
    <col min="25" max="16384" width="9.140625" style="62"/>
  </cols>
  <sheetData>
    <row r="2" spans="2:22" ht="15.75" x14ac:dyDescent="0.25">
      <c r="B2" s="176" t="s">
        <v>125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</row>
    <row r="3" spans="2:22" ht="15.75" x14ac:dyDescent="0.25">
      <c r="B3" s="177" t="s">
        <v>310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</row>
    <row r="4" spans="2:22" ht="15.75" x14ac:dyDescent="0.25">
      <c r="B4" s="177" t="s">
        <v>492</v>
      </c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</row>
    <row r="5" spans="2:22" x14ac:dyDescent="0.25">
      <c r="D5" s="148"/>
      <c r="E5" s="148"/>
      <c r="F5" s="148"/>
      <c r="G5" s="148"/>
    </row>
    <row r="6" spans="2:22" ht="15" customHeight="1" x14ac:dyDescent="0.25">
      <c r="B6" s="180" t="s">
        <v>95</v>
      </c>
      <c r="C6" s="180" t="s">
        <v>96</v>
      </c>
      <c r="D6" s="149" t="s">
        <v>126</v>
      </c>
      <c r="E6" s="149" t="s">
        <v>126</v>
      </c>
      <c r="F6" s="149" t="s">
        <v>126</v>
      </c>
      <c r="G6" s="149" t="s">
        <v>126</v>
      </c>
      <c r="H6" s="149" t="s">
        <v>126</v>
      </c>
      <c r="I6" s="181" t="s">
        <v>95</v>
      </c>
      <c r="J6" s="180" t="s">
        <v>96</v>
      </c>
      <c r="K6" s="159" t="str">
        <f t="shared" ref="K6:O7" si="0">D6</f>
        <v>PER</v>
      </c>
      <c r="L6" s="159" t="str">
        <f t="shared" si="0"/>
        <v>PER</v>
      </c>
      <c r="M6" s="159" t="str">
        <f t="shared" si="0"/>
        <v>PER</v>
      </c>
      <c r="N6" s="159" t="str">
        <f t="shared" si="0"/>
        <v>PER</v>
      </c>
      <c r="O6" s="159" t="str">
        <f t="shared" si="0"/>
        <v>PER</v>
      </c>
    </row>
    <row r="7" spans="2:22" ht="15" customHeight="1" x14ac:dyDescent="0.25">
      <c r="B7" s="180"/>
      <c r="C7" s="180"/>
      <c r="D7" s="150" t="s">
        <v>144</v>
      </c>
      <c r="E7" s="150" t="s">
        <v>292</v>
      </c>
      <c r="F7" s="150" t="s">
        <v>467</v>
      </c>
      <c r="G7" s="150" t="s">
        <v>487</v>
      </c>
      <c r="H7" s="175" t="s">
        <v>577</v>
      </c>
      <c r="I7" s="182"/>
      <c r="J7" s="180"/>
      <c r="K7" s="160" t="str">
        <f t="shared" si="0"/>
        <v>31 Desember 2022</v>
      </c>
      <c r="L7" s="160" t="str">
        <f t="shared" si="0"/>
        <v>31 Desember 2023</v>
      </c>
      <c r="M7" s="160" t="str">
        <f t="shared" si="0"/>
        <v>31 Desember 2024</v>
      </c>
      <c r="N7" s="160" t="str">
        <f t="shared" si="0"/>
        <v>31 Desember 2025</v>
      </c>
      <c r="O7" s="160" t="str">
        <f t="shared" si="0"/>
        <v>31 Januari 2026</v>
      </c>
    </row>
    <row r="8" spans="2:22" ht="15" customHeight="1" x14ac:dyDescent="0.25">
      <c r="B8" s="63" t="s">
        <v>97</v>
      </c>
      <c r="C8" s="64" t="s">
        <v>98</v>
      </c>
      <c r="D8" s="151"/>
      <c r="E8" s="151"/>
      <c r="F8" s="151"/>
      <c r="G8" s="151"/>
      <c r="H8" s="151"/>
      <c r="I8" s="63" t="s">
        <v>121</v>
      </c>
      <c r="J8" s="64" t="s">
        <v>100</v>
      </c>
      <c r="K8" s="151"/>
      <c r="L8" s="151"/>
      <c r="M8" s="151"/>
      <c r="N8" s="151"/>
      <c r="O8" s="151"/>
    </row>
    <row r="9" spans="2:22" ht="15" customHeight="1" x14ac:dyDescent="0.25">
      <c r="B9" s="65"/>
      <c r="C9" s="66" t="s">
        <v>72</v>
      </c>
      <c r="D9" s="152">
        <v>22964480.670000076</v>
      </c>
      <c r="E9" s="152">
        <v>5751013.6700000763</v>
      </c>
      <c r="F9" s="152">
        <v>1788563.6700000763</v>
      </c>
      <c r="G9" s="152">
        <v>8851508.6700000763</v>
      </c>
      <c r="H9" s="152">
        <f>'WS Trial balance'!L7</f>
        <v>8458508.6700000763</v>
      </c>
      <c r="I9" s="65"/>
      <c r="J9" s="66" t="s">
        <v>300</v>
      </c>
      <c r="K9" s="161">
        <v>0</v>
      </c>
      <c r="L9" s="161">
        <v>0</v>
      </c>
      <c r="M9" s="161">
        <v>0</v>
      </c>
      <c r="N9" s="161">
        <v>0</v>
      </c>
      <c r="O9" s="161">
        <v>0</v>
      </c>
      <c r="P9" s="62"/>
      <c r="U9" s="62"/>
      <c r="V9" s="62"/>
    </row>
    <row r="10" spans="2:22" ht="15" customHeight="1" x14ac:dyDescent="0.25">
      <c r="B10" s="65"/>
      <c r="C10" s="66" t="s">
        <v>74</v>
      </c>
      <c r="D10" s="152">
        <v>38487371.7000008</v>
      </c>
      <c r="E10" s="152">
        <v>53412528.38999939</v>
      </c>
      <c r="F10" s="152">
        <v>42405265.960000038</v>
      </c>
      <c r="G10" s="152">
        <v>302956673.61999941</v>
      </c>
      <c r="H10" s="152">
        <f>'WS Trial balance'!L8</f>
        <v>313357384.91999942</v>
      </c>
      <c r="I10" s="65"/>
      <c r="J10" s="66" t="s">
        <v>301</v>
      </c>
      <c r="K10" s="162">
        <v>0</v>
      </c>
      <c r="L10" s="162">
        <v>0</v>
      </c>
      <c r="M10" s="162">
        <v>0</v>
      </c>
      <c r="N10" s="162">
        <v>0</v>
      </c>
      <c r="O10" s="162">
        <v>0</v>
      </c>
      <c r="P10" s="62"/>
      <c r="U10" s="62"/>
      <c r="V10" s="62"/>
    </row>
    <row r="11" spans="2:22" ht="15" customHeight="1" x14ac:dyDescent="0.25">
      <c r="B11" s="65"/>
      <c r="C11" s="66" t="s">
        <v>296</v>
      </c>
      <c r="D11" s="152">
        <v>0</v>
      </c>
      <c r="E11" s="152">
        <v>0</v>
      </c>
      <c r="F11" s="152">
        <v>0</v>
      </c>
      <c r="G11" s="152">
        <v>0</v>
      </c>
      <c r="H11" s="152">
        <v>0</v>
      </c>
      <c r="I11" s="65"/>
      <c r="J11" s="66" t="s">
        <v>302</v>
      </c>
      <c r="K11" s="161">
        <v>0</v>
      </c>
      <c r="L11" s="161">
        <v>0</v>
      </c>
      <c r="M11" s="161">
        <v>0</v>
      </c>
      <c r="N11" s="161">
        <v>0</v>
      </c>
      <c r="O11" s="161">
        <v>0</v>
      </c>
      <c r="P11" s="62"/>
      <c r="U11" s="62"/>
      <c r="V11" s="62"/>
    </row>
    <row r="12" spans="2:22" ht="15" customHeight="1" x14ac:dyDescent="0.25">
      <c r="B12" s="65"/>
      <c r="C12" s="66" t="s">
        <v>297</v>
      </c>
      <c r="D12" s="152">
        <v>1570759595.7777438</v>
      </c>
      <c r="E12" s="152">
        <v>1754783596.6166806</v>
      </c>
      <c r="F12" s="152">
        <v>1977894241.3630219</v>
      </c>
      <c r="G12" s="152">
        <v>1926419694.7945766</v>
      </c>
      <c r="H12" s="152">
        <f>'WS Trial balance'!L10</f>
        <v>1978993158.1312437</v>
      </c>
      <c r="I12" s="65"/>
      <c r="J12" s="62" t="s">
        <v>303</v>
      </c>
      <c r="K12" s="161">
        <v>6033860000</v>
      </c>
      <c r="L12" s="161">
        <v>6164854500</v>
      </c>
      <c r="M12" s="161">
        <v>2850000000</v>
      </c>
      <c r="N12" s="161">
        <v>300000000</v>
      </c>
      <c r="O12" s="161">
        <f>'WS Trial balance'!M31</f>
        <v>300000000</v>
      </c>
      <c r="P12" s="62"/>
      <c r="U12" s="62"/>
      <c r="V12" s="62"/>
    </row>
    <row r="13" spans="2:22" ht="15" customHeight="1" x14ac:dyDescent="0.25">
      <c r="B13" s="65"/>
      <c r="C13" s="66" t="s">
        <v>298</v>
      </c>
      <c r="D13" s="152">
        <v>6561449467</v>
      </c>
      <c r="E13" s="152">
        <v>6721087630.5555553</v>
      </c>
      <c r="F13" s="152">
        <v>3335823867</v>
      </c>
      <c r="G13" s="152">
        <v>643143867</v>
      </c>
      <c r="H13" s="152">
        <f>'WS Trial balance'!L11</f>
        <v>635303867</v>
      </c>
      <c r="I13" s="65"/>
      <c r="K13" s="161"/>
      <c r="L13" s="161"/>
      <c r="M13" s="161"/>
      <c r="N13" s="161"/>
      <c r="O13" s="161"/>
      <c r="P13" s="62"/>
      <c r="U13" s="62"/>
      <c r="V13" s="62"/>
    </row>
    <row r="14" spans="2:22" ht="15" customHeight="1" x14ac:dyDescent="0.25">
      <c r="B14" s="65"/>
      <c r="C14" s="66" t="s">
        <v>299</v>
      </c>
      <c r="D14" s="152">
        <v>-75000000</v>
      </c>
      <c r="E14" s="152">
        <v>-155000000</v>
      </c>
      <c r="F14" s="152">
        <v>-164000000</v>
      </c>
      <c r="G14" s="152">
        <v>-182000000</v>
      </c>
      <c r="H14" s="152">
        <f>-'WS Trial balance'!M12</f>
        <v>-183500000</v>
      </c>
      <c r="I14" s="65"/>
      <c r="J14" s="66" t="s">
        <v>140</v>
      </c>
      <c r="K14" s="161">
        <v>0</v>
      </c>
      <c r="L14" s="161">
        <v>5244487.570415251</v>
      </c>
      <c r="M14" s="161">
        <v>29607286.427372813</v>
      </c>
      <c r="N14" s="161">
        <v>47686535.383781642</v>
      </c>
      <c r="O14" s="161">
        <f>'WS Trial balance'!M36</f>
        <v>47686535.383781642</v>
      </c>
      <c r="P14" s="62"/>
      <c r="U14" s="62"/>
      <c r="V14" s="62"/>
    </row>
    <row r="15" spans="2:22" ht="15" customHeight="1" x14ac:dyDescent="0.25">
      <c r="B15" s="65"/>
      <c r="C15" s="66" t="s">
        <v>101</v>
      </c>
      <c r="D15" s="152">
        <v>0</v>
      </c>
      <c r="E15" s="152">
        <v>0</v>
      </c>
      <c r="F15" s="152">
        <v>0</v>
      </c>
      <c r="G15" s="152">
        <v>0</v>
      </c>
      <c r="H15" s="152">
        <v>0</v>
      </c>
      <c r="I15" s="65"/>
      <c r="J15" s="66" t="s">
        <v>304</v>
      </c>
      <c r="K15" s="161">
        <v>0</v>
      </c>
      <c r="L15" s="161">
        <v>0</v>
      </c>
      <c r="M15" s="161">
        <v>0</v>
      </c>
      <c r="N15" s="161">
        <v>0</v>
      </c>
      <c r="O15" s="161">
        <v>0</v>
      </c>
      <c r="P15" s="62"/>
      <c r="U15" s="62"/>
      <c r="V15" s="62"/>
    </row>
    <row r="16" spans="2:22" ht="15" customHeight="1" x14ac:dyDescent="0.25">
      <c r="B16" s="65"/>
      <c r="C16" s="66" t="s">
        <v>75</v>
      </c>
      <c r="D16" s="152">
        <v>0</v>
      </c>
      <c r="E16" s="152">
        <v>0</v>
      </c>
      <c r="F16" s="152">
        <v>0</v>
      </c>
      <c r="G16" s="152">
        <v>0</v>
      </c>
      <c r="H16" s="152">
        <v>0</v>
      </c>
      <c r="I16" s="65"/>
      <c r="J16" s="66" t="s">
        <v>141</v>
      </c>
      <c r="K16" s="161">
        <v>0</v>
      </c>
      <c r="L16" s="161">
        <v>0</v>
      </c>
      <c r="M16" s="161">
        <v>0</v>
      </c>
      <c r="N16" s="161">
        <v>0</v>
      </c>
      <c r="O16" s="161">
        <v>0</v>
      </c>
      <c r="P16" s="62"/>
      <c r="U16" s="62"/>
      <c r="V16" s="62"/>
    </row>
    <row r="17" spans="2:22" ht="15" customHeight="1" x14ac:dyDescent="0.25">
      <c r="B17" s="97"/>
      <c r="C17" s="107" t="s">
        <v>143</v>
      </c>
      <c r="D17" s="153">
        <v>0</v>
      </c>
      <c r="E17" s="153">
        <v>0</v>
      </c>
      <c r="F17" s="153">
        <v>0</v>
      </c>
      <c r="G17" s="153">
        <v>0</v>
      </c>
      <c r="H17" s="153">
        <v>0</v>
      </c>
      <c r="I17" s="97"/>
      <c r="J17" s="66" t="s">
        <v>305</v>
      </c>
      <c r="K17" s="161">
        <v>0</v>
      </c>
      <c r="L17" s="161">
        <v>0</v>
      </c>
      <c r="M17" s="161">
        <v>0</v>
      </c>
      <c r="N17" s="161">
        <v>21680000</v>
      </c>
      <c r="O17" s="161">
        <f>'WS Trial balance'!M35</f>
        <v>21680000</v>
      </c>
      <c r="P17" s="62"/>
      <c r="U17" s="62"/>
      <c r="V17" s="62"/>
    </row>
    <row r="18" spans="2:22" ht="15" customHeight="1" x14ac:dyDescent="0.25">
      <c r="B18" s="65"/>
      <c r="C18" s="66" t="s">
        <v>76</v>
      </c>
      <c r="D18" s="152">
        <v>0</v>
      </c>
      <c r="E18" s="152">
        <v>0</v>
      </c>
      <c r="F18" s="152">
        <v>0</v>
      </c>
      <c r="G18" s="152">
        <v>0</v>
      </c>
      <c r="H18" s="152">
        <v>0</v>
      </c>
      <c r="I18" s="97"/>
      <c r="J18" s="66" t="s">
        <v>409</v>
      </c>
      <c r="K18" s="161">
        <v>0</v>
      </c>
      <c r="L18" s="161">
        <v>0</v>
      </c>
      <c r="M18" s="161">
        <v>0</v>
      </c>
      <c r="N18" s="161">
        <v>0</v>
      </c>
      <c r="O18" s="161">
        <f>'WS Trial balance'!M37</f>
        <v>28950000</v>
      </c>
      <c r="P18" s="62"/>
      <c r="U18" s="62"/>
      <c r="V18" s="62"/>
    </row>
    <row r="19" spans="2:22" ht="15" customHeight="1" x14ac:dyDescent="0.25">
      <c r="B19" s="65"/>
      <c r="C19" s="67" t="s">
        <v>102</v>
      </c>
      <c r="D19" s="154">
        <f>SUM(D9:D18)</f>
        <v>8118660915.1477451</v>
      </c>
      <c r="E19" s="154">
        <f>SUM(E9:E18)</f>
        <v>8380034769.232235</v>
      </c>
      <c r="F19" s="154">
        <f>SUM(F9:F18)</f>
        <v>5193911937.993022</v>
      </c>
      <c r="G19" s="154">
        <f>SUM(G9:G18)</f>
        <v>2699371744.0845761</v>
      </c>
      <c r="H19" s="154">
        <f>SUM(H9:H18)</f>
        <v>2752612918.7212434</v>
      </c>
      <c r="I19" s="97"/>
      <c r="J19" s="66" t="s">
        <v>83</v>
      </c>
      <c r="K19" s="162">
        <v>0</v>
      </c>
      <c r="L19" s="162">
        <v>0</v>
      </c>
      <c r="M19" s="162">
        <v>0</v>
      </c>
      <c r="N19" s="162">
        <v>0</v>
      </c>
      <c r="O19" s="162">
        <v>0</v>
      </c>
      <c r="P19" s="62"/>
      <c r="U19" s="62"/>
      <c r="V19" s="62"/>
    </row>
    <row r="20" spans="2:22" ht="15" customHeight="1" x14ac:dyDescent="0.25">
      <c r="B20" s="65" t="s">
        <v>103</v>
      </c>
      <c r="C20" s="68" t="s">
        <v>77</v>
      </c>
      <c r="D20" s="155">
        <v>0</v>
      </c>
      <c r="E20" s="155">
        <v>0</v>
      </c>
      <c r="F20" s="155">
        <v>0</v>
      </c>
      <c r="G20" s="155">
        <v>0</v>
      </c>
      <c r="H20" s="155">
        <v>0</v>
      </c>
      <c r="I20" s="65"/>
      <c r="J20" s="66"/>
      <c r="K20" s="161">
        <v>0</v>
      </c>
      <c r="L20" s="161">
        <v>0</v>
      </c>
      <c r="M20" s="161">
        <v>0</v>
      </c>
      <c r="N20" s="161">
        <v>0</v>
      </c>
      <c r="O20" s="161">
        <v>0</v>
      </c>
      <c r="P20" s="62"/>
      <c r="U20" s="62"/>
      <c r="V20" s="62"/>
    </row>
    <row r="21" spans="2:22" ht="15" customHeight="1" x14ac:dyDescent="0.25">
      <c r="B21" s="65" t="s">
        <v>104</v>
      </c>
      <c r="C21" s="68" t="s">
        <v>78</v>
      </c>
      <c r="D21" s="155">
        <v>0</v>
      </c>
      <c r="E21" s="155">
        <v>0</v>
      </c>
      <c r="F21" s="155">
        <v>0</v>
      </c>
      <c r="G21" s="155">
        <v>0</v>
      </c>
      <c r="H21" s="155">
        <v>0</v>
      </c>
      <c r="I21" s="97"/>
      <c r="J21" s="107"/>
      <c r="K21" s="162">
        <v>0</v>
      </c>
      <c r="L21" s="162">
        <v>0</v>
      </c>
      <c r="M21" s="162">
        <v>0</v>
      </c>
      <c r="N21" s="162">
        <v>0</v>
      </c>
      <c r="O21" s="162">
        <v>0</v>
      </c>
      <c r="P21" s="62"/>
      <c r="U21" s="62"/>
      <c r="V21" s="62"/>
    </row>
    <row r="22" spans="2:22" ht="15" customHeight="1" x14ac:dyDescent="0.25">
      <c r="B22" s="65" t="s">
        <v>105</v>
      </c>
      <c r="C22" s="68" t="s">
        <v>106</v>
      </c>
      <c r="D22" s="152"/>
      <c r="E22" s="152"/>
      <c r="F22" s="152"/>
      <c r="G22" s="152"/>
      <c r="H22" s="152"/>
      <c r="I22" s="65"/>
      <c r="J22" s="67" t="s">
        <v>108</v>
      </c>
      <c r="K22" s="154">
        <f>SUM(K9:K21)</f>
        <v>6033860000</v>
      </c>
      <c r="L22" s="154">
        <f>SUM(L9:L21)</f>
        <v>6170098987.5704155</v>
      </c>
      <c r="M22" s="154">
        <f>SUM(M9:M21)</f>
        <v>2879607286.4273729</v>
      </c>
      <c r="N22" s="154">
        <f>SUM(N9:N21)</f>
        <v>369366535.38378167</v>
      </c>
      <c r="O22" s="154">
        <f>SUM(O9:O21)</f>
        <v>398316535.38378167</v>
      </c>
      <c r="P22" s="62"/>
      <c r="U22" s="62"/>
      <c r="V22" s="62"/>
    </row>
    <row r="23" spans="2:22" ht="15" customHeight="1" x14ac:dyDescent="0.25">
      <c r="B23" s="65"/>
      <c r="C23" s="66" t="s">
        <v>79</v>
      </c>
      <c r="D23" s="152">
        <v>0</v>
      </c>
      <c r="E23" s="152">
        <v>0</v>
      </c>
      <c r="F23" s="152">
        <v>0</v>
      </c>
      <c r="G23" s="152">
        <v>0</v>
      </c>
      <c r="H23" s="152">
        <v>0</v>
      </c>
      <c r="I23" s="65" t="s">
        <v>99</v>
      </c>
      <c r="J23" s="68" t="s">
        <v>84</v>
      </c>
      <c r="K23" s="152"/>
      <c r="L23" s="152"/>
      <c r="M23" s="152"/>
      <c r="N23" s="152"/>
      <c r="O23" s="152"/>
      <c r="P23" s="62"/>
      <c r="U23" s="62"/>
      <c r="V23" s="62"/>
    </row>
    <row r="24" spans="2:22" ht="15" customHeight="1" x14ac:dyDescent="0.25">
      <c r="B24" s="65"/>
      <c r="C24" s="66" t="s">
        <v>107</v>
      </c>
      <c r="D24" s="152">
        <v>0</v>
      </c>
      <c r="E24" s="152">
        <v>0</v>
      </c>
      <c r="F24" s="152">
        <v>0</v>
      </c>
      <c r="G24" s="152">
        <v>0</v>
      </c>
      <c r="H24" s="152">
        <v>0</v>
      </c>
      <c r="I24" s="97"/>
      <c r="J24" s="66" t="s">
        <v>306</v>
      </c>
      <c r="K24" s="152">
        <v>10900000</v>
      </c>
      <c r="L24" s="152">
        <v>10100000</v>
      </c>
      <c r="M24" s="152">
        <v>9500000</v>
      </c>
      <c r="N24" s="152">
        <v>7900000</v>
      </c>
      <c r="O24" s="152">
        <f>'WS Trial balance'!M43</f>
        <v>7900000</v>
      </c>
      <c r="P24" s="62"/>
      <c r="U24" s="62"/>
      <c r="V24" s="62"/>
    </row>
    <row r="25" spans="2:22" ht="15" customHeight="1" x14ac:dyDescent="0.25">
      <c r="B25" s="65"/>
      <c r="C25" s="66" t="s">
        <v>80</v>
      </c>
      <c r="D25" s="152">
        <v>0</v>
      </c>
      <c r="E25" s="152">
        <v>0</v>
      </c>
      <c r="F25" s="152">
        <v>0</v>
      </c>
      <c r="G25" s="152">
        <v>0</v>
      </c>
      <c r="H25" s="152">
        <v>0</v>
      </c>
      <c r="I25" s="65"/>
      <c r="J25" s="66" t="s">
        <v>307</v>
      </c>
      <c r="K25" s="152">
        <v>306200000</v>
      </c>
      <c r="L25" s="152">
        <v>335950000</v>
      </c>
      <c r="M25" s="152">
        <v>364570000</v>
      </c>
      <c r="N25" s="152">
        <v>339030000</v>
      </c>
      <c r="O25" s="152">
        <f>+'WS Trial balance'!M44</f>
        <v>342830000</v>
      </c>
      <c r="P25" s="62"/>
      <c r="U25" s="62"/>
      <c r="V25" s="62"/>
    </row>
    <row r="26" spans="2:22" ht="15" customHeight="1" x14ac:dyDescent="0.25">
      <c r="B26" s="65"/>
      <c r="C26" s="66" t="s">
        <v>109</v>
      </c>
      <c r="D26" s="152">
        <v>0</v>
      </c>
      <c r="E26" s="152">
        <v>0</v>
      </c>
      <c r="F26" s="152">
        <v>0</v>
      </c>
      <c r="G26" s="152">
        <v>0</v>
      </c>
      <c r="H26" s="152">
        <v>0</v>
      </c>
      <c r="I26" s="65"/>
      <c r="J26" s="66" t="s">
        <v>308</v>
      </c>
      <c r="K26" s="152">
        <v>0</v>
      </c>
      <c r="L26" s="152">
        <v>0</v>
      </c>
      <c r="M26" s="152">
        <v>0</v>
      </c>
      <c r="N26" s="152">
        <v>0</v>
      </c>
      <c r="O26" s="152">
        <v>0</v>
      </c>
      <c r="P26" s="62"/>
      <c r="U26" s="62"/>
      <c r="V26" s="62"/>
    </row>
    <row r="27" spans="2:22" ht="15" customHeight="1" x14ac:dyDescent="0.25">
      <c r="B27" s="65"/>
      <c r="C27" s="69" t="s">
        <v>81</v>
      </c>
      <c r="D27" s="156">
        <v>0</v>
      </c>
      <c r="E27" s="156">
        <v>0</v>
      </c>
      <c r="F27" s="156">
        <v>0</v>
      </c>
      <c r="G27" s="156">
        <v>0</v>
      </c>
      <c r="H27" s="156">
        <v>0</v>
      </c>
      <c r="I27" s="97"/>
      <c r="J27" s="66" t="s">
        <v>85</v>
      </c>
      <c r="K27" s="152">
        <v>1623304769</v>
      </c>
      <c r="L27" s="152">
        <v>1681063227.4590981</v>
      </c>
      <c r="M27" s="152">
        <v>1753027683.2295132</v>
      </c>
      <c r="N27" s="152">
        <v>1827910535.5656493</v>
      </c>
      <c r="O27" s="152">
        <f>+'WS Trial balance'!M46</f>
        <v>1827910535.5656493</v>
      </c>
      <c r="P27" s="62"/>
      <c r="U27" s="62"/>
      <c r="V27" s="62"/>
    </row>
    <row r="28" spans="2:22" ht="15" customHeight="1" x14ac:dyDescent="0.25">
      <c r="B28" s="65"/>
      <c r="C28" s="70" t="s">
        <v>110</v>
      </c>
      <c r="D28" s="153">
        <f>SUM(D23:D27)</f>
        <v>0</v>
      </c>
      <c r="E28" s="153">
        <f>SUM(E23:E27)</f>
        <v>0</v>
      </c>
      <c r="F28" s="153">
        <f>SUM(F23:F27)</f>
        <v>0</v>
      </c>
      <c r="G28" s="153">
        <f>SUM(G23:G27)</f>
        <v>0</v>
      </c>
      <c r="H28" s="153">
        <f>SUM(H23:H27)</f>
        <v>0</v>
      </c>
      <c r="I28" s="97"/>
      <c r="J28" s="66" t="s">
        <v>114</v>
      </c>
      <c r="K28" s="152">
        <v>0</v>
      </c>
      <c r="L28" s="152">
        <v>0</v>
      </c>
      <c r="M28" s="152">
        <v>0</v>
      </c>
      <c r="N28" s="152">
        <v>-1.4901161193847656E-7</v>
      </c>
      <c r="O28" s="152">
        <f>+'WS Trial balance'!M47</f>
        <v>155164673.13514504</v>
      </c>
      <c r="P28" s="165"/>
      <c r="U28" s="62"/>
      <c r="V28" s="62"/>
    </row>
    <row r="29" spans="2:22" ht="15" customHeight="1" x14ac:dyDescent="0.25">
      <c r="B29" s="65"/>
      <c r="C29" s="66" t="s">
        <v>111</v>
      </c>
      <c r="D29" s="152">
        <v>0</v>
      </c>
      <c r="E29" s="152">
        <v>0</v>
      </c>
      <c r="F29" s="152">
        <v>0</v>
      </c>
      <c r="G29" s="152">
        <v>0</v>
      </c>
      <c r="H29" s="152">
        <v>0</v>
      </c>
      <c r="I29" s="65"/>
      <c r="J29" s="66"/>
      <c r="K29" s="152"/>
      <c r="L29" s="152"/>
      <c r="M29" s="152"/>
      <c r="N29" s="152"/>
      <c r="O29" s="152"/>
      <c r="P29" s="62"/>
      <c r="U29" s="62"/>
      <c r="V29" s="62"/>
    </row>
    <row r="30" spans="2:22" ht="15" customHeight="1" x14ac:dyDescent="0.25">
      <c r="B30" s="65"/>
      <c r="C30" s="67" t="s">
        <v>102</v>
      </c>
      <c r="D30" s="154">
        <f>D28+D29</f>
        <v>0</v>
      </c>
      <c r="E30" s="154">
        <f>E28+E29</f>
        <v>0</v>
      </c>
      <c r="F30" s="154">
        <f>F28+F29</f>
        <v>0</v>
      </c>
      <c r="G30" s="154">
        <f>G28+G29</f>
        <v>0</v>
      </c>
      <c r="H30" s="154">
        <f>H28+H29</f>
        <v>0</v>
      </c>
      <c r="I30" s="65"/>
      <c r="J30" s="66" t="s">
        <v>309</v>
      </c>
      <c r="K30" s="152">
        <v>144396146.14774501</v>
      </c>
      <c r="L30" s="152">
        <v>182822554.2027216</v>
      </c>
      <c r="M30" s="152">
        <v>187206968.33613586</v>
      </c>
      <c r="N30" s="152">
        <v>155164673.13514519</v>
      </c>
      <c r="O30" s="152">
        <f>+'WS Trial balance'!M51</f>
        <v>20491174.636667252</v>
      </c>
      <c r="P30" s="62"/>
      <c r="U30" s="62"/>
      <c r="V30" s="62"/>
    </row>
    <row r="31" spans="2:22" ht="15" customHeight="1" x14ac:dyDescent="0.25">
      <c r="B31" s="65" t="s">
        <v>112</v>
      </c>
      <c r="C31" s="68" t="s">
        <v>113</v>
      </c>
      <c r="D31" s="152"/>
      <c r="E31" s="152"/>
      <c r="F31" s="152"/>
      <c r="G31" s="152"/>
      <c r="H31" s="152"/>
      <c r="I31" s="65"/>
      <c r="J31" s="67" t="s">
        <v>118</v>
      </c>
      <c r="K31" s="154">
        <f>SUM(K24:K30)</f>
        <v>2084800915.1477451</v>
      </c>
      <c r="L31" s="154">
        <f>SUM(L24:L30)</f>
        <v>2209935781.6618195</v>
      </c>
      <c r="M31" s="154">
        <f>SUM(M24:M30)</f>
        <v>2314304651.565649</v>
      </c>
      <c r="N31" s="154">
        <f>SUM(N24:N30)</f>
        <v>2330005208.7007942</v>
      </c>
      <c r="O31" s="154">
        <f>SUM(O24:O30)</f>
        <v>2354296383.3374615</v>
      </c>
      <c r="P31" s="62"/>
      <c r="U31" s="62"/>
      <c r="V31" s="62"/>
    </row>
    <row r="32" spans="2:22" ht="15" customHeight="1" x14ac:dyDescent="0.25">
      <c r="B32" s="65"/>
      <c r="C32" s="66" t="s">
        <v>115</v>
      </c>
      <c r="D32" s="152">
        <v>0</v>
      </c>
      <c r="E32" s="152">
        <v>0</v>
      </c>
      <c r="F32" s="152">
        <v>0</v>
      </c>
      <c r="G32" s="152">
        <v>0</v>
      </c>
      <c r="H32" s="152">
        <v>0</v>
      </c>
      <c r="I32" s="65"/>
      <c r="K32" s="163"/>
      <c r="L32" s="163"/>
      <c r="M32" s="163"/>
      <c r="N32" s="163"/>
      <c r="O32" s="163"/>
      <c r="P32" s="62"/>
      <c r="U32" s="62"/>
      <c r="V32" s="62"/>
    </row>
    <row r="33" spans="2:22" ht="15" customHeight="1" x14ac:dyDescent="0.25">
      <c r="B33" s="65"/>
      <c r="C33" s="66" t="s">
        <v>117</v>
      </c>
      <c r="D33" s="152">
        <v>0</v>
      </c>
      <c r="E33" s="152">
        <v>0</v>
      </c>
      <c r="F33" s="152">
        <v>0</v>
      </c>
      <c r="G33" s="152">
        <v>0</v>
      </c>
      <c r="H33" s="152">
        <v>0</v>
      </c>
      <c r="I33" s="65"/>
      <c r="K33" s="164"/>
      <c r="L33" s="164"/>
      <c r="M33" s="164"/>
      <c r="N33" s="164"/>
      <c r="O33" s="164"/>
      <c r="P33" s="62"/>
      <c r="U33" s="62"/>
      <c r="V33" s="62"/>
    </row>
    <row r="34" spans="2:22" ht="15" customHeight="1" x14ac:dyDescent="0.25">
      <c r="B34" s="65"/>
      <c r="C34" s="67" t="s">
        <v>119</v>
      </c>
      <c r="D34" s="154">
        <f>SUM(D32:D33)</f>
        <v>0</v>
      </c>
      <c r="E34" s="154">
        <f>SUM(E32:E33)</f>
        <v>0</v>
      </c>
      <c r="F34" s="154">
        <f>SUM(F32:F33)</f>
        <v>0</v>
      </c>
      <c r="G34" s="154">
        <f>SUM(G32:G33)</f>
        <v>0</v>
      </c>
      <c r="H34" s="154">
        <f>SUM(H32:H33)</f>
        <v>0</v>
      </c>
      <c r="I34" s="97"/>
      <c r="K34" s="164"/>
      <c r="L34" s="164"/>
      <c r="M34" s="164"/>
      <c r="N34" s="164"/>
      <c r="O34" s="164"/>
      <c r="P34" s="62"/>
      <c r="U34" s="62"/>
      <c r="V34" s="62"/>
    </row>
    <row r="35" spans="2:22" ht="15" customHeight="1" x14ac:dyDescent="0.25">
      <c r="B35" s="65" t="s">
        <v>120</v>
      </c>
      <c r="C35" s="68" t="s">
        <v>122</v>
      </c>
      <c r="D35" s="155">
        <v>0</v>
      </c>
      <c r="E35" s="155">
        <v>0</v>
      </c>
      <c r="F35" s="155">
        <v>0</v>
      </c>
      <c r="G35" s="155">
        <v>0</v>
      </c>
      <c r="H35" s="155">
        <v>0</v>
      </c>
      <c r="I35" s="65"/>
      <c r="J35" s="66"/>
      <c r="K35" s="152"/>
      <c r="L35" s="152"/>
      <c r="M35" s="152"/>
      <c r="N35" s="152"/>
      <c r="O35" s="152"/>
      <c r="P35" s="62"/>
      <c r="U35" s="62"/>
      <c r="V35" s="62"/>
    </row>
    <row r="36" spans="2:22" ht="15" customHeight="1" x14ac:dyDescent="0.25">
      <c r="B36" s="100"/>
      <c r="C36" s="101"/>
      <c r="D36" s="157"/>
      <c r="E36" s="157"/>
      <c r="F36" s="157"/>
      <c r="G36" s="157"/>
      <c r="H36" s="157"/>
      <c r="I36" s="65"/>
      <c r="J36" s="66"/>
      <c r="K36" s="152"/>
      <c r="L36" s="152"/>
      <c r="M36" s="152"/>
      <c r="N36" s="152"/>
      <c r="O36" s="152"/>
      <c r="P36" s="62"/>
      <c r="U36" s="62"/>
      <c r="V36" s="62"/>
    </row>
    <row r="37" spans="2:22" x14ac:dyDescent="0.25">
      <c r="B37" s="178" t="s">
        <v>123</v>
      </c>
      <c r="C37" s="179"/>
      <c r="D37" s="154">
        <f>D19+D20+D21+D30+D34+D35</f>
        <v>8118660915.1477451</v>
      </c>
      <c r="E37" s="154">
        <f>E19+E20+E21+E30+E34+E35</f>
        <v>8380034769.232235</v>
      </c>
      <c r="F37" s="154">
        <f>F19+F20+F21+F30+F34+F35</f>
        <v>5193911937.993022</v>
      </c>
      <c r="G37" s="154">
        <f>G19+G20+G21+G30+G34+G35</f>
        <v>2699371744.0845761</v>
      </c>
      <c r="H37" s="154">
        <f>H19+H20+H21+H30+H34+H35</f>
        <v>2752612918.7212434</v>
      </c>
      <c r="I37" s="178" t="s">
        <v>124</v>
      </c>
      <c r="J37" s="179"/>
      <c r="K37" s="154">
        <f>K22+K31</f>
        <v>8118660915.1477451</v>
      </c>
      <c r="L37" s="154">
        <f>L22+L31</f>
        <v>8380034769.232235</v>
      </c>
      <c r="M37" s="154">
        <f>M22+M31</f>
        <v>5193911937.993022</v>
      </c>
      <c r="N37" s="154">
        <f>N22+N31</f>
        <v>2699371744.0845757</v>
      </c>
      <c r="O37" s="154">
        <f>O22+O31</f>
        <v>2752612918.7212429</v>
      </c>
      <c r="P37" s="62"/>
      <c r="U37" s="62"/>
      <c r="V37" s="62"/>
    </row>
    <row r="38" spans="2:22" x14ac:dyDescent="0.25">
      <c r="D38" s="158"/>
      <c r="E38" s="158"/>
      <c r="F38" s="158"/>
      <c r="G38" s="158"/>
      <c r="H38" s="158"/>
      <c r="K38" s="158"/>
      <c r="L38" s="158"/>
      <c r="M38" s="158"/>
      <c r="N38" s="158"/>
      <c r="O38" s="158"/>
      <c r="P38" s="62"/>
      <c r="U38" s="62"/>
      <c r="V38" s="62"/>
    </row>
    <row r="39" spans="2:22" x14ac:dyDescent="0.25">
      <c r="D39" s="158"/>
      <c r="E39" s="158"/>
      <c r="F39" s="158"/>
      <c r="G39" s="158"/>
      <c r="H39" s="158"/>
      <c r="K39" s="158"/>
      <c r="L39" s="158"/>
      <c r="M39" s="158"/>
      <c r="N39" s="158"/>
      <c r="O39" s="158"/>
      <c r="P39" s="62"/>
      <c r="U39" s="62"/>
      <c r="V39" s="62"/>
    </row>
    <row r="40" spans="2:22" x14ac:dyDescent="0.25">
      <c r="D40" s="158"/>
      <c r="E40" s="158"/>
      <c r="F40" s="158"/>
      <c r="G40" s="158"/>
      <c r="H40" s="158"/>
      <c r="K40" s="158"/>
      <c r="L40" s="168"/>
      <c r="M40" s="168"/>
      <c r="N40" s="168"/>
      <c r="O40" s="168"/>
      <c r="P40" s="62"/>
      <c r="U40" s="62"/>
      <c r="V40" s="62"/>
    </row>
    <row r="41" spans="2:22" x14ac:dyDescent="0.25">
      <c r="P41" s="62"/>
      <c r="U41" s="62"/>
      <c r="V41" s="62"/>
    </row>
    <row r="42" spans="2:22" x14ac:dyDescent="0.25">
      <c r="P42" s="62"/>
      <c r="U42" s="62"/>
      <c r="V42" s="62"/>
    </row>
    <row r="43" spans="2:22" x14ac:dyDescent="0.25">
      <c r="P43" s="62"/>
      <c r="U43" s="62"/>
      <c r="V43" s="62"/>
    </row>
    <row r="44" spans="2:22" x14ac:dyDescent="0.25">
      <c r="P44" s="62"/>
      <c r="U44" s="62"/>
      <c r="V44" s="62"/>
    </row>
  </sheetData>
  <mergeCells count="9">
    <mergeCell ref="B2:O2"/>
    <mergeCell ref="B3:O3"/>
    <mergeCell ref="B4:O4"/>
    <mergeCell ref="B37:C37"/>
    <mergeCell ref="I37:J37"/>
    <mergeCell ref="B6:B7"/>
    <mergeCell ref="C6:C7"/>
    <mergeCell ref="I6:I7"/>
    <mergeCell ref="J6:J7"/>
  </mergeCells>
  <printOptions horizontalCentered="1"/>
  <pageMargins left="0.11811023622047245" right="0.11811023622047245" top="0.74803149606299213" bottom="0.74803149606299213" header="0.31496062992125984" footer="0.31496062992125984"/>
  <pageSetup paperSize="9" scale="6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2:E29"/>
  <sheetViews>
    <sheetView zoomScale="80" zoomScaleNormal="80" workbookViewId="0">
      <pane xSplit="3" ySplit="7" topLeftCell="D8" activePane="bottomRight" state="frozen"/>
      <selection activeCell="U20" sqref="U20"/>
      <selection pane="topRight" activeCell="U20" sqref="U20"/>
      <selection pane="bottomLeft" activeCell="U20" sqref="U20"/>
      <selection pane="bottomRight" activeCell="D9" sqref="D9"/>
    </sheetView>
  </sheetViews>
  <sheetFormatPr defaultColWidth="9.140625" defaultRowHeight="15.75" outlineLevelCol="1" x14ac:dyDescent="0.25"/>
  <cols>
    <col min="1" max="1" width="5.42578125" style="78" customWidth="1"/>
    <col min="2" max="2" width="2.42578125" style="78" customWidth="1"/>
    <col min="3" max="3" width="45.42578125" style="78" customWidth="1"/>
    <col min="4" max="4" width="20.28515625" style="78" customWidth="1" outlineLevel="1"/>
    <col min="5" max="5" width="22" style="78" customWidth="1" outlineLevel="1"/>
    <col min="6" max="6" width="14.5703125" style="78" bestFit="1" customWidth="1"/>
    <col min="7" max="16384" width="9.140625" style="78"/>
  </cols>
  <sheetData>
    <row r="2" spans="1:5" x14ac:dyDescent="0.25">
      <c r="B2" s="89" t="s">
        <v>137</v>
      </c>
      <c r="C2" s="89"/>
      <c r="D2" s="89"/>
      <c r="E2" s="89"/>
    </row>
    <row r="3" spans="1:5" x14ac:dyDescent="0.25">
      <c r="B3" s="89" t="s">
        <v>310</v>
      </c>
      <c r="C3" s="89"/>
      <c r="D3" s="89"/>
      <c r="E3" s="89"/>
    </row>
    <row r="4" spans="1:5" x14ac:dyDescent="0.25">
      <c r="B4" s="102" t="str">
        <f>NR!B4</f>
        <v>TAHUN 2023 - 2026</v>
      </c>
      <c r="C4" s="89"/>
      <c r="D4" s="111"/>
      <c r="E4" s="89"/>
    </row>
    <row r="5" spans="1:5" x14ac:dyDescent="0.25">
      <c r="D5" s="110" t="s">
        <v>420</v>
      </c>
    </row>
    <row r="6" spans="1:5" s="80" customFormat="1" ht="17.100000000000001" customHeight="1" x14ac:dyDescent="0.25">
      <c r="A6" s="79"/>
      <c r="B6" s="185" t="s">
        <v>92</v>
      </c>
      <c r="C6" s="185"/>
      <c r="D6" s="183" t="s">
        <v>138</v>
      </c>
      <c r="E6" s="184"/>
    </row>
    <row r="7" spans="1:5" s="80" customFormat="1" x14ac:dyDescent="0.25">
      <c r="B7" s="185"/>
      <c r="C7" s="185"/>
      <c r="D7" s="88" t="str">
        <f>LEFT(D6,3)</f>
        <v>JAN</v>
      </c>
      <c r="E7" s="90" t="str">
        <f>"sd. "&amp;D7</f>
        <v>sd. JAN</v>
      </c>
    </row>
    <row r="8" spans="1:5" s="80" customFormat="1" ht="20.100000000000001" customHeight="1" x14ac:dyDescent="0.25">
      <c r="B8" s="81"/>
      <c r="C8" s="82" t="s">
        <v>127</v>
      </c>
      <c r="D8" s="71"/>
      <c r="E8" s="91"/>
    </row>
    <row r="9" spans="1:5" s="80" customFormat="1" ht="20.25" customHeight="1" x14ac:dyDescent="0.25">
      <c r="B9" s="81"/>
      <c r="C9" s="83" t="s">
        <v>412</v>
      </c>
      <c r="D9" s="72">
        <f>'WS Trial balance'!K58-'WS Trial balance'!J58</f>
        <v>78721704.861111134</v>
      </c>
      <c r="E9" s="74">
        <f t="shared" ref="E9:E14" si="0">D9</f>
        <v>78721704.861111134</v>
      </c>
    </row>
    <row r="10" spans="1:5" s="80" customFormat="1" ht="20.25" customHeight="1" x14ac:dyDescent="0.25">
      <c r="B10" s="81"/>
      <c r="C10" s="83" t="s">
        <v>413</v>
      </c>
      <c r="D10" s="72">
        <f>'WS Trial balance'!K59-'WS Trial balance'!J59</f>
        <v>0</v>
      </c>
      <c r="E10" s="74">
        <f t="shared" si="0"/>
        <v>0</v>
      </c>
    </row>
    <row r="11" spans="1:5" s="80" customFormat="1" ht="20.25" customHeight="1" x14ac:dyDescent="0.25">
      <c r="B11" s="81"/>
      <c r="C11" s="83" t="s">
        <v>414</v>
      </c>
      <c r="D11" s="72">
        <f>'WS Trial balance'!K60-'WS Trial balance'!J60</f>
        <v>525000</v>
      </c>
      <c r="E11" s="74">
        <f t="shared" si="0"/>
        <v>525000</v>
      </c>
    </row>
    <row r="12" spans="1:5" s="80" customFormat="1" ht="20.25" customHeight="1" x14ac:dyDescent="0.25">
      <c r="B12" s="81"/>
      <c r="C12" s="83" t="s">
        <v>415</v>
      </c>
      <c r="D12" s="72">
        <f>-'WS Trial balance'!J61+'WS Trial balance'!K61</f>
        <v>-60419861.111111104</v>
      </c>
      <c r="E12" s="74">
        <f t="shared" si="0"/>
        <v>-60419861.111111104</v>
      </c>
    </row>
    <row r="13" spans="1:5" s="80" customFormat="1" ht="20.25" customHeight="1" x14ac:dyDescent="0.25">
      <c r="B13" s="81"/>
      <c r="C13" s="83" t="s">
        <v>416</v>
      </c>
      <c r="D13" s="72">
        <f>-'WS Trial balance'!J62+'WS Trial balance'!K62</f>
        <v>0</v>
      </c>
      <c r="E13" s="74">
        <f t="shared" si="0"/>
        <v>0</v>
      </c>
    </row>
    <row r="14" spans="1:5" s="80" customFormat="1" ht="20.25" customHeight="1" x14ac:dyDescent="0.25">
      <c r="B14" s="81"/>
      <c r="C14" s="83" t="s">
        <v>417</v>
      </c>
      <c r="D14" s="72">
        <f>-'WS Trial balance'!J63+'WS Trial balance'!K63</f>
        <v>0</v>
      </c>
      <c r="E14" s="74">
        <f t="shared" si="0"/>
        <v>0</v>
      </c>
    </row>
    <row r="15" spans="1:5" s="80" customFormat="1" ht="20.25" customHeight="1" x14ac:dyDescent="0.25">
      <c r="B15" s="81"/>
      <c r="C15" s="82" t="s">
        <v>128</v>
      </c>
      <c r="D15" s="73">
        <f>SUM(D9:D14)</f>
        <v>18826843.75000003</v>
      </c>
      <c r="E15" s="92">
        <f t="shared" ref="E15" si="1">SUM(E9:E14)</f>
        <v>18826843.75000003</v>
      </c>
    </row>
    <row r="16" spans="1:5" s="80" customFormat="1" ht="20.25" customHeight="1" x14ac:dyDescent="0.25">
      <c r="B16" s="81"/>
      <c r="C16" s="82"/>
      <c r="D16" s="103"/>
      <c r="E16" s="104"/>
    </row>
    <row r="17" spans="2:5" s="80" customFormat="1" ht="20.100000000000001" customHeight="1" x14ac:dyDescent="0.25">
      <c r="B17" s="81"/>
      <c r="C17" s="82" t="s">
        <v>129</v>
      </c>
      <c r="D17" s="74"/>
      <c r="E17" s="74"/>
    </row>
    <row r="18" spans="2:5" s="80" customFormat="1" ht="20.100000000000001" customHeight="1" x14ac:dyDescent="0.25">
      <c r="B18" s="81"/>
      <c r="C18" s="83" t="s">
        <v>130</v>
      </c>
      <c r="D18" s="72">
        <f>-'WS Trial balance'!J64+'WS Trial balance'!K64</f>
        <v>-758000</v>
      </c>
      <c r="E18" s="74">
        <f>D18</f>
        <v>-758000</v>
      </c>
    </row>
    <row r="19" spans="2:5" s="80" customFormat="1" ht="20.100000000000001" customHeight="1" x14ac:dyDescent="0.25">
      <c r="B19" s="81"/>
      <c r="C19" s="82" t="s">
        <v>131</v>
      </c>
      <c r="D19" s="73">
        <f t="shared" ref="D19:E19" si="2">SUM(D18:D18)</f>
        <v>-758000</v>
      </c>
      <c r="E19" s="92">
        <f t="shared" si="2"/>
        <v>-758000</v>
      </c>
    </row>
    <row r="20" spans="2:5" s="80" customFormat="1" ht="20.100000000000001" customHeight="1" x14ac:dyDescent="0.25">
      <c r="B20" s="81"/>
      <c r="C20" s="82" t="s">
        <v>132</v>
      </c>
      <c r="D20" s="73">
        <f t="shared" ref="D20:E20" si="3">+D15+D19</f>
        <v>18068843.75000003</v>
      </c>
      <c r="E20" s="92">
        <f t="shared" si="3"/>
        <v>18068843.75000003</v>
      </c>
    </row>
    <row r="21" spans="2:5" s="80" customFormat="1" ht="20.100000000000001" customHeight="1" x14ac:dyDescent="0.25">
      <c r="B21" s="81"/>
      <c r="C21" s="82" t="s">
        <v>133</v>
      </c>
      <c r="D21" s="75"/>
      <c r="E21" s="74"/>
    </row>
    <row r="22" spans="2:5" s="80" customFormat="1" ht="20.100000000000001" customHeight="1" x14ac:dyDescent="0.25">
      <c r="B22" s="81"/>
      <c r="C22" s="83" t="s">
        <v>410</v>
      </c>
      <c r="D22" s="72">
        <f>'WS Trial balance'!K65-'WS Trial balance'!J65</f>
        <v>3918000</v>
      </c>
      <c r="E22" s="74">
        <f>D22</f>
        <v>3918000</v>
      </c>
    </row>
    <row r="23" spans="2:5" s="80" customFormat="1" ht="20.100000000000001" customHeight="1" x14ac:dyDescent="0.25">
      <c r="B23" s="81"/>
      <c r="C23" s="83" t="s">
        <v>411</v>
      </c>
      <c r="D23" s="72">
        <f>-'WS Trial balance'!J66+'WS Trial balance'!K66</f>
        <v>-1495669.1133329095</v>
      </c>
      <c r="E23" s="74">
        <f>D23</f>
        <v>-1495669.1133329095</v>
      </c>
    </row>
    <row r="24" spans="2:5" s="80" customFormat="1" ht="20.100000000000001" customHeight="1" x14ac:dyDescent="0.25">
      <c r="B24" s="84"/>
      <c r="C24" s="82" t="s">
        <v>134</v>
      </c>
      <c r="D24" s="73">
        <f t="shared" ref="D24:E24" si="4">SUM(D22:D23)</f>
        <v>2422330.8866670905</v>
      </c>
      <c r="E24" s="92">
        <f t="shared" si="4"/>
        <v>2422330.8866670905</v>
      </c>
    </row>
    <row r="25" spans="2:5" s="80" customFormat="1" ht="20.25" customHeight="1" x14ac:dyDescent="0.25">
      <c r="B25" s="81"/>
      <c r="C25" s="85" t="s">
        <v>135</v>
      </c>
      <c r="D25" s="76">
        <f t="shared" ref="D25:E25" si="5">+D20+D24</f>
        <v>20491174.636667121</v>
      </c>
      <c r="E25" s="93">
        <f t="shared" si="5"/>
        <v>20491174.636667121</v>
      </c>
    </row>
    <row r="26" spans="2:5" s="80" customFormat="1" ht="20.100000000000001" customHeight="1" x14ac:dyDescent="0.25">
      <c r="B26" s="81"/>
      <c r="C26" s="85" t="s">
        <v>136</v>
      </c>
      <c r="D26" s="73">
        <f>-'WS Trial balance'!J67+'WS Trial balance'!K67</f>
        <v>0</v>
      </c>
      <c r="E26" s="92">
        <f>D26</f>
        <v>0</v>
      </c>
    </row>
    <row r="27" spans="2:5" s="80" customFormat="1" ht="20.100000000000001" customHeight="1" x14ac:dyDescent="0.25">
      <c r="B27" s="86"/>
      <c r="C27" s="87" t="s">
        <v>116</v>
      </c>
      <c r="D27" s="77">
        <f t="shared" ref="D27:E27" si="6">SUM(D25:D26)</f>
        <v>20491174.636667121</v>
      </c>
      <c r="E27" s="94">
        <f t="shared" si="6"/>
        <v>20491174.636667121</v>
      </c>
    </row>
    <row r="29" spans="2:5" x14ac:dyDescent="0.25">
      <c r="E29" s="78">
        <f>E27-'WS Trial balance'!L70</f>
        <v>0</v>
      </c>
    </row>
  </sheetData>
  <dataConsolidate link="1"/>
  <mergeCells count="2">
    <mergeCell ref="B6:C7"/>
    <mergeCell ref="D6:E6"/>
  </mergeCells>
  <printOptions horizontalCentered="1"/>
  <pageMargins left="0.11811023622047245" right="0.11811023622047245" top="0.74803149606299213" bottom="0.74803149606299213" header="0.31496062992125984" footer="0.31496062992125984"/>
  <pageSetup paperSize="9" orientation="portrait" verticalDpi="300" r:id="rId1"/>
  <ignoredErrors>
    <ignoredError sqref="E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Q75"/>
  <sheetViews>
    <sheetView zoomScaleNormal="100" zoomScaleSheetLayoutView="85" workbookViewId="0">
      <pane xSplit="6" ySplit="6" topLeftCell="G22" activePane="bottomRight" state="frozen"/>
      <selection activeCell="F7" sqref="F7"/>
      <selection pane="topRight" activeCell="F7" sqref="F7"/>
      <selection pane="bottomLeft" activeCell="F7" sqref="F7"/>
      <selection pane="bottomRight" activeCell="X31" sqref="X31"/>
    </sheetView>
  </sheetViews>
  <sheetFormatPr defaultRowHeight="12" x14ac:dyDescent="0.2"/>
  <cols>
    <col min="1" max="1" width="0.7109375" style="58" customWidth="1"/>
    <col min="2" max="2" width="1.7109375" style="58" customWidth="1"/>
    <col min="3" max="3" width="3.85546875" style="61" customWidth="1"/>
    <col min="4" max="4" width="5.5703125" style="61" customWidth="1"/>
    <col min="5" max="5" width="36.140625" style="61" customWidth="1"/>
    <col min="6" max="6" width="5.140625" style="61" customWidth="1"/>
    <col min="7" max="8" width="12.140625" style="61" bestFit="1" customWidth="1"/>
    <col min="9" max="9" width="1.140625" style="58" customWidth="1"/>
    <col min="10" max="11" width="12.140625" style="58" bestFit="1" customWidth="1"/>
    <col min="12" max="12" width="12.140625" style="61" bestFit="1" customWidth="1"/>
    <col min="13" max="13" width="14.28515625" style="61" bestFit="1" customWidth="1"/>
    <col min="14" max="14" width="1.140625" style="58" customWidth="1"/>
    <col min="15" max="15" width="1.7109375" style="58" customWidth="1"/>
    <col min="16" max="17" width="15.28515625" style="58" bestFit="1" customWidth="1"/>
    <col min="18" max="16384" width="9.140625" style="58"/>
  </cols>
  <sheetData>
    <row r="1" spans="2:14" s="1" customFormat="1" ht="6" customHeight="1" x14ac:dyDescent="0.25">
      <c r="C1" s="2"/>
      <c r="D1" s="2"/>
      <c r="E1" s="2"/>
      <c r="F1" s="2"/>
      <c r="G1" s="2"/>
      <c r="H1" s="2"/>
      <c r="L1" s="2"/>
      <c r="M1" s="2"/>
    </row>
    <row r="2" spans="2:14" s="1" customFormat="1" ht="8.25" customHeight="1" x14ac:dyDescent="0.25">
      <c r="B2" s="3"/>
      <c r="C2" s="4"/>
      <c r="D2" s="4"/>
      <c r="E2" s="4"/>
      <c r="F2" s="4"/>
      <c r="G2" s="4"/>
      <c r="H2" s="4"/>
      <c r="I2" s="4"/>
      <c r="J2" s="3"/>
      <c r="K2" s="3"/>
      <c r="L2" s="4"/>
      <c r="M2" s="4"/>
      <c r="N2" s="4"/>
    </row>
    <row r="3" spans="2:14" s="1" customFormat="1" ht="20.25" x14ac:dyDescent="0.3">
      <c r="B3" s="3"/>
      <c r="C3" s="186" t="s">
        <v>403</v>
      </c>
      <c r="D3" s="186"/>
      <c r="E3" s="186"/>
      <c r="F3" s="186"/>
      <c r="G3" s="186"/>
      <c r="H3" s="5"/>
      <c r="I3" s="4"/>
      <c r="J3" s="5"/>
      <c r="K3" s="5"/>
      <c r="L3" s="2"/>
      <c r="M3" s="98"/>
      <c r="N3" s="4"/>
    </row>
    <row r="4" spans="2:14" s="1" customFormat="1" ht="20.25" x14ac:dyDescent="0.3">
      <c r="B4" s="3"/>
      <c r="C4" s="6" t="s">
        <v>529</v>
      </c>
      <c r="D4" s="6"/>
      <c r="E4" s="6"/>
      <c r="F4" s="6"/>
      <c r="G4" s="133"/>
      <c r="H4" s="98"/>
      <c r="I4" s="4"/>
      <c r="J4" s="5"/>
      <c r="K4" s="5"/>
      <c r="L4" s="2"/>
      <c r="M4" s="98"/>
      <c r="N4" s="4"/>
    </row>
    <row r="5" spans="2:14" s="11" customFormat="1" ht="15" x14ac:dyDescent="0.25">
      <c r="B5" s="7"/>
      <c r="C5" s="187" t="s">
        <v>0</v>
      </c>
      <c r="D5" s="188"/>
      <c r="E5" s="189"/>
      <c r="F5" s="192" t="s">
        <v>1</v>
      </c>
      <c r="G5" s="8" t="s">
        <v>531</v>
      </c>
      <c r="H5" s="9"/>
      <c r="I5" s="4"/>
      <c r="J5" s="10" t="s">
        <v>532</v>
      </c>
      <c r="K5" s="10"/>
      <c r="L5" s="8" t="s">
        <v>533</v>
      </c>
      <c r="M5" s="9"/>
      <c r="N5" s="4"/>
    </row>
    <row r="6" spans="2:14" s="11" customFormat="1" ht="15" x14ac:dyDescent="0.25">
      <c r="B6" s="7"/>
      <c r="C6" s="190"/>
      <c r="D6" s="190"/>
      <c r="E6" s="191"/>
      <c r="F6" s="193"/>
      <c r="G6" s="12" t="s">
        <v>2</v>
      </c>
      <c r="H6" s="12" t="s">
        <v>3</v>
      </c>
      <c r="I6" s="4"/>
      <c r="J6" s="13" t="s">
        <v>2</v>
      </c>
      <c r="K6" s="13" t="s">
        <v>3</v>
      </c>
      <c r="L6" s="12" t="s">
        <v>2</v>
      </c>
      <c r="M6" s="12" t="s">
        <v>3</v>
      </c>
      <c r="N6" s="4"/>
    </row>
    <row r="7" spans="2:14" s="1" customFormat="1" ht="15" x14ac:dyDescent="0.25">
      <c r="B7" s="3"/>
      <c r="C7" s="14"/>
      <c r="D7" s="14" t="s">
        <v>4</v>
      </c>
      <c r="E7" s="14" t="s">
        <v>5</v>
      </c>
      <c r="F7" s="14" t="s">
        <v>6</v>
      </c>
      <c r="G7" s="15">
        <v>8851508.6700000763</v>
      </c>
      <c r="H7" s="15">
        <v>0</v>
      </c>
      <c r="I7" s="4"/>
      <c r="J7" s="15">
        <f>SUMIF('MUTASI 2026'!$B$5:$B$158,'WS Trial balance'!$D7,'MUTASI 2026'!$G$5:$G$158)</f>
        <v>4865000</v>
      </c>
      <c r="K7" s="15">
        <f>SUMIF('MUTASI 2026'!$B$5:$B$158,'WS Trial balance'!$D7,'MUTASI 2026'!$H$5:$H$158)</f>
        <v>5258000</v>
      </c>
      <c r="L7" s="15">
        <f t="shared" ref="L7:L48" si="0">IF(F7="D",(G7-H7+J7-K7),0)</f>
        <v>8458508.6700000763</v>
      </c>
      <c r="M7" s="15">
        <f t="shared" ref="M7:M48" si="1">IF(F7="K",(-G7+H7-J7+K7),0)</f>
        <v>0</v>
      </c>
      <c r="N7" s="4"/>
    </row>
    <row r="8" spans="2:14" s="1" customFormat="1" ht="15" x14ac:dyDescent="0.25">
      <c r="B8" s="3"/>
      <c r="C8" s="14"/>
      <c r="D8" s="14" t="s">
        <v>7</v>
      </c>
      <c r="E8" s="16" t="s">
        <v>8</v>
      </c>
      <c r="F8" s="16" t="s">
        <v>6</v>
      </c>
      <c r="G8" s="15">
        <v>302956673.61999941</v>
      </c>
      <c r="H8" s="15">
        <v>0</v>
      </c>
      <c r="I8" s="4"/>
      <c r="J8" s="15">
        <f>SUMIF('MUTASI 2026'!$B$5:$B$158,'WS Trial balance'!$D8,'MUTASI 2026'!$G$5:$G$158)</f>
        <v>160961843.30000001</v>
      </c>
      <c r="K8" s="15">
        <f>SUMIF('MUTASI 2026'!$B$5:$B$158,'WS Trial balance'!$D8,'MUTASI 2026'!$H$5:$H$158)</f>
        <v>150561132</v>
      </c>
      <c r="L8" s="15">
        <f t="shared" si="0"/>
        <v>313357384.91999942</v>
      </c>
      <c r="M8" s="15">
        <f t="shared" si="1"/>
        <v>0</v>
      </c>
      <c r="N8" s="4"/>
    </row>
    <row r="9" spans="2:14" s="1" customFormat="1" ht="15" x14ac:dyDescent="0.25">
      <c r="B9" s="3"/>
      <c r="C9" s="14"/>
      <c r="D9" s="14" t="s">
        <v>9</v>
      </c>
      <c r="E9" s="16" t="s">
        <v>244</v>
      </c>
      <c r="F9" s="16" t="s">
        <v>6</v>
      </c>
      <c r="G9" s="15">
        <v>0</v>
      </c>
      <c r="H9" s="15">
        <v>0</v>
      </c>
      <c r="I9" s="4"/>
      <c r="J9" s="15">
        <f>SUMIF('MUTASI 2026'!$B$5:$B$158,'WS Trial balance'!$D9,'MUTASI 2026'!$G$5:$G$158)</f>
        <v>0</v>
      </c>
      <c r="K9" s="15">
        <f>SUMIF('MUTASI 2026'!$B$5:$B$158,'WS Trial balance'!$D9,'MUTASI 2026'!$H$5:$H$158)</f>
        <v>0</v>
      </c>
      <c r="L9" s="15">
        <f t="shared" si="0"/>
        <v>0</v>
      </c>
      <c r="M9" s="15">
        <f t="shared" si="1"/>
        <v>0</v>
      </c>
      <c r="N9" s="4"/>
    </row>
    <row r="10" spans="2:14" s="1" customFormat="1" ht="15" x14ac:dyDescent="0.25">
      <c r="B10" s="3"/>
      <c r="C10" s="14"/>
      <c r="D10" s="14" t="s">
        <v>329</v>
      </c>
      <c r="E10" s="16" t="s">
        <v>314</v>
      </c>
      <c r="F10" s="16" t="s">
        <v>6</v>
      </c>
      <c r="G10" s="15">
        <v>1926419694.7945766</v>
      </c>
      <c r="H10" s="15">
        <v>0</v>
      </c>
      <c r="I10" s="4"/>
      <c r="J10" s="15">
        <f>SUMIF('MUTASI 2026'!$B$5:$B$158,'WS Trial balance'!$D10,'MUTASI 2026'!$G$5:$G$158)</f>
        <v>284500000</v>
      </c>
      <c r="K10" s="15">
        <f>SUMIF('MUTASI 2026'!$B$5:$B$158,'WS Trial balance'!$D10,'MUTASI 2026'!$H$5:$H$158)</f>
        <v>231926536.66333288</v>
      </c>
      <c r="L10" s="15">
        <f t="shared" si="0"/>
        <v>1978993158.1312437</v>
      </c>
      <c r="M10" s="15">
        <f t="shared" si="1"/>
        <v>0</v>
      </c>
      <c r="N10" s="4"/>
    </row>
    <row r="11" spans="2:14" s="1" customFormat="1" ht="15" x14ac:dyDescent="0.25">
      <c r="B11" s="3"/>
      <c r="C11" s="14"/>
      <c r="D11" s="14" t="s">
        <v>330</v>
      </c>
      <c r="E11" s="16" t="s">
        <v>317</v>
      </c>
      <c r="F11" s="16" t="s">
        <v>6</v>
      </c>
      <c r="G11" s="15">
        <v>643143867</v>
      </c>
      <c r="H11" s="15">
        <v>0</v>
      </c>
      <c r="I11" s="4"/>
      <c r="J11" s="15">
        <f>SUMIF('MUTASI 2026'!$B$5:$B$158,'WS Trial balance'!$D11,'MUTASI 2026'!$G$5:$G$158)</f>
        <v>70560000</v>
      </c>
      <c r="K11" s="15">
        <f>SUMIF('MUTASI 2026'!$B$5:$B$158,'WS Trial balance'!$D11,'MUTASI 2026'!$H$5:$H$158)</f>
        <v>78400000</v>
      </c>
      <c r="L11" s="15">
        <f t="shared" si="0"/>
        <v>635303867</v>
      </c>
      <c r="M11" s="15">
        <f t="shared" si="1"/>
        <v>0</v>
      </c>
      <c r="N11" s="4"/>
    </row>
    <row r="12" spans="2:14" s="1" customFormat="1" ht="15" x14ac:dyDescent="0.25">
      <c r="B12" s="3"/>
      <c r="C12" s="14"/>
      <c r="D12" s="14" t="s">
        <v>22</v>
      </c>
      <c r="E12" s="16" t="s">
        <v>247</v>
      </c>
      <c r="F12" s="16" t="s">
        <v>12</v>
      </c>
      <c r="G12" s="15">
        <v>0</v>
      </c>
      <c r="H12" s="15">
        <v>182000000</v>
      </c>
      <c r="I12" s="4"/>
      <c r="J12" s="15">
        <f>SUMIF('MUTASI 2026'!$B$5:$B$158,'WS Trial balance'!$D12,'MUTASI 2026'!$G$5:$G$158)</f>
        <v>0</v>
      </c>
      <c r="K12" s="15">
        <f>SUMIF('MUTASI 2026'!$B$5:$B$158,'WS Trial balance'!$D12,'MUTASI 2026'!$H$5:$H$158)</f>
        <v>1500000</v>
      </c>
      <c r="L12" s="15">
        <f t="shared" si="0"/>
        <v>0</v>
      </c>
      <c r="M12" s="15">
        <f t="shared" si="1"/>
        <v>183500000</v>
      </c>
      <c r="N12" s="4"/>
    </row>
    <row r="13" spans="2:14" s="1" customFormat="1" ht="15" x14ac:dyDescent="0.25">
      <c r="B13" s="3"/>
      <c r="C13" s="14"/>
      <c r="D13" s="14" t="s">
        <v>13</v>
      </c>
      <c r="E13" s="16" t="s">
        <v>14</v>
      </c>
      <c r="F13" s="16" t="s">
        <v>6</v>
      </c>
      <c r="G13" s="15">
        <v>0</v>
      </c>
      <c r="H13" s="15">
        <v>0</v>
      </c>
      <c r="I13" s="4"/>
      <c r="J13" s="15">
        <f>SUMIF('MUTASI 2026'!$B$5:$B$158,'WS Trial balance'!$D13,'MUTASI 2026'!$G$5:$G$158)</f>
        <v>0</v>
      </c>
      <c r="K13" s="15">
        <f>SUMIF('MUTASI 2026'!$B$5:$B$158,'WS Trial balance'!$D13,'MUTASI 2026'!$H$5:$H$158)</f>
        <v>0</v>
      </c>
      <c r="L13" s="15">
        <f t="shared" si="0"/>
        <v>0</v>
      </c>
      <c r="M13" s="15">
        <f t="shared" si="1"/>
        <v>0</v>
      </c>
      <c r="N13" s="4"/>
    </row>
    <row r="14" spans="2:14" s="1" customFormat="1" ht="15" x14ac:dyDescent="0.25">
      <c r="B14" s="3"/>
      <c r="C14" s="14"/>
      <c r="D14" s="14" t="s">
        <v>11</v>
      </c>
      <c r="E14" s="16" t="s">
        <v>16</v>
      </c>
      <c r="F14" s="16" t="s">
        <v>6</v>
      </c>
      <c r="G14" s="15">
        <v>0</v>
      </c>
      <c r="H14" s="15">
        <v>0</v>
      </c>
      <c r="I14" s="4"/>
      <c r="J14" s="15">
        <f>SUMIF('MUTASI 2026'!$B$5:$B$158,'WS Trial balance'!$D14,'MUTASI 2026'!$G$5:$G$158)</f>
        <v>0</v>
      </c>
      <c r="K14" s="15">
        <f>SUMIF('MUTASI 2026'!$B$5:$B$158,'WS Trial balance'!$D14,'MUTASI 2026'!$H$5:$H$158)</f>
        <v>0</v>
      </c>
      <c r="L14" s="15">
        <f t="shared" si="0"/>
        <v>0</v>
      </c>
      <c r="M14" s="15">
        <f t="shared" si="1"/>
        <v>0</v>
      </c>
      <c r="N14" s="4"/>
    </row>
    <row r="15" spans="2:14" s="1" customFormat="1" ht="15" x14ac:dyDescent="0.25">
      <c r="B15" s="3"/>
      <c r="C15" s="14"/>
      <c r="D15" s="14" t="s">
        <v>23</v>
      </c>
      <c r="E15" s="16" t="s">
        <v>248</v>
      </c>
      <c r="F15" s="16" t="s">
        <v>6</v>
      </c>
      <c r="G15" s="15">
        <v>0</v>
      </c>
      <c r="H15" s="15">
        <v>0</v>
      </c>
      <c r="I15" s="4"/>
      <c r="J15" s="15">
        <f>SUMIF('MUTASI 2026'!$B$5:$B$158,'WS Trial balance'!$D15,'MUTASI 2026'!$G$5:$G$158)</f>
        <v>0</v>
      </c>
      <c r="K15" s="15">
        <f>SUMIF('MUTASI 2026'!$B$5:$B$158,'WS Trial balance'!$D15,'MUTASI 2026'!$H$5:$H$158)</f>
        <v>0</v>
      </c>
      <c r="L15" s="15">
        <f t="shared" si="0"/>
        <v>0</v>
      </c>
      <c r="M15" s="15">
        <f t="shared" si="1"/>
        <v>0</v>
      </c>
      <c r="N15" s="4"/>
    </row>
    <row r="16" spans="2:14" s="1" customFormat="1" ht="15" x14ac:dyDescent="0.25">
      <c r="B16" s="3"/>
      <c r="C16" s="14"/>
      <c r="D16" s="14" t="s">
        <v>24</v>
      </c>
      <c r="E16" s="16" t="s">
        <v>249</v>
      </c>
      <c r="F16" s="16" t="s">
        <v>6</v>
      </c>
      <c r="G16" s="15">
        <v>0</v>
      </c>
      <c r="H16" s="15">
        <v>0</v>
      </c>
      <c r="I16" s="4"/>
      <c r="J16" s="15">
        <f>SUMIF('MUTASI 2026'!$B$5:$B$158,'WS Trial balance'!$D16,'MUTASI 2026'!$G$5:$G$158)</f>
        <v>0</v>
      </c>
      <c r="K16" s="15">
        <f>SUMIF('MUTASI 2026'!$B$5:$B$158,'WS Trial balance'!$D16,'MUTASI 2026'!$H$5:$H$158)</f>
        <v>0</v>
      </c>
      <c r="L16" s="15">
        <f t="shared" si="0"/>
        <v>0</v>
      </c>
      <c r="M16" s="15">
        <f t="shared" si="1"/>
        <v>0</v>
      </c>
      <c r="N16" s="4"/>
    </row>
    <row r="17" spans="2:15" s="1" customFormat="1" ht="15" x14ac:dyDescent="0.25">
      <c r="B17" s="3"/>
      <c r="C17" s="14"/>
      <c r="D17" s="14" t="s">
        <v>25</v>
      </c>
      <c r="E17" s="16" t="s">
        <v>18</v>
      </c>
      <c r="F17" s="16" t="s">
        <v>6</v>
      </c>
      <c r="G17" s="15">
        <v>0</v>
      </c>
      <c r="H17" s="15">
        <v>0</v>
      </c>
      <c r="I17" s="4"/>
      <c r="J17" s="15">
        <f>SUMIF('MUTASI 2026'!$B$5:$B$158,'WS Trial balance'!$D17,'MUTASI 2026'!$G$5:$G$158)</f>
        <v>0</v>
      </c>
      <c r="K17" s="15">
        <f>SUMIF('MUTASI 2026'!$B$5:$B$158,'WS Trial balance'!$D17,'MUTASI 2026'!$H$5:$H$158)</f>
        <v>0</v>
      </c>
      <c r="L17" s="15">
        <f t="shared" si="0"/>
        <v>0</v>
      </c>
      <c r="M17" s="15">
        <f t="shared" si="1"/>
        <v>0</v>
      </c>
      <c r="N17" s="4"/>
    </row>
    <row r="18" spans="2:15" s="1" customFormat="1" ht="15" x14ac:dyDescent="0.25">
      <c r="B18" s="3"/>
      <c r="C18" s="96"/>
      <c r="D18" s="14" t="s">
        <v>26</v>
      </c>
      <c r="E18" s="16" t="s">
        <v>20</v>
      </c>
      <c r="F18" s="16" t="s">
        <v>6</v>
      </c>
      <c r="G18" s="15">
        <v>0</v>
      </c>
      <c r="H18" s="15">
        <v>0</v>
      </c>
      <c r="I18" s="4"/>
      <c r="J18" s="15">
        <f>SUMIF('MUTASI 2026'!$B$5:$B$158,'WS Trial balance'!$D18,'MUTASI 2026'!$G$5:$G$158)</f>
        <v>0</v>
      </c>
      <c r="K18" s="15">
        <f>SUMIF('MUTASI 2026'!$B$5:$B$158,'WS Trial balance'!$D18,'MUTASI 2026'!$H$5:$H$158)</f>
        <v>0</v>
      </c>
      <c r="L18" s="15">
        <f t="shared" si="0"/>
        <v>0</v>
      </c>
      <c r="M18" s="15">
        <f t="shared" si="1"/>
        <v>0</v>
      </c>
      <c r="N18" s="4"/>
    </row>
    <row r="19" spans="2:15" s="1" customFormat="1" ht="15" x14ac:dyDescent="0.25">
      <c r="B19" s="3"/>
      <c r="C19" s="14"/>
      <c r="D19" s="14" t="s">
        <v>331</v>
      </c>
      <c r="E19" s="16" t="s">
        <v>27</v>
      </c>
      <c r="F19" s="16" t="s">
        <v>6</v>
      </c>
      <c r="G19" s="15">
        <v>0</v>
      </c>
      <c r="H19" s="15">
        <v>0</v>
      </c>
      <c r="I19" s="4"/>
      <c r="J19" s="15">
        <f>SUMIF('MUTASI 2026'!$B$5:$B$158,'WS Trial balance'!$D19,'MUTASI 2026'!$G$5:$G$158)</f>
        <v>0</v>
      </c>
      <c r="K19" s="15">
        <f>SUMIF('MUTASI 2026'!$B$5:$B$158,'WS Trial balance'!$D19,'MUTASI 2026'!$H$5:$H$158)</f>
        <v>0</v>
      </c>
      <c r="L19" s="15">
        <f t="shared" si="0"/>
        <v>0</v>
      </c>
      <c r="M19" s="15">
        <f t="shared" si="1"/>
        <v>0</v>
      </c>
      <c r="N19" s="4"/>
    </row>
    <row r="20" spans="2:15" s="1" customFormat="1" ht="15" x14ac:dyDescent="0.25">
      <c r="B20" s="3"/>
      <c r="C20" s="14"/>
      <c r="D20" s="14" t="s">
        <v>15</v>
      </c>
      <c r="E20" s="16" t="s">
        <v>29</v>
      </c>
      <c r="F20" s="16" t="s">
        <v>6</v>
      </c>
      <c r="G20" s="15">
        <v>0</v>
      </c>
      <c r="H20" s="15">
        <v>0</v>
      </c>
      <c r="I20" s="4"/>
      <c r="J20" s="15">
        <f>SUMIF('MUTASI 2026'!$B$5:$B$158,'WS Trial balance'!$D20,'MUTASI 2026'!$G$5:$G$158)</f>
        <v>0</v>
      </c>
      <c r="K20" s="15">
        <f>SUMIF('MUTASI 2026'!$B$5:$B$158,'WS Trial balance'!$D20,'MUTASI 2026'!$H$5:$H$158)</f>
        <v>0</v>
      </c>
      <c r="L20" s="15">
        <f t="shared" si="0"/>
        <v>0</v>
      </c>
      <c r="M20" s="15">
        <f t="shared" si="1"/>
        <v>0</v>
      </c>
      <c r="N20" s="4"/>
      <c r="O20" s="105"/>
    </row>
    <row r="21" spans="2:15" s="1" customFormat="1" ht="15" x14ac:dyDescent="0.25">
      <c r="B21" s="3"/>
      <c r="C21" s="14"/>
      <c r="D21" s="14" t="s">
        <v>17</v>
      </c>
      <c r="E21" s="16" t="s">
        <v>30</v>
      </c>
      <c r="F21" s="16" t="s">
        <v>6</v>
      </c>
      <c r="G21" s="15">
        <v>0</v>
      </c>
      <c r="H21" s="15">
        <v>0</v>
      </c>
      <c r="I21" s="4"/>
      <c r="J21" s="15">
        <f>SUMIF('MUTASI 2026'!$B$5:$B$158,'WS Trial balance'!$D21,'MUTASI 2026'!$G$5:$G$158)</f>
        <v>0</v>
      </c>
      <c r="K21" s="15">
        <f>SUMIF('MUTASI 2026'!$B$5:$B$158,'WS Trial balance'!$D21,'MUTASI 2026'!$H$5:$H$158)</f>
        <v>0</v>
      </c>
      <c r="L21" s="15">
        <f t="shared" si="0"/>
        <v>0</v>
      </c>
      <c r="M21" s="15">
        <f t="shared" si="1"/>
        <v>0</v>
      </c>
      <c r="N21" s="4"/>
      <c r="O21" s="105"/>
    </row>
    <row r="22" spans="2:15" s="1" customFormat="1" ht="15" x14ac:dyDescent="0.25">
      <c r="B22" s="3"/>
      <c r="C22" s="14"/>
      <c r="D22" s="14" t="s">
        <v>21</v>
      </c>
      <c r="E22" s="16" t="s">
        <v>255</v>
      </c>
      <c r="F22" s="16" t="s">
        <v>6</v>
      </c>
      <c r="G22" s="15">
        <v>0</v>
      </c>
      <c r="H22" s="15">
        <v>0</v>
      </c>
      <c r="I22" s="4"/>
      <c r="J22" s="15">
        <f>SUMIF('MUTASI 2026'!$B$5:$B$158,'WS Trial balance'!$D22,'MUTASI 2026'!$G$5:$G$158)</f>
        <v>0</v>
      </c>
      <c r="K22" s="15">
        <f>SUMIF('MUTASI 2026'!$B$5:$B$158,'WS Trial balance'!$D22,'MUTASI 2026'!$H$5:$H$158)</f>
        <v>0</v>
      </c>
      <c r="L22" s="15">
        <f t="shared" si="0"/>
        <v>0</v>
      </c>
      <c r="M22" s="15">
        <f t="shared" si="1"/>
        <v>0</v>
      </c>
      <c r="N22" s="4"/>
    </row>
    <row r="23" spans="2:15" s="1" customFormat="1" ht="15" x14ac:dyDescent="0.25">
      <c r="B23" s="3"/>
      <c r="C23" s="14"/>
      <c r="D23" s="14" t="s">
        <v>19</v>
      </c>
      <c r="E23" s="16" t="s">
        <v>261</v>
      </c>
      <c r="F23" s="16" t="s">
        <v>6</v>
      </c>
      <c r="G23" s="15">
        <v>0</v>
      </c>
      <c r="H23" s="15">
        <v>0</v>
      </c>
      <c r="I23" s="4"/>
      <c r="J23" s="15">
        <f>SUMIF('MUTASI 2026'!$B$5:$B$158,'WS Trial balance'!$D23,'MUTASI 2026'!$G$5:$G$158)</f>
        <v>0</v>
      </c>
      <c r="K23" s="15">
        <f>SUMIF('MUTASI 2026'!$B$5:$B$158,'WS Trial balance'!$D23,'MUTASI 2026'!$H$5:$H$158)</f>
        <v>0</v>
      </c>
      <c r="L23" s="15">
        <f t="shared" si="0"/>
        <v>0</v>
      </c>
      <c r="M23" s="15">
        <f t="shared" si="1"/>
        <v>0</v>
      </c>
      <c r="N23" s="4"/>
    </row>
    <row r="24" spans="2:15" s="1" customFormat="1" ht="15" x14ac:dyDescent="0.25">
      <c r="B24" s="3"/>
      <c r="C24" s="14"/>
      <c r="D24" s="14" t="s">
        <v>332</v>
      </c>
      <c r="E24" s="16" t="s">
        <v>31</v>
      </c>
      <c r="F24" s="16" t="s">
        <v>6</v>
      </c>
      <c r="G24" s="15">
        <v>0</v>
      </c>
      <c r="H24" s="15">
        <v>0</v>
      </c>
      <c r="I24" s="4"/>
      <c r="J24" s="15">
        <f>SUMIF('MUTASI 2026'!$B$5:$B$158,'WS Trial balance'!$D24,'MUTASI 2026'!$G$5:$G$158)</f>
        <v>0</v>
      </c>
      <c r="K24" s="15">
        <f>SUMIF('MUTASI 2026'!$B$5:$B$158,'WS Trial balance'!$D24,'MUTASI 2026'!$H$5:$H$158)</f>
        <v>0</v>
      </c>
      <c r="L24" s="15">
        <f t="shared" si="0"/>
        <v>0</v>
      </c>
      <c r="M24" s="15">
        <f t="shared" si="1"/>
        <v>0</v>
      </c>
      <c r="N24" s="4"/>
    </row>
    <row r="25" spans="2:15" s="1" customFormat="1" ht="15" x14ac:dyDescent="0.25">
      <c r="B25" s="3"/>
      <c r="C25" s="96"/>
      <c r="D25" s="14" t="s">
        <v>333</v>
      </c>
      <c r="E25" s="16" t="s">
        <v>32</v>
      </c>
      <c r="F25" s="16" t="s">
        <v>12</v>
      </c>
      <c r="G25" s="15">
        <v>0</v>
      </c>
      <c r="H25" s="15">
        <v>0</v>
      </c>
      <c r="I25" s="4"/>
      <c r="J25" s="15">
        <f>SUMIF('MUTASI 2026'!$B$5:$B$158,'WS Trial balance'!$D25,'MUTASI 2026'!$G$5:$G$158)</f>
        <v>0</v>
      </c>
      <c r="K25" s="15">
        <f>SUMIF('MUTASI 2026'!$B$5:$B$158,'WS Trial balance'!$D25,'MUTASI 2026'!$H$5:$H$158)</f>
        <v>0</v>
      </c>
      <c r="L25" s="15">
        <f t="shared" si="0"/>
        <v>0</v>
      </c>
      <c r="M25" s="15">
        <f t="shared" si="1"/>
        <v>0</v>
      </c>
      <c r="N25" s="4"/>
    </row>
    <row r="26" spans="2:15" s="1" customFormat="1" ht="15" x14ac:dyDescent="0.25">
      <c r="B26" s="3"/>
      <c r="C26" s="14"/>
      <c r="D26" s="14" t="s">
        <v>33</v>
      </c>
      <c r="E26" s="16" t="s">
        <v>34</v>
      </c>
      <c r="F26" s="16" t="s">
        <v>12</v>
      </c>
      <c r="G26" s="15">
        <v>0</v>
      </c>
      <c r="H26" s="15">
        <v>0</v>
      </c>
      <c r="I26" s="4"/>
      <c r="J26" s="15">
        <f>SUMIF('MUTASI 2026'!$B$5:$B$158,'WS Trial balance'!$D26,'MUTASI 2026'!$G$5:$G$158)</f>
        <v>0</v>
      </c>
      <c r="K26" s="15">
        <f>SUMIF('MUTASI 2026'!$B$5:$B$158,'WS Trial balance'!$D26,'MUTASI 2026'!$H$5:$H$158)</f>
        <v>0</v>
      </c>
      <c r="L26" s="15">
        <f t="shared" si="0"/>
        <v>0</v>
      </c>
      <c r="M26" s="15">
        <f t="shared" si="1"/>
        <v>0</v>
      </c>
      <c r="N26" s="4"/>
    </row>
    <row r="27" spans="2:15" s="1" customFormat="1" ht="15" x14ac:dyDescent="0.25">
      <c r="B27" s="3"/>
      <c r="C27" s="14"/>
      <c r="D27" s="14" t="s">
        <v>35</v>
      </c>
      <c r="E27" s="16" t="s">
        <v>265</v>
      </c>
      <c r="F27" s="16" t="s">
        <v>6</v>
      </c>
      <c r="G27" s="15">
        <v>0</v>
      </c>
      <c r="H27" s="15">
        <v>0</v>
      </c>
      <c r="I27" s="4"/>
      <c r="J27" s="15">
        <f>SUMIF('MUTASI 2026'!$B$5:$B$158,'WS Trial balance'!$D27,'MUTASI 2026'!$G$5:$G$158)</f>
        <v>0</v>
      </c>
      <c r="K27" s="15">
        <f>SUMIF('MUTASI 2026'!$B$5:$B$158,'WS Trial balance'!$D27,'MUTASI 2026'!$H$5:$H$158)</f>
        <v>0</v>
      </c>
      <c r="L27" s="15">
        <f t="shared" si="0"/>
        <v>0</v>
      </c>
      <c r="M27" s="15">
        <f t="shared" si="1"/>
        <v>0</v>
      </c>
      <c r="N27" s="4"/>
    </row>
    <row r="28" spans="2:15" s="1" customFormat="1" ht="15" x14ac:dyDescent="0.25">
      <c r="B28" s="3"/>
      <c r="C28" s="14"/>
      <c r="D28" s="14" t="s">
        <v>36</v>
      </c>
      <c r="E28" s="16" t="s">
        <v>266</v>
      </c>
      <c r="F28" s="16" t="s">
        <v>12</v>
      </c>
      <c r="G28" s="15">
        <v>0</v>
      </c>
      <c r="H28" s="15">
        <v>0</v>
      </c>
      <c r="I28" s="4"/>
      <c r="J28" s="15">
        <f>SUMIF('MUTASI 2026'!$B$5:$B$158,'WS Trial balance'!$D28,'MUTASI 2026'!$G$5:$G$158)</f>
        <v>0</v>
      </c>
      <c r="K28" s="15">
        <f>SUMIF('MUTASI 2026'!$B$5:$B$158,'WS Trial balance'!$D28,'MUTASI 2026'!$H$5:$H$158)</f>
        <v>0</v>
      </c>
      <c r="L28" s="15">
        <f t="shared" si="0"/>
        <v>0</v>
      </c>
      <c r="M28" s="15">
        <f t="shared" si="1"/>
        <v>0</v>
      </c>
      <c r="N28" s="4"/>
    </row>
    <row r="29" spans="2:15" s="1" customFormat="1" ht="15" x14ac:dyDescent="0.25">
      <c r="B29" s="3"/>
      <c r="C29" s="14"/>
      <c r="D29" s="14" t="s">
        <v>28</v>
      </c>
      <c r="E29" s="16" t="s">
        <v>37</v>
      </c>
      <c r="F29" s="16" t="s">
        <v>6</v>
      </c>
      <c r="G29" s="15">
        <v>0</v>
      </c>
      <c r="H29" s="15">
        <v>0</v>
      </c>
      <c r="I29" s="4"/>
      <c r="J29" s="15">
        <f>SUMIF('MUTASI 2026'!$B$5:$B$158,'WS Trial balance'!$D29,'MUTASI 2026'!$G$5:$G$158)</f>
        <v>0</v>
      </c>
      <c r="K29" s="15">
        <f>SUMIF('MUTASI 2026'!$B$5:$B$158,'WS Trial balance'!$D29,'MUTASI 2026'!$H$5:$H$158)</f>
        <v>0</v>
      </c>
      <c r="L29" s="15">
        <f t="shared" si="0"/>
        <v>0</v>
      </c>
      <c r="M29" s="15">
        <f t="shared" si="1"/>
        <v>0</v>
      </c>
      <c r="N29" s="4"/>
    </row>
    <row r="30" spans="2:15" s="1" customFormat="1" ht="15" x14ac:dyDescent="0.25">
      <c r="B30" s="3"/>
      <c r="C30" s="14"/>
      <c r="D30" s="14" t="s">
        <v>40</v>
      </c>
      <c r="E30" s="16" t="s">
        <v>324</v>
      </c>
      <c r="F30" s="16" t="s">
        <v>12</v>
      </c>
      <c r="G30" s="15">
        <v>0</v>
      </c>
      <c r="H30" s="15">
        <v>0</v>
      </c>
      <c r="I30" s="4"/>
      <c r="J30" s="15">
        <f>SUMIF('MUTASI 2026'!$B$5:$B$158,'WS Trial balance'!$D30,'MUTASI 2026'!$G$5:$G$158)</f>
        <v>0</v>
      </c>
      <c r="K30" s="15">
        <f>SUMIF('MUTASI 2026'!$B$5:$B$158,'WS Trial balance'!$D30,'MUTASI 2026'!$H$5:$H$158)</f>
        <v>0</v>
      </c>
      <c r="L30" s="15">
        <f t="shared" si="0"/>
        <v>0</v>
      </c>
      <c r="M30" s="15">
        <f t="shared" si="1"/>
        <v>0</v>
      </c>
      <c r="N30" s="4"/>
    </row>
    <row r="31" spans="2:15" s="1" customFormat="1" ht="15" x14ac:dyDescent="0.25">
      <c r="B31" s="3"/>
      <c r="C31" s="14"/>
      <c r="D31" s="14" t="s">
        <v>41</v>
      </c>
      <c r="E31" s="16" t="s">
        <v>326</v>
      </c>
      <c r="F31" s="16" t="s">
        <v>12</v>
      </c>
      <c r="G31" s="15">
        <v>0</v>
      </c>
      <c r="H31" s="15">
        <v>300000000</v>
      </c>
      <c r="I31" s="4"/>
      <c r="J31" s="15">
        <f>SUMIF('MUTASI 2026'!$B$5:$B$158,'WS Trial balance'!$D31,'MUTASI 2026'!$G$5:$G$158)</f>
        <v>0</v>
      </c>
      <c r="K31" s="15">
        <f>SUMIF('MUTASI 2026'!$B$5:$B$158,'WS Trial balance'!$D31,'MUTASI 2026'!$H$5:$H$158)</f>
        <v>0</v>
      </c>
      <c r="L31" s="15">
        <f t="shared" si="0"/>
        <v>0</v>
      </c>
      <c r="M31" s="15">
        <f t="shared" si="1"/>
        <v>300000000</v>
      </c>
      <c r="N31" s="4"/>
    </row>
    <row r="32" spans="2:15" s="1" customFormat="1" ht="15" x14ac:dyDescent="0.25">
      <c r="B32" s="3"/>
      <c r="C32" s="14"/>
      <c r="D32" s="14" t="s">
        <v>42</v>
      </c>
      <c r="E32" s="16" t="s">
        <v>407</v>
      </c>
      <c r="F32" s="16" t="s">
        <v>12</v>
      </c>
      <c r="G32" s="15">
        <v>0</v>
      </c>
      <c r="H32" s="15">
        <v>0</v>
      </c>
      <c r="I32" s="4"/>
      <c r="J32" s="15">
        <f>SUMIF('MUTASI 2026'!$B$5:$B$158,'WS Trial balance'!$D32,'MUTASI 2026'!$G$5:$G$158)</f>
        <v>0</v>
      </c>
      <c r="K32" s="15">
        <f>SUMIF('MUTASI 2026'!$B$5:$B$158,'WS Trial balance'!$D32,'MUTASI 2026'!$H$5:$H$158)</f>
        <v>0</v>
      </c>
      <c r="L32" s="15">
        <f t="shared" si="0"/>
        <v>0</v>
      </c>
      <c r="M32" s="15">
        <f t="shared" si="1"/>
        <v>0</v>
      </c>
      <c r="N32" s="4"/>
    </row>
    <row r="33" spans="2:14" s="1" customFormat="1" ht="15" x14ac:dyDescent="0.25">
      <c r="B33" s="3"/>
      <c r="C33" s="14"/>
      <c r="D33" s="14" t="s">
        <v>334</v>
      </c>
      <c r="E33" s="16" t="s">
        <v>408</v>
      </c>
      <c r="F33" s="16" t="s">
        <v>12</v>
      </c>
      <c r="G33" s="15">
        <v>0</v>
      </c>
      <c r="H33" s="15">
        <v>0</v>
      </c>
      <c r="I33" s="4"/>
      <c r="J33" s="15">
        <f>SUMIF('MUTASI 2026'!$B$5:$B$158,'WS Trial balance'!$D33,'MUTASI 2026'!$G$5:$G$158)</f>
        <v>0</v>
      </c>
      <c r="K33" s="15">
        <f>SUMIF('MUTASI 2026'!$B$5:$B$158,'WS Trial balance'!$D33,'MUTASI 2026'!$H$5:$H$158)</f>
        <v>0</v>
      </c>
      <c r="L33" s="15">
        <f t="shared" si="0"/>
        <v>0</v>
      </c>
      <c r="M33" s="15">
        <f t="shared" si="1"/>
        <v>0</v>
      </c>
      <c r="N33" s="4"/>
    </row>
    <row r="34" spans="2:14" s="1" customFormat="1" ht="15" x14ac:dyDescent="0.25">
      <c r="B34" s="3"/>
      <c r="C34" s="14"/>
      <c r="D34" s="14" t="s">
        <v>44</v>
      </c>
      <c r="E34" s="16" t="s">
        <v>335</v>
      </c>
      <c r="F34" s="16" t="s">
        <v>12</v>
      </c>
      <c r="G34" s="15">
        <v>0</v>
      </c>
      <c r="H34" s="15">
        <v>0</v>
      </c>
      <c r="I34" s="4"/>
      <c r="J34" s="15">
        <f>SUMIF('MUTASI 2026'!$B$5:$B$158,'WS Trial balance'!$D34,'MUTASI 2026'!$G$5:$G$158)</f>
        <v>0</v>
      </c>
      <c r="K34" s="15">
        <f>SUMIF('MUTASI 2026'!$B$5:$B$158,'WS Trial balance'!$D34,'MUTASI 2026'!$H$5:$H$158)</f>
        <v>0</v>
      </c>
      <c r="L34" s="15">
        <f t="shared" si="0"/>
        <v>0</v>
      </c>
      <c r="M34" s="15">
        <f t="shared" si="1"/>
        <v>0</v>
      </c>
      <c r="N34" s="4"/>
    </row>
    <row r="35" spans="2:14" s="1" customFormat="1" ht="15" x14ac:dyDescent="0.25">
      <c r="B35" s="3"/>
      <c r="C35" s="14"/>
      <c r="D35" s="14" t="s">
        <v>39</v>
      </c>
      <c r="E35" s="16" t="s">
        <v>336</v>
      </c>
      <c r="F35" s="16" t="s">
        <v>12</v>
      </c>
      <c r="G35" s="15">
        <v>0</v>
      </c>
      <c r="H35" s="15">
        <v>21680000</v>
      </c>
      <c r="I35" s="4"/>
      <c r="J35" s="15">
        <f>SUMIF('MUTASI 2026'!$B$5:$B$158,'WS Trial balance'!$D35,'MUTASI 2026'!$G$5:$G$158)</f>
        <v>0</v>
      </c>
      <c r="K35" s="15">
        <f>SUMIF('MUTASI 2026'!$B$5:$B$158,'WS Trial balance'!$D35,'MUTASI 2026'!$H$5:$H$158)</f>
        <v>0</v>
      </c>
      <c r="L35" s="15">
        <f t="shared" si="0"/>
        <v>0</v>
      </c>
      <c r="M35" s="15">
        <f t="shared" si="1"/>
        <v>21680000</v>
      </c>
      <c r="N35" s="4"/>
    </row>
    <row r="36" spans="2:14" s="1" customFormat="1" ht="15" x14ac:dyDescent="0.25">
      <c r="B36" s="3"/>
      <c r="C36" s="14"/>
      <c r="D36" s="14" t="s">
        <v>43</v>
      </c>
      <c r="E36" s="16" t="s">
        <v>337</v>
      </c>
      <c r="F36" s="16" t="s">
        <v>12</v>
      </c>
      <c r="G36" s="15">
        <v>0</v>
      </c>
      <c r="H36" s="15">
        <v>47686535.383781642</v>
      </c>
      <c r="I36" s="4"/>
      <c r="J36" s="15">
        <f>SUMIF('MUTASI 2026'!$B$5:$B$158,'WS Trial balance'!$D36,'MUTASI 2026'!$G$5:$G$158)</f>
        <v>0</v>
      </c>
      <c r="K36" s="15">
        <f>SUMIF('MUTASI 2026'!$B$5:$B$158,'WS Trial balance'!$D36,'MUTASI 2026'!$H$5:$H$158)</f>
        <v>0</v>
      </c>
      <c r="L36" s="15">
        <f t="shared" si="0"/>
        <v>0</v>
      </c>
      <c r="M36" s="15">
        <f t="shared" si="1"/>
        <v>47686535.383781642</v>
      </c>
      <c r="N36" s="4"/>
    </row>
    <row r="37" spans="2:14" s="1" customFormat="1" ht="15" x14ac:dyDescent="0.25">
      <c r="B37" s="3"/>
      <c r="C37" s="14"/>
      <c r="D37" s="14" t="s">
        <v>46</v>
      </c>
      <c r="E37" s="16" t="s">
        <v>47</v>
      </c>
      <c r="F37" s="16" t="s">
        <v>12</v>
      </c>
      <c r="G37" s="15">
        <v>0</v>
      </c>
      <c r="H37" s="15">
        <v>0</v>
      </c>
      <c r="I37" s="4"/>
      <c r="J37" s="15">
        <f>SUMIF('MUTASI 2026'!$B$5:$B$158,'WS Trial balance'!$D37,'MUTASI 2026'!$G$5:$G$158)</f>
        <v>37692000</v>
      </c>
      <c r="K37" s="15">
        <f>SUMIF('MUTASI 2026'!$B$5:$B$158,'WS Trial balance'!$D37,'MUTASI 2026'!$H$5:$H$158)</f>
        <v>66642000</v>
      </c>
      <c r="L37" s="15">
        <f t="shared" si="0"/>
        <v>0</v>
      </c>
      <c r="M37" s="15">
        <f t="shared" si="1"/>
        <v>28950000</v>
      </c>
      <c r="N37" s="4"/>
    </row>
    <row r="38" spans="2:14" s="1" customFormat="1" ht="15" x14ac:dyDescent="0.25">
      <c r="B38" s="3"/>
      <c r="C38" s="14"/>
      <c r="D38" s="14" t="s">
        <v>45</v>
      </c>
      <c r="E38" s="16" t="s">
        <v>274</v>
      </c>
      <c r="F38" s="16" t="s">
        <v>12</v>
      </c>
      <c r="G38" s="15">
        <v>0</v>
      </c>
      <c r="H38" s="15">
        <v>0</v>
      </c>
      <c r="I38" s="4"/>
      <c r="J38" s="15">
        <f>SUMIF('MUTASI 2026'!$B$5:$B$158,'WS Trial balance'!$D38,'MUTASI 2026'!$G$5:$G$158)</f>
        <v>0</v>
      </c>
      <c r="K38" s="15">
        <f>SUMIF('MUTASI 2026'!$B$5:$B$158,'WS Trial balance'!$D38,'MUTASI 2026'!$H$5:$H$158)</f>
        <v>0</v>
      </c>
      <c r="L38" s="15">
        <f t="shared" si="0"/>
        <v>0</v>
      </c>
      <c r="M38" s="15">
        <f t="shared" si="1"/>
        <v>0</v>
      </c>
      <c r="N38" s="4"/>
    </row>
    <row r="39" spans="2:14" s="1" customFormat="1" ht="15" x14ac:dyDescent="0.25">
      <c r="B39" s="3"/>
      <c r="C39" s="14"/>
      <c r="D39" s="14" t="s">
        <v>48</v>
      </c>
      <c r="E39" s="16" t="s">
        <v>340</v>
      </c>
      <c r="F39" s="16" t="s">
        <v>12</v>
      </c>
      <c r="G39" s="15">
        <v>0</v>
      </c>
      <c r="H39" s="15">
        <v>0</v>
      </c>
      <c r="I39" s="4"/>
      <c r="J39" s="15">
        <f>SUMIF('MUTASI 2026'!$B$5:$B$158,'WS Trial balance'!$D39,'MUTASI 2026'!$G$5:$G$158)</f>
        <v>0</v>
      </c>
      <c r="K39" s="15">
        <f>SUMIF('MUTASI 2026'!$B$5:$B$158,'WS Trial balance'!$D39,'MUTASI 2026'!$H$5:$H$158)</f>
        <v>0</v>
      </c>
      <c r="L39" s="15">
        <f t="shared" si="0"/>
        <v>0</v>
      </c>
      <c r="M39" s="15">
        <f t="shared" si="1"/>
        <v>0</v>
      </c>
      <c r="N39" s="4"/>
    </row>
    <row r="40" spans="2:14" s="1" customFormat="1" ht="15" x14ac:dyDescent="0.25">
      <c r="B40" s="3"/>
      <c r="C40" s="14"/>
      <c r="D40" s="14" t="s">
        <v>49</v>
      </c>
      <c r="E40" s="16" t="s">
        <v>341</v>
      </c>
      <c r="F40" s="16" t="s">
        <v>12</v>
      </c>
      <c r="G40" s="15">
        <v>0</v>
      </c>
      <c r="H40" s="15">
        <v>0</v>
      </c>
      <c r="I40" s="4"/>
      <c r="J40" s="15">
        <f>SUMIF('MUTASI 2026'!$B$5:$B$158,'WS Trial balance'!$D40,'MUTASI 2026'!$G$5:$G$158)</f>
        <v>0</v>
      </c>
      <c r="K40" s="15">
        <f>SUMIF('MUTASI 2026'!$B$5:$B$158,'WS Trial balance'!$D40,'MUTASI 2026'!$H$5:$H$158)</f>
        <v>0</v>
      </c>
      <c r="L40" s="15">
        <f t="shared" si="0"/>
        <v>0</v>
      </c>
      <c r="M40" s="15">
        <f t="shared" si="1"/>
        <v>0</v>
      </c>
      <c r="N40" s="4"/>
    </row>
    <row r="41" spans="2:14" s="1" customFormat="1" ht="15" x14ac:dyDescent="0.25">
      <c r="B41" s="3"/>
      <c r="C41" s="14"/>
      <c r="D41" s="14" t="s">
        <v>50</v>
      </c>
      <c r="E41" s="16" t="s">
        <v>342</v>
      </c>
      <c r="F41" s="16" t="s">
        <v>12</v>
      </c>
      <c r="G41" s="15">
        <v>0</v>
      </c>
      <c r="H41" s="15">
        <v>0</v>
      </c>
      <c r="I41" s="4"/>
      <c r="J41" s="15">
        <f>SUMIF('MUTASI 2026'!$B$5:$B$158,'WS Trial balance'!$D41,'MUTASI 2026'!$G$5:$G$158)</f>
        <v>0</v>
      </c>
      <c r="K41" s="15">
        <f>SUMIF('MUTASI 2026'!$B$5:$B$158,'WS Trial balance'!$D41,'MUTASI 2026'!$H$5:$H$158)</f>
        <v>0</v>
      </c>
      <c r="L41" s="15">
        <f t="shared" si="0"/>
        <v>0</v>
      </c>
      <c r="M41" s="15">
        <f t="shared" si="1"/>
        <v>0</v>
      </c>
      <c r="N41" s="4"/>
    </row>
    <row r="42" spans="2:14" s="1" customFormat="1" ht="15" x14ac:dyDescent="0.25">
      <c r="B42" s="3"/>
      <c r="C42" s="14"/>
      <c r="D42" s="14" t="s">
        <v>51</v>
      </c>
      <c r="E42" s="16" t="s">
        <v>275</v>
      </c>
      <c r="F42" s="16" t="s">
        <v>12</v>
      </c>
      <c r="G42" s="15">
        <v>0</v>
      </c>
      <c r="H42" s="15">
        <v>0</v>
      </c>
      <c r="I42" s="4"/>
      <c r="J42" s="15">
        <f>SUMIF('MUTASI 2026'!$B$5:$B$158,'WS Trial balance'!$D42,'MUTASI 2026'!$G$5:$G$158)</f>
        <v>0</v>
      </c>
      <c r="K42" s="15">
        <f>SUMIF('MUTASI 2026'!$B$5:$B$158,'WS Trial balance'!$D42,'MUTASI 2026'!$H$5:$H$158)</f>
        <v>0</v>
      </c>
      <c r="L42" s="15">
        <f t="shared" si="0"/>
        <v>0</v>
      </c>
      <c r="M42" s="15">
        <f t="shared" si="1"/>
        <v>0</v>
      </c>
      <c r="N42" s="4"/>
    </row>
    <row r="43" spans="2:14" s="1" customFormat="1" ht="15" x14ac:dyDescent="0.25">
      <c r="B43" s="3"/>
      <c r="C43" s="14"/>
      <c r="D43" s="14" t="s">
        <v>52</v>
      </c>
      <c r="E43" s="16" t="s">
        <v>385</v>
      </c>
      <c r="F43" s="16" t="s">
        <v>12</v>
      </c>
      <c r="G43" s="15">
        <v>0</v>
      </c>
      <c r="H43" s="15">
        <v>7900000</v>
      </c>
      <c r="I43" s="4"/>
      <c r="J43" s="15">
        <f>SUMIF('MUTASI 2026'!$B$5:$B$158,'WS Trial balance'!$D43,'MUTASI 2026'!$G$5:$G$158)</f>
        <v>0</v>
      </c>
      <c r="K43" s="15">
        <f>SUMIF('MUTASI 2026'!$B$5:$B$158,'WS Trial balance'!$D43,'MUTASI 2026'!$H$5:$H$158)</f>
        <v>0</v>
      </c>
      <c r="L43" s="15">
        <f t="shared" si="0"/>
        <v>0</v>
      </c>
      <c r="M43" s="15">
        <f t="shared" si="1"/>
        <v>7900000</v>
      </c>
      <c r="N43" s="4"/>
    </row>
    <row r="44" spans="2:14" s="1" customFormat="1" ht="15" x14ac:dyDescent="0.25">
      <c r="B44" s="3"/>
      <c r="C44" s="14"/>
      <c r="D44" s="14" t="s">
        <v>343</v>
      </c>
      <c r="E44" s="16" t="s">
        <v>386</v>
      </c>
      <c r="F44" s="16" t="s">
        <v>12</v>
      </c>
      <c r="G44" s="15">
        <v>0</v>
      </c>
      <c r="H44" s="15">
        <v>339030000</v>
      </c>
      <c r="I44" s="4"/>
      <c r="J44" s="15">
        <f>SUMIF('MUTASI 2026'!$B$5:$B$158,'WS Trial balance'!$D44,'MUTASI 2026'!$G$5:$G$158)</f>
        <v>0</v>
      </c>
      <c r="K44" s="15">
        <f>SUMIF('MUTASI 2026'!$B$5:$B$158,'WS Trial balance'!$D44,'MUTASI 2026'!$H$5:$H$158)</f>
        <v>3800000</v>
      </c>
      <c r="L44" s="15">
        <f t="shared" si="0"/>
        <v>0</v>
      </c>
      <c r="M44" s="15">
        <f t="shared" si="1"/>
        <v>342830000</v>
      </c>
      <c r="N44" s="4"/>
    </row>
    <row r="45" spans="2:14" s="1" customFormat="1" ht="15" x14ac:dyDescent="0.25">
      <c r="B45" s="3"/>
      <c r="C45" s="14"/>
      <c r="D45" s="14" t="s">
        <v>53</v>
      </c>
      <c r="E45" s="16" t="s">
        <v>387</v>
      </c>
      <c r="F45" s="16" t="s">
        <v>12</v>
      </c>
      <c r="G45" s="15">
        <v>0</v>
      </c>
      <c r="H45" s="15">
        <v>0</v>
      </c>
      <c r="I45" s="4"/>
      <c r="J45" s="15">
        <f>SUMIF('MUTASI 2026'!$B$5:$B$158,'WS Trial balance'!$D45,'MUTASI 2026'!$G$5:$G$158)</f>
        <v>0</v>
      </c>
      <c r="K45" s="15">
        <f>SUMIF('MUTASI 2026'!$B$5:$B$158,'WS Trial balance'!$D45,'MUTASI 2026'!$H$5:$H$158)</f>
        <v>0</v>
      </c>
      <c r="L45" s="15">
        <f t="shared" si="0"/>
        <v>0</v>
      </c>
      <c r="M45" s="15">
        <f t="shared" si="1"/>
        <v>0</v>
      </c>
      <c r="N45" s="4"/>
    </row>
    <row r="46" spans="2:14" s="1" customFormat="1" ht="15" x14ac:dyDescent="0.25">
      <c r="B46" s="3"/>
      <c r="C46" s="14"/>
      <c r="D46" s="14" t="s">
        <v>54</v>
      </c>
      <c r="E46" s="16" t="s">
        <v>276</v>
      </c>
      <c r="F46" s="16" t="s">
        <v>12</v>
      </c>
      <c r="G46" s="15">
        <v>0</v>
      </c>
      <c r="H46" s="15">
        <v>1827910535.5656493</v>
      </c>
      <c r="I46" s="4"/>
      <c r="J46" s="15">
        <f>SUMIF('MUTASI 2026'!$B$5:$B$158,'WS Trial balance'!$D46,'MUTASI 2026'!$G$5:$G$158)</f>
        <v>0</v>
      </c>
      <c r="K46" s="15">
        <f>SUMIF('MUTASI 2026'!$B$5:$B$158,'WS Trial balance'!$D46,'MUTASI 2026'!$H$5:$H$158)</f>
        <v>0</v>
      </c>
      <c r="L46" s="15">
        <f t="shared" si="0"/>
        <v>0</v>
      </c>
      <c r="M46" s="15">
        <f t="shared" si="1"/>
        <v>1827910535.5656493</v>
      </c>
      <c r="N46" s="4"/>
    </row>
    <row r="47" spans="2:14" s="1" customFormat="1" ht="15" x14ac:dyDescent="0.25">
      <c r="B47" s="3"/>
      <c r="C47" s="14"/>
      <c r="D47" s="14" t="s">
        <v>55</v>
      </c>
      <c r="E47" s="16" t="s">
        <v>56</v>
      </c>
      <c r="F47" s="16" t="s">
        <v>12</v>
      </c>
      <c r="G47" s="15">
        <v>0</v>
      </c>
      <c r="H47" s="15">
        <v>155164673.13514504</v>
      </c>
      <c r="I47" s="4"/>
      <c r="J47" s="15">
        <f>SUMIF('MUTASI 2026'!$B$5:$B$158,'WS Trial balance'!$D47,'MUTASI 2026'!$G$5:$G$158)</f>
        <v>0</v>
      </c>
      <c r="K47" s="15">
        <f>SUMIF('MUTASI 2026'!$B$5:$B$158,'WS Trial balance'!$D47,'MUTASI 2026'!$H$5:$H$158)</f>
        <v>0</v>
      </c>
      <c r="L47" s="15">
        <f t="shared" si="0"/>
        <v>0</v>
      </c>
      <c r="M47" s="15">
        <f t="shared" si="1"/>
        <v>155164673.13514504</v>
      </c>
      <c r="N47" s="4"/>
    </row>
    <row r="48" spans="2:14" s="1" customFormat="1" ht="15" x14ac:dyDescent="0.25">
      <c r="B48" s="3"/>
      <c r="C48" s="14"/>
      <c r="D48" s="14" t="s">
        <v>388</v>
      </c>
      <c r="E48" s="16" t="s">
        <v>277</v>
      </c>
      <c r="F48" s="16" t="s">
        <v>12</v>
      </c>
      <c r="G48" s="15">
        <v>0</v>
      </c>
      <c r="H48" s="15">
        <v>0</v>
      </c>
      <c r="I48" s="4"/>
      <c r="J48" s="15">
        <f>SUMIF('MUTASI 2026'!$B$5:$B$158,'WS Trial balance'!$D48,'MUTASI 2026'!$G$5:$G$158)</f>
        <v>0</v>
      </c>
      <c r="K48" s="15">
        <f>SUMIF('MUTASI 2026'!$B$5:$B$158,'WS Trial balance'!$D48,'MUTASI 2026'!$H$5:$H$158)</f>
        <v>0</v>
      </c>
      <c r="L48" s="15">
        <f t="shared" si="0"/>
        <v>0</v>
      </c>
      <c r="M48" s="15">
        <f t="shared" si="1"/>
        <v>0</v>
      </c>
      <c r="N48" s="4"/>
    </row>
    <row r="49" spans="2:17" s="1" customFormat="1" ht="6.75" customHeight="1" x14ac:dyDescent="0.25">
      <c r="B49" s="3"/>
      <c r="C49" s="17"/>
      <c r="D49" s="17"/>
      <c r="E49" s="17"/>
      <c r="F49" s="17"/>
      <c r="G49" s="18"/>
      <c r="H49" s="18"/>
      <c r="I49" s="4"/>
      <c r="J49" s="15"/>
      <c r="K49" s="15"/>
      <c r="L49" s="18"/>
      <c r="M49" s="18"/>
      <c r="N49" s="4"/>
    </row>
    <row r="50" spans="2:17" s="1" customFormat="1" ht="15" x14ac:dyDescent="0.25">
      <c r="B50" s="3"/>
      <c r="C50" s="19"/>
      <c r="D50" s="19"/>
      <c r="E50" s="19" t="s">
        <v>57</v>
      </c>
      <c r="F50" s="19"/>
      <c r="G50" s="20">
        <f>SUM(G7:G29)-SUM(H7:H29)</f>
        <v>2699371744.0845761</v>
      </c>
      <c r="H50" s="20">
        <f>SUM(H30:H48)-SUM(G30:G48)</f>
        <v>2699371744.0845761</v>
      </c>
      <c r="I50" s="4"/>
      <c r="J50" s="21">
        <f>SUM(J7:J49)</f>
        <v>558578843.29999995</v>
      </c>
      <c r="K50" s="21">
        <f>SUM(K7:K49)</f>
        <v>538087668.66333294</v>
      </c>
      <c r="L50" s="20">
        <f>SUM(L7:L29)-SUM(M7:M29)</f>
        <v>2752612918.7212434</v>
      </c>
      <c r="M50" s="20">
        <f>SUM(M30:M48)-SUM(L30:L48)</f>
        <v>2732121744.0845761</v>
      </c>
      <c r="N50" s="4"/>
    </row>
    <row r="51" spans="2:17" s="1" customFormat="1" ht="15.75" thickBot="1" x14ac:dyDescent="0.3">
      <c r="B51" s="3"/>
      <c r="C51" s="22"/>
      <c r="D51" s="22"/>
      <c r="E51" s="22" t="s">
        <v>58</v>
      </c>
      <c r="F51" s="22"/>
      <c r="G51" s="23"/>
      <c r="H51" s="24">
        <f>G50-H50</f>
        <v>0</v>
      </c>
      <c r="I51" s="4"/>
      <c r="J51" s="25"/>
      <c r="K51" s="24">
        <f>J50-K50</f>
        <v>20491174.636667013</v>
      </c>
      <c r="L51" s="26"/>
      <c r="M51" s="24">
        <f>L50-M50</f>
        <v>20491174.636667252</v>
      </c>
      <c r="N51" s="4"/>
    </row>
    <row r="52" spans="2:17" s="1" customFormat="1" ht="15.75" thickTop="1" x14ac:dyDescent="0.25">
      <c r="B52" s="3"/>
      <c r="C52" s="27"/>
      <c r="D52" s="27"/>
      <c r="E52" s="27"/>
      <c r="F52" s="27"/>
      <c r="G52" s="28"/>
      <c r="H52" s="28"/>
      <c r="I52" s="4"/>
      <c r="J52" s="29"/>
      <c r="K52" s="29"/>
      <c r="L52" s="28"/>
      <c r="M52" s="27"/>
      <c r="N52" s="4"/>
    </row>
    <row r="53" spans="2:17" s="1" customFormat="1" ht="7.5" customHeight="1" x14ac:dyDescent="0.25">
      <c r="B53" s="3"/>
      <c r="C53" s="30"/>
      <c r="D53" s="30"/>
      <c r="E53" s="30"/>
      <c r="F53" s="30"/>
      <c r="G53" s="30"/>
      <c r="H53" s="30"/>
      <c r="I53" s="4"/>
      <c r="J53" s="31"/>
      <c r="K53" s="31"/>
      <c r="L53" s="30"/>
      <c r="M53" s="30"/>
      <c r="N53" s="4"/>
    </row>
    <row r="54" spans="2:17" s="1" customFormat="1" ht="20.25" x14ac:dyDescent="0.3">
      <c r="B54" s="3"/>
      <c r="C54" s="6" t="str">
        <f>C3</f>
        <v>KOPERASI KARYAWAN CIPTA SEJAHTERA</v>
      </c>
      <c r="D54" s="6"/>
      <c r="E54" s="6"/>
      <c r="F54" s="32"/>
      <c r="G54" s="32"/>
      <c r="H54" s="33"/>
      <c r="I54" s="4"/>
      <c r="J54" s="34"/>
      <c r="K54" s="35"/>
      <c r="L54" s="36"/>
      <c r="M54" s="35"/>
      <c r="N54" s="4"/>
    </row>
    <row r="55" spans="2:17" s="1" customFormat="1" ht="20.25" x14ac:dyDescent="0.3">
      <c r="B55" s="3"/>
      <c r="C55" s="95" t="s">
        <v>530</v>
      </c>
      <c r="D55" s="95"/>
      <c r="E55" s="37"/>
      <c r="F55" s="38"/>
      <c r="G55" s="38"/>
      <c r="H55" s="39"/>
      <c r="I55" s="4"/>
      <c r="J55" s="40"/>
      <c r="K55" s="40"/>
      <c r="L55" s="41"/>
      <c r="M55" s="42"/>
      <c r="N55" s="4"/>
    </row>
    <row r="56" spans="2:17" s="11" customFormat="1" ht="15" customHeight="1" x14ac:dyDescent="0.25">
      <c r="B56" s="7"/>
      <c r="C56" s="187" t="s">
        <v>0</v>
      </c>
      <c r="D56" s="188"/>
      <c r="E56" s="189"/>
      <c r="F56" s="194" t="str">
        <f>F5</f>
        <v>KODE</v>
      </c>
      <c r="G56" s="43" t="str">
        <f>G5</f>
        <v>SALDO AWAL 2026</v>
      </c>
      <c r="H56" s="44"/>
      <c r="I56" s="4"/>
      <c r="J56" s="10" t="str">
        <f>J5</f>
        <v>MUTASI JANUARI 2026</v>
      </c>
      <c r="K56" s="10"/>
      <c r="L56" s="43" t="str">
        <f>L5</f>
        <v>SALDO AKHIR JANUARI 2026</v>
      </c>
      <c r="M56" s="44"/>
      <c r="N56" s="4"/>
    </row>
    <row r="57" spans="2:17" s="11" customFormat="1" ht="15" customHeight="1" x14ac:dyDescent="0.25">
      <c r="B57" s="7"/>
      <c r="C57" s="190"/>
      <c r="D57" s="190"/>
      <c r="E57" s="191"/>
      <c r="F57" s="193"/>
      <c r="G57" s="45" t="s">
        <v>2</v>
      </c>
      <c r="H57" s="45" t="s">
        <v>3</v>
      </c>
      <c r="I57" s="4"/>
      <c r="J57" s="46" t="s">
        <v>2</v>
      </c>
      <c r="K57" s="46" t="s">
        <v>3</v>
      </c>
      <c r="L57" s="45" t="s">
        <v>2</v>
      </c>
      <c r="M57" s="45" t="s">
        <v>3</v>
      </c>
      <c r="N57" s="4"/>
    </row>
    <row r="58" spans="2:17" s="1" customFormat="1" ht="15" x14ac:dyDescent="0.25">
      <c r="B58" s="3"/>
      <c r="C58" s="17"/>
      <c r="D58" s="17" t="s">
        <v>345</v>
      </c>
      <c r="E58" s="17" t="s">
        <v>350</v>
      </c>
      <c r="F58" s="17" t="s">
        <v>12</v>
      </c>
      <c r="G58" s="15">
        <v>0</v>
      </c>
      <c r="H58" s="15">
        <v>0</v>
      </c>
      <c r="I58" s="4"/>
      <c r="J58" s="15">
        <f>SUMIF('MUTASI 2026'!$B$5:$B$158,'WS Trial balance'!$D58,'MUTASI 2026'!$G$5:$G$158)</f>
        <v>0</v>
      </c>
      <c r="K58" s="15">
        <f>SUMIF('MUTASI 2026'!$B$5:$B$158,'WS Trial balance'!$D58,'MUTASI 2026'!$H$5:$H$158)</f>
        <v>78721704.861111134</v>
      </c>
      <c r="L58" s="15">
        <f t="shared" ref="L58:L67" si="2">IF(F58="D",(G58-H58+J58-K58),0)</f>
        <v>0</v>
      </c>
      <c r="M58" s="15">
        <f t="shared" ref="M58:M67" si="3">IF(F58="K",(-G58+H58-J58+K58),0)</f>
        <v>78721704.861111134</v>
      </c>
      <c r="N58" s="4"/>
      <c r="P58" s="105" t="e">
        <f>SUM(#REF!)-SUM(#REF!)</f>
        <v>#REF!</v>
      </c>
      <c r="Q58" s="105" t="e">
        <f>+#REF!-#REF!</f>
        <v>#REF!</v>
      </c>
    </row>
    <row r="59" spans="2:17" s="1" customFormat="1" ht="15" x14ac:dyDescent="0.25">
      <c r="B59" s="3"/>
      <c r="C59" s="16"/>
      <c r="D59" s="16" t="s">
        <v>346</v>
      </c>
      <c r="E59" s="16" t="s">
        <v>351</v>
      </c>
      <c r="F59" s="16" t="s">
        <v>12</v>
      </c>
      <c r="G59" s="15">
        <v>0</v>
      </c>
      <c r="H59" s="15">
        <v>0</v>
      </c>
      <c r="I59" s="4"/>
      <c r="J59" s="15">
        <f>SUMIF('MUTASI 2026'!$B$5:$B$158,'WS Trial balance'!$D59,'MUTASI 2026'!$G$5:$G$158)</f>
        <v>0</v>
      </c>
      <c r="K59" s="15">
        <f>SUMIF('MUTASI 2026'!$B$5:$B$158,'WS Trial balance'!$D59,'MUTASI 2026'!$H$5:$H$158)</f>
        <v>0</v>
      </c>
      <c r="L59" s="15">
        <f t="shared" si="2"/>
        <v>0</v>
      </c>
      <c r="M59" s="15">
        <f t="shared" si="3"/>
        <v>0</v>
      </c>
      <c r="N59" s="4"/>
    </row>
    <row r="60" spans="2:17" s="1" customFormat="1" ht="15" x14ac:dyDescent="0.25">
      <c r="B60" s="3"/>
      <c r="C60" s="16"/>
      <c r="D60" s="16" t="s">
        <v>347</v>
      </c>
      <c r="E60" s="16" t="s">
        <v>352</v>
      </c>
      <c r="F60" s="16" t="s">
        <v>12</v>
      </c>
      <c r="G60" s="15">
        <v>0</v>
      </c>
      <c r="H60" s="15">
        <v>0</v>
      </c>
      <c r="I60" s="4"/>
      <c r="J60" s="15">
        <f>SUMIF('MUTASI 2026'!$B$5:$B$158,'WS Trial balance'!$D60,'MUTASI 2026'!$G$5:$G$158)</f>
        <v>0</v>
      </c>
      <c r="K60" s="15">
        <f>SUMIF('MUTASI 2026'!$B$5:$B$158,'WS Trial balance'!$D60,'MUTASI 2026'!$H$5:$H$158)</f>
        <v>525000</v>
      </c>
      <c r="L60" s="15">
        <f t="shared" si="2"/>
        <v>0</v>
      </c>
      <c r="M60" s="15">
        <f t="shared" si="3"/>
        <v>525000</v>
      </c>
      <c r="N60" s="4"/>
    </row>
    <row r="61" spans="2:17" s="1" customFormat="1" ht="15" x14ac:dyDescent="0.25">
      <c r="B61" s="3"/>
      <c r="C61" s="16"/>
      <c r="D61" s="16" t="s">
        <v>349</v>
      </c>
      <c r="E61" s="16" t="s">
        <v>353</v>
      </c>
      <c r="F61" s="16" t="s">
        <v>6</v>
      </c>
      <c r="G61" s="15">
        <v>0</v>
      </c>
      <c r="H61" s="15">
        <v>0</v>
      </c>
      <c r="I61" s="4"/>
      <c r="J61" s="15">
        <f>SUMIF('MUTASI 2026'!$B$5:$B$158,'WS Trial balance'!$D61,'MUTASI 2026'!$G$5:$G$158)</f>
        <v>60419861.111111104</v>
      </c>
      <c r="K61" s="15">
        <f>SUMIF('MUTASI 2026'!$B$5:$B$158,'WS Trial balance'!$D61,'MUTASI 2026'!$H$5:$H$158)</f>
        <v>0</v>
      </c>
      <c r="L61" s="15">
        <f t="shared" si="2"/>
        <v>60419861.111111104</v>
      </c>
      <c r="M61" s="15">
        <f t="shared" si="3"/>
        <v>0</v>
      </c>
      <c r="N61" s="4"/>
    </row>
    <row r="62" spans="2:17" s="1" customFormat="1" ht="15" x14ac:dyDescent="0.25">
      <c r="B62" s="3"/>
      <c r="C62" s="16"/>
      <c r="D62" s="16" t="s">
        <v>356</v>
      </c>
      <c r="E62" s="16" t="s">
        <v>354</v>
      </c>
      <c r="F62" s="16" t="s">
        <v>6</v>
      </c>
      <c r="G62" s="15">
        <v>0</v>
      </c>
      <c r="H62" s="15">
        <v>0</v>
      </c>
      <c r="I62" s="4"/>
      <c r="J62" s="15">
        <f>SUMIF('MUTASI 2026'!$B$5:$B$158,'WS Trial balance'!$D62,'MUTASI 2026'!$G$5:$G$158)</f>
        <v>0</v>
      </c>
      <c r="K62" s="15">
        <f>SUMIF('MUTASI 2026'!$B$5:$B$158,'WS Trial balance'!$D62,'MUTASI 2026'!$H$5:$H$158)</f>
        <v>0</v>
      </c>
      <c r="L62" s="15">
        <f t="shared" si="2"/>
        <v>0</v>
      </c>
      <c r="M62" s="15">
        <f t="shared" si="3"/>
        <v>0</v>
      </c>
      <c r="N62" s="4"/>
    </row>
    <row r="63" spans="2:17" s="1" customFormat="1" ht="15" x14ac:dyDescent="0.25">
      <c r="B63" s="3"/>
      <c r="C63" s="16"/>
      <c r="D63" s="16" t="s">
        <v>357</v>
      </c>
      <c r="E63" s="16" t="s">
        <v>355</v>
      </c>
      <c r="F63" s="16" t="s">
        <v>6</v>
      </c>
      <c r="G63" s="15">
        <v>0</v>
      </c>
      <c r="H63" s="15">
        <v>0</v>
      </c>
      <c r="I63" s="4"/>
      <c r="J63" s="15">
        <f>SUMIF('MUTASI 2026'!$B$5:$B$158,'WS Trial balance'!$D63,'MUTASI 2026'!$G$5:$G$158)</f>
        <v>0</v>
      </c>
      <c r="K63" s="15">
        <f>SUMIF('MUTASI 2026'!$B$5:$B$158,'WS Trial balance'!$D63,'MUTASI 2026'!$H$5:$H$158)</f>
        <v>0</v>
      </c>
      <c r="L63" s="15">
        <f t="shared" si="2"/>
        <v>0</v>
      </c>
      <c r="M63" s="15">
        <f t="shared" si="3"/>
        <v>0</v>
      </c>
      <c r="N63" s="4"/>
    </row>
    <row r="64" spans="2:17" s="1" customFormat="1" ht="15" x14ac:dyDescent="0.25">
      <c r="B64" s="3"/>
      <c r="C64" s="16"/>
      <c r="D64" s="16" t="s">
        <v>61</v>
      </c>
      <c r="E64" s="16" t="s">
        <v>62</v>
      </c>
      <c r="F64" s="16" t="s">
        <v>6</v>
      </c>
      <c r="G64" s="15">
        <v>0</v>
      </c>
      <c r="H64" s="15">
        <v>0</v>
      </c>
      <c r="I64" s="4"/>
      <c r="J64" s="15">
        <f>SUMIF('MUTASI 2026'!$B$5:$B$158,'WS Trial balance'!$D64,'MUTASI 2026'!$G$5:$G$158)</f>
        <v>758000</v>
      </c>
      <c r="K64" s="15">
        <f>SUMIF('MUTASI 2026'!$B$5:$B$158,'WS Trial balance'!$D64,'MUTASI 2026'!$H$5:$H$158)</f>
        <v>0</v>
      </c>
      <c r="L64" s="15">
        <f t="shared" si="2"/>
        <v>758000</v>
      </c>
      <c r="M64" s="15">
        <f t="shared" si="3"/>
        <v>0</v>
      </c>
      <c r="N64" s="4"/>
    </row>
    <row r="65" spans="2:14" s="1" customFormat="1" ht="15" x14ac:dyDescent="0.25">
      <c r="B65" s="3"/>
      <c r="C65" s="16"/>
      <c r="D65" s="16" t="s">
        <v>63</v>
      </c>
      <c r="E65" s="16" t="s">
        <v>65</v>
      </c>
      <c r="F65" s="16" t="s">
        <v>12</v>
      </c>
      <c r="G65" s="15">
        <v>0</v>
      </c>
      <c r="H65" s="15">
        <v>0</v>
      </c>
      <c r="I65" s="4"/>
      <c r="J65" s="15">
        <f>SUMIF('MUTASI 2026'!$B$5:$B$158,'WS Trial balance'!$D65,'MUTASI 2026'!$G$5:$G$158)</f>
        <v>0</v>
      </c>
      <c r="K65" s="15">
        <f>SUMIF('MUTASI 2026'!$B$5:$B$158,'WS Trial balance'!$D65,'MUTASI 2026'!$H$5:$H$158)</f>
        <v>3918000</v>
      </c>
      <c r="L65" s="15">
        <f t="shared" si="2"/>
        <v>0</v>
      </c>
      <c r="M65" s="15">
        <f t="shared" si="3"/>
        <v>3918000</v>
      </c>
      <c r="N65" s="4"/>
    </row>
    <row r="66" spans="2:14" s="1" customFormat="1" ht="15" x14ac:dyDescent="0.25">
      <c r="B66" s="3"/>
      <c r="C66" s="16"/>
      <c r="D66" s="16" t="s">
        <v>64</v>
      </c>
      <c r="E66" s="16" t="s">
        <v>66</v>
      </c>
      <c r="F66" s="16" t="s">
        <v>6</v>
      </c>
      <c r="G66" s="15">
        <v>0</v>
      </c>
      <c r="H66" s="15">
        <v>0</v>
      </c>
      <c r="I66" s="4"/>
      <c r="J66" s="15">
        <f>SUMIF('MUTASI 2026'!$B$5:$B$158,'WS Trial balance'!$D66,'MUTASI 2026'!$G$5:$G$158)</f>
        <v>1577093.2333329094</v>
      </c>
      <c r="K66" s="15">
        <f>SUMIF('MUTASI 2026'!$B$5:$B$158,'WS Trial balance'!$D66,'MUTASI 2026'!$H$5:$H$158)</f>
        <v>81424.12</v>
      </c>
      <c r="L66" s="15">
        <f t="shared" si="2"/>
        <v>1495669.1133329095</v>
      </c>
      <c r="M66" s="15">
        <f t="shared" si="3"/>
        <v>0</v>
      </c>
      <c r="N66" s="4"/>
    </row>
    <row r="67" spans="2:14" s="1" customFormat="1" ht="15" x14ac:dyDescent="0.25">
      <c r="B67" s="3"/>
      <c r="C67" s="16"/>
      <c r="D67" s="16" t="s">
        <v>290</v>
      </c>
      <c r="E67" s="16" t="s">
        <v>67</v>
      </c>
      <c r="F67" s="16" t="s">
        <v>6</v>
      </c>
      <c r="G67" s="15">
        <v>0</v>
      </c>
      <c r="H67" s="15">
        <v>0</v>
      </c>
      <c r="I67" s="4"/>
      <c r="J67" s="15">
        <f>SUMIF('MUTASI 2026'!$B$5:$B$158,'WS Trial balance'!$D67,'MUTASI 2026'!$G$5:$G$158)</f>
        <v>0</v>
      </c>
      <c r="K67" s="15">
        <f>SUMIF('MUTASI 2026'!$B$5:$B$158,'WS Trial balance'!$D67,'MUTASI 2026'!$H$5:$H$158)</f>
        <v>0</v>
      </c>
      <c r="L67" s="15">
        <f t="shared" si="2"/>
        <v>0</v>
      </c>
      <c r="M67" s="15">
        <f t="shared" si="3"/>
        <v>0</v>
      </c>
      <c r="N67" s="4"/>
    </row>
    <row r="68" spans="2:14" s="1" customFormat="1" ht="6" customHeight="1" x14ac:dyDescent="0.25">
      <c r="B68" s="3"/>
      <c r="C68" s="17"/>
      <c r="D68" s="47"/>
      <c r="E68" s="17"/>
      <c r="F68" s="17"/>
      <c r="G68" s="18"/>
      <c r="H68" s="18"/>
      <c r="I68" s="4"/>
      <c r="J68" s="15"/>
      <c r="K68" s="15"/>
      <c r="L68" s="18"/>
      <c r="M68" s="18"/>
      <c r="N68" s="4"/>
    </row>
    <row r="69" spans="2:14" s="1" customFormat="1" ht="15.75" thickBot="1" x14ac:dyDescent="0.3">
      <c r="B69" s="3"/>
      <c r="C69" s="48"/>
      <c r="D69" s="49"/>
      <c r="E69" s="48"/>
      <c r="F69" s="22"/>
      <c r="G69" s="24">
        <f>SUM(G58:G68)</f>
        <v>0</v>
      </c>
      <c r="H69" s="24">
        <f>SUM(H58:H68)</f>
        <v>0</v>
      </c>
      <c r="I69" s="4"/>
      <c r="J69" s="24">
        <f>SUM(J58:J68)</f>
        <v>62754954.344444014</v>
      </c>
      <c r="K69" s="24">
        <f>SUM(K58:K68)</f>
        <v>83246128.981111139</v>
      </c>
      <c r="L69" s="24">
        <f>SUM(L58:L68)</f>
        <v>62673530.224444017</v>
      </c>
      <c r="M69" s="24">
        <f>SUM(M58:M68)</f>
        <v>83164704.861111134</v>
      </c>
      <c r="N69" s="4"/>
    </row>
    <row r="70" spans="2:14" s="1" customFormat="1" ht="16.5" thickTop="1" thickBot="1" x14ac:dyDescent="0.3">
      <c r="B70" s="3"/>
      <c r="C70" s="17"/>
      <c r="D70" s="47"/>
      <c r="E70" s="17" t="s">
        <v>58</v>
      </c>
      <c r="F70" s="22"/>
      <c r="G70" s="24">
        <f>H69-G69</f>
        <v>0</v>
      </c>
      <c r="H70" s="23"/>
      <c r="I70" s="4"/>
      <c r="J70" s="24">
        <f>K51</f>
        <v>20491174.636667013</v>
      </c>
      <c r="K70" s="25"/>
      <c r="L70" s="24">
        <f>M69-L69</f>
        <v>20491174.636667117</v>
      </c>
      <c r="M70" s="26"/>
      <c r="N70" s="4"/>
    </row>
    <row r="71" spans="2:14" s="1" customFormat="1" ht="16.5" thickTop="1" thickBot="1" x14ac:dyDescent="0.3">
      <c r="B71" s="3"/>
      <c r="C71" s="22"/>
      <c r="D71" s="22"/>
      <c r="E71" s="22" t="s">
        <v>57</v>
      </c>
      <c r="F71" s="50"/>
      <c r="G71" s="51">
        <f t="shared" ref="G71:H71" si="4">G69+G70</f>
        <v>0</v>
      </c>
      <c r="H71" s="51">
        <f t="shared" si="4"/>
        <v>0</v>
      </c>
      <c r="I71" s="4"/>
      <c r="J71" s="51">
        <f t="shared" ref="J71:M71" si="5">J69+J70</f>
        <v>83246128.98111102</v>
      </c>
      <c r="K71" s="51">
        <f t="shared" si="5"/>
        <v>83246128.981111139</v>
      </c>
      <c r="L71" s="51">
        <f t="shared" si="5"/>
        <v>83164704.861111134</v>
      </c>
      <c r="M71" s="51">
        <f t="shared" si="5"/>
        <v>83164704.861111134</v>
      </c>
      <c r="N71" s="4"/>
    </row>
    <row r="72" spans="2:14" s="57" customFormat="1" ht="15.75" thickTop="1" x14ac:dyDescent="0.25">
      <c r="B72" s="52"/>
      <c r="C72" s="53"/>
      <c r="D72" s="53"/>
      <c r="E72" s="53" t="s">
        <v>68</v>
      </c>
      <c r="F72" s="54"/>
      <c r="G72" s="54"/>
      <c r="H72" s="54"/>
      <c r="I72" s="56"/>
      <c r="J72" s="55"/>
      <c r="K72" s="55">
        <f>J71-K71</f>
        <v>-1.1920928955078125E-7</v>
      </c>
      <c r="L72" s="55">
        <f>L71-M71</f>
        <v>0</v>
      </c>
      <c r="M72" s="55">
        <f>L50-(M50+M51)</f>
        <v>0</v>
      </c>
      <c r="N72" s="56"/>
    </row>
    <row r="73" spans="2:14" s="1" customFormat="1" ht="15" x14ac:dyDescent="0.25">
      <c r="B73" s="3"/>
      <c r="C73" s="2"/>
      <c r="D73" s="2"/>
      <c r="E73" s="2"/>
      <c r="F73" s="2"/>
      <c r="G73" s="2"/>
      <c r="H73" s="2"/>
      <c r="I73" s="4"/>
      <c r="J73" s="58"/>
      <c r="K73" s="59"/>
      <c r="L73" s="2"/>
      <c r="M73" s="2"/>
      <c r="N73" s="4"/>
    </row>
    <row r="74" spans="2:14" s="1" customFormat="1" ht="7.5" customHeight="1" x14ac:dyDescent="0.25">
      <c r="B74" s="3"/>
      <c r="C74" s="4"/>
      <c r="D74" s="4"/>
      <c r="E74" s="4"/>
      <c r="F74" s="4"/>
      <c r="G74" s="4"/>
      <c r="H74" s="4"/>
      <c r="I74" s="4"/>
      <c r="J74" s="60"/>
      <c r="K74" s="60"/>
      <c r="L74" s="4"/>
      <c r="M74" s="4"/>
      <c r="N74" s="4"/>
    </row>
    <row r="75" spans="2:14" s="1" customFormat="1" ht="15" x14ac:dyDescent="0.25">
      <c r="C75" s="2"/>
      <c r="D75" s="2"/>
      <c r="E75" s="2"/>
      <c r="F75" s="2"/>
      <c r="G75" s="2"/>
      <c r="H75" s="2"/>
      <c r="J75" s="59"/>
      <c r="K75" s="58"/>
      <c r="L75" s="2"/>
      <c r="M75" s="171">
        <f>+M58-L61</f>
        <v>18301843.75000003</v>
      </c>
    </row>
  </sheetData>
  <mergeCells count="5">
    <mergeCell ref="C3:G3"/>
    <mergeCell ref="C5:E6"/>
    <mergeCell ref="F5:F6"/>
    <mergeCell ref="C56:E57"/>
    <mergeCell ref="F56:F57"/>
  </mergeCells>
  <conditionalFormatting sqref="G50">
    <cfRule type="expression" dxfId="7" priority="874">
      <formula>$G$50=0</formula>
    </cfRule>
  </conditionalFormatting>
  <conditionalFormatting sqref="G7:H48">
    <cfRule type="expression" dxfId="6" priority="567">
      <formula>G7=0</formula>
    </cfRule>
  </conditionalFormatting>
  <conditionalFormatting sqref="G58:H67">
    <cfRule type="expression" dxfId="5" priority="220">
      <formula>G58=0</formula>
    </cfRule>
  </conditionalFormatting>
  <conditionalFormatting sqref="H50">
    <cfRule type="expression" dxfId="4" priority="873">
      <formula>$H$50=0</formula>
    </cfRule>
  </conditionalFormatting>
  <conditionalFormatting sqref="J7:K48">
    <cfRule type="expression" dxfId="3" priority="24">
      <formula>J7=0</formula>
    </cfRule>
  </conditionalFormatting>
  <conditionalFormatting sqref="J58:K67">
    <cfRule type="expression" dxfId="2" priority="216">
      <formula>J58=0</formula>
    </cfRule>
  </conditionalFormatting>
  <conditionalFormatting sqref="L7:M48">
    <cfRule type="expression" dxfId="1" priority="563">
      <formula>L7=0</formula>
    </cfRule>
  </conditionalFormatting>
  <conditionalFormatting sqref="L58:M67">
    <cfRule type="expression" dxfId="0" priority="218">
      <formula>L58=0</formula>
    </cfRule>
  </conditionalFormatting>
  <printOptions horizontalCentered="1"/>
  <pageMargins left="3.937007874015748E-2" right="3.937007874015748E-2" top="0.31496062992125984" bottom="0.15748031496062992" header="0.23622047244094491" footer="0.31496062992125984"/>
  <pageSetup paperSize="9" scale="65" orientation="landscape" r:id="rId1"/>
  <ignoredErrors>
    <ignoredError sqref="G50:H5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7238-CE73-4B8B-B392-D1440379D830}">
  <sheetPr>
    <tabColor rgb="FF00B050"/>
  </sheetPr>
  <dimension ref="A1:AP175"/>
  <sheetViews>
    <sheetView zoomScaleNormal="100" workbookViewId="0">
      <pane ySplit="4" topLeftCell="A5" activePane="bottomLeft" state="frozen"/>
      <selection pane="bottomLeft" activeCell="A159" sqref="A159:XFD1063"/>
    </sheetView>
  </sheetViews>
  <sheetFormatPr defaultRowHeight="12" x14ac:dyDescent="0.2"/>
  <cols>
    <col min="1" max="1" width="4.5703125" style="128" customWidth="1"/>
    <col min="2" max="2" width="7.140625" style="130" bestFit="1" customWidth="1"/>
    <col min="3" max="3" width="10.85546875" style="131" bestFit="1" customWidth="1"/>
    <col min="4" max="4" width="13.42578125" style="131" bestFit="1" customWidth="1"/>
    <col min="5" max="5" width="10.42578125" style="134" bestFit="1" customWidth="1"/>
    <col min="6" max="6" width="12.5703125" style="135" bestFit="1" customWidth="1"/>
    <col min="7" max="8" width="17.42578125" style="143" bestFit="1" customWidth="1"/>
    <col min="9" max="9" width="16.5703125" style="143" bestFit="1" customWidth="1"/>
    <col min="10" max="10" width="12.85546875" style="143" bestFit="1" customWidth="1"/>
    <col min="11" max="11" width="14.140625" style="128" customWidth="1"/>
    <col min="12" max="12" width="71.42578125" style="146" bestFit="1" customWidth="1"/>
    <col min="13" max="13" width="48.85546875" style="128" bestFit="1" customWidth="1"/>
    <col min="14" max="16384" width="9.140625" style="128"/>
  </cols>
  <sheetData>
    <row r="1" spans="1:42" s="106" customFormat="1" x14ac:dyDescent="0.2">
      <c r="B1" s="130"/>
      <c r="C1" s="131"/>
      <c r="D1" s="131"/>
      <c r="E1" s="132"/>
      <c r="F1" s="129"/>
      <c r="G1" s="138">
        <f>SUBTOTAL(9,G5:G1048576)</f>
        <v>621333797.64444399</v>
      </c>
      <c r="H1" s="138">
        <f>SUBTOTAL(9,H5:H1048576)</f>
        <v>621333797.64444399</v>
      </c>
      <c r="I1" s="138">
        <f>SUBTOTAL(9,I5:I1048576)</f>
        <v>0</v>
      </c>
      <c r="J1" s="139">
        <f>+I1/I8</f>
        <v>0</v>
      </c>
      <c r="K1" s="173"/>
      <c r="L1" s="174"/>
    </row>
    <row r="2" spans="1:42" s="106" customFormat="1" x14ac:dyDescent="0.2">
      <c r="B2" s="130"/>
      <c r="C2" s="131"/>
      <c r="D2" s="131"/>
      <c r="E2" s="132"/>
      <c r="F2" s="129"/>
      <c r="G2" s="139"/>
      <c r="H2" s="139"/>
      <c r="I2" s="140">
        <f>-I1</f>
        <v>0</v>
      </c>
      <c r="J2" s="139"/>
      <c r="K2" s="173"/>
      <c r="L2" s="174"/>
    </row>
    <row r="3" spans="1:42" s="106" customFormat="1" x14ac:dyDescent="0.2">
      <c r="A3" s="128"/>
      <c r="B3" s="130"/>
      <c r="C3" s="131"/>
      <c r="D3" s="131"/>
      <c r="E3" s="134"/>
      <c r="F3" s="137"/>
      <c r="G3" s="139"/>
      <c r="H3" s="142"/>
      <c r="I3" s="142"/>
      <c r="J3" s="139"/>
      <c r="L3" s="145"/>
    </row>
    <row r="4" spans="1:42" s="108" customFormat="1" x14ac:dyDescent="0.2">
      <c r="B4" s="166" t="s">
        <v>71</v>
      </c>
      <c r="C4" s="108" t="s">
        <v>86</v>
      </c>
      <c r="D4" s="108" t="s">
        <v>291</v>
      </c>
      <c r="E4" s="109" t="s">
        <v>87</v>
      </c>
      <c r="F4" s="108" t="s">
        <v>0</v>
      </c>
      <c r="G4" s="141" t="s">
        <v>88</v>
      </c>
      <c r="H4" s="141" t="s">
        <v>89</v>
      </c>
      <c r="I4" s="141" t="s">
        <v>139</v>
      </c>
      <c r="J4" s="141" t="s">
        <v>90</v>
      </c>
      <c r="K4" s="108" t="s">
        <v>91</v>
      </c>
      <c r="L4" s="108" t="s">
        <v>92</v>
      </c>
      <c r="M4" s="108" t="s">
        <v>93</v>
      </c>
    </row>
    <row r="5" spans="1:42" s="106" customFormat="1" ht="12" customHeight="1" x14ac:dyDescent="0.2">
      <c r="A5" s="128"/>
      <c r="B5" s="130" t="str">
        <f>VLOOKUP(F5,BB!$A$8:$C$152,3,0)</f>
        <v>A02</v>
      </c>
      <c r="C5" s="131">
        <v>202601</v>
      </c>
      <c r="D5" s="129" t="s">
        <v>493</v>
      </c>
      <c r="E5" s="134">
        <v>46027</v>
      </c>
      <c r="F5" s="137" t="s">
        <v>155</v>
      </c>
      <c r="G5" s="142">
        <v>0</v>
      </c>
      <c r="H5" s="142">
        <v>11608500</v>
      </c>
      <c r="I5" s="195">
        <f>IF(G5&lt;&gt;0,G5,-H5)</f>
        <v>-11608500</v>
      </c>
      <c r="J5" s="142">
        <v>0</v>
      </c>
      <c r="K5" s="106" t="s">
        <v>293</v>
      </c>
      <c r="L5" s="144" t="s">
        <v>494</v>
      </c>
    </row>
    <row r="6" spans="1:42" s="106" customFormat="1" ht="12" customHeight="1" x14ac:dyDescent="0.2">
      <c r="A6" s="128"/>
      <c r="B6" s="130" t="str">
        <f>VLOOKUP(F6,BB!$A$8:$C$152,3,0)</f>
        <v>P05</v>
      </c>
      <c r="C6" s="131">
        <f t="shared" ref="C6:E6" si="0">+C5</f>
        <v>202601</v>
      </c>
      <c r="D6" s="129" t="str">
        <f t="shared" si="0"/>
        <v>MDR-2601001</v>
      </c>
      <c r="E6" s="134">
        <f t="shared" si="0"/>
        <v>46027</v>
      </c>
      <c r="F6" s="137" t="s">
        <v>426</v>
      </c>
      <c r="G6" s="142">
        <f>H5</f>
        <v>11608500</v>
      </c>
      <c r="H6" s="142">
        <v>0</v>
      </c>
      <c r="I6" s="195">
        <f>IF(G6&lt;&gt;0,G6,-H6)</f>
        <v>11608500</v>
      </c>
      <c r="J6" s="139">
        <v>0</v>
      </c>
      <c r="K6" s="106" t="s">
        <v>293</v>
      </c>
      <c r="L6" s="144" t="str">
        <f>+L5</f>
        <v>PEMBAYARAN KE ORIX SEWA BULAN KE 42 (DES)</v>
      </c>
    </row>
    <row r="7" spans="1:42" s="106" customFormat="1" ht="12" customHeight="1" x14ac:dyDescent="0.2">
      <c r="A7" s="128"/>
      <c r="B7" s="130"/>
      <c r="C7" s="131"/>
      <c r="D7" s="129"/>
      <c r="E7" s="134"/>
      <c r="F7" s="137"/>
      <c r="G7" s="139"/>
      <c r="H7" s="142"/>
      <c r="I7" s="142"/>
      <c r="J7" s="139"/>
      <c r="L7" s="144"/>
    </row>
    <row r="8" spans="1:42" s="106" customFormat="1" ht="12" customHeight="1" x14ac:dyDescent="0.2">
      <c r="A8" s="128"/>
      <c r="B8" s="130" t="str">
        <f>VLOOKUP(F8,BB!$A$8:$C$152,3,0)</f>
        <v>A02</v>
      </c>
      <c r="C8" s="131">
        <v>202601</v>
      </c>
      <c r="D8" s="129" t="s">
        <v>495</v>
      </c>
      <c r="E8" s="134">
        <v>46027</v>
      </c>
      <c r="F8" s="137" t="s">
        <v>155</v>
      </c>
      <c r="G8" s="142">
        <v>0</v>
      </c>
      <c r="H8" s="142">
        <v>20000000</v>
      </c>
      <c r="I8" s="142">
        <f>IF(G8&lt;&gt;0,G8,-H8)</f>
        <v>-20000000</v>
      </c>
      <c r="J8" s="142">
        <v>0</v>
      </c>
      <c r="K8" s="106" t="s">
        <v>293</v>
      </c>
      <c r="L8" s="144" t="s">
        <v>496</v>
      </c>
    </row>
    <row r="9" spans="1:42" s="106" customFormat="1" ht="12" customHeight="1" x14ac:dyDescent="0.2">
      <c r="A9" s="128"/>
      <c r="B9" s="130" t="str">
        <f>VLOOKUP(F9,BB!$A$8:$C$152,3,0)</f>
        <v>A04A</v>
      </c>
      <c r="C9" s="131">
        <f>C8</f>
        <v>202601</v>
      </c>
      <c r="D9" s="129" t="str">
        <f>D8</f>
        <v>MDR-2601002</v>
      </c>
      <c r="E9" s="134">
        <f>E8</f>
        <v>46027</v>
      </c>
      <c r="F9" s="137" t="s">
        <v>437</v>
      </c>
      <c r="G9" s="139">
        <f>+H8</f>
        <v>20000000</v>
      </c>
      <c r="H9" s="142">
        <v>0</v>
      </c>
      <c r="I9" s="142">
        <f>IF(G9&lt;&gt;0,G9,-H9)</f>
        <v>20000000</v>
      </c>
      <c r="J9" s="139">
        <f>-J8</f>
        <v>0</v>
      </c>
      <c r="K9" s="106" t="str">
        <f>K8</f>
        <v>BANK KELUAR</v>
      </c>
      <c r="L9" s="144" t="str">
        <f>L8</f>
        <v>PINJAMAN RUTIN SAFI'I, 12X</v>
      </c>
    </row>
    <row r="10" spans="1:42" s="106" customFormat="1" ht="12" customHeight="1" x14ac:dyDescent="0.2">
      <c r="A10" s="128"/>
      <c r="B10" s="130"/>
      <c r="C10" s="131"/>
      <c r="D10" s="129"/>
      <c r="E10" s="134"/>
      <c r="F10" s="137"/>
      <c r="G10" s="139"/>
      <c r="H10" s="142"/>
      <c r="I10" s="142"/>
      <c r="J10" s="139"/>
      <c r="L10" s="144"/>
    </row>
    <row r="11" spans="1:42" s="106" customFormat="1" ht="12" customHeight="1" x14ac:dyDescent="0.2">
      <c r="A11" s="128"/>
      <c r="B11" s="130" t="str">
        <f>VLOOKUP(F11,BB!$A$8:$C$152,3,0)</f>
        <v>A02</v>
      </c>
      <c r="C11" s="131">
        <v>202601</v>
      </c>
      <c r="D11" s="129" t="s">
        <v>497</v>
      </c>
      <c r="E11" s="134">
        <v>46027</v>
      </c>
      <c r="F11" s="137" t="s">
        <v>155</v>
      </c>
      <c r="G11" s="142">
        <v>0</v>
      </c>
      <c r="H11" s="142">
        <v>2900</v>
      </c>
      <c r="I11" s="142">
        <f>IF(G11&lt;&gt;0,G11,-H11)</f>
        <v>-2900</v>
      </c>
      <c r="J11" s="142">
        <v>0</v>
      </c>
      <c r="K11" s="106" t="s">
        <v>293</v>
      </c>
      <c r="L11" s="145" t="s">
        <v>396</v>
      </c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</row>
    <row r="12" spans="1:42" s="106" customFormat="1" ht="12" customHeight="1" x14ac:dyDescent="0.2">
      <c r="A12" s="128"/>
      <c r="B12" s="130" t="str">
        <f>VLOOKUP(F12,BB!$A$8:$C$152,3,0)</f>
        <v>LR07</v>
      </c>
      <c r="C12" s="131">
        <f>+C11</f>
        <v>202601</v>
      </c>
      <c r="D12" s="129" t="str">
        <f>+D11</f>
        <v>MDR-2601003</v>
      </c>
      <c r="E12" s="134">
        <f>+E11</f>
        <v>46027</v>
      </c>
      <c r="F12" s="137" t="s">
        <v>237</v>
      </c>
      <c r="G12" s="139">
        <f>+H11</f>
        <v>2900</v>
      </c>
      <c r="H12" s="142">
        <v>0</v>
      </c>
      <c r="I12" s="142">
        <f>IF(G12&lt;&gt;0,G12,-H12)</f>
        <v>2900</v>
      </c>
      <c r="J12" s="139">
        <v>0</v>
      </c>
      <c r="K12" s="106" t="s">
        <v>293</v>
      </c>
      <c r="L12" s="144" t="str">
        <f>+L11</f>
        <v>CLEARING FEE</v>
      </c>
    </row>
    <row r="13" spans="1:42" s="106" customFormat="1" ht="12" customHeight="1" x14ac:dyDescent="0.2">
      <c r="A13" s="128"/>
      <c r="B13" s="130"/>
      <c r="C13" s="131"/>
      <c r="D13" s="129"/>
      <c r="E13" s="134"/>
      <c r="F13" s="137"/>
      <c r="G13" s="139"/>
      <c r="H13" s="142"/>
      <c r="I13" s="142"/>
      <c r="J13" s="139"/>
      <c r="L13" s="144"/>
    </row>
    <row r="14" spans="1:42" s="106" customFormat="1" ht="12" customHeight="1" x14ac:dyDescent="0.2">
      <c r="A14" s="128"/>
      <c r="B14" s="130" t="str">
        <f>VLOOKUP(F14,BB!$A$8:$C$152,3,0)</f>
        <v>A02</v>
      </c>
      <c r="C14" s="131">
        <v>202601</v>
      </c>
      <c r="D14" s="129" t="s">
        <v>499</v>
      </c>
      <c r="E14" s="134">
        <v>46027</v>
      </c>
      <c r="F14" s="137" t="s">
        <v>155</v>
      </c>
      <c r="G14" s="142">
        <v>0</v>
      </c>
      <c r="H14" s="142">
        <v>13333333</v>
      </c>
      <c r="I14" s="142">
        <f>IF(G14&lt;&gt;0,G14,-H14)</f>
        <v>-13333333</v>
      </c>
      <c r="J14" s="142">
        <v>0</v>
      </c>
      <c r="K14" s="106" t="s">
        <v>293</v>
      </c>
      <c r="L14" s="144" t="s">
        <v>505</v>
      </c>
    </row>
    <row r="15" spans="1:42" s="106" customFormat="1" ht="12" customHeight="1" x14ac:dyDescent="0.2">
      <c r="A15" s="128"/>
      <c r="B15" s="130" t="str">
        <f>VLOOKUP(F15,BB!$A$8:$C$152,3,0)</f>
        <v>A04A</v>
      </c>
      <c r="C15" s="131">
        <f t="shared" ref="C15:E16" si="1">C14</f>
        <v>202601</v>
      </c>
      <c r="D15" s="129" t="str">
        <f t="shared" si="1"/>
        <v>MDR-2601004</v>
      </c>
      <c r="E15" s="134">
        <f t="shared" si="1"/>
        <v>46027</v>
      </c>
      <c r="F15" s="137" t="s">
        <v>437</v>
      </c>
      <c r="G15" s="139">
        <v>50000000</v>
      </c>
      <c r="H15" s="142">
        <v>0</v>
      </c>
      <c r="I15" s="142">
        <f>IF(G15&lt;&gt;0,G15,-H15)</f>
        <v>50000000</v>
      </c>
      <c r="J15" s="139">
        <f>-J14</f>
        <v>0</v>
      </c>
      <c r="K15" s="106" t="str">
        <f>K14</f>
        <v>BANK KELUAR</v>
      </c>
      <c r="L15" s="144" t="str">
        <f>L14</f>
        <v>PINJAMAN RUTIN SOLICHIN, 36X, KOMPENSASI</v>
      </c>
    </row>
    <row r="16" spans="1:42" s="106" customFormat="1" ht="12" customHeight="1" x14ac:dyDescent="0.2">
      <c r="A16" s="128"/>
      <c r="B16" s="130" t="str">
        <f>VLOOKUP(F16,BB!$A$8:$C$152,3,0)</f>
        <v>A04A</v>
      </c>
      <c r="C16" s="131">
        <f t="shared" si="1"/>
        <v>202601</v>
      </c>
      <c r="D16" s="129" t="str">
        <f t="shared" si="1"/>
        <v>MDR-2601004</v>
      </c>
      <c r="E16" s="134">
        <f t="shared" si="1"/>
        <v>46027</v>
      </c>
      <c r="F16" s="137" t="s">
        <v>437</v>
      </c>
      <c r="G16" s="139">
        <v>0</v>
      </c>
      <c r="H16" s="142">
        <f>G15-H14</f>
        <v>36666667</v>
      </c>
      <c r="I16" s="142">
        <f>IF(G16&lt;&gt;0,G16,-H16)</f>
        <v>-36666667</v>
      </c>
      <c r="J16" s="139">
        <f>-J15</f>
        <v>0</v>
      </c>
      <c r="K16" s="106" t="str">
        <f>K15</f>
        <v>BANK KELUAR</v>
      </c>
      <c r="L16" s="144" t="str">
        <f>L15</f>
        <v>PINJAMAN RUTIN SOLICHIN, 36X, KOMPENSASI</v>
      </c>
    </row>
    <row r="17" spans="1:12" s="106" customFormat="1" ht="12" customHeight="1" x14ac:dyDescent="0.2">
      <c r="A17" s="128"/>
      <c r="B17" s="130"/>
      <c r="C17" s="131"/>
      <c r="D17" s="129"/>
      <c r="E17" s="134"/>
      <c r="F17" s="137"/>
      <c r="G17" s="139"/>
      <c r="H17" s="142"/>
      <c r="I17" s="142"/>
      <c r="J17" s="139"/>
      <c r="L17" s="144"/>
    </row>
    <row r="18" spans="1:12" s="106" customFormat="1" ht="12" customHeight="1" x14ac:dyDescent="0.2">
      <c r="A18" s="128"/>
      <c r="B18" s="130" t="str">
        <f>VLOOKUP(F18,BB!$A$8:$C$152,3,0)</f>
        <v>A02</v>
      </c>
      <c r="C18" s="131">
        <v>202601</v>
      </c>
      <c r="D18" s="129" t="s">
        <v>500</v>
      </c>
      <c r="E18" s="134">
        <v>46029</v>
      </c>
      <c r="F18" s="137" t="s">
        <v>155</v>
      </c>
      <c r="G18" s="142">
        <v>15680000</v>
      </c>
      <c r="H18" s="142">
        <v>0</v>
      </c>
      <c r="I18" s="169">
        <f>IF(G18&lt;&gt;0,G18,-H18)</f>
        <v>15680000</v>
      </c>
      <c r="J18" s="142">
        <v>0</v>
      </c>
      <c r="K18" s="106" t="s">
        <v>294</v>
      </c>
      <c r="L18" s="145" t="s">
        <v>498</v>
      </c>
    </row>
    <row r="19" spans="1:12" s="106" customFormat="1" ht="12" customHeight="1" x14ac:dyDescent="0.2">
      <c r="A19" s="128"/>
      <c r="B19" s="130" t="str">
        <f>VLOOKUP(F19,BB!$A$8:$C$152,3,0)</f>
        <v>A04B</v>
      </c>
      <c r="C19" s="131">
        <f t="shared" ref="C19:E19" si="2">C18</f>
        <v>202601</v>
      </c>
      <c r="D19" s="131" t="str">
        <f t="shared" si="2"/>
        <v>MDR-2601005</v>
      </c>
      <c r="E19" s="167">
        <f t="shared" si="2"/>
        <v>46029</v>
      </c>
      <c r="F19" s="137" t="s">
        <v>433</v>
      </c>
      <c r="G19" s="139">
        <v>0</v>
      </c>
      <c r="H19" s="142">
        <f>+G18</f>
        <v>15680000</v>
      </c>
      <c r="I19" s="169">
        <f>IF(G19&lt;&gt;0,G19,-H19)</f>
        <v>-15680000</v>
      </c>
      <c r="J19" s="139">
        <v>0</v>
      </c>
      <c r="K19" s="106" t="str">
        <f>K18</f>
        <v>BANK MASUK</v>
      </c>
      <c r="L19" s="144" t="str">
        <f>L18</f>
        <v>TERIMA DARI GCS SEWA FORKLIFT PERIODE 202511</v>
      </c>
    </row>
    <row r="20" spans="1:12" s="106" customFormat="1" ht="12" customHeight="1" x14ac:dyDescent="0.2">
      <c r="A20" s="128"/>
      <c r="B20" s="130"/>
      <c r="C20" s="131"/>
      <c r="D20" s="129"/>
      <c r="E20" s="134"/>
      <c r="F20" s="137"/>
      <c r="G20" s="139"/>
      <c r="H20" s="142"/>
      <c r="I20" s="142"/>
      <c r="J20" s="139"/>
      <c r="L20" s="144"/>
    </row>
    <row r="21" spans="1:12" s="106" customFormat="1" ht="12" customHeight="1" x14ac:dyDescent="0.2">
      <c r="A21" s="128"/>
      <c r="B21" s="130" t="str">
        <f>VLOOKUP(F21,BB!$A$8:$C$152,3,0)</f>
        <v>A02</v>
      </c>
      <c r="C21" s="131">
        <v>202601</v>
      </c>
      <c r="D21" s="129" t="s">
        <v>502</v>
      </c>
      <c r="E21" s="134">
        <v>46031</v>
      </c>
      <c r="F21" s="137" t="s">
        <v>155</v>
      </c>
      <c r="G21" s="142">
        <v>0</v>
      </c>
      <c r="H21" s="142">
        <v>20000000</v>
      </c>
      <c r="I21" s="142">
        <f>IF(G21&lt;&gt;0,G21,-H21)</f>
        <v>-20000000</v>
      </c>
      <c r="J21" s="142">
        <v>0</v>
      </c>
      <c r="K21" s="106" t="s">
        <v>293</v>
      </c>
      <c r="L21" s="144" t="s">
        <v>501</v>
      </c>
    </row>
    <row r="22" spans="1:12" s="106" customFormat="1" ht="12" customHeight="1" x14ac:dyDescent="0.2">
      <c r="A22" s="128"/>
      <c r="B22" s="130" t="str">
        <f>VLOOKUP(F22,BB!$A$8:$C$152,3,0)</f>
        <v>A04A</v>
      </c>
      <c r="C22" s="131">
        <f>C21</f>
        <v>202601</v>
      </c>
      <c r="D22" s="129" t="str">
        <f>D21</f>
        <v>MDR-2601006</v>
      </c>
      <c r="E22" s="134">
        <f>E21</f>
        <v>46031</v>
      </c>
      <c r="F22" s="137" t="s">
        <v>437</v>
      </c>
      <c r="G22" s="139">
        <f>+H21</f>
        <v>20000000</v>
      </c>
      <c r="H22" s="142">
        <v>0</v>
      </c>
      <c r="I22" s="142">
        <f>IF(G22&lt;&gt;0,G22,-H22)</f>
        <v>20000000</v>
      </c>
      <c r="J22" s="139">
        <f>-J21</f>
        <v>0</v>
      </c>
      <c r="K22" s="106" t="str">
        <f>K21</f>
        <v>BANK KELUAR</v>
      </c>
      <c r="L22" s="144" t="str">
        <f>L21</f>
        <v>PINJAMAN RUTIN JOKO P, 24X</v>
      </c>
    </row>
    <row r="23" spans="1:12" s="106" customFormat="1" ht="12" customHeight="1" x14ac:dyDescent="0.2">
      <c r="A23" s="128"/>
      <c r="B23" s="130"/>
      <c r="C23" s="131"/>
      <c r="D23" s="129"/>
      <c r="E23" s="134"/>
      <c r="F23" s="137"/>
      <c r="G23" s="139"/>
      <c r="H23" s="142"/>
      <c r="I23" s="142"/>
      <c r="J23" s="139"/>
      <c r="L23" s="144"/>
    </row>
    <row r="24" spans="1:12" s="106" customFormat="1" ht="12" customHeight="1" x14ac:dyDescent="0.2">
      <c r="A24" s="128"/>
      <c r="B24" s="130" t="str">
        <f>VLOOKUP(F24,BB!$A$8:$C$152,3,0)</f>
        <v>A02</v>
      </c>
      <c r="C24" s="131">
        <v>202601</v>
      </c>
      <c r="D24" s="129" t="s">
        <v>504</v>
      </c>
      <c r="E24" s="134">
        <v>46035</v>
      </c>
      <c r="F24" s="137" t="s">
        <v>155</v>
      </c>
      <c r="G24" s="142">
        <v>0</v>
      </c>
      <c r="H24" s="142">
        <v>14475000</v>
      </c>
      <c r="I24" s="169">
        <f>IF(G24&lt;&gt;0,G24,-H24)</f>
        <v>-14475000</v>
      </c>
      <c r="J24" s="142">
        <v>0</v>
      </c>
      <c r="K24" s="106" t="s">
        <v>293</v>
      </c>
      <c r="L24" s="145" t="s">
        <v>503</v>
      </c>
    </row>
    <row r="25" spans="1:12" s="106" customFormat="1" ht="12" customHeight="1" x14ac:dyDescent="0.2">
      <c r="A25" s="128"/>
      <c r="B25" s="130" t="str">
        <f>VLOOKUP(F25,BB!$A$8:$C$152,3,0)</f>
        <v>P05</v>
      </c>
      <c r="C25" s="131">
        <f>C24</f>
        <v>202601</v>
      </c>
      <c r="D25" s="129" t="str">
        <f>D24</f>
        <v>MDR-2601007</v>
      </c>
      <c r="E25" s="134">
        <f>E24</f>
        <v>46035</v>
      </c>
      <c r="F25" s="137" t="s">
        <v>422</v>
      </c>
      <c r="G25" s="139">
        <f>H24</f>
        <v>14475000</v>
      </c>
      <c r="H25" s="142">
        <f>G24</f>
        <v>0</v>
      </c>
      <c r="I25" s="169">
        <f>IF(G25&lt;&gt;0,G25,-H25)</f>
        <v>14475000</v>
      </c>
      <c r="J25" s="139">
        <f>-J24</f>
        <v>0</v>
      </c>
      <c r="K25" s="106" t="str">
        <f>K24</f>
        <v>BANK KELUAR</v>
      </c>
      <c r="L25" s="144" t="str">
        <f>L24</f>
        <v>PEMBAYARAN JASA FORKLIFT ACHMAD LUTHFIE PERIODE 202511</v>
      </c>
    </row>
    <row r="26" spans="1:12" s="106" customFormat="1" ht="12" customHeight="1" x14ac:dyDescent="0.2">
      <c r="A26" s="128"/>
      <c r="B26" s="130"/>
      <c r="C26" s="131"/>
      <c r="D26" s="129"/>
      <c r="E26" s="134"/>
      <c r="F26" s="137"/>
      <c r="G26" s="139"/>
      <c r="H26" s="142"/>
      <c r="I26" s="142"/>
      <c r="J26" s="139"/>
      <c r="L26" s="144"/>
    </row>
    <row r="27" spans="1:12" s="106" customFormat="1" ht="12" customHeight="1" x14ac:dyDescent="0.2">
      <c r="A27" s="128"/>
      <c r="B27" s="130" t="str">
        <f>VLOOKUP(F27,BB!$A$8:$C$152,3,0)</f>
        <v>A02</v>
      </c>
      <c r="C27" s="131">
        <v>202601</v>
      </c>
      <c r="D27" s="129" t="s">
        <v>507</v>
      </c>
      <c r="E27" s="134">
        <v>46037</v>
      </c>
      <c r="F27" s="137" t="s">
        <v>155</v>
      </c>
      <c r="G27" s="142">
        <v>0</v>
      </c>
      <c r="H27" s="142">
        <v>13333333</v>
      </c>
      <c r="I27" s="142">
        <f>IF(G27&lt;&gt;0,G27,-H27)</f>
        <v>-13333333</v>
      </c>
      <c r="J27" s="142">
        <v>0</v>
      </c>
      <c r="K27" s="106" t="s">
        <v>293</v>
      </c>
      <c r="L27" s="144" t="s">
        <v>506</v>
      </c>
    </row>
    <row r="28" spans="1:12" s="106" customFormat="1" ht="12" customHeight="1" x14ac:dyDescent="0.2">
      <c r="A28" s="128"/>
      <c r="B28" s="130" t="str">
        <f>VLOOKUP(F28,BB!$A$8:$C$152,3,0)</f>
        <v>A04A</v>
      </c>
      <c r="C28" s="131">
        <f t="shared" ref="C28:E29" si="3">C27</f>
        <v>202601</v>
      </c>
      <c r="D28" s="129" t="str">
        <f t="shared" si="3"/>
        <v>MDR-2601008</v>
      </c>
      <c r="E28" s="134">
        <f t="shared" si="3"/>
        <v>46037</v>
      </c>
      <c r="F28" s="137" t="s">
        <v>437</v>
      </c>
      <c r="G28" s="139">
        <v>30000000</v>
      </c>
      <c r="H28" s="142">
        <v>0</v>
      </c>
      <c r="I28" s="142">
        <f>IF(G28&lt;&gt;0,G28,-H28)</f>
        <v>30000000</v>
      </c>
      <c r="J28" s="139">
        <f>-J27</f>
        <v>0</v>
      </c>
      <c r="K28" s="106" t="str">
        <f>K27</f>
        <v>BANK KELUAR</v>
      </c>
      <c r="L28" s="144" t="str">
        <f>L27</f>
        <v>PINJAMAN RUTIN SUGENG H, 36X, KOMPENSASI</v>
      </c>
    </row>
    <row r="29" spans="1:12" s="106" customFormat="1" ht="12" customHeight="1" x14ac:dyDescent="0.2">
      <c r="A29" s="128"/>
      <c r="B29" s="130" t="str">
        <f>VLOOKUP(F29,BB!$A$8:$C$152,3,0)</f>
        <v>A04A</v>
      </c>
      <c r="C29" s="131">
        <f t="shared" si="3"/>
        <v>202601</v>
      </c>
      <c r="D29" s="129" t="str">
        <f t="shared" si="3"/>
        <v>MDR-2601008</v>
      </c>
      <c r="E29" s="134">
        <f t="shared" si="3"/>
        <v>46037</v>
      </c>
      <c r="F29" s="137" t="s">
        <v>437</v>
      </c>
      <c r="G29" s="139">
        <v>0</v>
      </c>
      <c r="H29" s="142">
        <f>G28-H27</f>
        <v>16666667</v>
      </c>
      <c r="I29" s="142">
        <f>IF(G29&lt;&gt;0,G29,-H29)</f>
        <v>-16666667</v>
      </c>
      <c r="J29" s="139">
        <f>-J28</f>
        <v>0</v>
      </c>
      <c r="K29" s="106" t="str">
        <f>K28</f>
        <v>BANK KELUAR</v>
      </c>
      <c r="L29" s="144" t="str">
        <f>L28</f>
        <v>PINJAMAN RUTIN SUGENG H, 36X, KOMPENSASI</v>
      </c>
    </row>
    <row r="30" spans="1:12" s="106" customFormat="1" ht="12" customHeight="1" x14ac:dyDescent="0.2">
      <c r="A30" s="128"/>
      <c r="B30" s="130"/>
      <c r="C30" s="131"/>
      <c r="D30" s="129"/>
      <c r="E30" s="134"/>
      <c r="F30" s="137"/>
      <c r="G30" s="139"/>
      <c r="H30" s="142"/>
      <c r="I30" s="142"/>
      <c r="J30" s="139"/>
      <c r="L30" s="144"/>
    </row>
    <row r="31" spans="1:12" s="106" customFormat="1" ht="12" customHeight="1" x14ac:dyDescent="0.2">
      <c r="A31" s="128"/>
      <c r="B31" s="130" t="str">
        <f>VLOOKUP(F31,BB!$A$8:$C$152,3,0)</f>
        <v>A02</v>
      </c>
      <c r="C31" s="131">
        <v>202601</v>
      </c>
      <c r="D31" s="129" t="s">
        <v>508</v>
      </c>
      <c r="E31" s="134">
        <v>46043</v>
      </c>
      <c r="F31" s="137" t="s">
        <v>155</v>
      </c>
      <c r="G31" s="142">
        <v>0</v>
      </c>
      <c r="H31" s="142">
        <v>8333333</v>
      </c>
      <c r="I31" s="142">
        <f>IF(G31&lt;&gt;0,G31,-H31)</f>
        <v>-8333333</v>
      </c>
      <c r="J31" s="142">
        <v>0</v>
      </c>
      <c r="K31" s="106" t="s">
        <v>293</v>
      </c>
      <c r="L31" s="144" t="s">
        <v>509</v>
      </c>
    </row>
    <row r="32" spans="1:12" s="106" customFormat="1" ht="12" customHeight="1" x14ac:dyDescent="0.2">
      <c r="A32" s="128"/>
      <c r="B32" s="130" t="str">
        <f>VLOOKUP(F32,BB!$A$8:$C$152,3,0)</f>
        <v>A04A</v>
      </c>
      <c r="C32" s="131">
        <f t="shared" ref="C32:E33" si="4">C31</f>
        <v>202601</v>
      </c>
      <c r="D32" s="129" t="str">
        <f t="shared" si="4"/>
        <v>MDR-2601009</v>
      </c>
      <c r="E32" s="134">
        <f t="shared" si="4"/>
        <v>46043</v>
      </c>
      <c r="F32" s="137" t="s">
        <v>437</v>
      </c>
      <c r="G32" s="139">
        <v>50000000</v>
      </c>
      <c r="H32" s="142">
        <v>0</v>
      </c>
      <c r="I32" s="142">
        <f>IF(G32&lt;&gt;0,G32,-H32)</f>
        <v>50000000</v>
      </c>
      <c r="J32" s="139">
        <f>-J31</f>
        <v>0</v>
      </c>
      <c r="K32" s="106" t="str">
        <f>K31</f>
        <v>BANK KELUAR</v>
      </c>
      <c r="L32" s="144" t="str">
        <f>L31</f>
        <v>PINJAMAN RUTIN WIDYA NS, 60X, KOMPENSASI</v>
      </c>
    </row>
    <row r="33" spans="1:42" s="106" customFormat="1" ht="12" customHeight="1" x14ac:dyDescent="0.2">
      <c r="A33" s="128"/>
      <c r="B33" s="130" t="str">
        <f>VLOOKUP(F33,BB!$A$8:$C$152,3,0)</f>
        <v>A04A</v>
      </c>
      <c r="C33" s="131">
        <f t="shared" si="4"/>
        <v>202601</v>
      </c>
      <c r="D33" s="129" t="str">
        <f t="shared" si="4"/>
        <v>MDR-2601009</v>
      </c>
      <c r="E33" s="134">
        <f t="shared" si="4"/>
        <v>46043</v>
      </c>
      <c r="F33" s="137" t="s">
        <v>437</v>
      </c>
      <c r="G33" s="139">
        <v>0</v>
      </c>
      <c r="H33" s="142">
        <f>G32-H31</f>
        <v>41666667</v>
      </c>
      <c r="I33" s="142">
        <f>IF(G33&lt;&gt;0,G33,-H33)</f>
        <v>-41666667</v>
      </c>
      <c r="J33" s="139">
        <f>-J32</f>
        <v>0</v>
      </c>
      <c r="K33" s="106" t="str">
        <f>K32</f>
        <v>BANK KELUAR</v>
      </c>
      <c r="L33" s="144" t="str">
        <f>L32</f>
        <v>PINJAMAN RUTIN WIDYA NS, 60X, KOMPENSASI</v>
      </c>
    </row>
    <row r="34" spans="1:42" s="106" customFormat="1" ht="12" customHeight="1" x14ac:dyDescent="0.2">
      <c r="A34" s="128"/>
      <c r="B34" s="130"/>
      <c r="C34" s="131"/>
      <c r="D34" s="129"/>
      <c r="E34" s="134"/>
      <c r="F34" s="137"/>
      <c r="G34" s="139"/>
      <c r="H34" s="142"/>
      <c r="I34" s="142"/>
      <c r="J34" s="139"/>
      <c r="L34" s="144"/>
    </row>
    <row r="35" spans="1:42" s="106" customFormat="1" ht="12" customHeight="1" x14ac:dyDescent="0.2">
      <c r="A35" s="128"/>
      <c r="B35" s="130" t="str">
        <f>VLOOKUP(F35,BB!$A$8:$C$152,3,0)</f>
        <v>A02</v>
      </c>
      <c r="C35" s="131">
        <v>202601</v>
      </c>
      <c r="D35" s="129" t="s">
        <v>511</v>
      </c>
      <c r="E35" s="134">
        <v>46045</v>
      </c>
      <c r="F35" s="137" t="s">
        <v>155</v>
      </c>
      <c r="G35" s="139">
        <v>82521704</v>
      </c>
      <c r="H35" s="142">
        <v>0</v>
      </c>
      <c r="I35" s="142">
        <f t="shared" ref="I35:I40" si="5">IF(G35&lt;&gt;0,G35,-H35)</f>
        <v>82521704</v>
      </c>
      <c r="J35" s="142">
        <v>0</v>
      </c>
      <c r="K35" s="106" t="s">
        <v>294</v>
      </c>
      <c r="L35" s="144" t="s">
        <v>510</v>
      </c>
    </row>
    <row r="36" spans="1:42" s="106" customFormat="1" ht="12" customHeight="1" x14ac:dyDescent="0.2">
      <c r="A36" s="128"/>
      <c r="B36" s="130" t="str">
        <f>VLOOKUP(F36,BB!$A$8:$C$152,3,0)</f>
        <v>A04A</v>
      </c>
      <c r="C36" s="131">
        <f t="shared" ref="C36:E40" si="6">C35</f>
        <v>202601</v>
      </c>
      <c r="D36" s="129" t="str">
        <f t="shared" si="6"/>
        <v>MDR-2601010</v>
      </c>
      <c r="E36" s="134">
        <f t="shared" si="6"/>
        <v>46045</v>
      </c>
      <c r="F36" s="137" t="s">
        <v>437</v>
      </c>
      <c r="G36" s="139">
        <v>0</v>
      </c>
      <c r="H36" s="142">
        <v>60419861.111111104</v>
      </c>
      <c r="I36" s="142">
        <f t="shared" si="5"/>
        <v>-60419861.111111104</v>
      </c>
      <c r="J36" s="139">
        <f>-J35</f>
        <v>0</v>
      </c>
      <c r="K36" s="106" t="str">
        <f>K35</f>
        <v>BANK MASUK</v>
      </c>
      <c r="L36" s="144" t="str">
        <f>"ANGSURAN PIRUT DARI "&amp;MID(L35,17,50)</f>
        <v>ANGSURAN PIRUT DARI POTONGAN GAJI BULAN JANUARI 2026</v>
      </c>
    </row>
    <row r="37" spans="1:42" s="106" customFormat="1" ht="12" customHeight="1" x14ac:dyDescent="0.2">
      <c r="A37" s="128"/>
      <c r="B37" s="130" t="str">
        <f>VLOOKUP(F37,BB!$A$8:$C$152,3,0)</f>
        <v>P12</v>
      </c>
      <c r="C37" s="131">
        <f t="shared" si="6"/>
        <v>202601</v>
      </c>
      <c r="D37" s="129" t="str">
        <f t="shared" si="6"/>
        <v>MDR-2601010</v>
      </c>
      <c r="E37" s="134">
        <f t="shared" si="6"/>
        <v>46045</v>
      </c>
      <c r="F37" s="135" t="s">
        <v>216</v>
      </c>
      <c r="G37" s="139">
        <v>0</v>
      </c>
      <c r="H37" s="142">
        <v>3800000</v>
      </c>
      <c r="I37" s="142">
        <f t="shared" si="5"/>
        <v>-3800000</v>
      </c>
      <c r="J37" s="139">
        <f>-J36</f>
        <v>0</v>
      </c>
      <c r="K37" s="106" t="str">
        <f>K36</f>
        <v>BANK MASUK</v>
      </c>
      <c r="L37" s="144" t="s">
        <v>469</v>
      </c>
    </row>
    <row r="38" spans="1:42" s="106" customFormat="1" ht="12" customHeight="1" x14ac:dyDescent="0.2">
      <c r="A38" s="128"/>
      <c r="B38" s="130" t="str">
        <f>VLOOKUP(F38,BB!$A$8:$C$152,3,0)</f>
        <v>LR01A</v>
      </c>
      <c r="C38" s="131">
        <f t="shared" si="6"/>
        <v>202601</v>
      </c>
      <c r="D38" s="129" t="str">
        <f t="shared" si="6"/>
        <v>MDR-2601010</v>
      </c>
      <c r="E38" s="134">
        <f t="shared" si="6"/>
        <v>46045</v>
      </c>
      <c r="F38" s="137" t="s">
        <v>358</v>
      </c>
      <c r="G38" s="139">
        <v>0</v>
      </c>
      <c r="H38" s="139">
        <v>78721704.861111134</v>
      </c>
      <c r="I38" s="142">
        <f t="shared" si="5"/>
        <v>-78721704.861111134</v>
      </c>
      <c r="J38" s="139">
        <f>-J37</f>
        <v>0</v>
      </c>
      <c r="K38" s="106" t="str">
        <f>K37</f>
        <v>BANK MASUK</v>
      </c>
      <c r="L38" s="144" t="str">
        <f>"PENDAPATAN PIRUT "&amp;MID(L35,31,50)</f>
        <v>PENDAPATAN PIRUT BULAN JANUARI 2026</v>
      </c>
    </row>
    <row r="39" spans="1:42" s="106" customFormat="1" ht="12" customHeight="1" x14ac:dyDescent="0.2">
      <c r="A39" s="128"/>
      <c r="B39" s="130" t="str">
        <f>VLOOKUP(F39,BB!$A$8:$C$152,3,0)</f>
        <v>LR02A</v>
      </c>
      <c r="C39" s="131">
        <f t="shared" si="6"/>
        <v>202601</v>
      </c>
      <c r="D39" s="129" t="str">
        <f t="shared" si="6"/>
        <v>MDR-2601010</v>
      </c>
      <c r="E39" s="134">
        <f t="shared" si="6"/>
        <v>46045</v>
      </c>
      <c r="F39" s="137" t="s">
        <v>362</v>
      </c>
      <c r="G39" s="139">
        <f>H36</f>
        <v>60419861.111111104</v>
      </c>
      <c r="H39" s="139">
        <v>0</v>
      </c>
      <c r="I39" s="142">
        <f t="shared" si="5"/>
        <v>60419861.111111104</v>
      </c>
      <c r="J39" s="139">
        <f>-J38</f>
        <v>0</v>
      </c>
      <c r="K39" s="106" t="str">
        <f>K38</f>
        <v>BANK MASUK</v>
      </c>
      <c r="L39" s="144" t="str">
        <f>"HPP "&amp;MID(L38,12,50)</f>
        <v>HPP PIRUT BULAN JANUARI 2026</v>
      </c>
    </row>
    <row r="40" spans="1:42" s="106" customFormat="1" ht="12" customHeight="1" x14ac:dyDescent="0.2">
      <c r="A40" s="128"/>
      <c r="B40" s="130" t="str">
        <f>VLOOKUP(F40,BB!$A$8:$C$152,3,0)</f>
        <v>LR07</v>
      </c>
      <c r="C40" s="131">
        <f t="shared" si="6"/>
        <v>202601</v>
      </c>
      <c r="D40" s="129" t="str">
        <f t="shared" si="6"/>
        <v>MDR-2601010</v>
      </c>
      <c r="E40" s="134">
        <f t="shared" si="6"/>
        <v>46045</v>
      </c>
      <c r="F40" s="137" t="s">
        <v>238</v>
      </c>
      <c r="G40" s="139">
        <f>IF(SUM(I35:I39)&lt;0,-SUM(I35:I39),0)</f>
        <v>0.86111113429069519</v>
      </c>
      <c r="H40" s="139">
        <f>IF(SUM(I35:I39)&gt;0,-SUM(J35:J39),0)</f>
        <v>0</v>
      </c>
      <c r="I40" s="142">
        <f t="shared" si="5"/>
        <v>0.86111113429069519</v>
      </c>
      <c r="J40" s="139">
        <f>-J39</f>
        <v>0</v>
      </c>
      <c r="K40" s="106" t="str">
        <f>K39</f>
        <v>BANK MASUK</v>
      </c>
      <c r="L40" s="144" t="s">
        <v>421</v>
      </c>
    </row>
    <row r="41" spans="1:42" s="106" customFormat="1" ht="12" customHeight="1" x14ac:dyDescent="0.2">
      <c r="A41" s="128"/>
      <c r="B41" s="130"/>
      <c r="C41" s="131"/>
      <c r="D41" s="129"/>
      <c r="E41" s="134"/>
      <c r="F41" s="137"/>
      <c r="G41" s="139"/>
      <c r="H41" s="142"/>
      <c r="I41" s="142"/>
      <c r="J41" s="139"/>
      <c r="L41" s="144"/>
    </row>
    <row r="42" spans="1:42" s="106" customFormat="1" ht="12" customHeight="1" x14ac:dyDescent="0.2">
      <c r="A42" s="128"/>
      <c r="B42" s="130" t="str">
        <f>VLOOKUP(F42,BB!$A$8:$C$152,3,0)</f>
        <v>A02</v>
      </c>
      <c r="C42" s="131">
        <v>202601</v>
      </c>
      <c r="D42" s="129" t="s">
        <v>512</v>
      </c>
      <c r="E42" s="134">
        <v>46049</v>
      </c>
      <c r="F42" s="137" t="s">
        <v>155</v>
      </c>
      <c r="G42" s="142">
        <v>0</v>
      </c>
      <c r="H42" s="142">
        <v>10000000</v>
      </c>
      <c r="I42" s="142">
        <f>IF(G42&lt;&gt;0,G42,-H42)</f>
        <v>-10000000</v>
      </c>
      <c r="J42" s="142">
        <v>0</v>
      </c>
      <c r="K42" s="106" t="s">
        <v>293</v>
      </c>
      <c r="L42" s="144" t="s">
        <v>513</v>
      </c>
    </row>
    <row r="43" spans="1:42" s="106" customFormat="1" ht="12" customHeight="1" x14ac:dyDescent="0.2">
      <c r="A43" s="128"/>
      <c r="B43" s="130" t="str">
        <f>VLOOKUP(F43,BB!$A$8:$C$152,3,0)</f>
        <v>A04A</v>
      </c>
      <c r="C43" s="131">
        <f>C42</f>
        <v>202601</v>
      </c>
      <c r="D43" s="129" t="str">
        <f>D42</f>
        <v>MDR-2601011</v>
      </c>
      <c r="E43" s="134">
        <f>E42</f>
        <v>46049</v>
      </c>
      <c r="F43" s="137" t="s">
        <v>437</v>
      </c>
      <c r="G43" s="139">
        <f>+H42</f>
        <v>10000000</v>
      </c>
      <c r="H43" s="142">
        <v>0</v>
      </c>
      <c r="I43" s="142">
        <f>IF(G43&lt;&gt;0,G43,-H43)</f>
        <v>10000000</v>
      </c>
      <c r="J43" s="139">
        <f>-J42</f>
        <v>0</v>
      </c>
      <c r="K43" s="106" t="str">
        <f>K42</f>
        <v>BANK KELUAR</v>
      </c>
      <c r="L43" s="144" t="str">
        <f>L42</f>
        <v>PINJAMAN RUTIN SUMARSONO, 24X</v>
      </c>
    </row>
    <row r="44" spans="1:42" s="106" customFormat="1" ht="12" customHeight="1" x14ac:dyDescent="0.2">
      <c r="A44" s="128"/>
      <c r="B44" s="130"/>
      <c r="C44" s="131"/>
      <c r="D44" s="129"/>
      <c r="E44" s="134"/>
      <c r="F44" s="137"/>
      <c r="G44" s="139"/>
      <c r="H44" s="142"/>
      <c r="I44" s="142"/>
      <c r="J44" s="139"/>
      <c r="L44" s="144"/>
    </row>
    <row r="45" spans="1:42" s="106" customFormat="1" ht="12" customHeight="1" x14ac:dyDescent="0.2">
      <c r="A45" s="128"/>
      <c r="B45" s="130" t="str">
        <f>VLOOKUP(F45,BB!$A$8:$C$152,3,0)</f>
        <v>A02</v>
      </c>
      <c r="C45" s="131">
        <v>202601</v>
      </c>
      <c r="D45" s="129" t="s">
        <v>514</v>
      </c>
      <c r="E45" s="134">
        <v>46049</v>
      </c>
      <c r="F45" s="137" t="s">
        <v>155</v>
      </c>
      <c r="G45" s="142">
        <v>0</v>
      </c>
      <c r="H45" s="142">
        <v>11608500</v>
      </c>
      <c r="I45" s="170">
        <f>IF(G45&lt;&gt;0,G45,-H45)</f>
        <v>-11608500</v>
      </c>
      <c r="J45" s="142">
        <v>0</v>
      </c>
      <c r="K45" s="106" t="s">
        <v>293</v>
      </c>
      <c r="L45" s="144" t="s">
        <v>516</v>
      </c>
    </row>
    <row r="46" spans="1:42" s="106" customFormat="1" ht="12" customHeight="1" x14ac:dyDescent="0.2">
      <c r="A46" s="128"/>
      <c r="B46" s="130" t="str">
        <f>VLOOKUP(F46,BB!$A$8:$C$152,3,0)</f>
        <v>P05</v>
      </c>
      <c r="C46" s="131">
        <f t="shared" ref="C46:E46" si="7">+C45</f>
        <v>202601</v>
      </c>
      <c r="D46" s="129" t="str">
        <f t="shared" si="7"/>
        <v>MDR-2601012</v>
      </c>
      <c r="E46" s="134">
        <f t="shared" si="7"/>
        <v>46049</v>
      </c>
      <c r="F46" s="137" t="s">
        <v>426</v>
      </c>
      <c r="G46" s="142">
        <f>+H45</f>
        <v>11608500</v>
      </c>
      <c r="H46" s="142">
        <v>0</v>
      </c>
      <c r="I46" s="170">
        <f>IF(G46&lt;&gt;0,G46,-H46)</f>
        <v>11608500</v>
      </c>
      <c r="J46" s="139">
        <v>0</v>
      </c>
      <c r="K46" s="106" t="s">
        <v>293</v>
      </c>
      <c r="L46" s="144" t="str">
        <f>+L45</f>
        <v>PEMBAYARAN KE ORIX SEWA BULAN KE 43 (JAN)</v>
      </c>
    </row>
    <row r="47" spans="1:42" s="106" customFormat="1" ht="12" customHeight="1" x14ac:dyDescent="0.2">
      <c r="A47" s="128"/>
      <c r="B47" s="130"/>
      <c r="C47" s="131"/>
      <c r="D47" s="129"/>
      <c r="E47" s="134"/>
      <c r="F47" s="137"/>
      <c r="G47" s="139"/>
      <c r="H47" s="142"/>
      <c r="I47" s="142"/>
      <c r="J47" s="139"/>
      <c r="L47" s="144"/>
    </row>
    <row r="48" spans="1:42" s="106" customFormat="1" ht="12" customHeight="1" x14ac:dyDescent="0.2">
      <c r="A48" s="128"/>
      <c r="B48" s="130" t="str">
        <f>VLOOKUP(F48,BB!$A$8:$C$152,3,0)</f>
        <v>A02</v>
      </c>
      <c r="C48" s="131">
        <v>202601</v>
      </c>
      <c r="D48" s="129" t="s">
        <v>515</v>
      </c>
      <c r="E48" s="134">
        <v>46049</v>
      </c>
      <c r="F48" s="137" t="s">
        <v>155</v>
      </c>
      <c r="G48" s="142">
        <v>0</v>
      </c>
      <c r="H48" s="142">
        <v>2900</v>
      </c>
      <c r="I48" s="142">
        <f>IF(G48&lt;&gt;0,G48,-H48)</f>
        <v>-2900</v>
      </c>
      <c r="J48" s="142">
        <v>0</v>
      </c>
      <c r="K48" s="106" t="s">
        <v>293</v>
      </c>
      <c r="L48" s="145" t="s">
        <v>396</v>
      </c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1"/>
      <c r="AO48" s="131"/>
      <c r="AP48" s="131"/>
    </row>
    <row r="49" spans="1:12" s="106" customFormat="1" ht="12" customHeight="1" x14ac:dyDescent="0.2">
      <c r="A49" s="128"/>
      <c r="B49" s="130" t="str">
        <f>VLOOKUP(F49,BB!$A$8:$C$152,3,0)</f>
        <v>LR07</v>
      </c>
      <c r="C49" s="131">
        <f>+C48</f>
        <v>202601</v>
      </c>
      <c r="D49" s="129" t="str">
        <f>+D48</f>
        <v>MDR-2601013</v>
      </c>
      <c r="E49" s="134">
        <f>+E48</f>
        <v>46049</v>
      </c>
      <c r="F49" s="137" t="s">
        <v>237</v>
      </c>
      <c r="G49" s="139">
        <f>+H48</f>
        <v>2900</v>
      </c>
      <c r="H49" s="142">
        <v>0</v>
      </c>
      <c r="I49" s="142">
        <f>IF(G49&lt;&gt;0,G49,-H49)</f>
        <v>2900</v>
      </c>
      <c r="J49" s="139">
        <v>0</v>
      </c>
      <c r="K49" s="106" t="s">
        <v>293</v>
      </c>
      <c r="L49" s="144" t="str">
        <f>+L48</f>
        <v>CLEARING FEE</v>
      </c>
    </row>
    <row r="50" spans="1:12" s="106" customFormat="1" ht="12" customHeight="1" x14ac:dyDescent="0.2">
      <c r="A50" s="128"/>
      <c r="B50" s="130"/>
      <c r="C50" s="131"/>
      <c r="D50" s="129"/>
      <c r="E50" s="134"/>
      <c r="F50" s="137"/>
      <c r="G50" s="139"/>
      <c r="H50" s="142"/>
      <c r="I50" s="142"/>
      <c r="J50" s="139"/>
      <c r="L50" s="144"/>
    </row>
    <row r="51" spans="1:12" s="106" customFormat="1" ht="12" customHeight="1" x14ac:dyDescent="0.2">
      <c r="A51" s="128"/>
      <c r="B51" s="130" t="str">
        <f>VLOOKUP(F51,BB!$A$8:$C$152,3,0)</f>
        <v>A02</v>
      </c>
      <c r="C51" s="131">
        <v>202601</v>
      </c>
      <c r="D51" s="129" t="s">
        <v>517</v>
      </c>
      <c r="E51" s="134">
        <v>46049</v>
      </c>
      <c r="F51" s="137" t="s">
        <v>155</v>
      </c>
      <c r="G51" s="142">
        <v>0</v>
      </c>
      <c r="H51" s="142">
        <v>27833333</v>
      </c>
      <c r="I51" s="142">
        <f>IF(G51&lt;&gt;0,G51,-H51)</f>
        <v>-27833333</v>
      </c>
      <c r="J51" s="142">
        <v>0</v>
      </c>
      <c r="K51" s="106" t="s">
        <v>293</v>
      </c>
      <c r="L51" s="144" t="s">
        <v>518</v>
      </c>
    </row>
    <row r="52" spans="1:12" s="106" customFormat="1" ht="12" customHeight="1" x14ac:dyDescent="0.2">
      <c r="A52" s="128"/>
      <c r="B52" s="130" t="str">
        <f>VLOOKUP(F52,BB!$A$8:$C$152,3,0)</f>
        <v>A04A</v>
      </c>
      <c r="C52" s="131">
        <f t="shared" ref="C52:E53" si="8">C51</f>
        <v>202601</v>
      </c>
      <c r="D52" s="129" t="str">
        <f t="shared" si="8"/>
        <v>MDR-2601014</v>
      </c>
      <c r="E52" s="134">
        <f t="shared" si="8"/>
        <v>46049</v>
      </c>
      <c r="F52" s="137" t="s">
        <v>437</v>
      </c>
      <c r="G52" s="139">
        <v>100000000</v>
      </c>
      <c r="H52" s="142">
        <v>0</v>
      </c>
      <c r="I52" s="142">
        <f>IF(G52&lt;&gt;0,G52,-H52)</f>
        <v>100000000</v>
      </c>
      <c r="J52" s="139">
        <f>-J51</f>
        <v>0</v>
      </c>
      <c r="K52" s="106" t="str">
        <f>K51</f>
        <v>BANK KELUAR</v>
      </c>
      <c r="L52" s="144" t="str">
        <f>L51</f>
        <v>PINJAMAN RUTIN DARWANTO, 60X, KOMPENSASI</v>
      </c>
    </row>
    <row r="53" spans="1:12" s="106" customFormat="1" ht="12" customHeight="1" x14ac:dyDescent="0.2">
      <c r="A53" s="128"/>
      <c r="B53" s="130" t="str">
        <f>VLOOKUP(F53,BB!$A$8:$C$152,3,0)</f>
        <v>A04A</v>
      </c>
      <c r="C53" s="131">
        <f t="shared" si="8"/>
        <v>202601</v>
      </c>
      <c r="D53" s="129" t="str">
        <f t="shared" si="8"/>
        <v>MDR-2601014</v>
      </c>
      <c r="E53" s="134">
        <f t="shared" si="8"/>
        <v>46049</v>
      </c>
      <c r="F53" s="137" t="s">
        <v>437</v>
      </c>
      <c r="G53" s="139">
        <v>0</v>
      </c>
      <c r="H53" s="142">
        <f>G52-H51</f>
        <v>72166667</v>
      </c>
      <c r="I53" s="142">
        <f>IF(G53&lt;&gt;0,G53,-H53)</f>
        <v>-72166667</v>
      </c>
      <c r="J53" s="139">
        <f>-J52</f>
        <v>0</v>
      </c>
      <c r="K53" s="106" t="str">
        <f>K52</f>
        <v>BANK KELUAR</v>
      </c>
      <c r="L53" s="144" t="str">
        <f>L52</f>
        <v>PINJAMAN RUTIN DARWANTO, 60X, KOMPENSASI</v>
      </c>
    </row>
    <row r="54" spans="1:12" s="106" customFormat="1" ht="12" customHeight="1" x14ac:dyDescent="0.2">
      <c r="A54" s="128"/>
      <c r="B54" s="130"/>
      <c r="C54" s="131"/>
      <c r="D54" s="129"/>
      <c r="E54" s="134"/>
      <c r="F54" s="137"/>
      <c r="G54" s="139"/>
      <c r="H54" s="142"/>
      <c r="I54" s="142"/>
      <c r="J54" s="139"/>
      <c r="L54" s="144"/>
    </row>
    <row r="55" spans="1:12" s="106" customFormat="1" ht="12" customHeight="1" x14ac:dyDescent="0.2">
      <c r="A55" s="128"/>
      <c r="B55" s="130" t="str">
        <f>VLOOKUP(F55,BB!$A$8:$C$152,3,0)</f>
        <v>A02</v>
      </c>
      <c r="C55" s="131">
        <v>202601</v>
      </c>
      <c r="D55" s="129" t="s">
        <v>519</v>
      </c>
      <c r="E55" s="134">
        <v>46050</v>
      </c>
      <c r="F55" s="137" t="s">
        <v>155</v>
      </c>
      <c r="G55" s="142">
        <v>15680000</v>
      </c>
      <c r="H55" s="142">
        <v>0</v>
      </c>
      <c r="I55" s="169">
        <f>IF(G55&lt;&gt;0,G55,-H55)</f>
        <v>15680000</v>
      </c>
      <c r="J55" s="142">
        <v>0</v>
      </c>
      <c r="K55" s="106" t="s">
        <v>294</v>
      </c>
      <c r="L55" s="145" t="s">
        <v>520</v>
      </c>
    </row>
    <row r="56" spans="1:12" s="106" customFormat="1" ht="12" customHeight="1" x14ac:dyDescent="0.2">
      <c r="A56" s="128"/>
      <c r="B56" s="130" t="str">
        <f>VLOOKUP(F56,BB!$A$8:$C$152,3,0)</f>
        <v>A04B</v>
      </c>
      <c r="C56" s="131">
        <f t="shared" ref="C56:E56" si="9">C55</f>
        <v>202601</v>
      </c>
      <c r="D56" s="131" t="str">
        <f t="shared" si="9"/>
        <v>MDR-2601015</v>
      </c>
      <c r="E56" s="167">
        <f t="shared" si="9"/>
        <v>46050</v>
      </c>
      <c r="F56" s="137" t="s">
        <v>433</v>
      </c>
      <c r="G56" s="139">
        <v>0</v>
      </c>
      <c r="H56" s="142">
        <f>+G55</f>
        <v>15680000</v>
      </c>
      <c r="I56" s="169">
        <f>IF(G56&lt;&gt;0,G56,-H56)</f>
        <v>-15680000</v>
      </c>
      <c r="J56" s="139">
        <v>0</v>
      </c>
      <c r="K56" s="106" t="str">
        <f>K55</f>
        <v>BANK MASUK</v>
      </c>
      <c r="L56" s="144" t="str">
        <f>L55</f>
        <v>TERIMA DARI GCS SEWA FORKLIFT PERIODE 202512</v>
      </c>
    </row>
    <row r="57" spans="1:12" s="106" customFormat="1" ht="12" customHeight="1" x14ac:dyDescent="0.2">
      <c r="A57" s="128"/>
      <c r="B57" s="130"/>
      <c r="C57" s="131"/>
      <c r="D57" s="129"/>
      <c r="E57" s="134"/>
      <c r="F57" s="137"/>
      <c r="G57" s="139"/>
      <c r="H57" s="142"/>
      <c r="I57" s="142"/>
      <c r="J57" s="139"/>
      <c r="L57" s="144"/>
    </row>
    <row r="58" spans="1:12" s="106" customFormat="1" ht="12" customHeight="1" x14ac:dyDescent="0.2">
      <c r="A58" s="128"/>
      <c r="B58" s="130" t="str">
        <f>VLOOKUP(F58,BB!$A$8:$C$152,3,0)</f>
        <v>A02</v>
      </c>
      <c r="C58" s="131">
        <v>202601</v>
      </c>
      <c r="D58" s="129" t="s">
        <v>521</v>
      </c>
      <c r="E58" s="134">
        <v>46052</v>
      </c>
      <c r="F58" s="135" t="s">
        <v>155</v>
      </c>
      <c r="G58" s="142">
        <v>11760000</v>
      </c>
      <c r="H58" s="142">
        <v>0</v>
      </c>
      <c r="I58" s="195">
        <f>IF(G58&lt;&gt;0,G58,-H58)</f>
        <v>11760000</v>
      </c>
      <c r="J58" s="142">
        <v>0</v>
      </c>
      <c r="K58" s="106" t="s">
        <v>294</v>
      </c>
      <c r="L58" s="145" t="s">
        <v>522</v>
      </c>
    </row>
    <row r="59" spans="1:12" s="106" customFormat="1" ht="12" customHeight="1" x14ac:dyDescent="0.2">
      <c r="A59" s="128"/>
      <c r="B59" s="130" t="str">
        <f>VLOOKUP(F59,BB!$A$8:$C$152,3,0)</f>
        <v>A04B</v>
      </c>
      <c r="C59" s="131">
        <f>C58</f>
        <v>202601</v>
      </c>
      <c r="D59" s="129" t="str">
        <f>D58</f>
        <v>MDR-2601016</v>
      </c>
      <c r="E59" s="134">
        <f>E58</f>
        <v>46052</v>
      </c>
      <c r="F59" s="137" t="s">
        <v>430</v>
      </c>
      <c r="G59" s="139">
        <f>H58</f>
        <v>0</v>
      </c>
      <c r="H59" s="142">
        <f>G58</f>
        <v>11760000</v>
      </c>
      <c r="I59" s="195">
        <f>IF(G59&lt;&gt;0,G59,-H59)</f>
        <v>-11760000</v>
      </c>
      <c r="J59" s="139">
        <f>-J58</f>
        <v>0</v>
      </c>
      <c r="K59" s="106" t="str">
        <f>K58</f>
        <v>BANK MASUK</v>
      </c>
      <c r="L59" s="144" t="str">
        <f>L58</f>
        <v>TERIMA SEWA KENDARAAN 1 UNIT MOBIL PERIODE BLN MEI 2025</v>
      </c>
    </row>
    <row r="60" spans="1:12" s="106" customFormat="1" ht="12" customHeight="1" x14ac:dyDescent="0.2">
      <c r="A60" s="128"/>
      <c r="B60" s="130"/>
      <c r="C60" s="131"/>
      <c r="D60" s="129"/>
      <c r="E60" s="134"/>
      <c r="F60" s="137"/>
      <c r="G60" s="139"/>
      <c r="H60" s="142"/>
      <c r="I60" s="142"/>
      <c r="J60" s="139"/>
      <c r="L60" s="144"/>
    </row>
    <row r="61" spans="1:12" s="106" customFormat="1" ht="12" customHeight="1" x14ac:dyDescent="0.2">
      <c r="A61" s="128"/>
      <c r="B61" s="130" t="str">
        <f>VLOOKUP(F61,BB!$A$8:$C$152,3,0)</f>
        <v>A02</v>
      </c>
      <c r="C61" s="131">
        <v>202601</v>
      </c>
      <c r="D61" s="129" t="s">
        <v>523</v>
      </c>
      <c r="E61" s="134">
        <v>46052</v>
      </c>
      <c r="F61" s="135" t="s">
        <v>155</v>
      </c>
      <c r="G61" s="142">
        <v>11760000</v>
      </c>
      <c r="H61" s="142">
        <v>0</v>
      </c>
      <c r="I61" s="195">
        <f>IF(G61&lt;&gt;0,G61,-H61)</f>
        <v>11760000</v>
      </c>
      <c r="J61" s="142">
        <v>0</v>
      </c>
      <c r="K61" s="106" t="s">
        <v>294</v>
      </c>
      <c r="L61" s="145" t="s">
        <v>526</v>
      </c>
    </row>
    <row r="62" spans="1:12" s="106" customFormat="1" ht="12" customHeight="1" x14ac:dyDescent="0.2">
      <c r="A62" s="128"/>
      <c r="B62" s="130" t="str">
        <f>VLOOKUP(F62,BB!$A$8:$C$152,3,0)</f>
        <v>A04B</v>
      </c>
      <c r="C62" s="131">
        <f>C61</f>
        <v>202601</v>
      </c>
      <c r="D62" s="129" t="str">
        <f>D61</f>
        <v>MDR-2601017</v>
      </c>
      <c r="E62" s="134">
        <f>E61</f>
        <v>46052</v>
      </c>
      <c r="F62" s="137" t="s">
        <v>430</v>
      </c>
      <c r="G62" s="139">
        <f>H61</f>
        <v>0</v>
      </c>
      <c r="H62" s="142">
        <f>G61</f>
        <v>11760000</v>
      </c>
      <c r="I62" s="195">
        <f>IF(G62&lt;&gt;0,G62,-H62)</f>
        <v>-11760000</v>
      </c>
      <c r="J62" s="139">
        <f>-J61</f>
        <v>0</v>
      </c>
      <c r="K62" s="106" t="str">
        <f>K61</f>
        <v>BANK MASUK</v>
      </c>
      <c r="L62" s="144" t="str">
        <f>L61</f>
        <v>TERIMA SEWA KENDARAAN 1 UNIT MOBIL PERIODE BLN JUNI 2025</v>
      </c>
    </row>
    <row r="63" spans="1:12" s="106" customFormat="1" ht="12" customHeight="1" x14ac:dyDescent="0.2">
      <c r="A63" s="128"/>
      <c r="B63" s="130"/>
      <c r="C63" s="131"/>
      <c r="D63" s="129"/>
      <c r="E63" s="134"/>
      <c r="F63" s="137"/>
      <c r="G63" s="139"/>
      <c r="H63" s="142"/>
      <c r="I63" s="142"/>
      <c r="J63" s="139"/>
      <c r="L63" s="144"/>
    </row>
    <row r="64" spans="1:12" s="106" customFormat="1" ht="12" customHeight="1" x14ac:dyDescent="0.2">
      <c r="A64" s="128"/>
      <c r="B64" s="130" t="str">
        <f>VLOOKUP(F64,BB!$A$8:$C$152,3,0)</f>
        <v>A02</v>
      </c>
      <c r="C64" s="131">
        <v>202601</v>
      </c>
      <c r="D64" s="129" t="s">
        <v>524</v>
      </c>
      <c r="E64" s="134">
        <v>46052</v>
      </c>
      <c r="F64" s="135" t="s">
        <v>155</v>
      </c>
      <c r="G64" s="142">
        <v>11760000</v>
      </c>
      <c r="H64" s="142">
        <v>0</v>
      </c>
      <c r="I64" s="195">
        <f>IF(G64&lt;&gt;0,G64,-H64)</f>
        <v>11760000</v>
      </c>
      <c r="J64" s="142">
        <v>0</v>
      </c>
      <c r="K64" s="106" t="s">
        <v>294</v>
      </c>
      <c r="L64" s="145" t="s">
        <v>527</v>
      </c>
    </row>
    <row r="65" spans="1:14" s="106" customFormat="1" ht="12" customHeight="1" x14ac:dyDescent="0.2">
      <c r="A65" s="128"/>
      <c r="B65" s="130" t="str">
        <f>VLOOKUP(F65,BB!$A$8:$C$152,3,0)</f>
        <v>A04B</v>
      </c>
      <c r="C65" s="131">
        <f>C64</f>
        <v>202601</v>
      </c>
      <c r="D65" s="129" t="str">
        <f>D64</f>
        <v>MDR-2601018</v>
      </c>
      <c r="E65" s="134">
        <f>E64</f>
        <v>46052</v>
      </c>
      <c r="F65" s="137" t="s">
        <v>430</v>
      </c>
      <c r="G65" s="139">
        <f>H64</f>
        <v>0</v>
      </c>
      <c r="H65" s="142">
        <f>G64</f>
        <v>11760000</v>
      </c>
      <c r="I65" s="195">
        <f>IF(G65&lt;&gt;0,G65,-H65)</f>
        <v>-11760000</v>
      </c>
      <c r="J65" s="139">
        <f>-J64</f>
        <v>0</v>
      </c>
      <c r="K65" s="106" t="str">
        <f>K64</f>
        <v>BANK MASUK</v>
      </c>
      <c r="L65" s="144" t="str">
        <f>L64</f>
        <v>TERIMA SEWA KENDARAAN 1 UNIT MOBIL PERIODE BLN JULI 2025</v>
      </c>
    </row>
    <row r="66" spans="1:14" s="106" customFormat="1" ht="12" customHeight="1" x14ac:dyDescent="0.2">
      <c r="A66" s="128"/>
      <c r="B66" s="130"/>
      <c r="C66" s="131"/>
      <c r="D66" s="129"/>
      <c r="E66" s="134"/>
      <c r="F66" s="137"/>
      <c r="G66" s="139"/>
      <c r="H66" s="142"/>
      <c r="I66" s="142"/>
      <c r="J66" s="139"/>
      <c r="L66" s="144"/>
    </row>
    <row r="67" spans="1:14" s="106" customFormat="1" ht="12" customHeight="1" x14ac:dyDescent="0.2">
      <c r="A67" s="128"/>
      <c r="B67" s="130" t="str">
        <f>VLOOKUP(F67,BB!$A$8:$C$152,3,0)</f>
        <v>A02</v>
      </c>
      <c r="C67" s="131">
        <v>202601</v>
      </c>
      <c r="D67" s="129" t="s">
        <v>525</v>
      </c>
      <c r="E67" s="134">
        <v>46052</v>
      </c>
      <c r="F67" s="135" t="s">
        <v>155</v>
      </c>
      <c r="G67" s="142">
        <v>11760000</v>
      </c>
      <c r="H67" s="142">
        <v>0</v>
      </c>
      <c r="I67" s="195">
        <f>IF(G67&lt;&gt;0,G67,-H67)</f>
        <v>11760000</v>
      </c>
      <c r="J67" s="142">
        <v>0</v>
      </c>
      <c r="K67" s="106" t="s">
        <v>294</v>
      </c>
      <c r="L67" s="145" t="s">
        <v>528</v>
      </c>
    </row>
    <row r="68" spans="1:14" s="106" customFormat="1" ht="12" customHeight="1" x14ac:dyDescent="0.2">
      <c r="A68" s="128"/>
      <c r="B68" s="130" t="str">
        <f>VLOOKUP(F68,BB!$A$8:$C$152,3,0)</f>
        <v>A04B</v>
      </c>
      <c r="C68" s="131">
        <f>C67</f>
        <v>202601</v>
      </c>
      <c r="D68" s="129" t="str">
        <f>D67</f>
        <v>MDR-2601019</v>
      </c>
      <c r="E68" s="134">
        <f>E67</f>
        <v>46052</v>
      </c>
      <c r="F68" s="137" t="s">
        <v>430</v>
      </c>
      <c r="G68" s="139">
        <f>H67</f>
        <v>0</v>
      </c>
      <c r="H68" s="142">
        <f>G67</f>
        <v>11760000</v>
      </c>
      <c r="I68" s="195">
        <f>IF(G68&lt;&gt;0,G68,-H68)</f>
        <v>-11760000</v>
      </c>
      <c r="J68" s="139">
        <f>-J67</f>
        <v>0</v>
      </c>
      <c r="K68" s="106" t="str">
        <f>K67</f>
        <v>BANK MASUK</v>
      </c>
      <c r="L68" s="144" t="str">
        <f>L67</f>
        <v>TERIMA SEWA KENDARAAN 1 UNIT MOBIL PERIODE BLN AGUSTUS 2025</v>
      </c>
    </row>
    <row r="69" spans="1:14" s="106" customFormat="1" ht="12" customHeight="1" x14ac:dyDescent="0.2">
      <c r="A69" s="128"/>
      <c r="B69" s="130"/>
      <c r="C69" s="131"/>
      <c r="D69" s="129"/>
      <c r="E69" s="134"/>
      <c r="F69" s="137"/>
      <c r="G69" s="139"/>
      <c r="H69" s="142"/>
      <c r="I69" s="142"/>
      <c r="J69" s="139"/>
      <c r="L69" s="144"/>
    </row>
    <row r="70" spans="1:14" s="106" customFormat="1" ht="12" customHeight="1" x14ac:dyDescent="0.2">
      <c r="A70" s="128"/>
      <c r="B70" s="130" t="str">
        <f>VLOOKUP(F70,BB!$A$8:$C$152,3,0)</f>
        <v>A02</v>
      </c>
      <c r="C70" s="131">
        <v>202601</v>
      </c>
      <c r="D70" s="129" t="s">
        <v>534</v>
      </c>
      <c r="E70" s="134">
        <v>46053</v>
      </c>
      <c r="F70" s="137" t="s">
        <v>155</v>
      </c>
      <c r="G70" s="142">
        <f>IF(SUM(I71:I73)&lt;0,-SUM(I71:I73),0)</f>
        <v>40139.299999999996</v>
      </c>
      <c r="H70" s="142">
        <f>IF(SUM(I71:I73)&gt;0,SUM(I71:I73),0)</f>
        <v>0</v>
      </c>
      <c r="I70" s="142">
        <f>IF(G70&lt;&gt;0,G70,-H70)</f>
        <v>40139.299999999996</v>
      </c>
      <c r="J70" s="139">
        <f>-J69</f>
        <v>0</v>
      </c>
      <c r="K70" s="106" t="str">
        <f>IF(I70&gt;0,"BANK MASUK","BANK KELUAR")</f>
        <v>BANK MASUK</v>
      </c>
      <c r="L70" s="144" t="str">
        <f>IF(K70="BANK MASUK","PENDAPATAN ATAS REKENING GIRO MANDIRI","BIAYA ATAS REKENING GIRO MANDIRI")</f>
        <v>PENDAPATAN ATAS REKENING GIRO MANDIRI</v>
      </c>
    </row>
    <row r="71" spans="1:14" s="106" customFormat="1" ht="12" customHeight="1" x14ac:dyDescent="0.2">
      <c r="A71" s="128"/>
      <c r="B71" s="130" t="str">
        <f>VLOOKUP(F71,BB!$A$8:$C$152,3,0)</f>
        <v>LR07</v>
      </c>
      <c r="C71" s="131">
        <f t="shared" ref="C71:E73" si="10">C70</f>
        <v>202601</v>
      </c>
      <c r="D71" s="129" t="str">
        <f t="shared" si="10"/>
        <v>MDR-2601020</v>
      </c>
      <c r="E71" s="134">
        <f t="shared" si="10"/>
        <v>46053</v>
      </c>
      <c r="F71" s="137" t="s">
        <v>237</v>
      </c>
      <c r="G71" s="142">
        <v>25000</v>
      </c>
      <c r="H71" s="142">
        <v>0</v>
      </c>
      <c r="I71" s="142">
        <f>IF(G71&lt;&gt;0,G71,-H71)</f>
        <v>25000</v>
      </c>
      <c r="J71" s="139">
        <f>-J70</f>
        <v>0</v>
      </c>
      <c r="K71" s="106" t="str">
        <f>K70</f>
        <v>BANK MASUK</v>
      </c>
      <c r="L71" s="144" t="s">
        <v>398</v>
      </c>
    </row>
    <row r="72" spans="1:14" s="106" customFormat="1" ht="12" customHeight="1" x14ac:dyDescent="0.2">
      <c r="A72" s="128"/>
      <c r="B72" s="130" t="str">
        <f>VLOOKUP(F72,BB!$A$8:$C$152,3,0)</f>
        <v>LR07</v>
      </c>
      <c r="C72" s="131">
        <f t="shared" si="10"/>
        <v>202601</v>
      </c>
      <c r="D72" s="129" t="str">
        <f t="shared" si="10"/>
        <v>MDR-2601020</v>
      </c>
      <c r="E72" s="134">
        <f t="shared" si="10"/>
        <v>46053</v>
      </c>
      <c r="F72" s="137" t="s">
        <v>237</v>
      </c>
      <c r="G72" s="142">
        <v>0</v>
      </c>
      <c r="H72" s="142">
        <v>81424.12</v>
      </c>
      <c r="I72" s="142">
        <f>IF(G72&lt;&gt;0,G72,-H72)</f>
        <v>-81424.12</v>
      </c>
      <c r="J72" s="139">
        <f>-J71</f>
        <v>0</v>
      </c>
      <c r="K72" s="106" t="str">
        <f>K71</f>
        <v>BANK MASUK</v>
      </c>
      <c r="L72" s="144" t="s">
        <v>399</v>
      </c>
    </row>
    <row r="73" spans="1:14" s="106" customFormat="1" ht="12" customHeight="1" x14ac:dyDescent="0.2">
      <c r="A73" s="128"/>
      <c r="B73" s="130" t="str">
        <f>VLOOKUP(F73,BB!$A$8:$C$152,3,0)</f>
        <v>LR07</v>
      </c>
      <c r="C73" s="131">
        <f t="shared" si="10"/>
        <v>202601</v>
      </c>
      <c r="D73" s="129" t="str">
        <f t="shared" si="10"/>
        <v>MDR-2601020</v>
      </c>
      <c r="E73" s="134">
        <f t="shared" si="10"/>
        <v>46053</v>
      </c>
      <c r="F73" s="137" t="s">
        <v>237</v>
      </c>
      <c r="G73" s="142">
        <v>16284.82</v>
      </c>
      <c r="H73" s="142">
        <v>0</v>
      </c>
      <c r="I73" s="142">
        <f>IF(G73&lt;&gt;0,G73,-H73)</f>
        <v>16284.82</v>
      </c>
      <c r="J73" s="139">
        <f>-J72</f>
        <v>0</v>
      </c>
      <c r="K73" s="106" t="str">
        <f>K72</f>
        <v>BANK MASUK</v>
      </c>
      <c r="L73" s="144" t="s">
        <v>400</v>
      </c>
    </row>
    <row r="74" spans="1:14" s="106" customFormat="1" ht="12" customHeight="1" x14ac:dyDescent="0.2">
      <c r="A74" s="128"/>
      <c r="B74" s="130"/>
      <c r="C74" s="131"/>
      <c r="D74" s="129"/>
      <c r="E74" s="134"/>
      <c r="F74" s="137"/>
      <c r="G74" s="139"/>
      <c r="H74" s="142"/>
      <c r="I74" s="142"/>
      <c r="J74" s="139"/>
      <c r="L74" s="144"/>
    </row>
    <row r="75" spans="1:14" s="106" customFormat="1" ht="12" customHeight="1" x14ac:dyDescent="0.2">
      <c r="A75" s="128"/>
      <c r="B75" s="130" t="str">
        <f>VLOOKUP(F75,BB!$A$8:$C$152,3,0)</f>
        <v>A02</v>
      </c>
      <c r="C75" s="131">
        <v>202601</v>
      </c>
      <c r="D75" s="129" t="s">
        <v>535</v>
      </c>
      <c r="E75" s="134">
        <v>46053</v>
      </c>
      <c r="F75" s="137" t="s">
        <v>156</v>
      </c>
      <c r="G75" s="142">
        <v>0</v>
      </c>
      <c r="H75" s="142">
        <v>30000</v>
      </c>
      <c r="I75" s="142">
        <f>IF(G75&lt;&gt;0,G75,-H75)</f>
        <v>-30000</v>
      </c>
      <c r="J75" s="142">
        <v>0</v>
      </c>
      <c r="K75" s="106" t="s">
        <v>293</v>
      </c>
      <c r="L75" s="144" t="s">
        <v>398</v>
      </c>
    </row>
    <row r="76" spans="1:14" s="106" customFormat="1" ht="12" customHeight="1" x14ac:dyDescent="0.2">
      <c r="A76" s="128"/>
      <c r="B76" s="130" t="str">
        <f>VLOOKUP(F76,BB!$A$8:$C$152,3,0)</f>
        <v>LR07</v>
      </c>
      <c r="C76" s="131">
        <f>C75</f>
        <v>202601</v>
      </c>
      <c r="D76" s="129" t="str">
        <f>D75</f>
        <v>BCA-2601001</v>
      </c>
      <c r="E76" s="134">
        <f>E75</f>
        <v>46053</v>
      </c>
      <c r="F76" s="137" t="s">
        <v>237</v>
      </c>
      <c r="G76" s="139">
        <v>30000</v>
      </c>
      <c r="H76" s="142">
        <v>0</v>
      </c>
      <c r="I76" s="142">
        <f>IF(G76&lt;&gt;0,G76,-H76)</f>
        <v>30000</v>
      </c>
      <c r="J76" s="139">
        <v>0</v>
      </c>
      <c r="K76" s="106" t="s">
        <v>293</v>
      </c>
      <c r="L76" s="144" t="s">
        <v>398</v>
      </c>
    </row>
    <row r="77" spans="1:14" s="106" customFormat="1" ht="12" customHeight="1" x14ac:dyDescent="0.2">
      <c r="A77" s="128"/>
      <c r="B77" s="130"/>
      <c r="C77" s="131"/>
      <c r="D77" s="129"/>
      <c r="E77" s="134"/>
      <c r="F77" s="137"/>
      <c r="G77" s="139"/>
      <c r="H77" s="142"/>
      <c r="I77" s="142"/>
      <c r="J77" s="139"/>
      <c r="L77" s="144"/>
    </row>
    <row r="78" spans="1:14" s="106" customFormat="1" ht="12" customHeight="1" x14ac:dyDescent="0.2">
      <c r="A78" s="128"/>
      <c r="B78" s="130" t="str">
        <f>VLOOKUP(F78,BB!$A$8:$C$152,3,0)</f>
        <v>LR07</v>
      </c>
      <c r="C78" s="131">
        <v>202601</v>
      </c>
      <c r="D78" s="129" t="s">
        <v>536</v>
      </c>
      <c r="E78" s="134">
        <v>46053</v>
      </c>
      <c r="F78" s="129" t="s">
        <v>405</v>
      </c>
      <c r="G78" s="142">
        <v>1500000</v>
      </c>
      <c r="H78" s="142">
        <v>0</v>
      </c>
      <c r="I78" s="142">
        <f>IF(G78&lt;&gt;0,G78,-H78)</f>
        <v>1500000</v>
      </c>
      <c r="J78" s="142">
        <v>0</v>
      </c>
      <c r="K78" s="106" t="s">
        <v>295</v>
      </c>
      <c r="L78" s="145" t="s">
        <v>404</v>
      </c>
      <c r="M78" s="142"/>
      <c r="N78" s="142"/>
    </row>
    <row r="79" spans="1:14" s="106" customFormat="1" ht="12" customHeight="1" x14ac:dyDescent="0.2">
      <c r="A79" s="128"/>
      <c r="B79" s="130" t="str">
        <f>VLOOKUP(F79,BB!$A$8:$C$152,3,0)</f>
        <v>A05</v>
      </c>
      <c r="C79" s="131">
        <f>C78</f>
        <v>202601</v>
      </c>
      <c r="D79" s="129" t="str">
        <f>D78</f>
        <v>JRM-2601001</v>
      </c>
      <c r="E79" s="134">
        <f>E78</f>
        <v>46053</v>
      </c>
      <c r="F79" s="137" t="s">
        <v>161</v>
      </c>
      <c r="G79" s="139">
        <f>H78</f>
        <v>0</v>
      </c>
      <c r="H79" s="142">
        <f>G78</f>
        <v>1500000</v>
      </c>
      <c r="I79" s="142">
        <f>IF(G79&lt;&gt;0,G79,-H79)</f>
        <v>-1500000</v>
      </c>
      <c r="J79" s="139">
        <f>-J78</f>
        <v>0</v>
      </c>
      <c r="K79" s="106" t="str">
        <f>K78</f>
        <v>JURNAL MANUAL</v>
      </c>
      <c r="L79" s="144" t="str">
        <f>L78</f>
        <v>PEMBEBANAN PENYISIHAN PIUTANG</v>
      </c>
      <c r="M79" s="139"/>
      <c r="N79" s="142"/>
    </row>
    <row r="80" spans="1:14" s="106" customFormat="1" ht="12" customHeight="1" x14ac:dyDescent="0.2">
      <c r="A80" s="128"/>
      <c r="B80" s="130"/>
      <c r="C80" s="131"/>
      <c r="D80" s="129"/>
      <c r="E80" s="134"/>
      <c r="F80" s="137"/>
      <c r="G80" s="139"/>
      <c r="H80" s="142"/>
      <c r="I80" s="142"/>
      <c r="J80" s="139"/>
      <c r="L80" s="144"/>
    </row>
    <row r="81" spans="1:14" s="106" customFormat="1" ht="12" customHeight="1" x14ac:dyDescent="0.2">
      <c r="A81" s="128"/>
      <c r="B81" s="130" t="str">
        <f>VLOOKUP(F81,BB!$A$8:$C$152,3,0)</f>
        <v>A04B</v>
      </c>
      <c r="C81" s="131">
        <v>202601</v>
      </c>
      <c r="D81" s="129" t="s">
        <v>537</v>
      </c>
      <c r="E81" s="134">
        <v>46053</v>
      </c>
      <c r="F81" s="129" t="s">
        <v>430</v>
      </c>
      <c r="G81" s="142">
        <f>11760000</f>
        <v>11760000</v>
      </c>
      <c r="H81" s="142">
        <v>0</v>
      </c>
      <c r="I81" s="195">
        <f>IF(G81&lt;&gt;0,G81,-H81)</f>
        <v>11760000</v>
      </c>
      <c r="J81" s="142">
        <v>0</v>
      </c>
      <c r="K81" s="106" t="s">
        <v>295</v>
      </c>
      <c r="L81" s="145" t="s">
        <v>539</v>
      </c>
      <c r="M81" s="142"/>
      <c r="N81" s="142"/>
    </row>
    <row r="82" spans="1:14" s="106" customFormat="1" ht="12" customHeight="1" x14ac:dyDescent="0.2">
      <c r="A82" s="128"/>
      <c r="B82" s="130" t="str">
        <f>VLOOKUP(F82,BB!$A$8:$C$152,3,0)</f>
        <v>P05</v>
      </c>
      <c r="C82" s="131">
        <f>C81</f>
        <v>202601</v>
      </c>
      <c r="D82" s="129" t="str">
        <f>D81</f>
        <v>JRM-2601002</v>
      </c>
      <c r="E82" s="134">
        <f>E81</f>
        <v>46053</v>
      </c>
      <c r="F82" s="137" t="s">
        <v>426</v>
      </c>
      <c r="G82" s="139">
        <f>H81</f>
        <v>0</v>
      </c>
      <c r="H82" s="142">
        <f>11608500</f>
        <v>11608500</v>
      </c>
      <c r="I82" s="195">
        <f>IF(G82&lt;&gt;0,G82,-H82)</f>
        <v>-11608500</v>
      </c>
      <c r="J82" s="139">
        <f>-J81</f>
        <v>0</v>
      </c>
      <c r="K82" s="106" t="str">
        <f>K81</f>
        <v>JURNAL MANUAL</v>
      </c>
      <c r="L82" s="144" t="s">
        <v>540</v>
      </c>
      <c r="M82" s="139"/>
      <c r="N82" s="142"/>
    </row>
    <row r="83" spans="1:14" s="106" customFormat="1" ht="12" customHeight="1" x14ac:dyDescent="0.2">
      <c r="A83" s="128"/>
      <c r="B83" s="130" t="str">
        <f>VLOOKUP(F83,BB!$A$8:$C$152,3,0)</f>
        <v>LR06</v>
      </c>
      <c r="C83" s="131">
        <f t="shared" ref="C83:E83" si="11">+C82</f>
        <v>202601</v>
      </c>
      <c r="D83" s="129" t="str">
        <f t="shared" si="11"/>
        <v>JRM-2601002</v>
      </c>
      <c r="E83" s="134">
        <f t="shared" si="11"/>
        <v>46053</v>
      </c>
      <c r="F83" s="137" t="s">
        <v>383</v>
      </c>
      <c r="G83" s="139">
        <v>0</v>
      </c>
      <c r="H83" s="142">
        <f>+G81-H82</f>
        <v>151500</v>
      </c>
      <c r="I83" s="195">
        <f>IF(G83&lt;&gt;0,G83,-H83)</f>
        <v>-151500</v>
      </c>
      <c r="J83" s="139">
        <v>0</v>
      </c>
      <c r="K83" s="106" t="str">
        <f>+K82</f>
        <v>JURNAL MANUAL</v>
      </c>
      <c r="L83" s="144" t="s">
        <v>470</v>
      </c>
    </row>
    <row r="84" spans="1:14" s="106" customFormat="1" ht="12" customHeight="1" x14ac:dyDescent="0.2">
      <c r="A84" s="128"/>
      <c r="B84" s="130"/>
      <c r="C84" s="131"/>
      <c r="D84" s="129"/>
      <c r="E84" s="134"/>
      <c r="F84" s="137"/>
      <c r="G84" s="139"/>
      <c r="H84" s="142"/>
      <c r="I84" s="142"/>
      <c r="J84" s="139"/>
      <c r="L84" s="144"/>
    </row>
    <row r="85" spans="1:14" s="106" customFormat="1" ht="12" customHeight="1" x14ac:dyDescent="0.2">
      <c r="A85" s="128"/>
      <c r="B85" s="130" t="str">
        <f>VLOOKUP(F85,BB!$A$8:$C$152,3,0)</f>
        <v>A04B</v>
      </c>
      <c r="C85" s="131">
        <v>202601</v>
      </c>
      <c r="D85" s="129" t="s">
        <v>543</v>
      </c>
      <c r="E85" s="134">
        <v>46053</v>
      </c>
      <c r="F85" s="129" t="s">
        <v>430</v>
      </c>
      <c r="G85" s="142">
        <f>11760000</f>
        <v>11760000</v>
      </c>
      <c r="H85" s="142">
        <v>0</v>
      </c>
      <c r="I85" s="195">
        <f>IF(G85&lt;&gt;0,G85,-H85)</f>
        <v>11760000</v>
      </c>
      <c r="J85" s="142">
        <v>0</v>
      </c>
      <c r="K85" s="106" t="s">
        <v>295</v>
      </c>
      <c r="L85" s="145" t="s">
        <v>541</v>
      </c>
      <c r="M85" s="142"/>
      <c r="N85" s="142"/>
    </row>
    <row r="86" spans="1:14" s="106" customFormat="1" ht="12" customHeight="1" x14ac:dyDescent="0.2">
      <c r="A86" s="128"/>
      <c r="B86" s="130" t="str">
        <f>VLOOKUP(F86,BB!$A$8:$C$152,3,0)</f>
        <v>P05</v>
      </c>
      <c r="C86" s="131">
        <f>C85</f>
        <v>202601</v>
      </c>
      <c r="D86" s="129" t="str">
        <f>D85</f>
        <v>JRM-2601003</v>
      </c>
      <c r="E86" s="134">
        <f>E85</f>
        <v>46053</v>
      </c>
      <c r="F86" s="137" t="s">
        <v>426</v>
      </c>
      <c r="G86" s="139">
        <f>H85</f>
        <v>0</v>
      </c>
      <c r="H86" s="142">
        <f>11608500</f>
        <v>11608500</v>
      </c>
      <c r="I86" s="195">
        <f>IF(G86&lt;&gt;0,G86,-H86)</f>
        <v>-11608500</v>
      </c>
      <c r="J86" s="139">
        <f>-J85</f>
        <v>0</v>
      </c>
      <c r="K86" s="106" t="str">
        <f>K85</f>
        <v>JURNAL MANUAL</v>
      </c>
      <c r="L86" s="144" t="s">
        <v>542</v>
      </c>
      <c r="M86" s="139"/>
      <c r="N86" s="142"/>
    </row>
    <row r="87" spans="1:14" s="106" customFormat="1" ht="12" customHeight="1" x14ac:dyDescent="0.2">
      <c r="A87" s="128"/>
      <c r="B87" s="130" t="str">
        <f>VLOOKUP(F87,BB!$A$8:$C$152,3,0)</f>
        <v>LR06</v>
      </c>
      <c r="C87" s="131">
        <f t="shared" ref="C87:E87" si="12">+C86</f>
        <v>202601</v>
      </c>
      <c r="D87" s="129" t="str">
        <f t="shared" si="12"/>
        <v>JRM-2601003</v>
      </c>
      <c r="E87" s="134">
        <f t="shared" si="12"/>
        <v>46053</v>
      </c>
      <c r="F87" s="137" t="s">
        <v>383</v>
      </c>
      <c r="G87" s="139">
        <v>0</v>
      </c>
      <c r="H87" s="142">
        <f>+G85-H86</f>
        <v>151500</v>
      </c>
      <c r="I87" s="195">
        <f>IF(G87&lt;&gt;0,G87,-H87)</f>
        <v>-151500</v>
      </c>
      <c r="J87" s="139">
        <v>0</v>
      </c>
      <c r="K87" s="106" t="s">
        <v>293</v>
      </c>
      <c r="L87" s="144" t="s">
        <v>470</v>
      </c>
    </row>
    <row r="88" spans="1:14" s="106" customFormat="1" ht="12" customHeight="1" x14ac:dyDescent="0.2">
      <c r="A88" s="128"/>
      <c r="B88" s="130"/>
      <c r="C88" s="131"/>
      <c r="D88" s="129"/>
      <c r="E88" s="134"/>
      <c r="F88" s="137"/>
      <c r="G88" s="139"/>
      <c r="H88" s="142"/>
      <c r="I88" s="142"/>
      <c r="J88" s="139"/>
      <c r="L88" s="144"/>
    </row>
    <row r="89" spans="1:14" s="106" customFormat="1" ht="12" customHeight="1" x14ac:dyDescent="0.2">
      <c r="A89" s="128"/>
      <c r="B89" s="130" t="str">
        <f>VLOOKUP(F89,BB!$A$8:$C$152,3,0)</f>
        <v>A04B</v>
      </c>
      <c r="C89" s="131">
        <v>202601</v>
      </c>
      <c r="D89" s="129" t="s">
        <v>544</v>
      </c>
      <c r="E89" s="134">
        <v>46053</v>
      </c>
      <c r="F89" s="129" t="s">
        <v>433</v>
      </c>
      <c r="G89" s="142">
        <v>15680000</v>
      </c>
      <c r="H89" s="142">
        <v>0</v>
      </c>
      <c r="I89" s="169">
        <f>IF(G89&lt;&gt;0,G89,-H89)</f>
        <v>15680000</v>
      </c>
      <c r="J89" s="142">
        <v>0</v>
      </c>
      <c r="K89" s="106" t="s">
        <v>295</v>
      </c>
      <c r="L89" s="145" t="s">
        <v>545</v>
      </c>
      <c r="M89" s="142"/>
      <c r="N89" s="142"/>
    </row>
    <row r="90" spans="1:14" s="106" customFormat="1" ht="12" customHeight="1" x14ac:dyDescent="0.2">
      <c r="A90" s="128"/>
      <c r="B90" s="130" t="str">
        <f>VLOOKUP(F90,BB!$A$8:$C$152,3,0)</f>
        <v>P05</v>
      </c>
      <c r="C90" s="131">
        <f>C89</f>
        <v>202601</v>
      </c>
      <c r="D90" s="129" t="str">
        <f>D89</f>
        <v>JRM-2601004</v>
      </c>
      <c r="E90" s="134">
        <f>E89</f>
        <v>46053</v>
      </c>
      <c r="F90" s="137" t="s">
        <v>422</v>
      </c>
      <c r="G90" s="139">
        <f>H89</f>
        <v>0</v>
      </c>
      <c r="H90" s="142">
        <v>14475000</v>
      </c>
      <c r="I90" s="169">
        <f>IF(G90&lt;&gt;0,G90,-H90)</f>
        <v>-14475000</v>
      </c>
      <c r="J90" s="139">
        <f>-J89</f>
        <v>0</v>
      </c>
      <c r="K90" s="106" t="str">
        <f>K89</f>
        <v>JURNAL MANUAL</v>
      </c>
      <c r="L90" s="144" t="s">
        <v>546</v>
      </c>
      <c r="M90" s="139"/>
      <c r="N90" s="142"/>
    </row>
    <row r="91" spans="1:14" s="106" customFormat="1" ht="12" customHeight="1" x14ac:dyDescent="0.2">
      <c r="A91" s="128"/>
      <c r="B91" s="130" t="str">
        <f>VLOOKUP(F91,BB!$A$8:$C$152,3,0)</f>
        <v>LR06</v>
      </c>
      <c r="C91" s="131">
        <f t="shared" ref="C91:E91" si="13">+C90</f>
        <v>202601</v>
      </c>
      <c r="D91" s="129" t="str">
        <f t="shared" si="13"/>
        <v>JRM-2601004</v>
      </c>
      <c r="E91" s="134">
        <f t="shared" si="13"/>
        <v>46053</v>
      </c>
      <c r="F91" s="137" t="s">
        <v>392</v>
      </c>
      <c r="G91" s="139">
        <v>0</v>
      </c>
      <c r="H91" s="142">
        <f>+G89-H90</f>
        <v>1205000</v>
      </c>
      <c r="I91" s="169">
        <f>IF(G91&lt;&gt;0,G91,-H91)</f>
        <v>-1205000</v>
      </c>
      <c r="J91" s="139">
        <v>0</v>
      </c>
      <c r="K91" s="106" t="str">
        <f>+K90</f>
        <v>JURNAL MANUAL</v>
      </c>
      <c r="L91" s="144" t="s">
        <v>550</v>
      </c>
    </row>
    <row r="92" spans="1:14" s="106" customFormat="1" ht="12" customHeight="1" x14ac:dyDescent="0.2">
      <c r="A92" s="128"/>
      <c r="B92" s="130"/>
      <c r="C92" s="131"/>
      <c r="D92" s="129"/>
      <c r="E92" s="134"/>
      <c r="F92" s="137"/>
      <c r="G92" s="139"/>
      <c r="H92" s="142"/>
      <c r="I92" s="142"/>
      <c r="J92" s="139"/>
      <c r="L92" s="144"/>
    </row>
    <row r="93" spans="1:14" s="106" customFormat="1" ht="12" customHeight="1" x14ac:dyDescent="0.2">
      <c r="A93" s="128"/>
      <c r="B93" s="130" t="str">
        <f>VLOOKUP(F93,BB!$A$8:$C$152,3,0)</f>
        <v>A04B</v>
      </c>
      <c r="C93" s="131">
        <v>202601</v>
      </c>
      <c r="D93" s="129" t="s">
        <v>547</v>
      </c>
      <c r="E93" s="134">
        <v>46053</v>
      </c>
      <c r="F93" s="129" t="s">
        <v>433</v>
      </c>
      <c r="G93" s="142">
        <v>15680000</v>
      </c>
      <c r="H93" s="142">
        <v>0</v>
      </c>
      <c r="I93" s="169">
        <f>IF(G93&lt;&gt;0,G93,-H93)</f>
        <v>15680000</v>
      </c>
      <c r="J93" s="142">
        <v>0</v>
      </c>
      <c r="K93" s="106" t="s">
        <v>295</v>
      </c>
      <c r="L93" s="145" t="s">
        <v>548</v>
      </c>
      <c r="M93" s="142"/>
      <c r="N93" s="142"/>
    </row>
    <row r="94" spans="1:14" s="106" customFormat="1" ht="12" customHeight="1" x14ac:dyDescent="0.2">
      <c r="A94" s="128"/>
      <c r="B94" s="130" t="str">
        <f>VLOOKUP(F94,BB!$A$8:$C$152,3,0)</f>
        <v>P05</v>
      </c>
      <c r="C94" s="131">
        <f>C93</f>
        <v>202601</v>
      </c>
      <c r="D94" s="129" t="str">
        <f>D93</f>
        <v>JRM-2601005</v>
      </c>
      <c r="E94" s="134">
        <f>E93</f>
        <v>46053</v>
      </c>
      <c r="F94" s="137" t="s">
        <v>422</v>
      </c>
      <c r="G94" s="139">
        <f>H93</f>
        <v>0</v>
      </c>
      <c r="H94" s="142">
        <v>14475000</v>
      </c>
      <c r="I94" s="169">
        <f>IF(G94&lt;&gt;0,G94,-H94)</f>
        <v>-14475000</v>
      </c>
      <c r="J94" s="139">
        <f>-J93</f>
        <v>0</v>
      </c>
      <c r="K94" s="106" t="str">
        <f>K93</f>
        <v>JURNAL MANUAL</v>
      </c>
      <c r="L94" s="144" t="s">
        <v>549</v>
      </c>
      <c r="M94" s="139"/>
      <c r="N94" s="142"/>
    </row>
    <row r="95" spans="1:14" s="106" customFormat="1" ht="12" customHeight="1" x14ac:dyDescent="0.2">
      <c r="A95" s="128"/>
      <c r="B95" s="130" t="str">
        <f>VLOOKUP(F95,BB!$A$8:$C$152,3,0)</f>
        <v>LR06</v>
      </c>
      <c r="C95" s="131">
        <f t="shared" ref="C95:E95" si="14">+C94</f>
        <v>202601</v>
      </c>
      <c r="D95" s="129" t="str">
        <f t="shared" si="14"/>
        <v>JRM-2601005</v>
      </c>
      <c r="E95" s="134">
        <f t="shared" si="14"/>
        <v>46053</v>
      </c>
      <c r="F95" s="137" t="s">
        <v>392</v>
      </c>
      <c r="G95" s="139">
        <v>0</v>
      </c>
      <c r="H95" s="142">
        <f>+G93-H94</f>
        <v>1205000</v>
      </c>
      <c r="I95" s="169">
        <f>IF(G95&lt;&gt;0,G95,-H95)</f>
        <v>-1205000</v>
      </c>
      <c r="J95" s="139">
        <v>0</v>
      </c>
      <c r="K95" s="106" t="str">
        <f>+K94</f>
        <v>JURNAL MANUAL</v>
      </c>
      <c r="L95" s="144" t="s">
        <v>550</v>
      </c>
    </row>
    <row r="96" spans="1:14" s="106" customFormat="1" ht="12" customHeight="1" x14ac:dyDescent="0.2">
      <c r="A96" s="128"/>
      <c r="B96" s="130"/>
      <c r="C96" s="131"/>
      <c r="D96" s="129"/>
      <c r="E96" s="134"/>
      <c r="F96" s="137"/>
      <c r="G96" s="139"/>
      <c r="H96" s="142"/>
      <c r="I96" s="142"/>
      <c r="J96" s="139"/>
      <c r="L96" s="144"/>
    </row>
    <row r="97" spans="1:14" s="106" customFormat="1" ht="12" customHeight="1" x14ac:dyDescent="0.2">
      <c r="A97" s="128"/>
      <c r="B97" s="130" t="str">
        <f>VLOOKUP(F97,BB!$A$8:$C$152,3,0)</f>
        <v>A04B</v>
      </c>
      <c r="C97" s="131">
        <v>202601</v>
      </c>
      <c r="D97" s="129" t="s">
        <v>553</v>
      </c>
      <c r="E97" s="134">
        <v>46053</v>
      </c>
      <c r="F97" s="129" t="s">
        <v>433</v>
      </c>
      <c r="G97" s="142">
        <v>15680000</v>
      </c>
      <c r="H97" s="142">
        <v>0</v>
      </c>
      <c r="I97" s="169">
        <f>IF(G97&lt;&gt;0,G97,-H97)</f>
        <v>15680000</v>
      </c>
      <c r="J97" s="142">
        <v>0</v>
      </c>
      <c r="K97" s="106" t="s">
        <v>295</v>
      </c>
      <c r="L97" s="145" t="s">
        <v>551</v>
      </c>
      <c r="M97" s="142"/>
      <c r="N97" s="142"/>
    </row>
    <row r="98" spans="1:14" s="106" customFormat="1" ht="12" customHeight="1" x14ac:dyDescent="0.2">
      <c r="A98" s="128"/>
      <c r="B98" s="130" t="str">
        <f>VLOOKUP(F98,BB!$A$8:$C$152,3,0)</f>
        <v>P05</v>
      </c>
      <c r="C98" s="131">
        <f>C97</f>
        <v>202601</v>
      </c>
      <c r="D98" s="129" t="str">
        <f>D97</f>
        <v>JRM-2601006</v>
      </c>
      <c r="E98" s="134">
        <f>E97</f>
        <v>46053</v>
      </c>
      <c r="F98" s="137" t="s">
        <v>422</v>
      </c>
      <c r="G98" s="139">
        <f>H97</f>
        <v>0</v>
      </c>
      <c r="H98" s="142">
        <v>14475000</v>
      </c>
      <c r="I98" s="169">
        <f>IF(G98&lt;&gt;0,G98,-H98)</f>
        <v>-14475000</v>
      </c>
      <c r="J98" s="139">
        <f>-J97</f>
        <v>0</v>
      </c>
      <c r="K98" s="106" t="str">
        <f>K97</f>
        <v>JURNAL MANUAL</v>
      </c>
      <c r="L98" s="144" t="s">
        <v>552</v>
      </c>
      <c r="M98" s="139"/>
      <c r="N98" s="142"/>
    </row>
    <row r="99" spans="1:14" s="106" customFormat="1" ht="12" customHeight="1" x14ac:dyDescent="0.2">
      <c r="A99" s="128"/>
      <c r="B99" s="130" t="str">
        <f>VLOOKUP(F99,BB!$A$8:$C$152,3,0)</f>
        <v>LR06</v>
      </c>
      <c r="C99" s="131">
        <f t="shared" ref="C99:E99" si="15">+C98</f>
        <v>202601</v>
      </c>
      <c r="D99" s="129" t="str">
        <f t="shared" si="15"/>
        <v>JRM-2601006</v>
      </c>
      <c r="E99" s="134">
        <f t="shared" si="15"/>
        <v>46053</v>
      </c>
      <c r="F99" s="137" t="s">
        <v>392</v>
      </c>
      <c r="G99" s="139">
        <v>0</v>
      </c>
      <c r="H99" s="142">
        <f>+G97-H98</f>
        <v>1205000</v>
      </c>
      <c r="I99" s="169">
        <f>IF(G99&lt;&gt;0,G99,-H99)</f>
        <v>-1205000</v>
      </c>
      <c r="J99" s="139">
        <v>0</v>
      </c>
      <c r="K99" s="106" t="str">
        <f>+K98</f>
        <v>JURNAL MANUAL</v>
      </c>
      <c r="L99" s="144" t="s">
        <v>550</v>
      </c>
    </row>
    <row r="100" spans="1:14" s="106" customFormat="1" ht="12" customHeight="1" x14ac:dyDescent="0.2">
      <c r="A100" s="128"/>
      <c r="B100" s="130"/>
      <c r="C100" s="131"/>
      <c r="D100" s="129"/>
      <c r="E100" s="134"/>
      <c r="F100" s="137"/>
      <c r="G100" s="139"/>
      <c r="H100" s="142"/>
      <c r="I100" s="142"/>
      <c r="J100" s="139"/>
      <c r="L100" s="144"/>
    </row>
    <row r="101" spans="1:14" s="106" customFormat="1" ht="12" customHeight="1" x14ac:dyDescent="0.2">
      <c r="A101" s="128"/>
      <c r="B101" s="130" t="str">
        <f>VLOOKUP(F101,BB!$A$8:$C$152,3,0)</f>
        <v>LR07</v>
      </c>
      <c r="C101" s="131">
        <v>202601</v>
      </c>
      <c r="D101" s="129" t="s">
        <v>554</v>
      </c>
      <c r="E101" s="134">
        <v>46053</v>
      </c>
      <c r="F101" s="129" t="s">
        <v>238</v>
      </c>
      <c r="G101" s="142">
        <v>7.5522217750549316</v>
      </c>
      <c r="H101" s="142">
        <v>0</v>
      </c>
      <c r="I101" s="142">
        <f>IF(G101&lt;&gt;0,G101,-H101)</f>
        <v>7.5522217750549316</v>
      </c>
      <c r="J101" s="142">
        <v>0</v>
      </c>
      <c r="K101" s="106" t="s">
        <v>295</v>
      </c>
      <c r="L101" s="145" t="s">
        <v>538</v>
      </c>
      <c r="M101" s="142"/>
      <c r="N101" s="142"/>
    </row>
    <row r="102" spans="1:14" s="106" customFormat="1" ht="12" customHeight="1" x14ac:dyDescent="0.2">
      <c r="A102" s="128"/>
      <c r="B102" s="130" t="str">
        <f>VLOOKUP(F102,BB!$A$8:$C$152,3,0)</f>
        <v>A04A</v>
      </c>
      <c r="C102" s="131">
        <f>C101</f>
        <v>202601</v>
      </c>
      <c r="D102" s="129" t="str">
        <f>D101</f>
        <v>JRM-2601007</v>
      </c>
      <c r="E102" s="134">
        <f>E101</f>
        <v>46053</v>
      </c>
      <c r="F102" s="137" t="s">
        <v>437</v>
      </c>
      <c r="G102" s="139">
        <f>H101</f>
        <v>0</v>
      </c>
      <c r="H102" s="142">
        <f>G101</f>
        <v>7.5522217750549316</v>
      </c>
      <c r="I102" s="142">
        <f>IF(G102&lt;&gt;0,G102,-H102)</f>
        <v>-7.5522217750549316</v>
      </c>
      <c r="J102" s="139">
        <f>-J101</f>
        <v>0</v>
      </c>
      <c r="K102" s="106" t="str">
        <f>K101</f>
        <v>JURNAL MANUAL</v>
      </c>
      <c r="L102" s="144" t="str">
        <f>L101</f>
        <v>PENYESUAIAN SELISIH PIUTANG RUTIN</v>
      </c>
      <c r="M102" s="139"/>
      <c r="N102" s="142"/>
    </row>
    <row r="103" spans="1:14" s="106" customFormat="1" ht="12" customHeight="1" x14ac:dyDescent="0.2">
      <c r="A103" s="128"/>
      <c r="B103" s="130"/>
      <c r="C103" s="131"/>
      <c r="D103" s="129"/>
      <c r="E103" s="134"/>
      <c r="F103" s="137"/>
      <c r="G103" s="139"/>
      <c r="H103" s="142"/>
      <c r="I103" s="142"/>
      <c r="J103" s="139"/>
      <c r="L103" s="144"/>
    </row>
    <row r="104" spans="1:14" s="106" customFormat="1" ht="12" customHeight="1" x14ac:dyDescent="0.2">
      <c r="A104" s="128"/>
      <c r="B104" s="130" t="str">
        <f>VLOOKUP(F104,BB!$A$8:$C$152,3,0)</f>
        <v>A01</v>
      </c>
      <c r="C104" s="131">
        <v>202601</v>
      </c>
      <c r="D104" s="129" t="s">
        <v>555</v>
      </c>
      <c r="E104" s="134">
        <v>46028</v>
      </c>
      <c r="F104" s="137" t="s">
        <v>152</v>
      </c>
      <c r="G104" s="142">
        <v>350000</v>
      </c>
      <c r="H104" s="142">
        <v>0</v>
      </c>
      <c r="I104" s="142">
        <f>IF(G104&lt;&gt;0,G104,-H104)</f>
        <v>350000</v>
      </c>
      <c r="J104" s="142">
        <v>0</v>
      </c>
      <c r="K104" s="106" t="s">
        <v>477</v>
      </c>
      <c r="L104" s="145" t="s">
        <v>489</v>
      </c>
    </row>
    <row r="105" spans="1:14" s="106" customFormat="1" ht="12" customHeight="1" x14ac:dyDescent="0.2">
      <c r="A105" s="128"/>
      <c r="B105" s="130" t="str">
        <f>VLOOKUP(F105,BB!$A$8:$C$152,3,0)</f>
        <v>A04A</v>
      </c>
      <c r="C105" s="131">
        <f t="shared" ref="C105:E106" si="16">C104</f>
        <v>202601</v>
      </c>
      <c r="D105" s="129" t="str">
        <f t="shared" si="16"/>
        <v>KAS-2601001</v>
      </c>
      <c r="E105" s="134">
        <f t="shared" si="16"/>
        <v>46028</v>
      </c>
      <c r="F105" s="137" t="s">
        <v>440</v>
      </c>
      <c r="G105" s="139">
        <v>0</v>
      </c>
      <c r="H105" s="142">
        <f>+G104</f>
        <v>350000</v>
      </c>
      <c r="I105" s="142">
        <f>IF(G105&lt;&gt;0,G105,-H105)</f>
        <v>-350000</v>
      </c>
      <c r="J105" s="139">
        <f>-J104</f>
        <v>0</v>
      </c>
      <c r="K105" s="106" t="str">
        <f>K104</f>
        <v>KAS MASUK</v>
      </c>
      <c r="L105" s="145" t="str">
        <f>L104</f>
        <v>ANGSURAN PINJAMAN LAIN AN. SOLICHIN</v>
      </c>
    </row>
    <row r="106" spans="1:14" s="106" customFormat="1" ht="12" customHeight="1" x14ac:dyDescent="0.2">
      <c r="A106" s="128"/>
      <c r="B106" s="130" t="str">
        <f>VLOOKUP(F106,BB!$A$8:$C$152,3,0)</f>
        <v>LR01C</v>
      </c>
      <c r="C106" s="131">
        <f t="shared" si="16"/>
        <v>202601</v>
      </c>
      <c r="D106" s="129" t="str">
        <f t="shared" si="16"/>
        <v>KAS-2601001</v>
      </c>
      <c r="E106" s="134">
        <f t="shared" si="16"/>
        <v>46028</v>
      </c>
      <c r="F106" s="137" t="s">
        <v>360</v>
      </c>
      <c r="G106" s="139">
        <v>0</v>
      </c>
      <c r="H106" s="142">
        <f>G104-H105</f>
        <v>0</v>
      </c>
      <c r="I106" s="142">
        <f>IF(G106&lt;&gt;0,G106,-H106)</f>
        <v>0</v>
      </c>
      <c r="J106" s="139">
        <f>-J105</f>
        <v>0</v>
      </c>
      <c r="K106" s="106" t="str">
        <f>K105</f>
        <v>KAS MASUK</v>
      </c>
      <c r="L106" s="145" t="str">
        <f>"PENDAPATAN ATAS PINJAMAN LAIN "&amp;MID(L105,24,20)</f>
        <v>PENDAPATAN ATAS PINJAMAN LAIN AN. SOLICHIN</v>
      </c>
    </row>
    <row r="107" spans="1:14" s="106" customFormat="1" ht="12" customHeight="1" x14ac:dyDescent="0.2">
      <c r="A107" s="128"/>
      <c r="B107" s="130"/>
      <c r="C107" s="131"/>
      <c r="D107" s="129"/>
      <c r="E107" s="134"/>
      <c r="F107" s="137"/>
      <c r="G107" s="139"/>
      <c r="H107" s="142"/>
      <c r="I107" s="142"/>
      <c r="J107" s="139"/>
      <c r="L107" s="144"/>
    </row>
    <row r="108" spans="1:14" s="106" customFormat="1" ht="12" customHeight="1" x14ac:dyDescent="0.2">
      <c r="A108" s="128"/>
      <c r="B108" s="130" t="str">
        <f>VLOOKUP(F108,BB!$A$8:$C$152,3,0)</f>
        <v>A01</v>
      </c>
      <c r="C108" s="131">
        <v>202601</v>
      </c>
      <c r="D108" s="129" t="s">
        <v>556</v>
      </c>
      <c r="E108" s="134">
        <v>46031</v>
      </c>
      <c r="F108" s="137" t="s">
        <v>152</v>
      </c>
      <c r="G108" s="142">
        <v>425000</v>
      </c>
      <c r="H108" s="142">
        <v>0</v>
      </c>
      <c r="I108" s="142">
        <f>IF(G108&lt;&gt;0,G108,-H108)</f>
        <v>425000</v>
      </c>
      <c r="J108" s="142">
        <v>0</v>
      </c>
      <c r="K108" s="106" t="s">
        <v>477</v>
      </c>
      <c r="L108" s="145" t="s">
        <v>557</v>
      </c>
    </row>
    <row r="109" spans="1:14" s="106" customFormat="1" ht="12" customHeight="1" x14ac:dyDescent="0.2">
      <c r="A109" s="128"/>
      <c r="B109" s="130" t="str">
        <f>VLOOKUP(F109,BB!$A$8:$C$152,3,0)</f>
        <v>A04A</v>
      </c>
      <c r="C109" s="131">
        <f t="shared" ref="C109:E109" si="17">C108</f>
        <v>202601</v>
      </c>
      <c r="D109" s="129" t="str">
        <f t="shared" si="17"/>
        <v>KAS-2601002</v>
      </c>
      <c r="E109" s="134">
        <f t="shared" si="17"/>
        <v>46031</v>
      </c>
      <c r="F109" s="137" t="s">
        <v>440</v>
      </c>
      <c r="G109" s="139">
        <v>0</v>
      </c>
      <c r="H109" s="142">
        <v>250000</v>
      </c>
      <c r="I109" s="142">
        <f>IF(G109&lt;&gt;0,G109,-H109)</f>
        <v>-250000</v>
      </c>
      <c r="J109" s="139">
        <f>-J108</f>
        <v>0</v>
      </c>
      <c r="K109" s="106" t="str">
        <f>K108</f>
        <v>KAS MASUK</v>
      </c>
      <c r="L109" s="145" t="str">
        <f>L108</f>
        <v>PELUNASAN PINJAMAN LAIN AN. ARI WIBOWO</v>
      </c>
    </row>
    <row r="110" spans="1:14" s="106" customFormat="1" ht="12" customHeight="1" x14ac:dyDescent="0.2">
      <c r="A110" s="128"/>
      <c r="B110" s="130" t="str">
        <f>VLOOKUP(F110,BB!$A$8:$C$152,3,0)</f>
        <v>LR01C</v>
      </c>
      <c r="C110" s="131">
        <f t="shared" ref="C110:E110" si="18">C109</f>
        <v>202601</v>
      </c>
      <c r="D110" s="129" t="str">
        <f t="shared" si="18"/>
        <v>KAS-2601002</v>
      </c>
      <c r="E110" s="134">
        <f t="shared" si="18"/>
        <v>46031</v>
      </c>
      <c r="F110" s="137" t="s">
        <v>360</v>
      </c>
      <c r="G110" s="139">
        <v>0</v>
      </c>
      <c r="H110" s="142">
        <f>G108-H109</f>
        <v>175000</v>
      </c>
      <c r="I110" s="142">
        <f>IF(G110&lt;&gt;0,G110,-H110)</f>
        <v>-175000</v>
      </c>
      <c r="J110" s="139">
        <f>-J109</f>
        <v>0</v>
      </c>
      <c r="K110" s="106" t="str">
        <f>K109</f>
        <v>KAS MASUK</v>
      </c>
      <c r="L110" s="145" t="str">
        <f>"PENDAPATAN ATAS PINJAMAN LAIN "&amp;MID(L109,24,20)</f>
        <v>PENDAPATAN ATAS PINJAMAN LAIN  AN. ARI WIBOWO</v>
      </c>
    </row>
    <row r="111" spans="1:14" s="106" customFormat="1" ht="12" customHeight="1" x14ac:dyDescent="0.2">
      <c r="A111" s="128"/>
      <c r="B111" s="130"/>
      <c r="C111" s="131"/>
      <c r="D111" s="129"/>
      <c r="E111" s="134"/>
      <c r="F111" s="137"/>
      <c r="G111" s="139"/>
      <c r="H111" s="142"/>
      <c r="I111" s="142"/>
      <c r="J111" s="139"/>
      <c r="L111" s="144"/>
    </row>
    <row r="112" spans="1:14" s="106" customFormat="1" ht="12" customHeight="1" x14ac:dyDescent="0.2">
      <c r="A112" s="128"/>
      <c r="B112" s="130" t="str">
        <f>VLOOKUP(F112,BB!$A$8:$C$152,3,0)</f>
        <v>A01</v>
      </c>
      <c r="C112" s="131">
        <v>202601</v>
      </c>
      <c r="D112" s="129" t="s">
        <v>558</v>
      </c>
      <c r="E112" s="134">
        <v>46031</v>
      </c>
      <c r="F112" s="137" t="s">
        <v>152</v>
      </c>
      <c r="G112" s="142">
        <v>0</v>
      </c>
      <c r="H112" s="142">
        <v>2000000</v>
      </c>
      <c r="I112" s="142">
        <f>IF(G112&lt;&gt;0,G112,-H112)</f>
        <v>-2000000</v>
      </c>
      <c r="J112" s="142">
        <v>0</v>
      </c>
      <c r="K112" s="106" t="s">
        <v>478</v>
      </c>
      <c r="L112" s="145" t="s">
        <v>559</v>
      </c>
    </row>
    <row r="113" spans="1:14" s="106" customFormat="1" ht="12" customHeight="1" x14ac:dyDescent="0.2">
      <c r="A113" s="128"/>
      <c r="B113" s="130" t="str">
        <f>VLOOKUP(F113,BB!$A$8:$C$152,3,0)</f>
        <v>A04A</v>
      </c>
      <c r="C113" s="131">
        <f>C112</f>
        <v>202601</v>
      </c>
      <c r="D113" s="129" t="str">
        <f>D112</f>
        <v>KAS-2601003</v>
      </c>
      <c r="E113" s="134">
        <f>E112</f>
        <v>46031</v>
      </c>
      <c r="F113" s="137" t="s">
        <v>440</v>
      </c>
      <c r="G113" s="139">
        <f>H112</f>
        <v>2000000</v>
      </c>
      <c r="H113" s="142">
        <f>G112</f>
        <v>0</v>
      </c>
      <c r="I113" s="142">
        <f>IF(G113&lt;&gt;0,G113,-H113)</f>
        <v>2000000</v>
      </c>
      <c r="J113" s="139">
        <f>-J112</f>
        <v>0</v>
      </c>
      <c r="K113" s="106" t="str">
        <f>K112</f>
        <v>KAS KELUAR</v>
      </c>
      <c r="L113" s="144" t="str">
        <f>L112</f>
        <v>PINJAMAN LAIN AN. ARI WIBOWO</v>
      </c>
    </row>
    <row r="114" spans="1:14" s="106" customFormat="1" ht="12" customHeight="1" x14ac:dyDescent="0.2">
      <c r="A114" s="128"/>
      <c r="B114" s="130"/>
      <c r="C114" s="131"/>
      <c r="D114" s="129"/>
      <c r="E114" s="134"/>
      <c r="F114" s="137"/>
      <c r="G114" s="139"/>
      <c r="H114" s="142"/>
      <c r="I114" s="142"/>
      <c r="J114" s="139"/>
      <c r="L114" s="144"/>
    </row>
    <row r="115" spans="1:14" s="106" customFormat="1" ht="12" customHeight="1" x14ac:dyDescent="0.2">
      <c r="A115" s="128"/>
      <c r="B115" s="130" t="str">
        <f>VLOOKUP(F115,BB!$A$8:$C$152,3,0)</f>
        <v>A01</v>
      </c>
      <c r="C115" s="131">
        <v>202601</v>
      </c>
      <c r="D115" s="129" t="s">
        <v>560</v>
      </c>
      <c r="E115" s="134">
        <v>46031</v>
      </c>
      <c r="F115" s="137" t="s">
        <v>152</v>
      </c>
      <c r="G115" s="142">
        <v>1700000</v>
      </c>
      <c r="H115" s="142">
        <v>0</v>
      </c>
      <c r="I115" s="142">
        <f>IF(G115&lt;&gt;0,G115,-H115)</f>
        <v>1700000</v>
      </c>
      <c r="J115" s="142">
        <v>0</v>
      </c>
      <c r="K115" s="106" t="s">
        <v>477</v>
      </c>
      <c r="L115" s="145" t="s">
        <v>561</v>
      </c>
    </row>
    <row r="116" spans="1:14" s="106" customFormat="1" ht="12" customHeight="1" x14ac:dyDescent="0.2">
      <c r="A116" s="128"/>
      <c r="B116" s="130" t="str">
        <f>VLOOKUP(F116,BB!$A$8:$C$152,3,0)</f>
        <v>A04A</v>
      </c>
      <c r="C116" s="131">
        <f t="shared" ref="C116:E116" si="19">C115</f>
        <v>202601</v>
      </c>
      <c r="D116" s="129" t="str">
        <f t="shared" si="19"/>
        <v>KAS-2601004</v>
      </c>
      <c r="E116" s="134">
        <f t="shared" si="19"/>
        <v>46031</v>
      </c>
      <c r="F116" s="137" t="s">
        <v>440</v>
      </c>
      <c r="G116" s="139">
        <v>0</v>
      </c>
      <c r="H116" s="142">
        <v>1350000</v>
      </c>
      <c r="I116" s="142">
        <f>IF(G116&lt;&gt;0,G116,-H116)</f>
        <v>-1350000</v>
      </c>
      <c r="J116" s="139">
        <f>-J115</f>
        <v>0</v>
      </c>
      <c r="K116" s="106" t="str">
        <f>K115</f>
        <v>KAS MASUK</v>
      </c>
      <c r="L116" s="145" t="str">
        <f>L115</f>
        <v>PELUNASAN PINJAMAN LAIN AN. AGUS RIYANTO</v>
      </c>
    </row>
    <row r="117" spans="1:14" s="106" customFormat="1" ht="12" customHeight="1" x14ac:dyDescent="0.2">
      <c r="A117" s="128"/>
      <c r="B117" s="130" t="str">
        <f>VLOOKUP(F117,BB!$A$8:$C$152,3,0)</f>
        <v>LR01C</v>
      </c>
      <c r="C117" s="131">
        <f t="shared" ref="C117:E117" si="20">C116</f>
        <v>202601</v>
      </c>
      <c r="D117" s="129" t="str">
        <f t="shared" si="20"/>
        <v>KAS-2601004</v>
      </c>
      <c r="E117" s="134">
        <f t="shared" si="20"/>
        <v>46031</v>
      </c>
      <c r="F117" s="137" t="s">
        <v>360</v>
      </c>
      <c r="G117" s="139">
        <v>0</v>
      </c>
      <c r="H117" s="142">
        <f>G115-H116</f>
        <v>350000</v>
      </c>
      <c r="I117" s="142">
        <f>IF(G117&lt;&gt;0,G117,-H117)</f>
        <v>-350000</v>
      </c>
      <c r="J117" s="139">
        <f>-J116</f>
        <v>0</v>
      </c>
      <c r="K117" s="106" t="str">
        <f>K116</f>
        <v>KAS MASUK</v>
      </c>
      <c r="L117" s="145" t="str">
        <f>"PENDAPATAN ATAS PINJAMAN LAIN "&amp;MID(L116,24,20)</f>
        <v>PENDAPATAN ATAS PINJAMAN LAIN  AN. AGUS RIYANTO</v>
      </c>
    </row>
    <row r="118" spans="1:14" s="106" customFormat="1" ht="12" customHeight="1" x14ac:dyDescent="0.2">
      <c r="A118" s="128"/>
      <c r="B118" s="130"/>
      <c r="C118" s="131"/>
      <c r="D118" s="129"/>
      <c r="E118" s="134"/>
      <c r="F118" s="137"/>
      <c r="G118" s="139"/>
      <c r="H118" s="142"/>
      <c r="I118" s="142"/>
      <c r="J118" s="139"/>
      <c r="L118" s="144"/>
    </row>
    <row r="119" spans="1:14" s="106" customFormat="1" ht="12" customHeight="1" x14ac:dyDescent="0.2">
      <c r="A119" s="128"/>
      <c r="B119" s="130" t="str">
        <f>VLOOKUP(F119,BB!$A$8:$C$152,3,0)</f>
        <v>A01</v>
      </c>
      <c r="C119" s="131">
        <v>202601</v>
      </c>
      <c r="D119" s="129" t="s">
        <v>562</v>
      </c>
      <c r="E119" s="134">
        <v>46031</v>
      </c>
      <c r="F119" s="137" t="s">
        <v>152</v>
      </c>
      <c r="G119" s="142">
        <v>0</v>
      </c>
      <c r="H119" s="142">
        <v>8000</v>
      </c>
      <c r="I119" s="142">
        <f>IF(G119&lt;&gt;0,G119,-H119)</f>
        <v>-8000</v>
      </c>
      <c r="J119" s="142">
        <v>0</v>
      </c>
      <c r="K119" s="106" t="s">
        <v>478</v>
      </c>
      <c r="L119" s="145" t="s">
        <v>563</v>
      </c>
    </row>
    <row r="120" spans="1:14" s="106" customFormat="1" ht="12" customHeight="1" x14ac:dyDescent="0.2">
      <c r="A120" s="128"/>
      <c r="B120" s="130" t="str">
        <f>VLOOKUP(F120,BB!$A$8:$C$152,3,0)</f>
        <v>LR05</v>
      </c>
      <c r="C120" s="131">
        <f>C119</f>
        <v>202601</v>
      </c>
      <c r="D120" s="129" t="str">
        <f>D119</f>
        <v>KAS-2601005</v>
      </c>
      <c r="E120" s="134">
        <f>E119</f>
        <v>46031</v>
      </c>
      <c r="F120" s="134" t="s">
        <v>374</v>
      </c>
      <c r="G120" s="139">
        <f>H119</f>
        <v>8000</v>
      </c>
      <c r="H120" s="142">
        <f>G119</f>
        <v>0</v>
      </c>
      <c r="I120" s="142">
        <f>IF(G120&lt;&gt;0,G120,-H120)</f>
        <v>8000</v>
      </c>
      <c r="J120" s="139">
        <f>-J119</f>
        <v>0</v>
      </c>
      <c r="K120" s="106" t="str">
        <f>K119</f>
        <v>KAS KELUAR</v>
      </c>
      <c r="L120" s="145" t="str">
        <f>L119</f>
        <v>ONGKIR BAJU PAK KOSA</v>
      </c>
    </row>
    <row r="121" spans="1:14" s="106" customFormat="1" ht="12" customHeight="1" x14ac:dyDescent="0.2">
      <c r="A121" s="128"/>
      <c r="B121" s="130"/>
      <c r="C121" s="131"/>
      <c r="D121" s="129"/>
      <c r="E121" s="134"/>
      <c r="F121" s="137"/>
      <c r="G121" s="139"/>
      <c r="H121" s="142"/>
      <c r="I121" s="142"/>
      <c r="J121" s="139"/>
      <c r="L121" s="144"/>
      <c r="M121" s="139"/>
      <c r="N121" s="142"/>
    </row>
    <row r="122" spans="1:14" s="106" customFormat="1" ht="12" customHeight="1" x14ac:dyDescent="0.2">
      <c r="A122" s="128"/>
      <c r="B122" s="130" t="str">
        <f>VLOOKUP(F122,BB!$A$8:$C$152,3,0)</f>
        <v>A01</v>
      </c>
      <c r="C122" s="131">
        <v>202601</v>
      </c>
      <c r="D122" s="129" t="s">
        <v>564</v>
      </c>
      <c r="E122" s="134">
        <v>46032</v>
      </c>
      <c r="F122" s="137" t="s">
        <v>152</v>
      </c>
      <c r="G122" s="142">
        <v>0</v>
      </c>
      <c r="H122" s="142">
        <v>750000</v>
      </c>
      <c r="I122" s="142">
        <f>IF(G122&lt;&gt;0,G122,-H122)</f>
        <v>-750000</v>
      </c>
      <c r="J122" s="142">
        <v>0</v>
      </c>
      <c r="K122" s="106" t="s">
        <v>478</v>
      </c>
      <c r="L122" s="145" t="s">
        <v>468</v>
      </c>
      <c r="M122" s="142"/>
      <c r="N122" s="142"/>
    </row>
    <row r="123" spans="1:14" s="106" customFormat="1" ht="12" customHeight="1" x14ac:dyDescent="0.2">
      <c r="A123" s="128"/>
      <c r="B123" s="130" t="str">
        <f>VLOOKUP(F123,BB!$A$8:$C$152,3,0)</f>
        <v>LR05</v>
      </c>
      <c r="C123" s="131">
        <f>C122</f>
        <v>202601</v>
      </c>
      <c r="D123" s="129" t="str">
        <f>D122</f>
        <v>KAS-2601006</v>
      </c>
      <c r="E123" s="134">
        <f>E122</f>
        <v>46032</v>
      </c>
      <c r="F123" s="134" t="s">
        <v>223</v>
      </c>
      <c r="G123" s="139">
        <f>H122</f>
        <v>750000</v>
      </c>
      <c r="H123" s="142">
        <f>G122</f>
        <v>0</v>
      </c>
      <c r="I123" s="142">
        <f>IF(G123&lt;&gt;0,G123,-H123)</f>
        <v>750000</v>
      </c>
      <c r="J123" s="139">
        <f>-J122</f>
        <v>0</v>
      </c>
      <c r="K123" s="106" t="str">
        <f>K122</f>
        <v>KAS KELUAR</v>
      </c>
      <c r="L123" s="144" t="str">
        <f>L122</f>
        <v>BY REPRESENTATIF ADMIN KKCS FARID F</v>
      </c>
      <c r="M123" s="139"/>
      <c r="N123" s="142"/>
    </row>
    <row r="124" spans="1:14" s="106" customFormat="1" ht="12" customHeight="1" x14ac:dyDescent="0.2">
      <c r="A124" s="128"/>
      <c r="B124" s="130"/>
      <c r="C124" s="131"/>
      <c r="D124" s="129"/>
      <c r="E124" s="134"/>
      <c r="F124" s="137"/>
      <c r="G124" s="139"/>
      <c r="H124" s="142"/>
      <c r="I124" s="142"/>
      <c r="J124" s="139"/>
      <c r="L124" s="144"/>
    </row>
    <row r="125" spans="1:14" s="106" customFormat="1" ht="12" customHeight="1" x14ac:dyDescent="0.2">
      <c r="A125" s="128"/>
      <c r="B125" s="130" t="str">
        <f>VLOOKUP(F125,BB!$A$8:$C$152,3,0)</f>
        <v>A01</v>
      </c>
      <c r="C125" s="131">
        <v>202601</v>
      </c>
      <c r="D125" s="129" t="s">
        <v>565</v>
      </c>
      <c r="E125" s="134">
        <v>46042</v>
      </c>
      <c r="F125" s="137" t="s">
        <v>152</v>
      </c>
      <c r="G125" s="142">
        <v>214000</v>
      </c>
      <c r="H125" s="142">
        <v>0</v>
      </c>
      <c r="I125" s="142">
        <f>IF(G125&lt;&gt;0,G125,-H125)</f>
        <v>214000</v>
      </c>
      <c r="J125" s="142">
        <v>0</v>
      </c>
      <c r="K125" s="106" t="s">
        <v>477</v>
      </c>
      <c r="L125" s="145" t="s">
        <v>491</v>
      </c>
    </row>
    <row r="126" spans="1:14" s="106" customFormat="1" ht="12" customHeight="1" x14ac:dyDescent="0.2">
      <c r="A126" s="128"/>
      <c r="B126" s="130" t="str">
        <f>VLOOKUP(F126,BB!$A$8:$C$152,3,0)</f>
        <v>A04A</v>
      </c>
      <c r="C126" s="131">
        <f t="shared" ref="C126:E126" si="21">C125</f>
        <v>202601</v>
      </c>
      <c r="D126" s="129" t="str">
        <f t="shared" si="21"/>
        <v>KAS-2601007</v>
      </c>
      <c r="E126" s="134">
        <f t="shared" si="21"/>
        <v>46042</v>
      </c>
      <c r="F126" s="137" t="s">
        <v>440</v>
      </c>
      <c r="G126" s="139">
        <v>0</v>
      </c>
      <c r="H126" s="142">
        <f>+G125</f>
        <v>214000</v>
      </c>
      <c r="I126" s="142">
        <f>IF(G126&lt;&gt;0,G126,-H126)</f>
        <v>-214000</v>
      </c>
      <c r="J126" s="139">
        <f>-J125</f>
        <v>0</v>
      </c>
      <c r="K126" s="106" t="str">
        <f>K125</f>
        <v>KAS MASUK</v>
      </c>
      <c r="L126" s="145" t="str">
        <f>L125</f>
        <v>ANGSURAN PINJAMAN LAIN AN. SETYO H</v>
      </c>
    </row>
    <row r="127" spans="1:14" s="106" customFormat="1" ht="12" customHeight="1" x14ac:dyDescent="0.2">
      <c r="A127" s="128"/>
      <c r="B127" s="130" t="str">
        <f>VLOOKUP(F127,BB!$A$8:$C$152,3,0)</f>
        <v>LR01C</v>
      </c>
      <c r="C127" s="131">
        <f t="shared" ref="C127:E127" si="22">C126</f>
        <v>202601</v>
      </c>
      <c r="D127" s="129" t="str">
        <f t="shared" si="22"/>
        <v>KAS-2601007</v>
      </c>
      <c r="E127" s="134">
        <f t="shared" si="22"/>
        <v>46042</v>
      </c>
      <c r="F127" s="137" t="s">
        <v>360</v>
      </c>
      <c r="G127" s="139">
        <v>0</v>
      </c>
      <c r="H127" s="142">
        <f>G125-H126</f>
        <v>0</v>
      </c>
      <c r="I127" s="142">
        <f>IF(G127&lt;&gt;0,G127,-H127)</f>
        <v>0</v>
      </c>
      <c r="J127" s="139">
        <f>-J126</f>
        <v>0</v>
      </c>
      <c r="K127" s="106" t="str">
        <f>K126</f>
        <v>KAS MASUK</v>
      </c>
      <c r="L127" s="145" t="str">
        <f>"PENDAPATAN ATAS PINJAMAN LAIN "&amp;MID(L126,24,20)</f>
        <v>PENDAPATAN ATAS PINJAMAN LAIN AN. SETYO H</v>
      </c>
    </row>
    <row r="128" spans="1:14" s="106" customFormat="1" ht="12" customHeight="1" x14ac:dyDescent="0.2">
      <c r="A128" s="128"/>
      <c r="B128" s="130"/>
      <c r="C128" s="131"/>
      <c r="D128" s="129"/>
      <c r="E128" s="134"/>
      <c r="F128" s="137"/>
      <c r="G128" s="139"/>
      <c r="H128" s="142"/>
      <c r="I128" s="142"/>
      <c r="J128" s="139"/>
      <c r="L128" s="144"/>
    </row>
    <row r="129" spans="1:12" s="106" customFormat="1" ht="12" customHeight="1" x14ac:dyDescent="0.2">
      <c r="A129" s="128"/>
      <c r="B129" s="130" t="str">
        <f>VLOOKUP(F129,BB!$A$8:$C$152,3,0)</f>
        <v>A01</v>
      </c>
      <c r="C129" s="131">
        <v>202601</v>
      </c>
      <c r="D129" s="129" t="s">
        <v>566</v>
      </c>
      <c r="E129" s="134">
        <v>46045</v>
      </c>
      <c r="F129" s="137" t="s">
        <v>152</v>
      </c>
      <c r="G129" s="142">
        <v>200000</v>
      </c>
      <c r="H129" s="142">
        <v>0</v>
      </c>
      <c r="I129" s="142">
        <f>IF(G129&lt;&gt;0,G129,-H129)</f>
        <v>200000</v>
      </c>
      <c r="J129" s="142">
        <v>0</v>
      </c>
      <c r="K129" s="106" t="s">
        <v>477</v>
      </c>
      <c r="L129" s="145" t="s">
        <v>490</v>
      </c>
    </row>
    <row r="130" spans="1:12" s="106" customFormat="1" ht="12" customHeight="1" x14ac:dyDescent="0.2">
      <c r="A130" s="128"/>
      <c r="B130" s="130" t="str">
        <f>VLOOKUP(F130,BB!$A$8:$C$152,3,0)</f>
        <v>A04A</v>
      </c>
      <c r="C130" s="131">
        <f t="shared" ref="C130:E130" si="23">C129</f>
        <v>202601</v>
      </c>
      <c r="D130" s="129" t="str">
        <f t="shared" si="23"/>
        <v>KAS-2601008</v>
      </c>
      <c r="E130" s="134">
        <f t="shared" si="23"/>
        <v>46045</v>
      </c>
      <c r="F130" s="137" t="s">
        <v>440</v>
      </c>
      <c r="G130" s="139">
        <v>0</v>
      </c>
      <c r="H130" s="142">
        <f>+G129</f>
        <v>200000</v>
      </c>
      <c r="I130" s="142">
        <f>IF(G130&lt;&gt;0,G130,-H130)</f>
        <v>-200000</v>
      </c>
      <c r="J130" s="139">
        <f>-J129</f>
        <v>0</v>
      </c>
      <c r="K130" s="106" t="str">
        <f>K129</f>
        <v>KAS MASUK</v>
      </c>
      <c r="L130" s="145" t="str">
        <f>L129</f>
        <v>ANGSURAN PINJAMAN LAIN AN. ARI WIBOWO</v>
      </c>
    </row>
    <row r="131" spans="1:12" s="106" customFormat="1" ht="12" customHeight="1" x14ac:dyDescent="0.2">
      <c r="A131" s="128"/>
      <c r="B131" s="130" t="str">
        <f>VLOOKUP(F131,BB!$A$8:$C$152,3,0)</f>
        <v>LR01C</v>
      </c>
      <c r="C131" s="131">
        <f t="shared" ref="C131:E131" si="24">C130</f>
        <v>202601</v>
      </c>
      <c r="D131" s="129" t="str">
        <f t="shared" si="24"/>
        <v>KAS-2601008</v>
      </c>
      <c r="E131" s="134">
        <f t="shared" si="24"/>
        <v>46045</v>
      </c>
      <c r="F131" s="137" t="s">
        <v>360</v>
      </c>
      <c r="G131" s="139">
        <v>0</v>
      </c>
      <c r="H131" s="142">
        <f>G129-H130</f>
        <v>0</v>
      </c>
      <c r="I131" s="142">
        <f>IF(G131&lt;&gt;0,G131,-H131)</f>
        <v>0</v>
      </c>
      <c r="J131" s="139">
        <f>-J130</f>
        <v>0</v>
      </c>
      <c r="K131" s="106" t="str">
        <f>K130</f>
        <v>KAS MASUK</v>
      </c>
      <c r="L131" s="145" t="str">
        <f>"PENDAPATAN ATAS PINJAMAN LAIN "&amp;MID(L130,24,20)</f>
        <v>PENDAPATAN ATAS PINJAMAN LAIN AN. ARI WIBOWO</v>
      </c>
    </row>
    <row r="132" spans="1:12" s="106" customFormat="1" ht="12" customHeight="1" x14ac:dyDescent="0.2">
      <c r="A132" s="128"/>
      <c r="B132" s="130"/>
      <c r="C132" s="131"/>
      <c r="D132" s="129"/>
      <c r="E132" s="134"/>
      <c r="F132" s="137"/>
      <c r="G132" s="139"/>
      <c r="H132" s="142"/>
      <c r="I132" s="142"/>
      <c r="J132" s="139"/>
      <c r="L132" s="144"/>
    </row>
    <row r="133" spans="1:12" s="106" customFormat="1" ht="12" customHeight="1" x14ac:dyDescent="0.2">
      <c r="A133" s="128"/>
      <c r="B133" s="130" t="str">
        <f>VLOOKUP(F133,BB!$A$8:$C$152,3,0)</f>
        <v>A01</v>
      </c>
      <c r="C133" s="131">
        <v>202601</v>
      </c>
      <c r="D133" s="129" t="s">
        <v>567</v>
      </c>
      <c r="E133" s="134">
        <v>46046</v>
      </c>
      <c r="F133" s="137" t="s">
        <v>152</v>
      </c>
      <c r="G133" s="142">
        <v>267500</v>
      </c>
      <c r="H133" s="142">
        <v>0</v>
      </c>
      <c r="I133" s="142">
        <f>IF(G133&lt;&gt;0,G133,-H133)</f>
        <v>267500</v>
      </c>
      <c r="J133" s="142">
        <v>0</v>
      </c>
      <c r="K133" s="106" t="s">
        <v>477</v>
      </c>
      <c r="L133" s="145" t="s">
        <v>568</v>
      </c>
    </row>
    <row r="134" spans="1:12" s="106" customFormat="1" ht="12" customHeight="1" x14ac:dyDescent="0.2">
      <c r="A134" s="128"/>
      <c r="B134" s="130" t="str">
        <f>VLOOKUP(F134,BB!$A$8:$C$152,3,0)</f>
        <v>A04A</v>
      </c>
      <c r="C134" s="131">
        <f t="shared" ref="C134:E134" si="25">C133</f>
        <v>202601</v>
      </c>
      <c r="D134" s="129" t="str">
        <f t="shared" si="25"/>
        <v>KAS-2601009</v>
      </c>
      <c r="E134" s="134">
        <f t="shared" si="25"/>
        <v>46046</v>
      </c>
      <c r="F134" s="137" t="s">
        <v>440</v>
      </c>
      <c r="G134" s="139">
        <v>0</v>
      </c>
      <c r="H134" s="142">
        <f>+G133</f>
        <v>267500</v>
      </c>
      <c r="I134" s="142">
        <f>IF(G134&lt;&gt;0,G134,-H134)</f>
        <v>-267500</v>
      </c>
      <c r="J134" s="139">
        <f>-J133</f>
        <v>0</v>
      </c>
      <c r="K134" s="106" t="str">
        <f>K133</f>
        <v>KAS MASUK</v>
      </c>
      <c r="L134" s="145" t="str">
        <f>L133</f>
        <v>ANGSURAN PINJAMAN LAIN AN. HANDOKO TS</v>
      </c>
    </row>
    <row r="135" spans="1:12" s="106" customFormat="1" ht="12" customHeight="1" x14ac:dyDescent="0.2">
      <c r="A135" s="128"/>
      <c r="B135" s="130" t="str">
        <f>VLOOKUP(F135,BB!$A$8:$C$152,3,0)</f>
        <v>LR01C</v>
      </c>
      <c r="C135" s="131">
        <f t="shared" ref="C135:E135" si="26">C134</f>
        <v>202601</v>
      </c>
      <c r="D135" s="129" t="str">
        <f t="shared" si="26"/>
        <v>KAS-2601009</v>
      </c>
      <c r="E135" s="134">
        <f t="shared" si="26"/>
        <v>46046</v>
      </c>
      <c r="F135" s="137" t="s">
        <v>360</v>
      </c>
      <c r="G135" s="139">
        <v>0</v>
      </c>
      <c r="H135" s="142">
        <f>G133-H134</f>
        <v>0</v>
      </c>
      <c r="I135" s="142">
        <f>IF(G135&lt;&gt;0,G135,-H135)</f>
        <v>0</v>
      </c>
      <c r="J135" s="139">
        <f>-J134</f>
        <v>0</v>
      </c>
      <c r="K135" s="106" t="str">
        <f>K134</f>
        <v>KAS MASUK</v>
      </c>
      <c r="L135" s="145" t="str">
        <f>"PENDAPATAN ATAS PINJAMAN LAIN "&amp;MID(L134,24,20)</f>
        <v>PENDAPATAN ATAS PINJAMAN LAIN AN. HANDOKO TS</v>
      </c>
    </row>
    <row r="136" spans="1:12" s="106" customFormat="1" ht="12" customHeight="1" x14ac:dyDescent="0.2">
      <c r="A136" s="128"/>
      <c r="B136" s="130"/>
      <c r="C136" s="131"/>
      <c r="D136" s="129"/>
      <c r="E136" s="134"/>
      <c r="F136" s="137"/>
      <c r="G136" s="139"/>
      <c r="H136" s="142"/>
      <c r="I136" s="142"/>
      <c r="J136" s="139"/>
      <c r="L136" s="144"/>
    </row>
    <row r="137" spans="1:12" s="106" customFormat="1" ht="12" customHeight="1" x14ac:dyDescent="0.2">
      <c r="A137" s="128"/>
      <c r="B137" s="130" t="str">
        <f>VLOOKUP(F137,BB!$A$8:$C$152,3,0)</f>
        <v>A01</v>
      </c>
      <c r="C137" s="131">
        <v>202601</v>
      </c>
      <c r="D137" s="129" t="s">
        <v>569</v>
      </c>
      <c r="E137" s="134">
        <v>46047</v>
      </c>
      <c r="F137" s="137" t="s">
        <v>152</v>
      </c>
      <c r="G137" s="142">
        <v>321000</v>
      </c>
      <c r="H137" s="142">
        <v>0</v>
      </c>
      <c r="I137" s="142">
        <f>IF(G137&lt;&gt;0,G137,-H137)</f>
        <v>321000</v>
      </c>
      <c r="J137" s="142">
        <v>0</v>
      </c>
      <c r="K137" s="106" t="s">
        <v>477</v>
      </c>
      <c r="L137" s="145" t="s">
        <v>479</v>
      </c>
    </row>
    <row r="138" spans="1:12" s="106" customFormat="1" ht="12" customHeight="1" x14ac:dyDescent="0.2">
      <c r="A138" s="128"/>
      <c r="B138" s="130" t="str">
        <f>VLOOKUP(F138,BB!$A$8:$C$152,3,0)</f>
        <v>A04A</v>
      </c>
      <c r="C138" s="131">
        <f t="shared" ref="C138:E138" si="27">C137</f>
        <v>202601</v>
      </c>
      <c r="D138" s="129" t="str">
        <f t="shared" si="27"/>
        <v>KAS-2601010</v>
      </c>
      <c r="E138" s="134">
        <f t="shared" si="27"/>
        <v>46047</v>
      </c>
      <c r="F138" s="137" t="s">
        <v>440</v>
      </c>
      <c r="G138" s="139">
        <v>0</v>
      </c>
      <c r="H138" s="142">
        <f>+G137</f>
        <v>321000</v>
      </c>
      <c r="I138" s="142">
        <f>IF(G138&lt;&gt;0,G138,-H138)</f>
        <v>-321000</v>
      </c>
      <c r="J138" s="139">
        <f>-J137</f>
        <v>0</v>
      </c>
      <c r="K138" s="106" t="str">
        <f>K137</f>
        <v>KAS MASUK</v>
      </c>
      <c r="L138" s="145" t="str">
        <f>L137</f>
        <v>ANGSURAN PINJAMAN LAIN AN. BUKHORI</v>
      </c>
    </row>
    <row r="139" spans="1:12" s="106" customFormat="1" ht="12" customHeight="1" x14ac:dyDescent="0.2">
      <c r="A139" s="128"/>
      <c r="B139" s="130" t="str">
        <f>VLOOKUP(F139,BB!$A$8:$C$152,3,0)</f>
        <v>LR01C</v>
      </c>
      <c r="C139" s="131">
        <f t="shared" ref="C139:E139" si="28">C138</f>
        <v>202601</v>
      </c>
      <c r="D139" s="129" t="str">
        <f t="shared" si="28"/>
        <v>KAS-2601010</v>
      </c>
      <c r="E139" s="134">
        <f t="shared" si="28"/>
        <v>46047</v>
      </c>
      <c r="F139" s="137" t="s">
        <v>360</v>
      </c>
      <c r="G139" s="139">
        <v>0</v>
      </c>
      <c r="H139" s="142">
        <f>G137-H138</f>
        <v>0</v>
      </c>
      <c r="I139" s="142">
        <f>IF(G139&lt;&gt;0,G139,-H139)</f>
        <v>0</v>
      </c>
      <c r="J139" s="139">
        <f>-J138</f>
        <v>0</v>
      </c>
      <c r="K139" s="106" t="str">
        <f>K138</f>
        <v>KAS MASUK</v>
      </c>
      <c r="L139" s="145" t="str">
        <f>"PENDAPATAN ATAS PINJAMAN LAIN "&amp;MID(L138,24,20)</f>
        <v>PENDAPATAN ATAS PINJAMAN LAIN AN. BUKHORI</v>
      </c>
    </row>
    <row r="140" spans="1:12" s="106" customFormat="1" ht="12" customHeight="1" x14ac:dyDescent="0.2">
      <c r="A140" s="128"/>
      <c r="B140" s="130"/>
      <c r="C140" s="131"/>
      <c r="D140" s="129"/>
      <c r="E140" s="134"/>
      <c r="F140" s="137"/>
      <c r="G140" s="139"/>
      <c r="H140" s="142"/>
      <c r="I140" s="142"/>
      <c r="J140" s="139"/>
      <c r="L140" s="144"/>
    </row>
    <row r="141" spans="1:12" s="106" customFormat="1" ht="12" customHeight="1" x14ac:dyDescent="0.2">
      <c r="A141" s="128"/>
      <c r="B141" s="130" t="str">
        <f>VLOOKUP(F141,BB!$A$8:$C$152,3,0)</f>
        <v>A01</v>
      </c>
      <c r="C141" s="131">
        <v>202601</v>
      </c>
      <c r="D141" s="129" t="s">
        <v>570</v>
      </c>
      <c r="E141" s="134">
        <v>46048</v>
      </c>
      <c r="F141" s="137" t="s">
        <v>152</v>
      </c>
      <c r="G141" s="142">
        <v>0</v>
      </c>
      <c r="H141" s="142">
        <v>2500000</v>
      </c>
      <c r="I141" s="142">
        <f>IF(G141&lt;&gt;0,G141,-H141)</f>
        <v>-2500000</v>
      </c>
      <c r="J141" s="142">
        <v>0</v>
      </c>
      <c r="K141" s="106" t="s">
        <v>478</v>
      </c>
      <c r="L141" s="145" t="s">
        <v>571</v>
      </c>
    </row>
    <row r="142" spans="1:12" s="106" customFormat="1" ht="12" customHeight="1" x14ac:dyDescent="0.2">
      <c r="A142" s="128"/>
      <c r="B142" s="130" t="str">
        <f>VLOOKUP(F142,BB!$A$8:$C$152,3,0)</f>
        <v>A04A</v>
      </c>
      <c r="C142" s="131">
        <f>C141</f>
        <v>202601</v>
      </c>
      <c r="D142" s="129" t="str">
        <f>D141</f>
        <v>KAS-2601011</v>
      </c>
      <c r="E142" s="134">
        <f>E141</f>
        <v>46048</v>
      </c>
      <c r="F142" s="137" t="s">
        <v>440</v>
      </c>
      <c r="G142" s="139">
        <f>H141</f>
        <v>2500000</v>
      </c>
      <c r="H142" s="142">
        <f>G141</f>
        <v>0</v>
      </c>
      <c r="I142" s="142">
        <f>IF(G142&lt;&gt;0,G142,-H142)</f>
        <v>2500000</v>
      </c>
      <c r="J142" s="139">
        <f>-J141</f>
        <v>0</v>
      </c>
      <c r="K142" s="106" t="str">
        <f>K141</f>
        <v>KAS KELUAR</v>
      </c>
      <c r="L142" s="144" t="str">
        <f>L141</f>
        <v>PINJAMAN LAIN AN. AGUS R</v>
      </c>
    </row>
    <row r="143" spans="1:12" s="106" customFormat="1" ht="12" customHeight="1" x14ac:dyDescent="0.2">
      <c r="A143" s="128"/>
      <c r="B143" s="130"/>
      <c r="C143" s="131"/>
      <c r="D143" s="129"/>
      <c r="E143" s="134"/>
      <c r="F143" s="137"/>
      <c r="G143" s="139"/>
      <c r="H143" s="142"/>
      <c r="I143" s="142"/>
      <c r="J143" s="139"/>
      <c r="L143" s="144"/>
    </row>
    <row r="144" spans="1:12" s="106" customFormat="1" ht="12" customHeight="1" x14ac:dyDescent="0.2">
      <c r="A144" s="128"/>
      <c r="B144" s="130" t="str">
        <f>VLOOKUP(F144,BB!$A$8:$C$152,3,0)</f>
        <v>A01</v>
      </c>
      <c r="C144" s="131">
        <v>202601</v>
      </c>
      <c r="D144" s="129" t="s">
        <v>572</v>
      </c>
      <c r="E144" s="134">
        <v>46050</v>
      </c>
      <c r="F144" s="137" t="s">
        <v>152</v>
      </c>
      <c r="G144" s="142">
        <v>267500</v>
      </c>
      <c r="H144" s="142">
        <v>0</v>
      </c>
      <c r="I144" s="142">
        <f>IF(G144&lt;&gt;0,G144,-H144)</f>
        <v>267500</v>
      </c>
      <c r="J144" s="142">
        <v>0</v>
      </c>
      <c r="K144" s="106" t="s">
        <v>477</v>
      </c>
      <c r="L144" s="145" t="s">
        <v>573</v>
      </c>
    </row>
    <row r="145" spans="1:12" s="106" customFormat="1" ht="12" customHeight="1" x14ac:dyDescent="0.2">
      <c r="A145" s="128"/>
      <c r="B145" s="130" t="str">
        <f>VLOOKUP(F145,BB!$A$8:$C$152,3,0)</f>
        <v>A04A</v>
      </c>
      <c r="C145" s="131">
        <f t="shared" ref="C145:E145" si="29">C144</f>
        <v>202601</v>
      </c>
      <c r="D145" s="129" t="str">
        <f t="shared" si="29"/>
        <v>KAS-2601012</v>
      </c>
      <c r="E145" s="134">
        <f t="shared" si="29"/>
        <v>46050</v>
      </c>
      <c r="F145" s="137" t="s">
        <v>440</v>
      </c>
      <c r="G145" s="139">
        <v>0</v>
      </c>
      <c r="H145" s="142">
        <f>+G144</f>
        <v>267500</v>
      </c>
      <c r="I145" s="142">
        <f>IF(G145&lt;&gt;0,G145,-H145)</f>
        <v>-267500</v>
      </c>
      <c r="J145" s="139">
        <f>-J144</f>
        <v>0</v>
      </c>
      <c r="K145" s="106" t="str">
        <f>K144</f>
        <v>KAS MASUK</v>
      </c>
      <c r="L145" s="145" t="str">
        <f>L144</f>
        <v>ANGSURAN PINJAMAN LAIN AN. AGUS S</v>
      </c>
    </row>
    <row r="146" spans="1:12" s="106" customFormat="1" ht="12" customHeight="1" x14ac:dyDescent="0.2">
      <c r="A146" s="128"/>
      <c r="B146" s="130" t="str">
        <f>VLOOKUP(F146,BB!$A$8:$C$152,3,0)</f>
        <v>LR01C</v>
      </c>
      <c r="C146" s="131">
        <f t="shared" ref="C146:E146" si="30">C145</f>
        <v>202601</v>
      </c>
      <c r="D146" s="129" t="str">
        <f t="shared" si="30"/>
        <v>KAS-2601012</v>
      </c>
      <c r="E146" s="134">
        <f t="shared" si="30"/>
        <v>46050</v>
      </c>
      <c r="F146" s="137" t="s">
        <v>360</v>
      </c>
      <c r="G146" s="139">
        <v>0</v>
      </c>
      <c r="H146" s="142">
        <f>G144-H145</f>
        <v>0</v>
      </c>
      <c r="I146" s="142">
        <f>IF(G146&lt;&gt;0,G146,-H146)</f>
        <v>0</v>
      </c>
      <c r="J146" s="139">
        <f>-J145</f>
        <v>0</v>
      </c>
      <c r="K146" s="106" t="str">
        <f>K145</f>
        <v>KAS MASUK</v>
      </c>
      <c r="L146" s="145" t="str">
        <f>"PENDAPATAN ATAS PINJAMAN LAIN "&amp;MID(L145,24,20)</f>
        <v>PENDAPATAN ATAS PINJAMAN LAIN AN. AGUS S</v>
      </c>
    </row>
    <row r="147" spans="1:12" s="106" customFormat="1" ht="12" customHeight="1" x14ac:dyDescent="0.2">
      <c r="A147" s="128"/>
      <c r="B147" s="130"/>
      <c r="C147" s="131"/>
      <c r="D147" s="129"/>
      <c r="E147" s="134"/>
      <c r="F147" s="137"/>
      <c r="G147" s="139"/>
      <c r="H147" s="142"/>
      <c r="I147" s="142"/>
      <c r="J147" s="139"/>
      <c r="L147" s="144"/>
    </row>
    <row r="148" spans="1:12" s="106" customFormat="1" ht="12" customHeight="1" x14ac:dyDescent="0.2">
      <c r="A148" s="128"/>
      <c r="B148" s="130" t="str">
        <f>VLOOKUP(F148,BB!$A$8:$C$152,3,0)</f>
        <v>A01</v>
      </c>
      <c r="C148" s="131">
        <v>202601</v>
      </c>
      <c r="D148" s="129" t="s">
        <v>574</v>
      </c>
      <c r="E148" s="134">
        <v>46050</v>
      </c>
      <c r="F148" s="137" t="s">
        <v>152</v>
      </c>
      <c r="G148" s="142">
        <v>500000</v>
      </c>
      <c r="H148" s="142">
        <v>0</v>
      </c>
      <c r="I148" s="142">
        <f>IF(G148&lt;&gt;0,G148,-H148)</f>
        <v>500000</v>
      </c>
      <c r="J148" s="142">
        <v>0</v>
      </c>
      <c r="K148" s="106" t="s">
        <v>477</v>
      </c>
      <c r="L148" s="145" t="s">
        <v>488</v>
      </c>
    </row>
    <row r="149" spans="1:12" s="106" customFormat="1" ht="12" customHeight="1" x14ac:dyDescent="0.2">
      <c r="A149" s="128"/>
      <c r="B149" s="130" t="str">
        <f>VLOOKUP(F149,BB!$A$8:$C$152,3,0)</f>
        <v>A04A</v>
      </c>
      <c r="C149" s="131">
        <f t="shared" ref="C149:E149" si="31">C148</f>
        <v>202601</v>
      </c>
      <c r="D149" s="129" t="str">
        <f t="shared" si="31"/>
        <v>KAS-2601013</v>
      </c>
      <c r="E149" s="134">
        <f t="shared" si="31"/>
        <v>46050</v>
      </c>
      <c r="F149" s="137" t="s">
        <v>440</v>
      </c>
      <c r="G149" s="139">
        <v>0</v>
      </c>
      <c r="H149" s="142">
        <f>+G148</f>
        <v>500000</v>
      </c>
      <c r="I149" s="142">
        <f>IF(G149&lt;&gt;0,G149,-H149)</f>
        <v>-500000</v>
      </c>
      <c r="J149" s="139">
        <f>-J148</f>
        <v>0</v>
      </c>
      <c r="K149" s="106" t="str">
        <f>K148</f>
        <v>KAS MASUK</v>
      </c>
      <c r="L149" s="145" t="str">
        <f>L148</f>
        <v>ANGSURAN PINJAMAN LAIN AN. ISFAK</v>
      </c>
    </row>
    <row r="150" spans="1:12" s="106" customFormat="1" ht="12" customHeight="1" x14ac:dyDescent="0.2">
      <c r="A150" s="128"/>
      <c r="B150" s="130" t="str">
        <f>VLOOKUP(F150,BB!$A$8:$C$152,3,0)</f>
        <v>LR01C</v>
      </c>
      <c r="C150" s="131">
        <f t="shared" ref="C150:E150" si="32">C149</f>
        <v>202601</v>
      </c>
      <c r="D150" s="129" t="str">
        <f t="shared" si="32"/>
        <v>KAS-2601013</v>
      </c>
      <c r="E150" s="134">
        <f t="shared" si="32"/>
        <v>46050</v>
      </c>
      <c r="F150" s="137" t="s">
        <v>360</v>
      </c>
      <c r="G150" s="139">
        <v>0</v>
      </c>
      <c r="H150" s="142">
        <f>G148-H149</f>
        <v>0</v>
      </c>
      <c r="I150" s="142">
        <f>IF(G150&lt;&gt;0,G150,-H150)</f>
        <v>0</v>
      </c>
      <c r="J150" s="139">
        <f>-J149</f>
        <v>0</v>
      </c>
      <c r="K150" s="106" t="str">
        <f>K149</f>
        <v>KAS MASUK</v>
      </c>
      <c r="L150" s="145" t="str">
        <f>"PENDAPATAN ATAS PINJAMAN LAIN "&amp;MID(L149,24,20)</f>
        <v>PENDAPATAN ATAS PINJAMAN LAIN AN. ISFAK</v>
      </c>
    </row>
    <row r="151" spans="1:12" s="106" customFormat="1" ht="12" customHeight="1" x14ac:dyDescent="0.2">
      <c r="A151" s="128"/>
      <c r="B151" s="130"/>
      <c r="C151" s="131"/>
      <c r="D151" s="129"/>
      <c r="E151" s="134"/>
      <c r="F151" s="137"/>
      <c r="G151" s="139"/>
      <c r="H151" s="142"/>
      <c r="I151" s="142"/>
      <c r="J151" s="139"/>
      <c r="L151" s="144"/>
    </row>
    <row r="152" spans="1:12" s="106" customFormat="1" ht="12" customHeight="1" x14ac:dyDescent="0.2">
      <c r="A152" s="128"/>
      <c r="B152" s="130" t="str">
        <f>VLOOKUP(F152,BB!$A$8:$C$152,3,0)</f>
        <v>A01</v>
      </c>
      <c r="C152" s="131">
        <v>202601</v>
      </c>
      <c r="D152" s="129" t="s">
        <v>575</v>
      </c>
      <c r="E152" s="134">
        <v>46051</v>
      </c>
      <c r="F152" s="137" t="s">
        <v>152</v>
      </c>
      <c r="G152" s="142">
        <v>300000</v>
      </c>
      <c r="H152" s="142">
        <v>0</v>
      </c>
      <c r="I152" s="142">
        <f>IF(G152&lt;&gt;0,G152,-H152)</f>
        <v>300000</v>
      </c>
      <c r="J152" s="142">
        <v>0</v>
      </c>
      <c r="K152" s="106" t="s">
        <v>477</v>
      </c>
      <c r="L152" s="145" t="s">
        <v>489</v>
      </c>
    </row>
    <row r="153" spans="1:12" s="106" customFormat="1" ht="12" customHeight="1" x14ac:dyDescent="0.2">
      <c r="A153" s="128"/>
      <c r="B153" s="130" t="str">
        <f>VLOOKUP(F153,BB!$A$8:$C$152,3,0)</f>
        <v>A04A</v>
      </c>
      <c r="C153" s="131">
        <f t="shared" ref="C153:E153" si="33">C152</f>
        <v>202601</v>
      </c>
      <c r="D153" s="129" t="str">
        <f t="shared" si="33"/>
        <v>KAS-2601014</v>
      </c>
      <c r="E153" s="134">
        <f t="shared" si="33"/>
        <v>46051</v>
      </c>
      <c r="F153" s="137" t="s">
        <v>440</v>
      </c>
      <c r="G153" s="139">
        <v>0</v>
      </c>
      <c r="H153" s="142">
        <f>+G152</f>
        <v>300000</v>
      </c>
      <c r="I153" s="142">
        <f>IF(G153&lt;&gt;0,G153,-H153)</f>
        <v>-300000</v>
      </c>
      <c r="J153" s="139">
        <f>-J152</f>
        <v>0</v>
      </c>
      <c r="K153" s="106" t="str">
        <f>K152</f>
        <v>KAS MASUK</v>
      </c>
      <c r="L153" s="145" t="str">
        <f>L152</f>
        <v>ANGSURAN PINJAMAN LAIN AN. SOLICHIN</v>
      </c>
    </row>
    <row r="154" spans="1:12" s="106" customFormat="1" ht="12" customHeight="1" x14ac:dyDescent="0.2">
      <c r="A154" s="128"/>
      <c r="B154" s="130" t="str">
        <f>VLOOKUP(F154,BB!$A$8:$C$152,3,0)</f>
        <v>LR01C</v>
      </c>
      <c r="C154" s="131">
        <f t="shared" ref="C154:E154" si="34">C153</f>
        <v>202601</v>
      </c>
      <c r="D154" s="129" t="str">
        <f t="shared" si="34"/>
        <v>KAS-2601014</v>
      </c>
      <c r="E154" s="134">
        <f t="shared" si="34"/>
        <v>46051</v>
      </c>
      <c r="F154" s="137" t="s">
        <v>360</v>
      </c>
      <c r="G154" s="139">
        <v>0</v>
      </c>
      <c r="H154" s="142">
        <f>G152-H153</f>
        <v>0</v>
      </c>
      <c r="I154" s="142">
        <f>IF(G154&lt;&gt;0,G154,-H154)</f>
        <v>0</v>
      </c>
      <c r="J154" s="139">
        <f>-J153</f>
        <v>0</v>
      </c>
      <c r="K154" s="106" t="str">
        <f>K153</f>
        <v>KAS MASUK</v>
      </c>
      <c r="L154" s="145" t="str">
        <f>"PENDAPATAN ATAS PINJAMAN LAIN "&amp;MID(L153,24,20)</f>
        <v>PENDAPATAN ATAS PINJAMAN LAIN AN. SOLICHIN</v>
      </c>
    </row>
    <row r="155" spans="1:12" s="106" customFormat="1" ht="12" customHeight="1" x14ac:dyDescent="0.2">
      <c r="A155" s="128"/>
      <c r="B155" s="130"/>
      <c r="C155" s="131"/>
      <c r="D155" s="129"/>
      <c r="E155" s="134"/>
      <c r="F155" s="137"/>
      <c r="G155" s="139"/>
      <c r="H155" s="142"/>
      <c r="I155" s="142"/>
      <c r="J155" s="139"/>
      <c r="L155" s="144"/>
    </row>
    <row r="156" spans="1:12" s="106" customFormat="1" ht="12" customHeight="1" x14ac:dyDescent="0.2">
      <c r="A156" s="128"/>
      <c r="B156" s="130" t="str">
        <f>VLOOKUP(F156,BB!$A$8:$C$152,3,0)</f>
        <v>A01</v>
      </c>
      <c r="C156" s="131">
        <v>202601</v>
      </c>
      <c r="D156" s="129" t="s">
        <v>576</v>
      </c>
      <c r="E156" s="134">
        <v>46052</v>
      </c>
      <c r="F156" s="137" t="s">
        <v>152</v>
      </c>
      <c r="G156" s="142">
        <v>320000</v>
      </c>
      <c r="H156" s="142">
        <v>0</v>
      </c>
      <c r="I156" s="142">
        <f>IF(G156&lt;&gt;0,G156,-H156)</f>
        <v>320000</v>
      </c>
      <c r="J156" s="142">
        <v>0</v>
      </c>
      <c r="K156" s="106" t="s">
        <v>477</v>
      </c>
      <c r="L156" s="145" t="s">
        <v>480</v>
      </c>
    </row>
    <row r="157" spans="1:12" s="106" customFormat="1" ht="12" customHeight="1" x14ac:dyDescent="0.2">
      <c r="A157" s="128"/>
      <c r="B157" s="130" t="str">
        <f>VLOOKUP(F157,BB!$A$8:$C$152,3,0)</f>
        <v>A04A</v>
      </c>
      <c r="C157" s="131">
        <f t="shared" ref="C157:E157" si="35">C156</f>
        <v>202601</v>
      </c>
      <c r="D157" s="129" t="str">
        <f t="shared" si="35"/>
        <v>KAS-2601015</v>
      </c>
      <c r="E157" s="134">
        <f t="shared" si="35"/>
        <v>46052</v>
      </c>
      <c r="F157" s="137" t="s">
        <v>440</v>
      </c>
      <c r="G157" s="139">
        <v>0</v>
      </c>
      <c r="H157" s="142">
        <f>+G156</f>
        <v>320000</v>
      </c>
      <c r="I157" s="142">
        <f>IF(G157&lt;&gt;0,G157,-H157)</f>
        <v>-320000</v>
      </c>
      <c r="J157" s="139">
        <f>-J156</f>
        <v>0</v>
      </c>
      <c r="K157" s="106" t="str">
        <f>K156</f>
        <v>KAS MASUK</v>
      </c>
      <c r="L157" s="145" t="str">
        <f>L156</f>
        <v>ANGSURAN PINJAMAN LAIN AN. FADELAN</v>
      </c>
    </row>
    <row r="158" spans="1:12" s="106" customFormat="1" ht="12" customHeight="1" x14ac:dyDescent="0.2">
      <c r="A158" s="128"/>
      <c r="B158" s="130" t="str">
        <f>VLOOKUP(F158,BB!$A$8:$C$152,3,0)</f>
        <v>LR01C</v>
      </c>
      <c r="C158" s="131">
        <f t="shared" ref="C158:E158" si="36">C157</f>
        <v>202601</v>
      </c>
      <c r="D158" s="129" t="str">
        <f t="shared" si="36"/>
        <v>KAS-2601015</v>
      </c>
      <c r="E158" s="134">
        <f t="shared" si="36"/>
        <v>46052</v>
      </c>
      <c r="F158" s="137" t="s">
        <v>360</v>
      </c>
      <c r="G158" s="139">
        <v>0</v>
      </c>
      <c r="H158" s="142">
        <f>G156-H157</f>
        <v>0</v>
      </c>
      <c r="I158" s="142">
        <f>IF(G158&lt;&gt;0,G158,-H158)</f>
        <v>0</v>
      </c>
      <c r="J158" s="139">
        <f>-J157</f>
        <v>0</v>
      </c>
      <c r="K158" s="106" t="str">
        <f>K157</f>
        <v>KAS MASUK</v>
      </c>
      <c r="L158" s="145" t="str">
        <f>"PENDAPATAN ATAS PINJAMAN LAIN "&amp;MID(L157,24,20)</f>
        <v>PENDAPATAN ATAS PINJAMAN LAIN AN. FADELAN</v>
      </c>
    </row>
    <row r="159" spans="1:12" s="106" customFormat="1" ht="12" customHeight="1" x14ac:dyDescent="0.2">
      <c r="A159" s="128"/>
      <c r="B159" s="130"/>
      <c r="C159" s="131"/>
      <c r="D159" s="129"/>
      <c r="E159" s="134"/>
      <c r="F159" s="137"/>
      <c r="G159" s="139"/>
      <c r="H159" s="142"/>
      <c r="I159" s="142"/>
      <c r="J159" s="139"/>
      <c r="L159" s="144"/>
    </row>
    <row r="160" spans="1:12" s="106" customFormat="1" ht="12" customHeight="1" x14ac:dyDescent="0.2">
      <c r="A160" s="128"/>
      <c r="B160" s="130"/>
      <c r="C160" s="131"/>
      <c r="D160" s="129"/>
      <c r="E160" s="134"/>
      <c r="F160" s="137"/>
      <c r="G160" s="139"/>
      <c r="H160" s="142"/>
      <c r="I160" s="142"/>
      <c r="J160" s="139"/>
      <c r="L160" s="144"/>
    </row>
    <row r="161" spans="1:12" s="106" customFormat="1" ht="12" customHeight="1" x14ac:dyDescent="0.2">
      <c r="A161" s="128"/>
      <c r="B161" s="130"/>
      <c r="C161" s="131"/>
      <c r="D161" s="129"/>
      <c r="E161" s="134"/>
      <c r="F161" s="137"/>
      <c r="G161" s="139"/>
      <c r="H161" s="142"/>
      <c r="I161" s="142"/>
      <c r="J161" s="139"/>
      <c r="L161" s="144"/>
    </row>
    <row r="162" spans="1:12" s="106" customFormat="1" ht="12" customHeight="1" x14ac:dyDescent="0.2">
      <c r="A162" s="128"/>
      <c r="B162" s="130"/>
      <c r="C162" s="131"/>
      <c r="D162" s="129"/>
      <c r="E162" s="134"/>
      <c r="F162" s="137"/>
      <c r="G162" s="139"/>
      <c r="H162" s="142"/>
      <c r="I162" s="142"/>
      <c r="J162" s="139"/>
      <c r="L162" s="144"/>
    </row>
    <row r="163" spans="1:12" s="106" customFormat="1" ht="12" customHeight="1" x14ac:dyDescent="0.2">
      <c r="A163" s="128"/>
      <c r="B163" s="130"/>
      <c r="C163" s="131"/>
      <c r="D163" s="129"/>
      <c r="E163" s="134"/>
      <c r="F163" s="137"/>
      <c r="G163" s="139"/>
      <c r="H163" s="142"/>
      <c r="I163" s="142"/>
      <c r="J163" s="139"/>
      <c r="L163" s="144"/>
    </row>
    <row r="164" spans="1:12" s="106" customFormat="1" ht="12" customHeight="1" x14ac:dyDescent="0.2">
      <c r="A164" s="128"/>
      <c r="B164" s="130"/>
      <c r="C164" s="131"/>
      <c r="D164" s="129"/>
      <c r="E164" s="134"/>
      <c r="F164" s="137"/>
      <c r="G164" s="139"/>
      <c r="H164" s="142"/>
      <c r="I164" s="142"/>
      <c r="J164" s="139"/>
      <c r="L164" s="144"/>
    </row>
    <row r="165" spans="1:12" s="106" customFormat="1" ht="12" customHeight="1" x14ac:dyDescent="0.2">
      <c r="A165" s="128"/>
      <c r="B165" s="130"/>
      <c r="C165" s="131"/>
      <c r="D165" s="129"/>
      <c r="E165" s="134"/>
      <c r="F165" s="137"/>
      <c r="G165" s="139"/>
      <c r="H165" s="142"/>
      <c r="I165" s="142"/>
      <c r="J165" s="139"/>
      <c r="L165" s="144"/>
    </row>
    <row r="166" spans="1:12" s="106" customFormat="1" ht="12" customHeight="1" x14ac:dyDescent="0.2">
      <c r="A166" s="128"/>
      <c r="B166" s="130"/>
      <c r="C166" s="131"/>
      <c r="D166" s="129"/>
      <c r="E166" s="134"/>
      <c r="F166" s="137"/>
      <c r="G166" s="139"/>
      <c r="H166" s="142"/>
      <c r="I166" s="142"/>
      <c r="J166" s="139"/>
      <c r="L166" s="144"/>
    </row>
    <row r="167" spans="1:12" s="106" customFormat="1" ht="12" customHeight="1" x14ac:dyDescent="0.2">
      <c r="A167" s="128"/>
      <c r="B167" s="130"/>
      <c r="C167" s="131"/>
      <c r="D167" s="129"/>
      <c r="E167" s="134"/>
      <c r="F167" s="137"/>
      <c r="G167" s="139"/>
      <c r="H167" s="142"/>
      <c r="I167" s="142"/>
      <c r="J167" s="139"/>
      <c r="L167" s="144"/>
    </row>
    <row r="168" spans="1:12" s="106" customFormat="1" x14ac:dyDescent="0.2">
      <c r="A168" s="128"/>
      <c r="B168" s="130"/>
      <c r="C168" s="131"/>
      <c r="D168" s="129"/>
      <c r="E168" s="134"/>
      <c r="F168" s="137"/>
      <c r="G168" s="139"/>
      <c r="H168" s="142"/>
      <c r="I168" s="142"/>
      <c r="J168" s="139"/>
      <c r="L168" s="144"/>
    </row>
    <row r="169" spans="1:12" s="106" customFormat="1" x14ac:dyDescent="0.2">
      <c r="A169" s="128"/>
      <c r="B169" s="130"/>
      <c r="C169" s="131"/>
      <c r="D169" s="129"/>
      <c r="E169" s="134"/>
      <c r="F169" s="137"/>
      <c r="G169" s="139"/>
      <c r="H169" s="142"/>
      <c r="I169" s="142"/>
      <c r="J169" s="139"/>
      <c r="L169" s="144"/>
    </row>
    <row r="170" spans="1:12" s="106" customFormat="1" x14ac:dyDescent="0.2">
      <c r="A170" s="128"/>
      <c r="B170" s="130"/>
      <c r="C170" s="131"/>
      <c r="D170" s="129"/>
      <c r="E170" s="134"/>
      <c r="F170" s="137"/>
      <c r="G170" s="139"/>
      <c r="H170" s="142"/>
      <c r="I170" s="142"/>
      <c r="J170" s="139"/>
      <c r="L170" s="144"/>
    </row>
    <row r="171" spans="1:12" s="106" customFormat="1" x14ac:dyDescent="0.2">
      <c r="A171" s="128"/>
      <c r="B171" s="130"/>
      <c r="C171" s="131"/>
      <c r="D171" s="129"/>
      <c r="E171" s="134"/>
      <c r="F171" s="137"/>
      <c r="G171" s="139"/>
      <c r="H171" s="142"/>
      <c r="I171" s="142"/>
      <c r="J171" s="139"/>
      <c r="L171" s="144"/>
    </row>
    <row r="172" spans="1:12" s="106" customFormat="1" x14ac:dyDescent="0.2">
      <c r="A172" s="128"/>
      <c r="B172" s="130"/>
      <c r="C172" s="131"/>
      <c r="D172" s="129"/>
      <c r="E172" s="134"/>
      <c r="F172" s="137"/>
      <c r="G172" s="139"/>
      <c r="H172" s="142"/>
      <c r="I172" s="142"/>
      <c r="J172" s="139"/>
      <c r="L172" s="144"/>
    </row>
    <row r="173" spans="1:12" s="106" customFormat="1" x14ac:dyDescent="0.2">
      <c r="A173" s="128"/>
      <c r="B173" s="130"/>
      <c r="C173" s="131"/>
      <c r="D173" s="129"/>
      <c r="E173" s="134"/>
      <c r="F173" s="137"/>
      <c r="G173" s="139"/>
      <c r="H173" s="142"/>
      <c r="I173" s="142"/>
      <c r="J173" s="139"/>
      <c r="L173" s="144"/>
    </row>
    <row r="174" spans="1:12" s="106" customFormat="1" x14ac:dyDescent="0.2">
      <c r="A174" s="128"/>
      <c r="B174" s="130"/>
      <c r="C174" s="131"/>
      <c r="D174" s="129"/>
      <c r="E174" s="134"/>
      <c r="F174" s="137"/>
      <c r="G174" s="139"/>
      <c r="H174" s="142"/>
      <c r="I174" s="142"/>
      <c r="J174" s="139"/>
      <c r="L174" s="144"/>
    </row>
    <row r="175" spans="1:12" x14ac:dyDescent="0.2">
      <c r="L175" s="145"/>
    </row>
  </sheetData>
  <autoFilter ref="A4:M174" xr:uid="{00000000-0001-0000-03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B1D0-0727-4EB5-857E-5276F39C85BF}">
  <dimension ref="A2:J102"/>
  <sheetViews>
    <sheetView zoomScaleNormal="100" workbookViewId="0">
      <pane xSplit="3" ySplit="7" topLeftCell="D8" activePane="bottomRight" state="frozen"/>
      <selection pane="topRight" activeCell="D1" sqref="D1"/>
      <selection pane="bottomLeft" activeCell="A7" sqref="A7"/>
      <selection pane="bottomRight" activeCell="D37" sqref="D37"/>
    </sheetView>
  </sheetViews>
  <sheetFormatPr defaultRowHeight="12" x14ac:dyDescent="0.2"/>
  <cols>
    <col min="1" max="1" width="12" style="196" bestFit="1" customWidth="1"/>
    <col min="2" max="2" width="38.85546875" style="128" bestFit="1" customWidth="1"/>
    <col min="3" max="3" width="0.85546875" style="128" customWidth="1"/>
    <col min="4" max="4" width="21.42578125" style="197" bestFit="1" customWidth="1"/>
    <col min="5" max="5" width="0.85546875" style="128" customWidth="1"/>
    <col min="6" max="6" width="14" style="197" bestFit="1" customWidth="1"/>
    <col min="7" max="7" width="13.5703125" style="197" bestFit="1" customWidth="1"/>
    <col min="8" max="8" width="14.140625" style="197" bestFit="1" customWidth="1"/>
    <col min="9" max="9" width="13.85546875" style="198" bestFit="1" customWidth="1"/>
    <col min="10" max="10" width="14.28515625" style="197" customWidth="1"/>
    <col min="11" max="16384" width="9.140625" style="128"/>
  </cols>
  <sheetData>
    <row r="2" spans="1:10" s="200" customFormat="1" ht="12" customHeight="1" x14ac:dyDescent="0.2">
      <c r="A2" s="199"/>
      <c r="I2" s="199"/>
    </row>
    <row r="3" spans="1:10" ht="12" customHeight="1" thickBot="1" x14ac:dyDescent="0.25"/>
    <row r="4" spans="1:10" s="201" customFormat="1" ht="12" customHeight="1" thickTop="1" thickBot="1" x14ac:dyDescent="0.25">
      <c r="D4" s="202">
        <f>SUBTOTAL(9,D8:D98)</f>
        <v>1898421804.9309998</v>
      </c>
      <c r="F4" s="202">
        <f>SUBTOTAL(9,F8:F98)</f>
        <v>-167166668</v>
      </c>
      <c r="G4" s="202">
        <f>SUBTOTAL(9,G8:G98)</f>
        <v>280000000</v>
      </c>
      <c r="H4" s="202">
        <f>SUBTOTAL(9,H8:H98)</f>
        <v>0</v>
      </c>
      <c r="I4" s="202">
        <f>SUBTOTAL(9,I8:I98)</f>
        <v>-60419861.111111127</v>
      </c>
      <c r="J4" s="202">
        <f>SUBTOTAL(9,J8:J98)</f>
        <v>1950835276.1532221</v>
      </c>
    </row>
    <row r="5" spans="1:10" s="203" customFormat="1" ht="17.25" customHeight="1" thickTop="1" x14ac:dyDescent="0.25">
      <c r="B5" s="204" t="s">
        <v>578</v>
      </c>
      <c r="D5" s="205" t="s">
        <v>579</v>
      </c>
      <c r="F5" s="206" t="s">
        <v>138</v>
      </c>
      <c r="G5" s="207"/>
      <c r="H5" s="207"/>
      <c r="I5" s="207"/>
      <c r="J5" s="208"/>
    </row>
    <row r="6" spans="1:10" s="108" customFormat="1" ht="12" customHeight="1" x14ac:dyDescent="0.2">
      <c r="B6" s="209"/>
      <c r="C6" s="210"/>
      <c r="D6" s="211" t="s">
        <v>580</v>
      </c>
      <c r="E6" s="210"/>
      <c r="F6" s="212" t="s">
        <v>581</v>
      </c>
      <c r="G6" s="213" t="s">
        <v>582</v>
      </c>
      <c r="H6" s="213" t="s">
        <v>583</v>
      </c>
      <c r="I6" s="213" t="s">
        <v>584</v>
      </c>
      <c r="J6" s="214" t="s">
        <v>580</v>
      </c>
    </row>
    <row r="7" spans="1:10" s="108" customFormat="1" ht="6" customHeight="1" x14ac:dyDescent="0.2">
      <c r="B7" s="215" t="s">
        <v>585</v>
      </c>
      <c r="C7" s="210"/>
      <c r="D7" s="216"/>
      <c r="E7" s="210"/>
      <c r="F7" s="217"/>
      <c r="G7" s="218"/>
      <c r="H7" s="218"/>
      <c r="I7" s="218"/>
      <c r="J7" s="219"/>
    </row>
    <row r="8" spans="1:10" ht="12" customHeight="1" x14ac:dyDescent="0.2">
      <c r="A8" s="220"/>
      <c r="B8" s="221" t="s">
        <v>586</v>
      </c>
      <c r="C8" s="222"/>
      <c r="D8" s="223">
        <v>23333333.336666662</v>
      </c>
      <c r="E8" s="222"/>
      <c r="F8" s="224">
        <v>0</v>
      </c>
      <c r="G8" s="225">
        <v>0</v>
      </c>
      <c r="H8" s="225">
        <v>0</v>
      </c>
      <c r="I8" s="226">
        <v>-833333.33333333337</v>
      </c>
      <c r="J8" s="227">
        <f>D8+F8+G8+H8+I8</f>
        <v>22500000.00333333</v>
      </c>
    </row>
    <row r="9" spans="1:10" ht="12" customHeight="1" x14ac:dyDescent="0.2">
      <c r="A9" s="220"/>
      <c r="B9" s="228" t="s">
        <v>587</v>
      </c>
      <c r="C9" s="222"/>
      <c r="D9" s="229">
        <v>0</v>
      </c>
      <c r="E9" s="222"/>
      <c r="F9" s="230">
        <v>0</v>
      </c>
      <c r="G9" s="231">
        <v>0</v>
      </c>
      <c r="H9" s="231">
        <v>0</v>
      </c>
      <c r="I9" s="232">
        <v>0</v>
      </c>
      <c r="J9" s="233">
        <f t="shared" ref="J9:J72" si="0">D9+F9+G9+H9+I9</f>
        <v>0</v>
      </c>
    </row>
    <row r="10" spans="1:10" ht="12" customHeight="1" x14ac:dyDescent="0.2">
      <c r="A10" s="220"/>
      <c r="B10" s="228" t="s">
        <v>588</v>
      </c>
      <c r="C10" s="222"/>
      <c r="D10" s="229">
        <v>32083333.304333266</v>
      </c>
      <c r="E10" s="222"/>
      <c r="F10" s="230">
        <v>0</v>
      </c>
      <c r="G10" s="231">
        <v>0</v>
      </c>
      <c r="H10" s="231">
        <v>0</v>
      </c>
      <c r="I10" s="232">
        <v>-1666666.6666666667</v>
      </c>
      <c r="J10" s="233">
        <f t="shared" si="0"/>
        <v>30416666.637666598</v>
      </c>
    </row>
    <row r="11" spans="1:10" ht="12" customHeight="1" x14ac:dyDescent="0.2">
      <c r="A11" s="220"/>
      <c r="B11" s="228" t="s">
        <v>589</v>
      </c>
      <c r="C11" s="222"/>
      <c r="D11" s="229">
        <v>0</v>
      </c>
      <c r="E11" s="222"/>
      <c r="F11" s="230">
        <v>0</v>
      </c>
      <c r="G11" s="231">
        <v>0</v>
      </c>
      <c r="H11" s="231">
        <v>0</v>
      </c>
      <c r="I11" s="232">
        <v>0</v>
      </c>
      <c r="J11" s="233">
        <f t="shared" si="0"/>
        <v>0</v>
      </c>
    </row>
    <row r="12" spans="1:10" ht="12" customHeight="1" x14ac:dyDescent="0.2">
      <c r="A12" s="220"/>
      <c r="B12" s="228" t="s">
        <v>590</v>
      </c>
      <c r="C12" s="222"/>
      <c r="D12" s="229">
        <v>0</v>
      </c>
      <c r="E12" s="222"/>
      <c r="F12" s="230">
        <v>0</v>
      </c>
      <c r="G12" s="231">
        <v>0</v>
      </c>
      <c r="H12" s="231">
        <v>0</v>
      </c>
      <c r="I12" s="232">
        <v>0</v>
      </c>
      <c r="J12" s="233">
        <f t="shared" si="0"/>
        <v>0</v>
      </c>
    </row>
    <row r="13" spans="1:10" ht="12" customHeight="1" x14ac:dyDescent="0.2">
      <c r="A13" s="220"/>
      <c r="B13" s="228" t="s">
        <v>591</v>
      </c>
      <c r="C13" s="222"/>
      <c r="D13" s="229">
        <v>0</v>
      </c>
      <c r="E13" s="222"/>
      <c r="F13" s="230">
        <v>0</v>
      </c>
      <c r="G13" s="231">
        <v>0</v>
      </c>
      <c r="H13" s="231">
        <v>0</v>
      </c>
      <c r="I13" s="232">
        <v>0</v>
      </c>
      <c r="J13" s="233">
        <f t="shared" si="0"/>
        <v>0</v>
      </c>
    </row>
    <row r="14" spans="1:10" ht="12" customHeight="1" x14ac:dyDescent="0.2">
      <c r="A14" s="220"/>
      <c r="B14" s="228" t="s">
        <v>592</v>
      </c>
      <c r="C14" s="222"/>
      <c r="D14" s="229">
        <v>30333333.323333371</v>
      </c>
      <c r="E14" s="222"/>
      <c r="F14" s="230">
        <v>0</v>
      </c>
      <c r="G14" s="231">
        <v>0</v>
      </c>
      <c r="H14" s="231">
        <v>0</v>
      </c>
      <c r="I14" s="232">
        <v>-1166666.6666666667</v>
      </c>
      <c r="J14" s="233">
        <f t="shared" si="0"/>
        <v>29166666.656666704</v>
      </c>
    </row>
    <row r="15" spans="1:10" ht="12" customHeight="1" x14ac:dyDescent="0.2">
      <c r="A15" s="220"/>
      <c r="B15" s="228" t="s">
        <v>593</v>
      </c>
      <c r="C15" s="222"/>
      <c r="D15" s="229">
        <v>94999999.669999987</v>
      </c>
      <c r="E15" s="222"/>
      <c r="F15" s="230">
        <v>0</v>
      </c>
      <c r="G15" s="231">
        <v>0</v>
      </c>
      <c r="H15" s="231">
        <v>0</v>
      </c>
      <c r="I15" s="232">
        <v>-1666666.6666666667</v>
      </c>
      <c r="J15" s="233">
        <f t="shared" si="0"/>
        <v>93333333.003333315</v>
      </c>
    </row>
    <row r="16" spans="1:10" ht="12" customHeight="1" x14ac:dyDescent="0.2">
      <c r="A16" s="220"/>
      <c r="B16" s="228" t="s">
        <v>594</v>
      </c>
      <c r="C16" s="222"/>
      <c r="D16" s="229">
        <v>0</v>
      </c>
      <c r="E16" s="222"/>
      <c r="F16" s="230">
        <v>0</v>
      </c>
      <c r="G16" s="231">
        <v>0</v>
      </c>
      <c r="H16" s="231">
        <v>0</v>
      </c>
      <c r="I16" s="232">
        <v>0</v>
      </c>
      <c r="J16" s="233">
        <f t="shared" si="0"/>
        <v>0</v>
      </c>
    </row>
    <row r="17" spans="1:10" ht="12" customHeight="1" x14ac:dyDescent="0.2">
      <c r="A17" s="220"/>
      <c r="B17" s="228" t="s">
        <v>595</v>
      </c>
      <c r="C17" s="222"/>
      <c r="D17" s="234">
        <v>0</v>
      </c>
      <c r="E17" s="222"/>
      <c r="F17" s="235">
        <v>0</v>
      </c>
      <c r="G17" s="236">
        <v>0</v>
      </c>
      <c r="H17" s="236">
        <v>0</v>
      </c>
      <c r="I17" s="237">
        <v>0</v>
      </c>
      <c r="J17" s="238">
        <f t="shared" si="0"/>
        <v>0</v>
      </c>
    </row>
    <row r="18" spans="1:10" ht="12" customHeight="1" x14ac:dyDescent="0.2">
      <c r="A18" s="220"/>
      <c r="B18" s="228" t="s">
        <v>596</v>
      </c>
      <c r="C18" s="222"/>
      <c r="D18" s="229">
        <v>93333332.99999994</v>
      </c>
      <c r="E18" s="222"/>
      <c r="F18" s="230">
        <v>0</v>
      </c>
      <c r="G18" s="231">
        <v>0</v>
      </c>
      <c r="H18" s="231">
        <v>0</v>
      </c>
      <c r="I18" s="232">
        <v>-2000000</v>
      </c>
      <c r="J18" s="233">
        <f t="shared" si="0"/>
        <v>91333332.99999994</v>
      </c>
    </row>
    <row r="19" spans="1:10" ht="12" customHeight="1" x14ac:dyDescent="0.2">
      <c r="A19" s="220"/>
      <c r="B19" s="228" t="s">
        <v>597</v>
      </c>
      <c r="C19" s="222"/>
      <c r="D19" s="229">
        <v>20277777.777777776</v>
      </c>
      <c r="E19" s="222"/>
      <c r="F19" s="230">
        <v>0</v>
      </c>
      <c r="G19" s="231">
        <v>0</v>
      </c>
      <c r="H19" s="231">
        <v>0</v>
      </c>
      <c r="I19" s="232">
        <v>-1111111.1111111112</v>
      </c>
      <c r="J19" s="233">
        <v>19166667</v>
      </c>
    </row>
    <row r="20" spans="1:10" ht="12" customHeight="1" x14ac:dyDescent="0.2">
      <c r="A20" s="220"/>
      <c r="B20" s="228" t="s">
        <v>598</v>
      </c>
      <c r="C20" s="222"/>
      <c r="D20" s="229">
        <v>0</v>
      </c>
      <c r="E20" s="222"/>
      <c r="F20" s="230">
        <v>0</v>
      </c>
      <c r="G20" s="231">
        <v>0</v>
      </c>
      <c r="H20" s="231">
        <v>0</v>
      </c>
      <c r="I20" s="232">
        <v>0</v>
      </c>
      <c r="J20" s="233">
        <f t="shared" si="0"/>
        <v>0</v>
      </c>
    </row>
    <row r="21" spans="1:10" ht="12" customHeight="1" x14ac:dyDescent="0.2">
      <c r="A21" s="220"/>
      <c r="B21" s="228" t="s">
        <v>599</v>
      </c>
      <c r="C21" s="222"/>
      <c r="D21" s="229">
        <v>34027777.781111091</v>
      </c>
      <c r="E21" s="222"/>
      <c r="F21" s="230">
        <v>0</v>
      </c>
      <c r="G21" s="231">
        <v>0</v>
      </c>
      <c r="H21" s="231">
        <v>0</v>
      </c>
      <c r="I21" s="232">
        <v>-972222.22222222225</v>
      </c>
      <c r="J21" s="233">
        <f t="shared" si="0"/>
        <v>33055555.558888867</v>
      </c>
    </row>
    <row r="22" spans="1:10" ht="12" customHeight="1" x14ac:dyDescent="0.2">
      <c r="A22" s="220"/>
      <c r="B22" s="228" t="s">
        <v>600</v>
      </c>
      <c r="C22" s="222"/>
      <c r="D22" s="229">
        <v>40416666.328888908</v>
      </c>
      <c r="E22" s="222"/>
      <c r="F22" s="230">
        <v>0</v>
      </c>
      <c r="G22" s="231">
        <v>0</v>
      </c>
      <c r="H22" s="231">
        <v>0</v>
      </c>
      <c r="I22" s="232">
        <v>-1736111.111111111</v>
      </c>
      <c r="J22" s="233">
        <f t="shared" si="0"/>
        <v>38680555.217777796</v>
      </c>
    </row>
    <row r="23" spans="1:10" ht="12" customHeight="1" x14ac:dyDescent="0.2">
      <c r="A23" s="220"/>
      <c r="B23" s="228" t="s">
        <v>601</v>
      </c>
      <c r="C23" s="222"/>
      <c r="D23" s="229">
        <v>74000000.000000015</v>
      </c>
      <c r="E23" s="222"/>
      <c r="F23" s="230">
        <v>-72166667</v>
      </c>
      <c r="G23" s="231">
        <v>100000000</v>
      </c>
      <c r="H23" s="231">
        <v>0</v>
      </c>
      <c r="I23" s="232">
        <v>-1833333.3333333335</v>
      </c>
      <c r="J23" s="233">
        <f t="shared" si="0"/>
        <v>99999999.666666687</v>
      </c>
    </row>
    <row r="24" spans="1:10" ht="12" customHeight="1" x14ac:dyDescent="0.2">
      <c r="A24" s="220"/>
      <c r="B24" s="228" t="s">
        <v>602</v>
      </c>
      <c r="C24" s="222"/>
      <c r="D24" s="229">
        <v>0</v>
      </c>
      <c r="E24" s="222"/>
      <c r="F24" s="230">
        <v>0</v>
      </c>
      <c r="G24" s="231">
        <v>0</v>
      </c>
      <c r="H24" s="231">
        <v>0</v>
      </c>
      <c r="I24" s="232">
        <v>0</v>
      </c>
      <c r="J24" s="233">
        <f t="shared" si="0"/>
        <v>0</v>
      </c>
    </row>
    <row r="25" spans="1:10" ht="12" customHeight="1" x14ac:dyDescent="0.2">
      <c r="A25" s="220"/>
      <c r="B25" s="228" t="s">
        <v>603</v>
      </c>
      <c r="C25" s="222"/>
      <c r="D25" s="229">
        <v>0</v>
      </c>
      <c r="E25" s="222"/>
      <c r="F25" s="230">
        <v>0</v>
      </c>
      <c r="G25" s="231">
        <v>0</v>
      </c>
      <c r="H25" s="231">
        <v>0</v>
      </c>
      <c r="I25" s="232">
        <v>0</v>
      </c>
      <c r="J25" s="233">
        <f t="shared" si="0"/>
        <v>0</v>
      </c>
    </row>
    <row r="26" spans="1:10" ht="12" customHeight="1" x14ac:dyDescent="0.2">
      <c r="A26" s="220"/>
      <c r="B26" s="228" t="s">
        <v>604</v>
      </c>
      <c r="C26" s="222"/>
      <c r="D26" s="229">
        <v>41666666.666666672</v>
      </c>
      <c r="E26" s="222"/>
      <c r="F26" s="230">
        <v>0</v>
      </c>
      <c r="G26" s="231">
        <v>0</v>
      </c>
      <c r="H26" s="231">
        <v>0</v>
      </c>
      <c r="I26" s="232">
        <v>-1388888.888888889</v>
      </c>
      <c r="J26" s="233">
        <f t="shared" si="0"/>
        <v>40277777.777777784</v>
      </c>
    </row>
    <row r="27" spans="1:10" ht="12" customHeight="1" x14ac:dyDescent="0.2">
      <c r="A27" s="220"/>
      <c r="B27" s="228" t="s">
        <v>605</v>
      </c>
      <c r="C27" s="222"/>
      <c r="D27" s="229">
        <v>0</v>
      </c>
      <c r="E27" s="222"/>
      <c r="F27" s="230">
        <v>0</v>
      </c>
      <c r="G27" s="231">
        <v>0</v>
      </c>
      <c r="H27" s="231">
        <v>0</v>
      </c>
      <c r="I27" s="232">
        <v>0</v>
      </c>
      <c r="J27" s="233">
        <f t="shared" si="0"/>
        <v>0</v>
      </c>
    </row>
    <row r="28" spans="1:10" ht="12" customHeight="1" x14ac:dyDescent="0.2">
      <c r="A28" s="220"/>
      <c r="B28" s="228" t="s">
        <v>606</v>
      </c>
      <c r="C28" s="222"/>
      <c r="D28" s="229">
        <v>0</v>
      </c>
      <c r="E28" s="222"/>
      <c r="F28" s="230">
        <v>0</v>
      </c>
      <c r="G28" s="231">
        <v>0</v>
      </c>
      <c r="H28" s="231">
        <v>0</v>
      </c>
      <c r="I28" s="232">
        <v>0</v>
      </c>
      <c r="J28" s="233">
        <f t="shared" si="0"/>
        <v>0</v>
      </c>
    </row>
    <row r="29" spans="1:10" ht="12" customHeight="1" x14ac:dyDescent="0.2">
      <c r="A29" s="220"/>
      <c r="B29" s="228" t="s">
        <v>607</v>
      </c>
      <c r="C29" s="222"/>
      <c r="D29" s="229">
        <v>26249999.999999981</v>
      </c>
      <c r="E29" s="222"/>
      <c r="F29" s="230">
        <v>0</v>
      </c>
      <c r="G29" s="231">
        <v>0</v>
      </c>
      <c r="H29" s="231">
        <v>0</v>
      </c>
      <c r="I29" s="232">
        <v>-2916666.6666666665</v>
      </c>
      <c r="J29" s="233">
        <f t="shared" si="0"/>
        <v>23333333.333333313</v>
      </c>
    </row>
    <row r="30" spans="1:10" ht="12" customHeight="1" x14ac:dyDescent="0.2">
      <c r="A30" s="220"/>
      <c r="B30" s="228" t="s">
        <v>608</v>
      </c>
      <c r="C30" s="222"/>
      <c r="D30" s="229">
        <v>0</v>
      </c>
      <c r="E30" s="222"/>
      <c r="F30" s="230">
        <v>0</v>
      </c>
      <c r="G30" s="231">
        <v>0</v>
      </c>
      <c r="H30" s="231">
        <v>0</v>
      </c>
      <c r="I30" s="232">
        <v>0</v>
      </c>
      <c r="J30" s="233">
        <f t="shared" si="0"/>
        <v>0</v>
      </c>
    </row>
    <row r="31" spans="1:10" ht="12" customHeight="1" x14ac:dyDescent="0.2">
      <c r="A31" s="220"/>
      <c r="B31" s="228" t="s">
        <v>609</v>
      </c>
      <c r="C31" s="222"/>
      <c r="D31" s="229">
        <v>29999999.993333373</v>
      </c>
      <c r="E31" s="222"/>
      <c r="F31" s="230">
        <v>0</v>
      </c>
      <c r="G31" s="231">
        <v>0</v>
      </c>
      <c r="H31" s="231">
        <v>0</v>
      </c>
      <c r="I31" s="232">
        <v>-1666666.6666666667</v>
      </c>
      <c r="J31" s="233">
        <f t="shared" si="0"/>
        <v>28333333.326666705</v>
      </c>
    </row>
    <row r="32" spans="1:10" ht="12" customHeight="1" x14ac:dyDescent="0.2">
      <c r="A32" s="220"/>
      <c r="B32" s="228" t="s">
        <v>610</v>
      </c>
      <c r="C32" s="222"/>
      <c r="D32" s="229">
        <v>0</v>
      </c>
      <c r="E32" s="222"/>
      <c r="F32" s="230">
        <v>0</v>
      </c>
      <c r="G32" s="231">
        <v>0</v>
      </c>
      <c r="H32" s="231">
        <v>0</v>
      </c>
      <c r="I32" s="232">
        <v>0</v>
      </c>
      <c r="J32" s="233">
        <f t="shared" si="0"/>
        <v>0</v>
      </c>
    </row>
    <row r="33" spans="1:10" ht="12" customHeight="1" x14ac:dyDescent="0.2">
      <c r="A33" s="220"/>
      <c r="B33" s="228" t="s">
        <v>611</v>
      </c>
      <c r="C33" s="222"/>
      <c r="D33" s="229">
        <v>56000000.000000015</v>
      </c>
      <c r="E33" s="222"/>
      <c r="F33" s="230">
        <v>0</v>
      </c>
      <c r="G33" s="231">
        <v>0</v>
      </c>
      <c r="H33" s="231">
        <v>0</v>
      </c>
      <c r="I33" s="232">
        <v>-1166666.6666666667</v>
      </c>
      <c r="J33" s="233">
        <f t="shared" si="0"/>
        <v>54833333.333333351</v>
      </c>
    </row>
    <row r="34" spans="1:10" ht="12" customHeight="1" x14ac:dyDescent="0.2">
      <c r="A34" s="220"/>
      <c r="B34" s="228" t="s">
        <v>612</v>
      </c>
      <c r="C34" s="222"/>
      <c r="D34" s="229">
        <v>0</v>
      </c>
      <c r="E34" s="222"/>
      <c r="F34" s="230">
        <v>0</v>
      </c>
      <c r="G34" s="231">
        <v>0</v>
      </c>
      <c r="H34" s="231">
        <v>0</v>
      </c>
      <c r="I34" s="232">
        <v>0</v>
      </c>
      <c r="J34" s="233">
        <f t="shared" si="0"/>
        <v>0</v>
      </c>
    </row>
    <row r="35" spans="1:10" ht="12" customHeight="1" x14ac:dyDescent="0.2">
      <c r="A35" s="220"/>
      <c r="B35" s="228" t="s">
        <v>613</v>
      </c>
      <c r="C35" s="222"/>
      <c r="D35" s="229">
        <v>23958332.996666659</v>
      </c>
      <c r="E35" s="222"/>
      <c r="F35" s="230">
        <v>0</v>
      </c>
      <c r="G35" s="231">
        <v>0</v>
      </c>
      <c r="H35" s="231">
        <v>0</v>
      </c>
      <c r="I35" s="232">
        <v>-1041666.6666666666</v>
      </c>
      <c r="J35" s="233">
        <f t="shared" si="0"/>
        <v>22916666.329999991</v>
      </c>
    </row>
    <row r="36" spans="1:10" ht="12" customHeight="1" x14ac:dyDescent="0.2">
      <c r="A36" s="220"/>
      <c r="B36" s="228" t="s">
        <v>614</v>
      </c>
      <c r="C36" s="222"/>
      <c r="D36" s="229">
        <v>31900000</v>
      </c>
      <c r="E36" s="222"/>
      <c r="F36" s="230">
        <v>0</v>
      </c>
      <c r="G36" s="231">
        <v>0</v>
      </c>
      <c r="H36" s="231">
        <v>0</v>
      </c>
      <c r="I36" s="232">
        <v>-900000</v>
      </c>
      <c r="J36" s="233">
        <f t="shared" si="0"/>
        <v>31000000</v>
      </c>
    </row>
    <row r="37" spans="1:10" ht="12" customHeight="1" x14ac:dyDescent="0.2">
      <c r="A37" s="220"/>
      <c r="B37" s="228" t="s">
        <v>615</v>
      </c>
      <c r="C37" s="222"/>
      <c r="D37" s="229">
        <v>0</v>
      </c>
      <c r="E37" s="222"/>
      <c r="F37" s="230">
        <v>0</v>
      </c>
      <c r="G37" s="231">
        <v>0</v>
      </c>
      <c r="H37" s="231">
        <v>0</v>
      </c>
      <c r="I37" s="232">
        <v>0</v>
      </c>
      <c r="J37" s="233">
        <f t="shared" si="0"/>
        <v>0</v>
      </c>
    </row>
    <row r="38" spans="1:10" ht="12" customHeight="1" x14ac:dyDescent="0.2">
      <c r="A38" s="220"/>
      <c r="B38" s="228" t="s">
        <v>616</v>
      </c>
      <c r="C38" s="222"/>
      <c r="D38" s="229">
        <v>0</v>
      </c>
      <c r="E38" s="222"/>
      <c r="F38" s="230">
        <v>0</v>
      </c>
      <c r="G38" s="231">
        <v>0</v>
      </c>
      <c r="H38" s="231">
        <v>0</v>
      </c>
      <c r="I38" s="232">
        <v>0</v>
      </c>
      <c r="J38" s="233">
        <f t="shared" si="0"/>
        <v>0</v>
      </c>
    </row>
    <row r="39" spans="1:10" ht="12" customHeight="1" x14ac:dyDescent="0.2">
      <c r="A39" s="220"/>
      <c r="B39" s="228" t="s">
        <v>617</v>
      </c>
      <c r="C39" s="222"/>
      <c r="D39" s="229">
        <v>0</v>
      </c>
      <c r="E39" s="222"/>
      <c r="F39" s="230">
        <v>0</v>
      </c>
      <c r="G39" s="231">
        <v>0</v>
      </c>
      <c r="H39" s="231">
        <v>0</v>
      </c>
      <c r="I39" s="232">
        <v>0</v>
      </c>
      <c r="J39" s="233">
        <f t="shared" si="0"/>
        <v>0</v>
      </c>
    </row>
    <row r="40" spans="1:10" ht="12" customHeight="1" x14ac:dyDescent="0.2">
      <c r="A40" s="220"/>
      <c r="B40" s="228" t="s">
        <v>618</v>
      </c>
      <c r="C40" s="222"/>
      <c r="D40" s="229">
        <v>23333333.336666644</v>
      </c>
      <c r="E40" s="222"/>
      <c r="F40" s="230">
        <v>0</v>
      </c>
      <c r="G40" s="231">
        <v>0</v>
      </c>
      <c r="H40" s="231">
        <v>0</v>
      </c>
      <c r="I40" s="232">
        <v>-833333.33333333337</v>
      </c>
      <c r="J40" s="233">
        <f t="shared" si="0"/>
        <v>22500000.003333312</v>
      </c>
    </row>
    <row r="41" spans="1:10" ht="12" customHeight="1" x14ac:dyDescent="0.2">
      <c r="A41" s="220"/>
      <c r="B41" s="228" t="s">
        <v>619</v>
      </c>
      <c r="C41" s="222"/>
      <c r="D41" s="229">
        <v>0</v>
      </c>
      <c r="E41" s="222"/>
      <c r="F41" s="230">
        <v>0</v>
      </c>
      <c r="G41" s="231">
        <v>0</v>
      </c>
      <c r="H41" s="231">
        <v>0</v>
      </c>
      <c r="I41" s="232">
        <v>0</v>
      </c>
      <c r="J41" s="233">
        <f t="shared" si="0"/>
        <v>0</v>
      </c>
    </row>
    <row r="42" spans="1:10" ht="12" customHeight="1" x14ac:dyDescent="0.2">
      <c r="A42" s="220"/>
      <c r="B42" s="228" t="s">
        <v>620</v>
      </c>
      <c r="C42" s="222"/>
      <c r="D42" s="229">
        <v>16166666.663333321</v>
      </c>
      <c r="E42" s="222"/>
      <c r="F42" s="230">
        <v>0</v>
      </c>
      <c r="G42" s="231">
        <v>0</v>
      </c>
      <c r="H42" s="231">
        <v>0</v>
      </c>
      <c r="I42" s="232">
        <v>-916666.66666666674</v>
      </c>
      <c r="J42" s="233">
        <f t="shared" si="0"/>
        <v>15249999.996666655</v>
      </c>
    </row>
    <row r="43" spans="1:10" ht="12" customHeight="1" x14ac:dyDescent="0.2">
      <c r="A43" s="220"/>
      <c r="B43" s="228" t="s">
        <v>621</v>
      </c>
      <c r="C43" s="222"/>
      <c r="D43" s="229">
        <v>70583333.333333284</v>
      </c>
      <c r="E43" s="222"/>
      <c r="F43" s="230">
        <v>0</v>
      </c>
      <c r="G43" s="231">
        <v>0</v>
      </c>
      <c r="H43" s="231">
        <v>0</v>
      </c>
      <c r="I43" s="232">
        <v>-1666666.6666666665</v>
      </c>
      <c r="J43" s="233">
        <f t="shared" si="0"/>
        <v>68916666.666666612</v>
      </c>
    </row>
    <row r="44" spans="1:10" ht="12" customHeight="1" x14ac:dyDescent="0.2">
      <c r="A44" s="220"/>
      <c r="B44" s="228" t="s">
        <v>622</v>
      </c>
      <c r="C44" s="222"/>
      <c r="D44" s="229">
        <v>45000000.000000045</v>
      </c>
      <c r="E44" s="222"/>
      <c r="F44" s="230">
        <v>0</v>
      </c>
      <c r="G44" s="231">
        <v>0</v>
      </c>
      <c r="H44" s="231">
        <v>0</v>
      </c>
      <c r="I44" s="232">
        <v>-1250000</v>
      </c>
      <c r="J44" s="233">
        <f t="shared" si="0"/>
        <v>43750000.000000045</v>
      </c>
    </row>
    <row r="45" spans="1:10" ht="12" customHeight="1" x14ac:dyDescent="0.2">
      <c r="A45" s="220"/>
      <c r="B45" s="228" t="s">
        <v>623</v>
      </c>
      <c r="C45" s="222"/>
      <c r="D45" s="229">
        <v>95000000.666666672</v>
      </c>
      <c r="E45" s="222"/>
      <c r="F45" s="230">
        <v>0</v>
      </c>
      <c r="G45" s="231">
        <v>0</v>
      </c>
      <c r="H45" s="231">
        <v>0</v>
      </c>
      <c r="I45" s="232">
        <v>-1666666.6666666667</v>
      </c>
      <c r="J45" s="233">
        <f t="shared" si="0"/>
        <v>93333334</v>
      </c>
    </row>
    <row r="46" spans="1:10" ht="12" customHeight="1" x14ac:dyDescent="0.2">
      <c r="A46" s="220"/>
      <c r="B46" s="228" t="s">
        <v>624</v>
      </c>
      <c r="C46" s="222"/>
      <c r="D46" s="229">
        <v>66766666.666666619</v>
      </c>
      <c r="E46" s="222"/>
      <c r="F46" s="230">
        <v>0</v>
      </c>
      <c r="G46" s="231">
        <v>0</v>
      </c>
      <c r="H46" s="231">
        <v>0</v>
      </c>
      <c r="I46" s="232">
        <v>-1566666.6666666667</v>
      </c>
      <c r="J46" s="233">
        <f t="shared" si="0"/>
        <v>65199999.999999955</v>
      </c>
    </row>
    <row r="47" spans="1:10" ht="12" customHeight="1" x14ac:dyDescent="0.2">
      <c r="A47" s="220"/>
      <c r="B47" s="228" t="s">
        <v>625</v>
      </c>
      <c r="C47" s="222"/>
      <c r="D47" s="229">
        <v>91666666.323333219</v>
      </c>
      <c r="E47" s="222"/>
      <c r="F47" s="230">
        <v>0</v>
      </c>
      <c r="G47" s="231">
        <v>20000000</v>
      </c>
      <c r="H47" s="231">
        <v>0</v>
      </c>
      <c r="I47" s="232">
        <v>-2500000</v>
      </c>
      <c r="J47" s="233">
        <f t="shared" si="0"/>
        <v>109166666.32333322</v>
      </c>
    </row>
    <row r="48" spans="1:10" ht="12" customHeight="1" x14ac:dyDescent="0.2">
      <c r="A48" s="220"/>
      <c r="B48" s="228" t="s">
        <v>626</v>
      </c>
      <c r="C48" s="222"/>
      <c r="D48" s="229">
        <v>0</v>
      </c>
      <c r="E48" s="222"/>
      <c r="F48" s="230">
        <v>0</v>
      </c>
      <c r="G48" s="231">
        <v>0</v>
      </c>
      <c r="H48" s="231">
        <v>0</v>
      </c>
      <c r="I48" s="232">
        <v>0</v>
      </c>
      <c r="J48" s="233">
        <f t="shared" si="0"/>
        <v>0</v>
      </c>
    </row>
    <row r="49" spans="1:10" ht="12" customHeight="1" x14ac:dyDescent="0.2">
      <c r="A49" s="220"/>
      <c r="B49" s="228" t="s">
        <v>627</v>
      </c>
      <c r="C49" s="222"/>
      <c r="D49" s="229">
        <v>94999999.666666687</v>
      </c>
      <c r="E49" s="222"/>
      <c r="F49" s="230">
        <v>0</v>
      </c>
      <c r="G49" s="231">
        <v>0</v>
      </c>
      <c r="H49" s="231">
        <v>0</v>
      </c>
      <c r="I49" s="232">
        <v>-1666666.6666666667</v>
      </c>
      <c r="J49" s="233">
        <f t="shared" si="0"/>
        <v>93333333.000000015</v>
      </c>
    </row>
    <row r="50" spans="1:10" ht="12" customHeight="1" x14ac:dyDescent="0.2">
      <c r="A50" s="220"/>
      <c r="B50" s="228" t="s">
        <v>628</v>
      </c>
      <c r="C50" s="222"/>
      <c r="D50" s="229">
        <v>15000000.000000002</v>
      </c>
      <c r="E50" s="222"/>
      <c r="F50" s="230">
        <v>0</v>
      </c>
      <c r="G50" s="231">
        <v>0</v>
      </c>
      <c r="H50" s="231">
        <v>0</v>
      </c>
      <c r="I50" s="232">
        <v>-833333.33333333337</v>
      </c>
      <c r="J50" s="233">
        <f t="shared" si="0"/>
        <v>14166666.666666668</v>
      </c>
    </row>
    <row r="51" spans="1:10" ht="12" customHeight="1" x14ac:dyDescent="0.2">
      <c r="A51" s="220"/>
      <c r="B51" s="228" t="s">
        <v>629</v>
      </c>
      <c r="C51" s="222"/>
      <c r="D51" s="229">
        <v>0</v>
      </c>
      <c r="E51" s="222"/>
      <c r="F51" s="230">
        <v>0</v>
      </c>
      <c r="G51" s="231">
        <v>0</v>
      </c>
      <c r="H51" s="231">
        <v>0</v>
      </c>
      <c r="I51" s="232">
        <v>0</v>
      </c>
      <c r="J51" s="233">
        <f t="shared" si="0"/>
        <v>0</v>
      </c>
    </row>
    <row r="52" spans="1:10" ht="12" customHeight="1" x14ac:dyDescent="0.2">
      <c r="A52" s="220"/>
      <c r="B52" s="228" t="s">
        <v>630</v>
      </c>
      <c r="C52" s="222"/>
      <c r="D52" s="229">
        <v>0</v>
      </c>
      <c r="E52" s="222"/>
      <c r="F52" s="230">
        <v>0</v>
      </c>
      <c r="G52" s="231">
        <v>0</v>
      </c>
      <c r="H52" s="231">
        <v>0</v>
      </c>
      <c r="I52" s="232">
        <v>0</v>
      </c>
      <c r="J52" s="233">
        <f t="shared" si="0"/>
        <v>0</v>
      </c>
    </row>
    <row r="53" spans="1:10" ht="12" customHeight="1" x14ac:dyDescent="0.2">
      <c r="A53" s="220"/>
      <c r="B53" s="228" t="s">
        <v>631</v>
      </c>
      <c r="C53" s="222"/>
      <c r="D53" s="229">
        <v>0</v>
      </c>
      <c r="E53" s="222"/>
      <c r="F53" s="230">
        <v>0</v>
      </c>
      <c r="G53" s="231">
        <v>0</v>
      </c>
      <c r="H53" s="231">
        <v>0</v>
      </c>
      <c r="I53" s="232">
        <v>0</v>
      </c>
      <c r="J53" s="233">
        <f t="shared" si="0"/>
        <v>0</v>
      </c>
    </row>
    <row r="54" spans="1:10" ht="12" customHeight="1" x14ac:dyDescent="0.2">
      <c r="A54" s="220"/>
      <c r="B54" s="228" t="s">
        <v>632</v>
      </c>
      <c r="C54" s="222"/>
      <c r="D54" s="229">
        <v>555555.54888888495</v>
      </c>
      <c r="E54" s="222"/>
      <c r="F54" s="230">
        <v>0</v>
      </c>
      <c r="G54" s="231">
        <v>0</v>
      </c>
      <c r="H54" s="231">
        <v>0</v>
      </c>
      <c r="I54" s="232">
        <v>-277777.77777777775</v>
      </c>
      <c r="J54" s="233">
        <f t="shared" si="0"/>
        <v>277777.7711111072</v>
      </c>
    </row>
    <row r="55" spans="1:10" ht="12" customHeight="1" x14ac:dyDescent="0.2">
      <c r="A55" s="220"/>
      <c r="B55" s="228" t="s">
        <v>633</v>
      </c>
      <c r="C55" s="222"/>
      <c r="D55" s="229">
        <v>0</v>
      </c>
      <c r="E55" s="222"/>
      <c r="F55" s="230">
        <v>0</v>
      </c>
      <c r="G55" s="231">
        <v>0</v>
      </c>
      <c r="H55" s="231">
        <v>0</v>
      </c>
      <c r="I55" s="232">
        <v>0</v>
      </c>
      <c r="J55" s="233">
        <f t="shared" si="0"/>
        <v>0</v>
      </c>
    </row>
    <row r="56" spans="1:10" ht="12" customHeight="1" x14ac:dyDescent="0.2">
      <c r="A56" s="220"/>
      <c r="B56" s="228" t="s">
        <v>634</v>
      </c>
      <c r="C56" s="222"/>
      <c r="D56" s="229">
        <v>0</v>
      </c>
      <c r="E56" s="222"/>
      <c r="F56" s="230">
        <v>0</v>
      </c>
      <c r="G56" s="231">
        <v>0</v>
      </c>
      <c r="H56" s="231">
        <v>0</v>
      </c>
      <c r="I56" s="232">
        <v>0</v>
      </c>
      <c r="J56" s="233">
        <f t="shared" si="0"/>
        <v>0</v>
      </c>
    </row>
    <row r="57" spans="1:10" ht="12" customHeight="1" x14ac:dyDescent="0.2">
      <c r="A57" s="220"/>
      <c r="B57" s="228" t="s">
        <v>635</v>
      </c>
      <c r="C57" s="222"/>
      <c r="D57" s="229">
        <v>0</v>
      </c>
      <c r="E57" s="222"/>
      <c r="F57" s="230">
        <v>0</v>
      </c>
      <c r="G57" s="231">
        <v>0</v>
      </c>
      <c r="H57" s="231">
        <v>0</v>
      </c>
      <c r="I57" s="232">
        <v>0</v>
      </c>
      <c r="J57" s="233">
        <f t="shared" si="0"/>
        <v>0</v>
      </c>
    </row>
    <row r="58" spans="1:10" ht="12" customHeight="1" x14ac:dyDescent="0.2">
      <c r="A58" s="220"/>
      <c r="B58" s="228" t="s">
        <v>636</v>
      </c>
      <c r="C58" s="222"/>
      <c r="D58" s="229">
        <v>0</v>
      </c>
      <c r="E58" s="222"/>
      <c r="F58" s="230">
        <v>0</v>
      </c>
      <c r="G58" s="231">
        <v>0</v>
      </c>
      <c r="H58" s="231">
        <v>0</v>
      </c>
      <c r="I58" s="232">
        <v>0</v>
      </c>
      <c r="J58" s="233">
        <f t="shared" si="0"/>
        <v>0</v>
      </c>
    </row>
    <row r="59" spans="1:10" ht="12" customHeight="1" x14ac:dyDescent="0.2">
      <c r="A59" s="220"/>
      <c r="B59" s="228" t="s">
        <v>637</v>
      </c>
      <c r="C59" s="222"/>
      <c r="D59" s="229">
        <v>0</v>
      </c>
      <c r="E59" s="222"/>
      <c r="F59" s="230">
        <v>0</v>
      </c>
      <c r="G59" s="231">
        <v>0</v>
      </c>
      <c r="H59" s="231">
        <v>0</v>
      </c>
      <c r="I59" s="232">
        <v>0</v>
      </c>
      <c r="J59" s="233">
        <f t="shared" si="0"/>
        <v>0</v>
      </c>
    </row>
    <row r="60" spans="1:10" ht="12" customHeight="1" x14ac:dyDescent="0.2">
      <c r="A60" s="220"/>
      <c r="B60" s="228" t="s">
        <v>638</v>
      </c>
      <c r="C60" s="222"/>
      <c r="D60" s="229">
        <v>71111111.111111104</v>
      </c>
      <c r="E60" s="222"/>
      <c r="F60" s="230">
        <v>0</v>
      </c>
      <c r="G60" s="231">
        <v>0</v>
      </c>
      <c r="H60" s="231">
        <v>0</v>
      </c>
      <c r="I60" s="232">
        <v>-2222222.222222222</v>
      </c>
      <c r="J60" s="233">
        <f t="shared" si="0"/>
        <v>68888888.888888881</v>
      </c>
    </row>
    <row r="61" spans="1:10" ht="12" customHeight="1" x14ac:dyDescent="0.2">
      <c r="A61" s="220"/>
      <c r="B61" s="228" t="s">
        <v>639</v>
      </c>
      <c r="C61" s="222"/>
      <c r="D61" s="229">
        <v>0</v>
      </c>
      <c r="E61" s="222"/>
      <c r="F61" s="230">
        <v>0</v>
      </c>
      <c r="G61" s="231">
        <v>0</v>
      </c>
      <c r="H61" s="231">
        <v>0</v>
      </c>
      <c r="I61" s="232">
        <v>0</v>
      </c>
      <c r="J61" s="233">
        <f t="shared" si="0"/>
        <v>0</v>
      </c>
    </row>
    <row r="62" spans="1:10" ht="12" customHeight="1" x14ac:dyDescent="0.2">
      <c r="A62" s="220"/>
      <c r="B62" s="228" t="s">
        <v>640</v>
      </c>
      <c r="C62" s="222"/>
      <c r="D62" s="229">
        <v>31250000.006666653</v>
      </c>
      <c r="E62" s="222"/>
      <c r="F62" s="230">
        <v>0</v>
      </c>
      <c r="G62" s="231">
        <v>0</v>
      </c>
      <c r="H62" s="231">
        <v>0</v>
      </c>
      <c r="I62" s="232">
        <v>-2083333.3333333333</v>
      </c>
      <c r="J62" s="233">
        <f t="shared" si="0"/>
        <v>29166666.673333321</v>
      </c>
    </row>
    <row r="63" spans="1:10" ht="12" customHeight="1" x14ac:dyDescent="0.2">
      <c r="A63" s="220"/>
      <c r="B63" s="228" t="s">
        <v>641</v>
      </c>
      <c r="C63" s="222"/>
      <c r="D63" s="229">
        <v>21666666.663333356</v>
      </c>
      <c r="E63" s="222"/>
      <c r="F63" s="230">
        <v>0</v>
      </c>
      <c r="G63" s="231">
        <v>0</v>
      </c>
      <c r="H63" s="231">
        <v>0</v>
      </c>
      <c r="I63" s="232">
        <v>-1666666.6666666667</v>
      </c>
      <c r="J63" s="233">
        <f t="shared" si="0"/>
        <v>19999999.996666688</v>
      </c>
    </row>
    <row r="64" spans="1:10" ht="12" customHeight="1" x14ac:dyDescent="0.2">
      <c r="A64" s="220"/>
      <c r="B64" s="228" t="s">
        <v>642</v>
      </c>
      <c r="C64" s="222"/>
      <c r="D64" s="229">
        <v>0</v>
      </c>
      <c r="E64" s="222"/>
      <c r="F64" s="230">
        <v>0</v>
      </c>
      <c r="G64" s="231">
        <v>0</v>
      </c>
      <c r="H64" s="231">
        <v>0</v>
      </c>
      <c r="I64" s="232">
        <v>0</v>
      </c>
      <c r="J64" s="233">
        <f t="shared" si="0"/>
        <v>0</v>
      </c>
    </row>
    <row r="65" spans="1:10" ht="12" customHeight="1" x14ac:dyDescent="0.2">
      <c r="A65" s="220"/>
      <c r="B65" s="228" t="s">
        <v>643</v>
      </c>
      <c r="C65" s="222"/>
      <c r="D65" s="229">
        <v>0</v>
      </c>
      <c r="E65" s="222"/>
      <c r="F65" s="230">
        <v>0</v>
      </c>
      <c r="G65" s="231">
        <v>0</v>
      </c>
      <c r="H65" s="231">
        <v>0</v>
      </c>
      <c r="I65" s="232">
        <v>0</v>
      </c>
      <c r="J65" s="233">
        <f t="shared" si="0"/>
        <v>0</v>
      </c>
    </row>
    <row r="66" spans="1:10" ht="12" customHeight="1" x14ac:dyDescent="0.2">
      <c r="A66" s="220"/>
      <c r="B66" s="228" t="s">
        <v>644</v>
      </c>
      <c r="C66" s="222"/>
      <c r="D66" s="229">
        <v>0</v>
      </c>
      <c r="E66" s="222"/>
      <c r="F66" s="230">
        <v>0</v>
      </c>
      <c r="G66" s="231">
        <v>0</v>
      </c>
      <c r="H66" s="231">
        <v>0</v>
      </c>
      <c r="I66" s="232">
        <v>0</v>
      </c>
      <c r="J66" s="233">
        <f t="shared" si="0"/>
        <v>0</v>
      </c>
    </row>
    <row r="67" spans="1:10" ht="12" customHeight="1" x14ac:dyDescent="0.2">
      <c r="A67" s="220"/>
      <c r="B67" s="228" t="s">
        <v>645</v>
      </c>
      <c r="C67" s="222"/>
      <c r="D67" s="229">
        <v>0</v>
      </c>
      <c r="E67" s="222"/>
      <c r="F67" s="230">
        <v>0</v>
      </c>
      <c r="G67" s="231">
        <v>0</v>
      </c>
      <c r="H67" s="231">
        <v>0</v>
      </c>
      <c r="I67" s="232">
        <v>0</v>
      </c>
      <c r="J67" s="233">
        <f t="shared" si="0"/>
        <v>0</v>
      </c>
    </row>
    <row r="68" spans="1:10" ht="12" customHeight="1" x14ac:dyDescent="0.2">
      <c r="A68" s="220"/>
      <c r="B68" s="228" t="s">
        <v>646</v>
      </c>
      <c r="C68" s="222"/>
      <c r="D68" s="229">
        <v>0</v>
      </c>
      <c r="E68" s="222"/>
      <c r="F68" s="230">
        <v>0</v>
      </c>
      <c r="G68" s="231">
        <v>0</v>
      </c>
      <c r="H68" s="231">
        <v>0</v>
      </c>
      <c r="I68" s="232">
        <v>0</v>
      </c>
      <c r="J68" s="233">
        <f t="shared" si="0"/>
        <v>0</v>
      </c>
    </row>
    <row r="69" spans="1:10" ht="12" customHeight="1" x14ac:dyDescent="0.2">
      <c r="A69" s="220"/>
      <c r="B69" s="228" t="s">
        <v>647</v>
      </c>
      <c r="C69" s="222"/>
      <c r="D69" s="229">
        <v>0</v>
      </c>
      <c r="E69" s="222"/>
      <c r="F69" s="230">
        <v>0</v>
      </c>
      <c r="G69" s="231">
        <v>0</v>
      </c>
      <c r="H69" s="231">
        <v>0</v>
      </c>
      <c r="I69" s="232">
        <v>0</v>
      </c>
      <c r="J69" s="233">
        <f t="shared" si="0"/>
        <v>0</v>
      </c>
    </row>
    <row r="70" spans="1:10" ht="12" customHeight="1" x14ac:dyDescent="0.2">
      <c r="A70" s="220"/>
      <c r="B70" s="228" t="s">
        <v>648</v>
      </c>
      <c r="C70" s="222"/>
      <c r="D70" s="229">
        <v>0</v>
      </c>
      <c r="E70" s="222"/>
      <c r="F70" s="230">
        <v>0</v>
      </c>
      <c r="G70" s="231">
        <v>20000000</v>
      </c>
      <c r="H70" s="231">
        <v>0</v>
      </c>
      <c r="I70" s="232">
        <v>-1666666.6666666667</v>
      </c>
      <c r="J70" s="233">
        <f t="shared" si="0"/>
        <v>18333333.333333332</v>
      </c>
    </row>
    <row r="71" spans="1:10" ht="12" customHeight="1" x14ac:dyDescent="0.2">
      <c r="A71" s="220"/>
      <c r="B71" s="228" t="s">
        <v>649</v>
      </c>
      <c r="C71" s="222"/>
      <c r="D71" s="229">
        <v>79182916.979999989</v>
      </c>
      <c r="E71" s="222"/>
      <c r="F71" s="230">
        <v>0</v>
      </c>
      <c r="G71" s="231">
        <v>0</v>
      </c>
      <c r="H71" s="231">
        <v>0</v>
      </c>
      <c r="I71" s="232">
        <v>-1342083.3333333333</v>
      </c>
      <c r="J71" s="233">
        <f t="shared" si="0"/>
        <v>77840833.646666661</v>
      </c>
    </row>
    <row r="72" spans="1:10" ht="12" customHeight="1" x14ac:dyDescent="0.2">
      <c r="A72" s="220"/>
      <c r="B72" s="228" t="s">
        <v>650</v>
      </c>
      <c r="C72" s="222"/>
      <c r="D72" s="229">
        <v>0</v>
      </c>
      <c r="E72" s="222"/>
      <c r="F72" s="230">
        <v>0</v>
      </c>
      <c r="G72" s="231">
        <v>0</v>
      </c>
      <c r="H72" s="231">
        <v>0</v>
      </c>
      <c r="I72" s="232">
        <v>0</v>
      </c>
      <c r="J72" s="233">
        <f t="shared" si="0"/>
        <v>0</v>
      </c>
    </row>
    <row r="73" spans="1:10" ht="12" customHeight="1" x14ac:dyDescent="0.2">
      <c r="A73" s="220"/>
      <c r="B73" s="228" t="s">
        <v>651</v>
      </c>
      <c r="C73" s="222"/>
      <c r="D73" s="229">
        <v>76666666.654444352</v>
      </c>
      <c r="E73" s="222"/>
      <c r="F73" s="230">
        <v>0</v>
      </c>
      <c r="G73" s="231">
        <v>0</v>
      </c>
      <c r="H73" s="231">
        <v>0</v>
      </c>
      <c r="I73" s="232">
        <v>-2222222.222222222</v>
      </c>
      <c r="J73" s="233">
        <f t="shared" ref="J73:J98" si="1">D73+F73+G73+H73+I73</f>
        <v>74444444.432222128</v>
      </c>
    </row>
    <row r="74" spans="1:10" ht="12" customHeight="1" x14ac:dyDescent="0.2">
      <c r="A74" s="220"/>
      <c r="B74" s="228" t="s">
        <v>652</v>
      </c>
      <c r="C74" s="222"/>
      <c r="D74" s="229">
        <v>2083333.3333333288</v>
      </c>
      <c r="E74" s="222"/>
      <c r="F74" s="230">
        <v>0</v>
      </c>
      <c r="G74" s="231">
        <v>0</v>
      </c>
      <c r="H74" s="231">
        <v>0</v>
      </c>
      <c r="I74" s="232">
        <v>-1041666.6666666666</v>
      </c>
      <c r="J74" s="233">
        <f t="shared" si="1"/>
        <v>1041666.6666666622</v>
      </c>
    </row>
    <row r="75" spans="1:10" ht="12" customHeight="1" x14ac:dyDescent="0.2">
      <c r="A75" s="220"/>
      <c r="B75" s="228" t="s">
        <v>653</v>
      </c>
      <c r="C75" s="222"/>
      <c r="D75" s="229">
        <v>36666667</v>
      </c>
      <c r="E75" s="222"/>
      <c r="F75" s="230">
        <v>-36666667</v>
      </c>
      <c r="G75" s="231">
        <v>50000000</v>
      </c>
      <c r="H75" s="231">
        <v>0</v>
      </c>
      <c r="I75" s="232">
        <v>-1388888.888888889</v>
      </c>
      <c r="J75" s="233">
        <f t="shared" si="1"/>
        <v>48611111.111111112</v>
      </c>
    </row>
    <row r="76" spans="1:10" ht="12" customHeight="1" x14ac:dyDescent="0.2">
      <c r="A76" s="220"/>
      <c r="B76" s="228" t="s">
        <v>654</v>
      </c>
      <c r="C76" s="222"/>
      <c r="D76" s="229">
        <v>0</v>
      </c>
      <c r="E76" s="222"/>
      <c r="F76" s="230">
        <v>0</v>
      </c>
      <c r="G76" s="231">
        <v>0</v>
      </c>
      <c r="H76" s="231">
        <v>0</v>
      </c>
      <c r="I76" s="232">
        <v>0</v>
      </c>
      <c r="J76" s="233">
        <f t="shared" si="1"/>
        <v>0</v>
      </c>
    </row>
    <row r="77" spans="1:10" ht="12" customHeight="1" x14ac:dyDescent="0.2">
      <c r="A77" s="220"/>
      <c r="B77" s="228" t="s">
        <v>655</v>
      </c>
      <c r="C77" s="222"/>
      <c r="D77" s="229">
        <v>2933333.343333337</v>
      </c>
      <c r="E77" s="222"/>
      <c r="F77" s="230">
        <v>0</v>
      </c>
      <c r="G77" s="231">
        <v>0</v>
      </c>
      <c r="H77" s="231">
        <v>0</v>
      </c>
      <c r="I77" s="232">
        <v>0</v>
      </c>
      <c r="J77" s="233">
        <f t="shared" si="1"/>
        <v>2933333.343333337</v>
      </c>
    </row>
    <row r="78" spans="1:10" ht="12" customHeight="1" x14ac:dyDescent="0.2">
      <c r="A78" s="220"/>
      <c r="B78" s="228" t="s">
        <v>656</v>
      </c>
      <c r="C78" s="222"/>
      <c r="D78" s="229">
        <v>0</v>
      </c>
      <c r="E78" s="222"/>
      <c r="F78" s="230">
        <v>0</v>
      </c>
      <c r="G78" s="231">
        <v>0</v>
      </c>
      <c r="H78" s="231">
        <v>0</v>
      </c>
      <c r="I78" s="232">
        <v>0</v>
      </c>
      <c r="J78" s="233">
        <f t="shared" si="1"/>
        <v>0</v>
      </c>
    </row>
    <row r="79" spans="1:10" ht="12" customHeight="1" x14ac:dyDescent="0.2">
      <c r="A79" s="220"/>
      <c r="B79" s="228" t="s">
        <v>657</v>
      </c>
      <c r="C79" s="222"/>
      <c r="D79" s="229">
        <v>42499999.326666713</v>
      </c>
      <c r="E79" s="222"/>
      <c r="F79" s="230">
        <v>-16666667</v>
      </c>
      <c r="G79" s="231">
        <v>30000000</v>
      </c>
      <c r="H79" s="231">
        <v>0</v>
      </c>
      <c r="I79" s="232">
        <v>-1666666.6666666667</v>
      </c>
      <c r="J79" s="233">
        <f t="shared" si="1"/>
        <v>54166665.660000049</v>
      </c>
    </row>
    <row r="80" spans="1:10" ht="12" customHeight="1" x14ac:dyDescent="0.2">
      <c r="A80" s="220"/>
      <c r="B80" s="228" t="s">
        <v>658</v>
      </c>
      <c r="C80" s="222"/>
      <c r="D80" s="229">
        <v>4166666.6666666619</v>
      </c>
      <c r="E80" s="222"/>
      <c r="F80" s="230">
        <v>0</v>
      </c>
      <c r="G80" s="231">
        <v>10000000</v>
      </c>
      <c r="H80" s="231">
        <v>0</v>
      </c>
      <c r="I80" s="232">
        <v>-416666.66666666669</v>
      </c>
      <c r="J80" s="233">
        <f t="shared" si="1"/>
        <v>13749999.999999996</v>
      </c>
    </row>
    <row r="81" spans="1:10" ht="12" customHeight="1" x14ac:dyDescent="0.2">
      <c r="A81" s="220"/>
      <c r="B81" s="228" t="s">
        <v>659</v>
      </c>
      <c r="C81" s="222"/>
      <c r="D81" s="229">
        <v>39583333.333333299</v>
      </c>
      <c r="E81" s="222"/>
      <c r="F81" s="230">
        <v>0</v>
      </c>
      <c r="G81" s="231">
        <v>0</v>
      </c>
      <c r="H81" s="231">
        <v>0</v>
      </c>
      <c r="I81" s="232">
        <v>-2083333.3333333333</v>
      </c>
      <c r="J81" s="233">
        <f t="shared" si="1"/>
        <v>37499999.999999963</v>
      </c>
    </row>
    <row r="82" spans="1:10" ht="12" customHeight="1" x14ac:dyDescent="0.2">
      <c r="A82" s="220"/>
      <c r="B82" s="228" t="s">
        <v>660</v>
      </c>
      <c r="C82" s="222"/>
      <c r="D82" s="229">
        <v>0</v>
      </c>
      <c r="E82" s="222"/>
      <c r="F82" s="230">
        <v>0</v>
      </c>
      <c r="G82" s="231">
        <v>0</v>
      </c>
      <c r="H82" s="231">
        <v>0</v>
      </c>
      <c r="I82" s="232">
        <v>0</v>
      </c>
      <c r="J82" s="233">
        <f t="shared" si="1"/>
        <v>0</v>
      </c>
    </row>
    <row r="83" spans="1:10" ht="12" customHeight="1" x14ac:dyDescent="0.2">
      <c r="A83" s="220"/>
      <c r="B83" s="228" t="s">
        <v>661</v>
      </c>
      <c r="C83" s="222"/>
      <c r="D83" s="229">
        <v>0</v>
      </c>
      <c r="E83" s="222"/>
      <c r="F83" s="230">
        <v>0</v>
      </c>
      <c r="G83" s="231">
        <v>0</v>
      </c>
      <c r="H83" s="231">
        <v>0</v>
      </c>
      <c r="I83" s="232">
        <v>0</v>
      </c>
      <c r="J83" s="233">
        <f t="shared" si="1"/>
        <v>0</v>
      </c>
    </row>
    <row r="84" spans="1:10" ht="12" customHeight="1" x14ac:dyDescent="0.2">
      <c r="A84" s="220"/>
      <c r="B84" s="228" t="s">
        <v>662</v>
      </c>
      <c r="C84" s="222"/>
      <c r="D84" s="229">
        <v>36666666.666666627</v>
      </c>
      <c r="E84" s="222"/>
      <c r="F84" s="230">
        <v>0</v>
      </c>
      <c r="G84" s="231">
        <v>0</v>
      </c>
      <c r="H84" s="231">
        <v>0</v>
      </c>
      <c r="I84" s="232">
        <v>-833333.33333333337</v>
      </c>
      <c r="J84" s="233">
        <f t="shared" si="1"/>
        <v>35833333.333333291</v>
      </c>
    </row>
    <row r="85" spans="1:10" ht="12" customHeight="1" x14ac:dyDescent="0.2">
      <c r="A85" s="220"/>
      <c r="B85" s="228" t="s">
        <v>663</v>
      </c>
      <c r="C85" s="222"/>
      <c r="D85" s="229">
        <v>0</v>
      </c>
      <c r="E85" s="222"/>
      <c r="F85" s="230">
        <v>0</v>
      </c>
      <c r="G85" s="231">
        <v>0</v>
      </c>
      <c r="H85" s="231">
        <v>0</v>
      </c>
      <c r="I85" s="232">
        <v>0</v>
      </c>
      <c r="J85" s="233">
        <f t="shared" si="1"/>
        <v>0</v>
      </c>
    </row>
    <row r="86" spans="1:10" ht="12" customHeight="1" x14ac:dyDescent="0.2">
      <c r="A86" s="220"/>
      <c r="B86" s="228" t="s">
        <v>664</v>
      </c>
      <c r="C86" s="222"/>
      <c r="D86" s="229">
        <v>53104166.57555557</v>
      </c>
      <c r="E86" s="222"/>
      <c r="F86" s="230">
        <v>0</v>
      </c>
      <c r="G86" s="231">
        <v>0</v>
      </c>
      <c r="H86" s="231">
        <v>0</v>
      </c>
      <c r="I86" s="232">
        <v>-1395833.3333333333</v>
      </c>
      <c r="J86" s="233">
        <f t="shared" si="1"/>
        <v>51708333.242222235</v>
      </c>
    </row>
    <row r="87" spans="1:10" ht="12" customHeight="1" x14ac:dyDescent="0.2">
      <c r="A87" s="220"/>
      <c r="B87" s="228" t="s">
        <v>665</v>
      </c>
      <c r="C87" s="222"/>
      <c r="D87" s="229">
        <v>0</v>
      </c>
      <c r="E87" s="222"/>
      <c r="F87" s="239">
        <v>0</v>
      </c>
      <c r="G87" s="240">
        <v>0</v>
      </c>
      <c r="H87" s="231">
        <v>0</v>
      </c>
      <c r="I87" s="232">
        <v>0</v>
      </c>
      <c r="J87" s="233">
        <f t="shared" si="1"/>
        <v>0</v>
      </c>
    </row>
    <row r="88" spans="1:10" ht="12" customHeight="1" x14ac:dyDescent="0.2">
      <c r="A88" s="220"/>
      <c r="B88" s="228" t="s">
        <v>666</v>
      </c>
      <c r="C88" s="222"/>
      <c r="D88" s="229">
        <v>69999999.999999911</v>
      </c>
      <c r="E88" s="222"/>
      <c r="F88" s="239">
        <v>0</v>
      </c>
      <c r="G88" s="240">
        <v>0</v>
      </c>
      <c r="H88" s="231">
        <v>0</v>
      </c>
      <c r="I88" s="232">
        <v>-1666666.6666666667</v>
      </c>
      <c r="J88" s="233">
        <f t="shared" si="1"/>
        <v>68333333.333333239</v>
      </c>
    </row>
    <row r="89" spans="1:10" ht="12" customHeight="1" x14ac:dyDescent="0.2">
      <c r="A89" s="220"/>
      <c r="B89" s="228" t="s">
        <v>667</v>
      </c>
      <c r="C89" s="222"/>
      <c r="D89" s="229">
        <v>26500000</v>
      </c>
      <c r="E89" s="222"/>
      <c r="F89" s="239">
        <v>0</v>
      </c>
      <c r="G89" s="240">
        <v>0</v>
      </c>
      <c r="H89" s="231">
        <v>0</v>
      </c>
      <c r="I89" s="232">
        <v>-500000</v>
      </c>
      <c r="J89" s="233">
        <f t="shared" si="1"/>
        <v>26000000</v>
      </c>
    </row>
    <row r="90" spans="1:10" ht="12" customHeight="1" x14ac:dyDescent="0.2">
      <c r="A90" s="220"/>
      <c r="B90" s="228" t="s">
        <v>668</v>
      </c>
      <c r="C90" s="222"/>
      <c r="D90" s="229">
        <v>0</v>
      </c>
      <c r="E90" s="222"/>
      <c r="F90" s="239">
        <v>0</v>
      </c>
      <c r="G90" s="240">
        <v>0</v>
      </c>
      <c r="H90" s="231">
        <v>0</v>
      </c>
      <c r="I90" s="232">
        <v>0</v>
      </c>
      <c r="J90" s="233">
        <f t="shared" si="1"/>
        <v>0</v>
      </c>
    </row>
    <row r="91" spans="1:10" ht="12" customHeight="1" x14ac:dyDescent="0.2">
      <c r="A91" s="220"/>
      <c r="B91" s="228" t="s">
        <v>669</v>
      </c>
      <c r="C91" s="222"/>
      <c r="D91" s="229">
        <v>0</v>
      </c>
      <c r="E91" s="222"/>
      <c r="F91" s="239">
        <v>0</v>
      </c>
      <c r="G91" s="240">
        <v>0</v>
      </c>
      <c r="H91" s="231">
        <v>0</v>
      </c>
      <c r="I91" s="232">
        <v>0</v>
      </c>
      <c r="J91" s="233">
        <f t="shared" si="1"/>
        <v>0</v>
      </c>
    </row>
    <row r="92" spans="1:10" ht="12" customHeight="1" x14ac:dyDescent="0.2">
      <c r="A92" s="220"/>
      <c r="B92" s="228" t="s">
        <v>670</v>
      </c>
      <c r="C92" s="222"/>
      <c r="D92" s="229">
        <v>41666667</v>
      </c>
      <c r="E92" s="222"/>
      <c r="F92" s="239">
        <v>-41666667</v>
      </c>
      <c r="G92" s="240">
        <v>50000000</v>
      </c>
      <c r="H92" s="231">
        <v>0</v>
      </c>
      <c r="I92" s="232">
        <v>-833333.33333333337</v>
      </c>
      <c r="J92" s="233">
        <f t="shared" si="1"/>
        <v>49166666.666666664</v>
      </c>
    </row>
    <row r="93" spans="1:10" ht="12" customHeight="1" x14ac:dyDescent="0.2">
      <c r="A93" s="220"/>
      <c r="B93" s="228" t="s">
        <v>671</v>
      </c>
      <c r="C93" s="222"/>
      <c r="D93" s="229">
        <v>33020833.336666655</v>
      </c>
      <c r="E93" s="222"/>
      <c r="F93" s="239">
        <v>0</v>
      </c>
      <c r="G93" s="240">
        <v>0</v>
      </c>
      <c r="H93" s="231">
        <v>0</v>
      </c>
      <c r="I93" s="232">
        <v>-1145833.3333333333</v>
      </c>
      <c r="J93" s="233">
        <f t="shared" si="1"/>
        <v>31875000.003333323</v>
      </c>
    </row>
    <row r="94" spans="1:10" ht="12" customHeight="1" x14ac:dyDescent="0.2">
      <c r="A94" s="220"/>
      <c r="B94" s="228" t="s">
        <v>672</v>
      </c>
      <c r="C94" s="222"/>
      <c r="D94" s="229">
        <v>0</v>
      </c>
      <c r="E94" s="222"/>
      <c r="F94" s="239">
        <v>0</v>
      </c>
      <c r="G94" s="240">
        <v>0</v>
      </c>
      <c r="H94" s="231">
        <v>0</v>
      </c>
      <c r="I94" s="232">
        <v>0</v>
      </c>
      <c r="J94" s="233">
        <f t="shared" si="1"/>
        <v>0</v>
      </c>
    </row>
    <row r="95" spans="1:10" ht="12" customHeight="1" x14ac:dyDescent="0.2">
      <c r="A95" s="220"/>
      <c r="B95" s="228" t="s">
        <v>673</v>
      </c>
      <c r="C95" s="222"/>
      <c r="D95" s="229">
        <v>58000000.548888884</v>
      </c>
      <c r="E95" s="222"/>
      <c r="F95" s="239">
        <v>0</v>
      </c>
      <c r="G95" s="240">
        <v>0</v>
      </c>
      <c r="H95" s="231">
        <v>0</v>
      </c>
      <c r="I95" s="232">
        <v>-1000000</v>
      </c>
      <c r="J95" s="233">
        <f t="shared" si="1"/>
        <v>57000000.548888884</v>
      </c>
    </row>
    <row r="96" spans="1:10" ht="12" customHeight="1" x14ac:dyDescent="0.2">
      <c r="A96" s="220"/>
      <c r="B96" s="228" t="s">
        <v>674</v>
      </c>
      <c r="C96" s="222"/>
      <c r="D96" s="229">
        <v>0</v>
      </c>
      <c r="E96" s="222"/>
      <c r="F96" s="239">
        <v>0</v>
      </c>
      <c r="G96" s="240">
        <v>0</v>
      </c>
      <c r="H96" s="231">
        <v>0</v>
      </c>
      <c r="I96" s="232">
        <v>0</v>
      </c>
      <c r="J96" s="233">
        <f t="shared" si="1"/>
        <v>0</v>
      </c>
    </row>
    <row r="97" spans="1:10" ht="12" customHeight="1" x14ac:dyDescent="0.2">
      <c r="A97" s="220"/>
      <c r="B97" s="228"/>
      <c r="C97" s="222"/>
      <c r="D97" s="229">
        <v>0</v>
      </c>
      <c r="E97" s="222"/>
      <c r="F97" s="230">
        <v>0</v>
      </c>
      <c r="G97" s="231">
        <v>0</v>
      </c>
      <c r="H97" s="231">
        <v>0</v>
      </c>
      <c r="I97" s="232">
        <v>0</v>
      </c>
      <c r="J97" s="233">
        <f t="shared" si="1"/>
        <v>0</v>
      </c>
    </row>
    <row r="98" spans="1:10" ht="12" customHeight="1" thickBot="1" x14ac:dyDescent="0.25">
      <c r="A98" s="220"/>
      <c r="B98" s="241"/>
      <c r="C98" s="222"/>
      <c r="D98" s="242">
        <v>0</v>
      </c>
      <c r="E98" s="222"/>
      <c r="F98" s="243">
        <v>0</v>
      </c>
      <c r="G98" s="244">
        <v>0</v>
      </c>
      <c r="H98" s="244">
        <v>0</v>
      </c>
      <c r="I98" s="245">
        <v>0</v>
      </c>
      <c r="J98" s="246">
        <f t="shared" si="1"/>
        <v>0</v>
      </c>
    </row>
    <row r="99" spans="1:10" ht="12" customHeight="1" thickTop="1" x14ac:dyDescent="0.2"/>
    <row r="100" spans="1:10" ht="12" customHeight="1" x14ac:dyDescent="0.2"/>
    <row r="101" spans="1:10" ht="12" customHeight="1" x14ac:dyDescent="0.2"/>
    <row r="102" spans="1:10" ht="12" customHeight="1" x14ac:dyDescent="0.2"/>
  </sheetData>
  <autoFilter ref="B7:J98" xr:uid="{BE3F99A6-2790-4AD6-A3C5-8344B7456AE0}"/>
  <mergeCells count="2">
    <mergeCell ref="B5:B6"/>
    <mergeCell ref="F5:J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9D00-92A4-4F9B-8A47-7F9C10C333A5}">
  <sheetPr>
    <tabColor rgb="FFFFC000"/>
  </sheetPr>
  <dimension ref="A1:L152"/>
  <sheetViews>
    <sheetView zoomScale="90" zoomScaleNormal="90" workbookViewId="0">
      <pane ySplit="7" topLeftCell="A8" activePane="bottomLeft" state="frozen"/>
      <selection activeCell="BH40" sqref="BH40"/>
      <selection pane="bottomLeft" activeCell="L19" sqref="L19"/>
    </sheetView>
  </sheetViews>
  <sheetFormatPr defaultRowHeight="15" x14ac:dyDescent="0.25"/>
  <cols>
    <col min="1" max="1" width="12.7109375" bestFit="1" customWidth="1"/>
    <col min="2" max="2" width="2.28515625" bestFit="1" customWidth="1"/>
    <col min="3" max="3" width="6.28515625" bestFit="1" customWidth="1"/>
    <col min="4" max="4" width="4.140625" customWidth="1"/>
    <col min="5" max="5" width="10.5703125" bestFit="1" customWidth="1"/>
    <col min="6" max="6" width="45.7109375" bestFit="1" customWidth="1"/>
    <col min="8" max="8" width="21.42578125" style="99" bestFit="1" customWidth="1"/>
    <col min="9" max="10" width="19" style="99" bestFit="1" customWidth="1"/>
    <col min="11" max="11" width="19.7109375" style="99" bestFit="1" customWidth="1"/>
    <col min="12" max="12" width="21.42578125" style="99" bestFit="1" customWidth="1"/>
  </cols>
  <sheetData>
    <row r="1" spans="1:12" x14ac:dyDescent="0.25">
      <c r="F1" s="117" t="s">
        <v>73</v>
      </c>
      <c r="H1" s="120">
        <f>SUMIF($B$8:$B$152,"A",$H$8:$H$152)</f>
        <v>2699371744.0845757</v>
      </c>
      <c r="I1" s="99">
        <f>+H1-NR!F37</f>
        <v>-2494540193.9084463</v>
      </c>
      <c r="L1" s="120">
        <f>SUMIF($B$8:$B$152,"A",$L$8:$L$152)</f>
        <v>2752612918.7212424</v>
      </c>
    </row>
    <row r="2" spans="1:12" x14ac:dyDescent="0.25">
      <c r="F2" s="118" t="s">
        <v>82</v>
      </c>
      <c r="H2" s="121">
        <f>SUMIF($B$8:$B$152,"P",$H$8:$H$152)</f>
        <v>-2699371744.0845757</v>
      </c>
      <c r="I2" s="99">
        <f>+H2+NR!M37</f>
        <v>2494540193.9084463</v>
      </c>
      <c r="L2" s="121">
        <f>SUMIF($B$8:$B$152,"P",$L$8:$L$152)</f>
        <v>-2732121744.0845757</v>
      </c>
    </row>
    <row r="3" spans="1:12" x14ac:dyDescent="0.25">
      <c r="F3" s="119" t="s">
        <v>149</v>
      </c>
      <c r="H3" s="122">
        <f>SUMIF($B$8:$B$152,"L",$H$8:$H$152)</f>
        <v>0</v>
      </c>
      <c r="L3" s="122">
        <f>SUMIF($B$8:$B$152,"L",$L$8:$L$152)</f>
        <v>-20491174.636667121</v>
      </c>
    </row>
    <row r="4" spans="1:12" x14ac:dyDescent="0.25">
      <c r="H4" s="123">
        <f>SUM(H1:H3)</f>
        <v>0</v>
      </c>
      <c r="L4" s="123">
        <f>SUM(L1:L3)</f>
        <v>-3.4645199775695801E-7</v>
      </c>
    </row>
    <row r="5" spans="1:12" x14ac:dyDescent="0.25">
      <c r="F5" s="124" t="s">
        <v>150</v>
      </c>
      <c r="H5" s="125">
        <f>SUBTOTAL(9,H8:H152)</f>
        <v>-2.5331974029541016E-7</v>
      </c>
      <c r="I5" s="172">
        <f>SUBTOTAL(9,I8:I152)</f>
        <v>621333797.64444411</v>
      </c>
      <c r="J5" s="172">
        <f>SUBTOTAL(9,J8:J152)</f>
        <v>621333797.64444411</v>
      </c>
      <c r="K5" s="125">
        <f>SUBTOTAL(9,K8:K152)</f>
        <v>1.1874362826347351E-8</v>
      </c>
      <c r="L5" s="125">
        <f>SUBTOTAL(9,L8:L152)</f>
        <v>-5.9907324612140656E-7</v>
      </c>
    </row>
    <row r="6" spans="1:12" x14ac:dyDescent="0.25">
      <c r="H6" s="123"/>
      <c r="L6" s="123"/>
    </row>
    <row r="7" spans="1:12" s="112" customFormat="1" x14ac:dyDescent="0.25">
      <c r="A7" s="112" t="s">
        <v>69</v>
      </c>
      <c r="E7" s="112" t="s">
        <v>71</v>
      </c>
      <c r="F7" s="112" t="s">
        <v>70</v>
      </c>
      <c r="H7" s="113" t="s">
        <v>146</v>
      </c>
      <c r="I7" s="113" t="s">
        <v>2</v>
      </c>
      <c r="J7" s="113" t="s">
        <v>3</v>
      </c>
      <c r="K7" s="113" t="s">
        <v>148</v>
      </c>
      <c r="L7" s="113" t="s">
        <v>147</v>
      </c>
    </row>
    <row r="8" spans="1:12" x14ac:dyDescent="0.25">
      <c r="A8" t="s">
        <v>151</v>
      </c>
      <c r="B8" s="126" t="s">
        <v>145</v>
      </c>
      <c r="C8" s="126" t="s">
        <v>4</v>
      </c>
      <c r="D8" s="126"/>
      <c r="E8" s="127" t="s">
        <v>286</v>
      </c>
      <c r="F8" t="s">
        <v>5</v>
      </c>
      <c r="H8" s="114">
        <v>0</v>
      </c>
      <c r="I8" s="99">
        <f>SUMIF('MUTASI 2026'!$F$5:$F$1048576,BB!A8,'MUTASI 2026'!$G$5:$G$1048576)</f>
        <v>0</v>
      </c>
      <c r="J8" s="99">
        <f>SUMIF('MUTASI 2026'!$F$5:$F$1048576,BB!A8,'MUTASI 2026'!$H$5:$H$1048576)</f>
        <v>0</v>
      </c>
      <c r="K8" s="115">
        <f>I8-J8</f>
        <v>0</v>
      </c>
      <c r="L8" s="116">
        <f>+H8+K8</f>
        <v>0</v>
      </c>
    </row>
    <row r="9" spans="1:12" x14ac:dyDescent="0.25">
      <c r="A9" t="s">
        <v>152</v>
      </c>
      <c r="B9" s="126" t="s">
        <v>145</v>
      </c>
      <c r="C9" s="126" t="s">
        <v>4</v>
      </c>
      <c r="D9" s="126"/>
      <c r="E9" s="127" t="s">
        <v>286</v>
      </c>
      <c r="F9" t="s">
        <v>242</v>
      </c>
      <c r="H9" s="114">
        <v>8851508.6700000763</v>
      </c>
      <c r="I9" s="99">
        <f>SUMIF('MUTASI 2026'!$F$5:$F$1048576,BB!A9,'MUTASI 2026'!$G$5:$G$1048576)</f>
        <v>4865000</v>
      </c>
      <c r="J9" s="99">
        <f>SUMIF('MUTASI 2026'!$F$5:$F$1048576,BB!A9,'MUTASI 2026'!$H$5:$H$1048576)</f>
        <v>5258000</v>
      </c>
      <c r="K9" s="115">
        <f t="shared" ref="K9:K51" si="0">I9-J9</f>
        <v>-393000</v>
      </c>
      <c r="L9" s="116">
        <f t="shared" ref="L9:L51" si="1">+H9+K9</f>
        <v>8458508.6700000763</v>
      </c>
    </row>
    <row r="10" spans="1:12" x14ac:dyDescent="0.25">
      <c r="A10" t="s">
        <v>153</v>
      </c>
      <c r="B10" s="126" t="s">
        <v>145</v>
      </c>
      <c r="C10" s="126" t="s">
        <v>4</v>
      </c>
      <c r="D10" s="126"/>
      <c r="E10" s="127" t="s">
        <v>286</v>
      </c>
      <c r="F10" t="s">
        <v>243</v>
      </c>
      <c r="H10" s="114">
        <v>0</v>
      </c>
      <c r="I10" s="99">
        <f>SUMIF('MUTASI 2026'!$F$5:$F$1048576,BB!A10,'MUTASI 2026'!$G$5:$G$1048576)</f>
        <v>0</v>
      </c>
      <c r="J10" s="99">
        <f>SUMIF('MUTASI 2026'!$F$5:$F$1048576,BB!A10,'MUTASI 2026'!$H$5:$H$1048576)</f>
        <v>0</v>
      </c>
      <c r="K10" s="115">
        <f t="shared" si="0"/>
        <v>0</v>
      </c>
      <c r="L10" s="116">
        <f t="shared" si="1"/>
        <v>0</v>
      </c>
    </row>
    <row r="11" spans="1:12" x14ac:dyDescent="0.25">
      <c r="A11" t="s">
        <v>154</v>
      </c>
      <c r="B11" s="126" t="s">
        <v>145</v>
      </c>
      <c r="C11" s="126" t="s">
        <v>7</v>
      </c>
      <c r="D11" s="126"/>
      <c r="E11" s="127" t="s">
        <v>286</v>
      </c>
      <c r="F11" t="s">
        <v>8</v>
      </c>
      <c r="H11" s="114">
        <v>0</v>
      </c>
      <c r="I11" s="99">
        <f>SUMIF('MUTASI 2026'!$F$5:$F$1048576,BB!A11,'MUTASI 2026'!$G$5:$G$1048576)</f>
        <v>0</v>
      </c>
      <c r="J11" s="99">
        <f>SUMIF('MUTASI 2026'!$F$5:$F$1048576,BB!A11,'MUTASI 2026'!$H$5:$H$1048576)</f>
        <v>0</v>
      </c>
      <c r="K11" s="115">
        <f t="shared" si="0"/>
        <v>0</v>
      </c>
      <c r="L11" s="116">
        <f t="shared" si="1"/>
        <v>0</v>
      </c>
    </row>
    <row r="12" spans="1:12" x14ac:dyDescent="0.25">
      <c r="A12" t="s">
        <v>155</v>
      </c>
      <c r="B12" s="126" t="s">
        <v>145</v>
      </c>
      <c r="C12" s="126" t="s">
        <v>7</v>
      </c>
      <c r="D12" s="126"/>
      <c r="E12" s="127" t="s">
        <v>286</v>
      </c>
      <c r="F12" t="s">
        <v>311</v>
      </c>
      <c r="H12" s="114">
        <v>231180017.61999959</v>
      </c>
      <c r="I12" s="99">
        <f>SUMIF('MUTASI 2026'!$F$5:$F$1048576,BB!A12,'MUTASI 2026'!$G$5:$G$1048576)</f>
        <v>160961843.30000001</v>
      </c>
      <c r="J12" s="99">
        <f>SUMIF('MUTASI 2026'!$F$5:$F$1048576,BB!A12,'MUTASI 2026'!$H$5:$H$1048576)</f>
        <v>150531132</v>
      </c>
      <c r="K12" s="115">
        <f t="shared" si="0"/>
        <v>10430711.300000012</v>
      </c>
      <c r="L12" s="116">
        <f t="shared" si="1"/>
        <v>241610728.9199996</v>
      </c>
    </row>
    <row r="13" spans="1:12" x14ac:dyDescent="0.25">
      <c r="A13" t="s">
        <v>156</v>
      </c>
      <c r="B13" s="126" t="s">
        <v>145</v>
      </c>
      <c r="C13" s="126" t="s">
        <v>7</v>
      </c>
      <c r="D13" s="126"/>
      <c r="E13" s="127" t="s">
        <v>286</v>
      </c>
      <c r="F13" t="s">
        <v>312</v>
      </c>
      <c r="H13" s="114">
        <v>71776656</v>
      </c>
      <c r="I13" s="99">
        <f>SUMIF('MUTASI 2026'!$F$5:$F$1048576,BB!A13,'MUTASI 2026'!$G$5:$G$1048576)</f>
        <v>0</v>
      </c>
      <c r="J13" s="99">
        <f>SUMIF('MUTASI 2026'!$F$5:$F$1048576,BB!A13,'MUTASI 2026'!$H$5:$H$1048576)</f>
        <v>30000</v>
      </c>
      <c r="K13" s="115">
        <f t="shared" si="0"/>
        <v>-30000</v>
      </c>
      <c r="L13" s="116">
        <f t="shared" si="1"/>
        <v>71746656</v>
      </c>
    </row>
    <row r="14" spans="1:12" x14ac:dyDescent="0.25">
      <c r="A14" t="s">
        <v>157</v>
      </c>
      <c r="B14" s="126" t="s">
        <v>145</v>
      </c>
      <c r="C14" s="126" t="s">
        <v>9</v>
      </c>
      <c r="D14" s="126"/>
      <c r="E14" s="127" t="s">
        <v>286</v>
      </c>
      <c r="F14" t="s">
        <v>244</v>
      </c>
      <c r="H14" s="114">
        <v>0</v>
      </c>
      <c r="I14" s="99">
        <f>SUMIF('MUTASI 2026'!$F$5:$F$1048576,BB!A14,'MUTASI 2026'!$G$5:$G$1048576)</f>
        <v>0</v>
      </c>
      <c r="J14" s="99">
        <f>SUMIF('MUTASI 2026'!$F$5:$F$1048576,BB!A14,'MUTASI 2026'!$H$5:$H$1048576)</f>
        <v>0</v>
      </c>
      <c r="K14" s="115">
        <f t="shared" si="0"/>
        <v>0</v>
      </c>
      <c r="L14" s="116">
        <f t="shared" si="1"/>
        <v>0</v>
      </c>
    </row>
    <row r="15" spans="1:12" x14ac:dyDescent="0.25">
      <c r="A15" t="s">
        <v>158</v>
      </c>
      <c r="B15" s="126" t="s">
        <v>145</v>
      </c>
      <c r="C15" s="126" t="s">
        <v>9</v>
      </c>
      <c r="D15" s="126"/>
      <c r="E15" s="127" t="s">
        <v>286</v>
      </c>
      <c r="F15" t="s">
        <v>313</v>
      </c>
      <c r="H15" s="114">
        <v>0</v>
      </c>
      <c r="I15" s="99">
        <f>SUMIF('MUTASI 2026'!$F$5:$F$1048576,BB!A15,'MUTASI 2026'!$G$5:$G$1048576)</f>
        <v>0</v>
      </c>
      <c r="J15" s="99">
        <f>SUMIF('MUTASI 2026'!$F$5:$F$1048576,BB!A15,'MUTASI 2026'!$H$5:$H$1048576)</f>
        <v>0</v>
      </c>
      <c r="K15" s="115">
        <f t="shared" si="0"/>
        <v>0</v>
      </c>
      <c r="L15" s="116">
        <f t="shared" si="1"/>
        <v>0</v>
      </c>
    </row>
    <row r="16" spans="1:12" x14ac:dyDescent="0.25">
      <c r="A16" t="s">
        <v>159</v>
      </c>
      <c r="B16" s="126" t="s">
        <v>145</v>
      </c>
      <c r="C16" s="126" t="s">
        <v>9</v>
      </c>
      <c r="D16" s="126"/>
      <c r="E16" s="127" t="s">
        <v>286</v>
      </c>
      <c r="F16" t="s">
        <v>245</v>
      </c>
      <c r="H16" s="114">
        <v>0</v>
      </c>
      <c r="I16" s="99">
        <f>SUMIF('MUTASI 2026'!$F$5:$F$1048576,BB!A16,'MUTASI 2026'!$G$5:$G$1048576)</f>
        <v>0</v>
      </c>
      <c r="J16" s="99">
        <f>SUMIF('MUTASI 2026'!$F$5:$F$1048576,BB!A16,'MUTASI 2026'!$H$5:$H$1048576)</f>
        <v>0</v>
      </c>
      <c r="K16" s="115">
        <f t="shared" si="0"/>
        <v>0</v>
      </c>
      <c r="L16" s="116">
        <f t="shared" si="1"/>
        <v>0</v>
      </c>
    </row>
    <row r="17" spans="1:12" x14ac:dyDescent="0.25">
      <c r="A17" t="s">
        <v>160</v>
      </c>
      <c r="B17" s="126" t="s">
        <v>145</v>
      </c>
      <c r="C17" s="126" t="s">
        <v>10</v>
      </c>
      <c r="D17" s="126"/>
      <c r="E17" s="127" t="s">
        <v>286</v>
      </c>
      <c r="F17" t="s">
        <v>246</v>
      </c>
      <c r="H17" s="114">
        <v>0</v>
      </c>
      <c r="I17" s="99">
        <f>SUMIF('MUTASI 2026'!$F$5:$F$1048576,BB!A17,'MUTASI 2026'!$G$5:$G$1048576)</f>
        <v>0</v>
      </c>
      <c r="J17" s="99">
        <f>SUMIF('MUTASI 2026'!$F$5:$F$1048576,BB!A17,'MUTASI 2026'!$H$5:$H$1048576)</f>
        <v>0</v>
      </c>
      <c r="K17" s="115">
        <f t="shared" si="0"/>
        <v>0</v>
      </c>
      <c r="L17" s="116">
        <f t="shared" si="1"/>
        <v>0</v>
      </c>
    </row>
    <row r="18" spans="1:12" x14ac:dyDescent="0.25">
      <c r="A18" s="147" t="s">
        <v>315</v>
      </c>
      <c r="B18" s="126" t="s">
        <v>145</v>
      </c>
      <c r="C18" s="126" t="s">
        <v>329</v>
      </c>
      <c r="D18" s="126"/>
      <c r="E18" s="127" t="s">
        <v>286</v>
      </c>
      <c r="F18" t="s">
        <v>314</v>
      </c>
      <c r="H18" s="114">
        <v>0</v>
      </c>
      <c r="I18" s="99">
        <f>SUMIF('MUTASI 2026'!$F$5:$F$1048576,BB!A18,'MUTASI 2026'!$G$5:$G$1048576)</f>
        <v>0</v>
      </c>
      <c r="J18" s="99">
        <f>SUMIF('MUTASI 2026'!$F$5:$F$1048576,BB!A18,'MUTASI 2026'!$H$5:$H$1048576)</f>
        <v>0</v>
      </c>
      <c r="K18" s="115">
        <f t="shared" si="0"/>
        <v>0</v>
      </c>
      <c r="L18" s="116">
        <f t="shared" si="1"/>
        <v>0</v>
      </c>
    </row>
    <row r="19" spans="1:12" x14ac:dyDescent="0.25">
      <c r="A19" s="147" t="s">
        <v>437</v>
      </c>
      <c r="B19" s="126" t="s">
        <v>145</v>
      </c>
      <c r="C19" s="126" t="s">
        <v>329</v>
      </c>
      <c r="D19" s="126"/>
      <c r="E19" s="127" t="s">
        <v>286</v>
      </c>
      <c r="F19" t="s">
        <v>441</v>
      </c>
      <c r="H19" s="114">
        <v>1898421812.4832218</v>
      </c>
      <c r="I19" s="99">
        <f>SUMIF('MUTASI 2026'!$F$5:$F$1048576,BB!A19,'MUTASI 2026'!$G$5:$G$1048576)</f>
        <v>280000000</v>
      </c>
      <c r="J19" s="99">
        <f>SUMIF('MUTASI 2026'!$F$5:$F$1048576,BB!A19,'MUTASI 2026'!$H$5:$H$1048576)</f>
        <v>227586536.66333288</v>
      </c>
      <c r="K19" s="115">
        <f>I19-J19</f>
        <v>52413463.33666712</v>
      </c>
      <c r="L19" s="116">
        <f>+H19+K19</f>
        <v>1950835275.8198888</v>
      </c>
    </row>
    <row r="20" spans="1:12" x14ac:dyDescent="0.25">
      <c r="A20" s="147" t="s">
        <v>438</v>
      </c>
      <c r="B20" s="126" t="s">
        <v>145</v>
      </c>
      <c r="C20" s="126" t="s">
        <v>329</v>
      </c>
      <c r="D20" s="126"/>
      <c r="E20" s="127" t="s">
        <v>286</v>
      </c>
      <c r="F20" t="s">
        <v>442</v>
      </c>
      <c r="H20" s="114">
        <v>0</v>
      </c>
      <c r="I20" s="99">
        <f>SUMIF('MUTASI 2026'!$F$5:$F$1048576,BB!A20,'MUTASI 2026'!$G$5:$G$1048576)</f>
        <v>0</v>
      </c>
      <c r="J20" s="99">
        <f>SUMIF('MUTASI 2026'!$F$5:$F$1048576,BB!A20,'MUTASI 2026'!$H$5:$H$1048576)</f>
        <v>0</v>
      </c>
      <c r="K20" s="115">
        <f>I20-J20</f>
        <v>0</v>
      </c>
      <c r="L20" s="116">
        <f>+H20+K20</f>
        <v>0</v>
      </c>
    </row>
    <row r="21" spans="1:12" x14ac:dyDescent="0.25">
      <c r="A21" s="147" t="s">
        <v>439</v>
      </c>
      <c r="B21" s="126" t="s">
        <v>145</v>
      </c>
      <c r="C21" s="126" t="s">
        <v>329</v>
      </c>
      <c r="D21" s="126"/>
      <c r="E21" s="127" t="s">
        <v>286</v>
      </c>
      <c r="F21" t="s">
        <v>443</v>
      </c>
      <c r="H21" s="114">
        <v>0</v>
      </c>
      <c r="I21" s="99">
        <f>SUMIF('MUTASI 2026'!$F$5:$F$1048576,BB!A21,'MUTASI 2026'!$G$5:$G$1048576)</f>
        <v>0</v>
      </c>
      <c r="J21" s="99">
        <f>SUMIF('MUTASI 2026'!$F$5:$F$1048576,BB!A21,'MUTASI 2026'!$H$5:$H$1048576)</f>
        <v>0</v>
      </c>
      <c r="K21" s="115">
        <f>I21-J21</f>
        <v>0</v>
      </c>
      <c r="L21" s="116">
        <f>+H21+K21</f>
        <v>0</v>
      </c>
    </row>
    <row r="22" spans="1:12" x14ac:dyDescent="0.25">
      <c r="A22" s="147" t="s">
        <v>440</v>
      </c>
      <c r="B22" s="126" t="s">
        <v>145</v>
      </c>
      <c r="C22" s="126" t="s">
        <v>329</v>
      </c>
      <c r="D22" s="126"/>
      <c r="E22" s="127" t="s">
        <v>286</v>
      </c>
      <c r="F22" t="s">
        <v>444</v>
      </c>
      <c r="H22" s="114">
        <v>27997882.311354019</v>
      </c>
      <c r="I22" s="99">
        <f>SUMIF('MUTASI 2026'!$F$5:$F$1048576,BB!A22,'MUTASI 2026'!$G$5:$G$1048576)</f>
        <v>4500000</v>
      </c>
      <c r="J22" s="99">
        <f>SUMIF('MUTASI 2026'!$F$5:$F$1048576,BB!A22,'MUTASI 2026'!$H$5:$H$1048576)</f>
        <v>4340000</v>
      </c>
      <c r="K22" s="115">
        <f>I22-J22</f>
        <v>160000</v>
      </c>
      <c r="L22" s="116">
        <f>+H22+K22</f>
        <v>28157882.311354019</v>
      </c>
    </row>
    <row r="23" spans="1:12" x14ac:dyDescent="0.25">
      <c r="A23" s="147" t="s">
        <v>316</v>
      </c>
      <c r="B23" s="126" t="s">
        <v>145</v>
      </c>
      <c r="C23" s="126" t="s">
        <v>330</v>
      </c>
      <c r="D23" s="126"/>
      <c r="E23" s="127" t="s">
        <v>286</v>
      </c>
      <c r="F23" t="s">
        <v>317</v>
      </c>
      <c r="H23" s="114">
        <v>0</v>
      </c>
      <c r="I23" s="99">
        <f>SUMIF('MUTASI 2026'!$F$5:$F$1048576,BB!A23,'MUTASI 2026'!$G$5:$G$1048576)</f>
        <v>0</v>
      </c>
      <c r="J23" s="99">
        <f>SUMIF('MUTASI 2026'!$F$5:$F$1048576,BB!A23,'MUTASI 2026'!$H$5:$H$1048576)</f>
        <v>0</v>
      </c>
      <c r="K23" s="115">
        <f t="shared" si="0"/>
        <v>0</v>
      </c>
      <c r="L23" s="116">
        <f t="shared" si="1"/>
        <v>0</v>
      </c>
    </row>
    <row r="24" spans="1:12" x14ac:dyDescent="0.25">
      <c r="A24" s="147" t="s">
        <v>428</v>
      </c>
      <c r="B24" s="126" t="s">
        <v>145</v>
      </c>
      <c r="C24" s="126" t="s">
        <v>330</v>
      </c>
      <c r="D24" s="126"/>
      <c r="E24" s="127" t="s">
        <v>286</v>
      </c>
      <c r="F24" t="s">
        <v>434</v>
      </c>
      <c r="H24" s="114">
        <v>560823867</v>
      </c>
      <c r="I24" s="99">
        <f>SUMIF('MUTASI 2026'!$F$5:$F$1048576,BB!A24,'MUTASI 2026'!$G$5:$G$1048576)</f>
        <v>0</v>
      </c>
      <c r="J24" s="99">
        <f>SUMIF('MUTASI 2026'!$F$5:$F$1048576,BB!A24,'MUTASI 2026'!$H$5:$H$1048576)</f>
        <v>0</v>
      </c>
      <c r="K24" s="115">
        <f t="shared" ref="K24:K29" si="2">I24-J24</f>
        <v>0</v>
      </c>
      <c r="L24" s="116">
        <f t="shared" ref="L24:L29" si="3">+H24+K24</f>
        <v>560823867</v>
      </c>
    </row>
    <row r="25" spans="1:12" x14ac:dyDescent="0.25">
      <c r="A25" s="147" t="s">
        <v>429</v>
      </c>
      <c r="B25" s="126" t="s">
        <v>145</v>
      </c>
      <c r="C25" s="126" t="s">
        <v>330</v>
      </c>
      <c r="D25" s="126"/>
      <c r="E25" s="127" t="s">
        <v>286</v>
      </c>
      <c r="F25" t="s">
        <v>455</v>
      </c>
      <c r="H25" s="114">
        <v>0</v>
      </c>
      <c r="I25" s="99">
        <f>SUMIF('MUTASI 2026'!$F$5:$F$1048576,BB!A25,'MUTASI 2026'!$G$5:$G$1048576)</f>
        <v>0</v>
      </c>
      <c r="J25" s="99">
        <f>SUMIF('MUTASI 2026'!$F$5:$F$1048576,BB!A25,'MUTASI 2026'!$H$5:$H$1048576)</f>
        <v>0</v>
      </c>
      <c r="K25" s="115">
        <f t="shared" si="2"/>
        <v>0</v>
      </c>
      <c r="L25" s="116">
        <f t="shared" si="3"/>
        <v>0</v>
      </c>
    </row>
    <row r="26" spans="1:12" x14ac:dyDescent="0.25">
      <c r="A26" s="147" t="s">
        <v>430</v>
      </c>
      <c r="B26" s="126" t="s">
        <v>145</v>
      </c>
      <c r="C26" s="126" t="s">
        <v>330</v>
      </c>
      <c r="D26" s="126"/>
      <c r="E26" s="127" t="s">
        <v>286</v>
      </c>
      <c r="F26" t="s">
        <v>456</v>
      </c>
      <c r="H26" s="114">
        <v>82320000</v>
      </c>
      <c r="I26" s="99">
        <f>SUMIF('MUTASI 2026'!$F$5:$F$1048576,BB!A26,'MUTASI 2026'!$G$5:$G$1048576)</f>
        <v>23520000</v>
      </c>
      <c r="J26" s="99">
        <f>SUMIF('MUTASI 2026'!$F$5:$F$1048576,BB!A26,'MUTASI 2026'!$H$5:$H$1048576)</f>
        <v>47040000</v>
      </c>
      <c r="K26" s="115">
        <f t="shared" si="2"/>
        <v>-23520000</v>
      </c>
      <c r="L26" s="116">
        <f t="shared" si="3"/>
        <v>58800000</v>
      </c>
    </row>
    <row r="27" spans="1:12" x14ac:dyDescent="0.25">
      <c r="A27" s="147" t="s">
        <v>431</v>
      </c>
      <c r="B27" s="126" t="s">
        <v>145</v>
      </c>
      <c r="C27" s="126" t="s">
        <v>330</v>
      </c>
      <c r="D27" s="126"/>
      <c r="E27" s="127" t="s">
        <v>286</v>
      </c>
      <c r="F27" t="s">
        <v>435</v>
      </c>
      <c r="H27" s="114">
        <v>0</v>
      </c>
      <c r="I27" s="99">
        <f>SUMIF('MUTASI 2026'!$F$5:$F$1048576,BB!A27,'MUTASI 2026'!$G$5:$G$1048576)</f>
        <v>0</v>
      </c>
      <c r="J27" s="99">
        <f>SUMIF('MUTASI 2026'!$F$5:$F$1048576,BB!A27,'MUTASI 2026'!$H$5:$H$1048576)</f>
        <v>0</v>
      </c>
      <c r="K27" s="115">
        <f t="shared" si="2"/>
        <v>0</v>
      </c>
      <c r="L27" s="116">
        <f t="shared" si="3"/>
        <v>0</v>
      </c>
    </row>
    <row r="28" spans="1:12" x14ac:dyDescent="0.25">
      <c r="A28" s="147" t="s">
        <v>432</v>
      </c>
      <c r="B28" s="126" t="s">
        <v>145</v>
      </c>
      <c r="C28" s="126" t="s">
        <v>330</v>
      </c>
      <c r="D28" s="126"/>
      <c r="E28" s="127" t="s">
        <v>286</v>
      </c>
      <c r="F28" t="s">
        <v>457</v>
      </c>
      <c r="H28" s="114">
        <v>0</v>
      </c>
      <c r="I28" s="99">
        <f>SUMIF('MUTASI 2026'!$F$5:$F$1048576,BB!A28,'MUTASI 2026'!$G$5:$G$1048576)</f>
        <v>0</v>
      </c>
      <c r="J28" s="99">
        <f>SUMIF('MUTASI 2026'!$F$5:$F$1048576,BB!A28,'MUTASI 2026'!$H$5:$H$1048576)</f>
        <v>0</v>
      </c>
      <c r="K28" s="115">
        <f t="shared" si="2"/>
        <v>0</v>
      </c>
      <c r="L28" s="116">
        <f t="shared" si="3"/>
        <v>0</v>
      </c>
    </row>
    <row r="29" spans="1:12" x14ac:dyDescent="0.25">
      <c r="A29" s="147" t="s">
        <v>433</v>
      </c>
      <c r="B29" s="126" t="s">
        <v>145</v>
      </c>
      <c r="C29" s="126" t="s">
        <v>330</v>
      </c>
      <c r="D29" s="126"/>
      <c r="E29" s="127" t="s">
        <v>286</v>
      </c>
      <c r="F29" t="s">
        <v>458</v>
      </c>
      <c r="H29" s="114">
        <v>0</v>
      </c>
      <c r="I29" s="99">
        <f>SUMIF('MUTASI 2026'!$F$5:$F$1048576,BB!A29,'MUTASI 2026'!$G$5:$G$1048576)</f>
        <v>47040000</v>
      </c>
      <c r="J29" s="99">
        <f>SUMIF('MUTASI 2026'!$F$5:$F$1048576,BB!A29,'MUTASI 2026'!$H$5:$H$1048576)</f>
        <v>31360000</v>
      </c>
      <c r="K29" s="115">
        <f t="shared" si="2"/>
        <v>15680000</v>
      </c>
      <c r="L29" s="116">
        <f t="shared" si="3"/>
        <v>15680000</v>
      </c>
    </row>
    <row r="30" spans="1:12" x14ac:dyDescent="0.25">
      <c r="A30" s="147" t="s">
        <v>459</v>
      </c>
      <c r="B30" s="126" t="s">
        <v>145</v>
      </c>
      <c r="C30" s="126" t="s">
        <v>330</v>
      </c>
      <c r="D30" s="126"/>
      <c r="E30" s="127" t="s">
        <v>286</v>
      </c>
      <c r="F30" t="s">
        <v>460</v>
      </c>
      <c r="H30" s="114">
        <v>0</v>
      </c>
      <c r="I30" s="99">
        <f>SUMIF('MUTASI 2026'!$F$5:$F$1048576,BB!A30,'MUTASI 2026'!$G$5:$G$1048576)</f>
        <v>0</v>
      </c>
      <c r="J30" s="99">
        <f>SUMIF('MUTASI 2026'!$F$5:$F$1048576,BB!A30,'MUTASI 2026'!$H$5:$H$1048576)</f>
        <v>0</v>
      </c>
      <c r="K30" s="115">
        <f>I30-J30</f>
        <v>0</v>
      </c>
      <c r="L30" s="116">
        <f>+H30+K30</f>
        <v>0</v>
      </c>
    </row>
    <row r="31" spans="1:12" x14ac:dyDescent="0.25">
      <c r="A31" s="147" t="s">
        <v>462</v>
      </c>
      <c r="B31" s="126" t="s">
        <v>145</v>
      </c>
      <c r="C31" s="126" t="s">
        <v>330</v>
      </c>
      <c r="D31" s="126"/>
      <c r="E31" s="127" t="s">
        <v>286</v>
      </c>
      <c r="F31" t="s">
        <v>461</v>
      </c>
      <c r="H31" s="114">
        <v>0</v>
      </c>
      <c r="I31" s="99">
        <f>SUMIF('MUTASI 2026'!$F$5:$F$1048576,BB!A31,'MUTASI 2026'!$G$5:$G$1048576)</f>
        <v>0</v>
      </c>
      <c r="J31" s="99">
        <f>SUMIF('MUTASI 2026'!$F$5:$F$1048576,BB!A31,'MUTASI 2026'!$H$5:$H$1048576)</f>
        <v>0</v>
      </c>
      <c r="K31" s="115">
        <f>I31-J31</f>
        <v>0</v>
      </c>
      <c r="L31" s="116">
        <f>+H31+K31</f>
        <v>0</v>
      </c>
    </row>
    <row r="32" spans="1:12" x14ac:dyDescent="0.25">
      <c r="A32" s="147" t="s">
        <v>464</v>
      </c>
      <c r="B32" s="126" t="s">
        <v>145</v>
      </c>
      <c r="C32" s="126" t="s">
        <v>330</v>
      </c>
      <c r="D32" s="126"/>
      <c r="E32" s="127" t="s">
        <v>286</v>
      </c>
      <c r="F32" t="s">
        <v>463</v>
      </c>
      <c r="H32" s="114">
        <v>0</v>
      </c>
      <c r="I32" s="99">
        <f>SUMIF('MUTASI 2026'!$F$5:$F$1048576,BB!A32,'MUTASI 2026'!$G$5:$G$1048576)</f>
        <v>0</v>
      </c>
      <c r="J32" s="99">
        <f>SUMIF('MUTASI 2026'!$F$5:$F$1048576,BB!A32,'MUTASI 2026'!$H$5:$H$1048576)</f>
        <v>0</v>
      </c>
      <c r="K32" s="115">
        <f>I32-J32</f>
        <v>0</v>
      </c>
      <c r="L32" s="116">
        <f>+H32+K32</f>
        <v>0</v>
      </c>
    </row>
    <row r="33" spans="1:12" x14ac:dyDescent="0.25">
      <c r="A33" t="s">
        <v>161</v>
      </c>
      <c r="B33" s="126" t="s">
        <v>145</v>
      </c>
      <c r="C33" s="126" t="s">
        <v>22</v>
      </c>
      <c r="D33" s="126"/>
      <c r="E33" s="127" t="s">
        <v>287</v>
      </c>
      <c r="F33" t="s">
        <v>247</v>
      </c>
      <c r="H33" s="114">
        <v>-182000000</v>
      </c>
      <c r="I33" s="99">
        <f>SUMIF('MUTASI 2026'!$F$5:$F$1048576,BB!A33,'MUTASI 2026'!$G$5:$G$1048576)</f>
        <v>0</v>
      </c>
      <c r="J33" s="99">
        <f>SUMIF('MUTASI 2026'!$F$5:$F$1048576,BB!A33,'MUTASI 2026'!$H$5:$H$1048576)</f>
        <v>1500000</v>
      </c>
      <c r="K33" s="115">
        <f t="shared" si="0"/>
        <v>-1500000</v>
      </c>
      <c r="L33" s="116">
        <f t="shared" si="1"/>
        <v>-183500000</v>
      </c>
    </row>
    <row r="34" spans="1:12" x14ac:dyDescent="0.25">
      <c r="A34" t="s">
        <v>162</v>
      </c>
      <c r="B34" s="126" t="s">
        <v>145</v>
      </c>
      <c r="C34" s="126" t="s">
        <v>13</v>
      </c>
      <c r="D34" s="126"/>
      <c r="E34" s="127" t="s">
        <v>286</v>
      </c>
      <c r="F34" t="s">
        <v>14</v>
      </c>
      <c r="H34" s="114">
        <v>0</v>
      </c>
      <c r="I34" s="99">
        <f>SUMIF('MUTASI 2026'!$F$5:$F$1048576,BB!A34,'MUTASI 2026'!$G$5:$G$1048576)</f>
        <v>0</v>
      </c>
      <c r="J34" s="99">
        <f>SUMIF('MUTASI 2026'!$F$5:$F$1048576,BB!A34,'MUTASI 2026'!$H$5:$H$1048576)</f>
        <v>0</v>
      </c>
      <c r="K34" s="115">
        <f t="shared" si="0"/>
        <v>0</v>
      </c>
      <c r="L34" s="116">
        <f t="shared" si="1"/>
        <v>0</v>
      </c>
    </row>
    <row r="35" spans="1:12" x14ac:dyDescent="0.25">
      <c r="A35" t="s">
        <v>163</v>
      </c>
      <c r="B35" s="126" t="s">
        <v>145</v>
      </c>
      <c r="C35" s="126" t="s">
        <v>11</v>
      </c>
      <c r="D35" s="126"/>
      <c r="E35" s="127" t="s">
        <v>286</v>
      </c>
      <c r="F35" t="s">
        <v>16</v>
      </c>
      <c r="H35" s="114">
        <v>0</v>
      </c>
      <c r="I35" s="99">
        <f>SUMIF('MUTASI 2026'!$F$5:$F$1048576,BB!A35,'MUTASI 2026'!$G$5:$G$1048576)</f>
        <v>0</v>
      </c>
      <c r="J35" s="99">
        <f>SUMIF('MUTASI 2026'!$F$5:$F$1048576,BB!A35,'MUTASI 2026'!$H$5:$H$1048576)</f>
        <v>0</v>
      </c>
      <c r="K35" s="115">
        <f t="shared" si="0"/>
        <v>0</v>
      </c>
      <c r="L35" s="116">
        <f t="shared" si="1"/>
        <v>0</v>
      </c>
    </row>
    <row r="36" spans="1:12" x14ac:dyDescent="0.25">
      <c r="A36" t="s">
        <v>164</v>
      </c>
      <c r="B36" s="126" t="s">
        <v>145</v>
      </c>
      <c r="C36" s="126" t="s">
        <v>23</v>
      </c>
      <c r="D36" s="126"/>
      <c r="E36" s="127" t="s">
        <v>286</v>
      </c>
      <c r="F36" t="s">
        <v>248</v>
      </c>
      <c r="H36" s="114">
        <v>0</v>
      </c>
      <c r="I36" s="99">
        <f>SUMIF('MUTASI 2026'!$F$5:$F$1048576,BB!A36,'MUTASI 2026'!$G$5:$G$1048576)</f>
        <v>0</v>
      </c>
      <c r="J36" s="99">
        <f>SUMIF('MUTASI 2026'!$F$5:$F$1048576,BB!A36,'MUTASI 2026'!$H$5:$H$1048576)</f>
        <v>0</v>
      </c>
      <c r="K36" s="115">
        <f t="shared" si="0"/>
        <v>0</v>
      </c>
      <c r="L36" s="116">
        <f t="shared" si="1"/>
        <v>0</v>
      </c>
    </row>
    <row r="37" spans="1:12" x14ac:dyDescent="0.25">
      <c r="A37" s="147" t="s">
        <v>450</v>
      </c>
      <c r="B37" s="126" t="s">
        <v>145</v>
      </c>
      <c r="C37" s="126" t="s">
        <v>23</v>
      </c>
      <c r="D37" s="126"/>
      <c r="E37" s="127" t="s">
        <v>286</v>
      </c>
      <c r="F37" t="s">
        <v>436</v>
      </c>
      <c r="H37" s="114">
        <v>0</v>
      </c>
      <c r="I37" s="99">
        <f>SUMIF('MUTASI 2026'!$F$5:$F$1048576,BB!A37,'MUTASI 2026'!$G$5:$G$1048576)</f>
        <v>0</v>
      </c>
      <c r="J37" s="99">
        <f>SUMIF('MUTASI 2026'!$F$5:$F$1048576,BB!A37,'MUTASI 2026'!$H$5:$H$1048576)</f>
        <v>0</v>
      </c>
      <c r="K37" s="115">
        <f>I37-J37</f>
        <v>0</v>
      </c>
      <c r="L37" s="116">
        <f>+H37+K37</f>
        <v>0</v>
      </c>
    </row>
    <row r="38" spans="1:12" x14ac:dyDescent="0.25">
      <c r="A38" s="147" t="s">
        <v>451</v>
      </c>
      <c r="B38" s="126" t="s">
        <v>145</v>
      </c>
      <c r="C38" s="126" t="s">
        <v>23</v>
      </c>
      <c r="D38" s="126"/>
      <c r="E38" s="127" t="s">
        <v>286</v>
      </c>
      <c r="F38" t="s">
        <v>452</v>
      </c>
      <c r="H38" s="114">
        <v>0</v>
      </c>
      <c r="I38" s="99">
        <f>SUMIF('MUTASI 2026'!$F$5:$F$1048576,BB!A38,'MUTASI 2026'!$G$5:$G$1048576)</f>
        <v>0</v>
      </c>
      <c r="J38" s="99">
        <f>SUMIF('MUTASI 2026'!$F$5:$F$1048576,BB!A38,'MUTASI 2026'!$H$5:$H$1048576)</f>
        <v>0</v>
      </c>
      <c r="K38" s="115">
        <f>I38-J38</f>
        <v>0</v>
      </c>
      <c r="L38" s="116">
        <f>+H38+K38</f>
        <v>0</v>
      </c>
    </row>
    <row r="39" spans="1:12" x14ac:dyDescent="0.25">
      <c r="A39" s="147" t="s">
        <v>453</v>
      </c>
      <c r="B39" s="126" t="s">
        <v>145</v>
      </c>
      <c r="C39" s="126" t="s">
        <v>23</v>
      </c>
      <c r="D39" s="126"/>
      <c r="E39" s="127" t="s">
        <v>286</v>
      </c>
      <c r="F39" t="s">
        <v>454</v>
      </c>
      <c r="H39" s="114">
        <v>0</v>
      </c>
      <c r="I39" s="99">
        <f>SUMIF('MUTASI 2026'!$F$5:$F$1048576,BB!A39,'MUTASI 2026'!$G$5:$G$1048576)</f>
        <v>0</v>
      </c>
      <c r="J39" s="99">
        <f>SUMIF('MUTASI 2026'!$F$5:$F$1048576,BB!A39,'MUTASI 2026'!$H$5:$H$1048576)</f>
        <v>0</v>
      </c>
      <c r="K39" s="115">
        <f>I39-J39</f>
        <v>0</v>
      </c>
      <c r="L39" s="116">
        <f>+H39+K39</f>
        <v>0</v>
      </c>
    </row>
    <row r="40" spans="1:12" x14ac:dyDescent="0.25">
      <c r="A40" s="147" t="s">
        <v>474</v>
      </c>
      <c r="B40" s="126" t="s">
        <v>145</v>
      </c>
      <c r="C40" s="126" t="s">
        <v>23</v>
      </c>
      <c r="D40" s="126"/>
      <c r="E40" s="127" t="s">
        <v>286</v>
      </c>
      <c r="F40" t="s">
        <v>475</v>
      </c>
      <c r="H40" s="114">
        <v>0</v>
      </c>
      <c r="I40" s="99">
        <f>SUMIF('MUTASI 2026'!$F$5:$F$1048576,BB!A40,'MUTASI 2026'!$G$5:$G$1048576)</f>
        <v>0</v>
      </c>
      <c r="J40" s="99">
        <f>SUMIF('MUTASI 2026'!$F$5:$F$1048576,BB!A40,'MUTASI 2026'!$H$5:$H$1048576)</f>
        <v>0</v>
      </c>
      <c r="K40" s="115">
        <f>I40-J40</f>
        <v>0</v>
      </c>
      <c r="L40" s="116">
        <f>+H40+K40</f>
        <v>0</v>
      </c>
    </row>
    <row r="41" spans="1:12" x14ac:dyDescent="0.25">
      <c r="A41" t="s">
        <v>165</v>
      </c>
      <c r="B41" s="126" t="s">
        <v>145</v>
      </c>
      <c r="C41" s="126" t="s">
        <v>24</v>
      </c>
      <c r="D41" s="126"/>
      <c r="E41" s="127" t="s">
        <v>286</v>
      </c>
      <c r="F41" t="s">
        <v>249</v>
      </c>
      <c r="H41" s="114">
        <v>0</v>
      </c>
      <c r="I41" s="99">
        <f>SUMIF('MUTASI 2026'!$F$5:$F$1048576,BB!A41,'MUTASI 2026'!$G$5:$G$1048576)</f>
        <v>0</v>
      </c>
      <c r="J41" s="99">
        <f>SUMIF('MUTASI 2026'!$F$5:$F$1048576,BB!A41,'MUTASI 2026'!$H$5:$H$1048576)</f>
        <v>0</v>
      </c>
      <c r="K41" s="115">
        <f t="shared" si="0"/>
        <v>0</v>
      </c>
      <c r="L41" s="116">
        <f t="shared" si="1"/>
        <v>0</v>
      </c>
    </row>
    <row r="42" spans="1:12" x14ac:dyDescent="0.25">
      <c r="A42" t="s">
        <v>166</v>
      </c>
      <c r="B42" s="126" t="s">
        <v>145</v>
      </c>
      <c r="C42" s="126" t="s">
        <v>25</v>
      </c>
      <c r="D42" s="126"/>
      <c r="E42" s="127" t="s">
        <v>286</v>
      </c>
      <c r="F42" t="s">
        <v>18</v>
      </c>
      <c r="H42" s="114">
        <v>0</v>
      </c>
      <c r="I42" s="99">
        <f>SUMIF('MUTASI 2026'!$F$5:$F$1048576,BB!A42,'MUTASI 2026'!$G$5:$G$1048576)</f>
        <v>0</v>
      </c>
      <c r="J42" s="99">
        <f>SUMIF('MUTASI 2026'!$F$5:$F$1048576,BB!A42,'MUTASI 2026'!$H$5:$H$1048576)</f>
        <v>0</v>
      </c>
      <c r="K42" s="115">
        <f t="shared" si="0"/>
        <v>0</v>
      </c>
      <c r="L42" s="116">
        <f t="shared" si="1"/>
        <v>0</v>
      </c>
    </row>
    <row r="43" spans="1:12" x14ac:dyDescent="0.25">
      <c r="A43" t="s">
        <v>167</v>
      </c>
      <c r="B43" s="126" t="s">
        <v>145</v>
      </c>
      <c r="C43" s="126" t="s">
        <v>25</v>
      </c>
      <c r="D43" s="126"/>
      <c r="E43" s="127" t="s">
        <v>286</v>
      </c>
      <c r="F43" t="s">
        <v>250</v>
      </c>
      <c r="H43" s="114">
        <v>0</v>
      </c>
      <c r="I43" s="99">
        <f>SUMIF('MUTASI 2026'!$F$5:$F$1048576,BB!A43,'MUTASI 2026'!$G$5:$G$1048576)</f>
        <v>0</v>
      </c>
      <c r="J43" s="99">
        <f>SUMIF('MUTASI 2026'!$F$5:$F$1048576,BB!A43,'MUTASI 2026'!$H$5:$H$1048576)</f>
        <v>0</v>
      </c>
      <c r="K43" s="115">
        <f t="shared" si="0"/>
        <v>0</v>
      </c>
      <c r="L43" s="116">
        <f t="shared" si="1"/>
        <v>0</v>
      </c>
    </row>
    <row r="44" spans="1:12" x14ac:dyDescent="0.25">
      <c r="A44" t="s">
        <v>168</v>
      </c>
      <c r="B44" s="126" t="s">
        <v>145</v>
      </c>
      <c r="C44" s="126" t="s">
        <v>25</v>
      </c>
      <c r="D44" s="126"/>
      <c r="E44" s="127" t="s">
        <v>286</v>
      </c>
      <c r="F44" t="s">
        <v>251</v>
      </c>
      <c r="H44" s="114">
        <v>0</v>
      </c>
      <c r="I44" s="99">
        <f>SUMIF('MUTASI 2026'!$F$5:$F$1048576,BB!A44,'MUTASI 2026'!$G$5:$G$1048576)</f>
        <v>0</v>
      </c>
      <c r="J44" s="99">
        <f>SUMIF('MUTASI 2026'!$F$5:$F$1048576,BB!A44,'MUTASI 2026'!$H$5:$H$1048576)</f>
        <v>0</v>
      </c>
      <c r="K44" s="115">
        <f t="shared" si="0"/>
        <v>0</v>
      </c>
      <c r="L44" s="116">
        <f t="shared" si="1"/>
        <v>0</v>
      </c>
    </row>
    <row r="45" spans="1:12" x14ac:dyDescent="0.25">
      <c r="A45" t="s">
        <v>169</v>
      </c>
      <c r="B45" s="126" t="s">
        <v>145</v>
      </c>
      <c r="C45" s="126" t="s">
        <v>25</v>
      </c>
      <c r="D45" s="126"/>
      <c r="E45" s="127" t="s">
        <v>286</v>
      </c>
      <c r="F45" t="s">
        <v>252</v>
      </c>
      <c r="H45" s="114">
        <v>0</v>
      </c>
      <c r="I45" s="99">
        <f>SUMIF('MUTASI 2026'!$F$5:$F$1048576,BB!A45,'MUTASI 2026'!$G$5:$G$1048576)</f>
        <v>0</v>
      </c>
      <c r="J45" s="99">
        <f>SUMIF('MUTASI 2026'!$F$5:$F$1048576,BB!A45,'MUTASI 2026'!$H$5:$H$1048576)</f>
        <v>0</v>
      </c>
      <c r="K45" s="115">
        <f t="shared" si="0"/>
        <v>0</v>
      </c>
      <c r="L45" s="116">
        <f t="shared" si="1"/>
        <v>0</v>
      </c>
    </row>
    <row r="46" spans="1:12" x14ac:dyDescent="0.25">
      <c r="A46" t="s">
        <v>170</v>
      </c>
      <c r="B46" s="126" t="s">
        <v>145</v>
      </c>
      <c r="C46" s="126" t="s">
        <v>25</v>
      </c>
      <c r="D46" s="126"/>
      <c r="E46" s="127" t="s">
        <v>286</v>
      </c>
      <c r="F46" t="s">
        <v>253</v>
      </c>
      <c r="H46" s="114">
        <v>0</v>
      </c>
      <c r="I46" s="99">
        <f>SUMIF('MUTASI 2026'!$F$5:$F$1048576,BB!A46,'MUTASI 2026'!$G$5:$G$1048576)</f>
        <v>0</v>
      </c>
      <c r="J46" s="99">
        <f>SUMIF('MUTASI 2026'!$F$5:$F$1048576,BB!A46,'MUTASI 2026'!$H$5:$H$1048576)</f>
        <v>0</v>
      </c>
      <c r="K46" s="115">
        <f t="shared" si="0"/>
        <v>0</v>
      </c>
      <c r="L46" s="116">
        <f t="shared" si="1"/>
        <v>0</v>
      </c>
    </row>
    <row r="47" spans="1:12" x14ac:dyDescent="0.25">
      <c r="A47" t="s">
        <v>171</v>
      </c>
      <c r="B47" s="126" t="s">
        <v>145</v>
      </c>
      <c r="C47" s="126" t="s">
        <v>25</v>
      </c>
      <c r="D47" s="126"/>
      <c r="E47" s="127" t="s">
        <v>286</v>
      </c>
      <c r="F47" t="s">
        <v>254</v>
      </c>
      <c r="H47" s="114">
        <v>0</v>
      </c>
      <c r="I47" s="99">
        <f>SUMIF('MUTASI 2026'!$F$5:$F$1048576,BB!A47,'MUTASI 2026'!$G$5:$G$1048576)</f>
        <v>0</v>
      </c>
      <c r="J47" s="99">
        <f>SUMIF('MUTASI 2026'!$F$5:$F$1048576,BB!A47,'MUTASI 2026'!$H$5:$H$1048576)</f>
        <v>0</v>
      </c>
      <c r="K47" s="115">
        <f t="shared" si="0"/>
        <v>0</v>
      </c>
      <c r="L47" s="116">
        <f t="shared" si="1"/>
        <v>0</v>
      </c>
    </row>
    <row r="48" spans="1:12" x14ac:dyDescent="0.25">
      <c r="A48" t="s">
        <v>172</v>
      </c>
      <c r="B48" s="126" t="s">
        <v>145</v>
      </c>
      <c r="C48" s="126" t="s">
        <v>26</v>
      </c>
      <c r="D48" s="126"/>
      <c r="E48" s="127" t="s">
        <v>286</v>
      </c>
      <c r="F48" t="s">
        <v>20</v>
      </c>
      <c r="H48" s="114">
        <v>0</v>
      </c>
      <c r="I48" s="99">
        <f>SUMIF('MUTASI 2026'!$F$5:$F$1048576,BB!A48,'MUTASI 2026'!$G$5:$G$1048576)</f>
        <v>0</v>
      </c>
      <c r="J48" s="99">
        <f>SUMIF('MUTASI 2026'!$F$5:$F$1048576,BB!A48,'MUTASI 2026'!$H$5:$H$1048576)</f>
        <v>0</v>
      </c>
      <c r="K48" s="115">
        <f t="shared" si="0"/>
        <v>0</v>
      </c>
      <c r="L48" s="116">
        <f t="shared" si="1"/>
        <v>0</v>
      </c>
    </row>
    <row r="49" spans="1:12" x14ac:dyDescent="0.25">
      <c r="A49" t="s">
        <v>173</v>
      </c>
      <c r="B49" s="126" t="s">
        <v>145</v>
      </c>
      <c r="C49" s="126" t="s">
        <v>331</v>
      </c>
      <c r="D49" s="126"/>
      <c r="E49" s="127" t="s">
        <v>286</v>
      </c>
      <c r="F49" t="s">
        <v>27</v>
      </c>
      <c r="H49" s="114">
        <v>0</v>
      </c>
      <c r="I49" s="99">
        <f>SUMIF('MUTASI 2026'!$F$5:$F$1048576,BB!A49,'MUTASI 2026'!$G$5:$G$1048576)</f>
        <v>0</v>
      </c>
      <c r="J49" s="99">
        <f>SUMIF('MUTASI 2026'!$F$5:$F$1048576,BB!A49,'MUTASI 2026'!$H$5:$H$1048576)</f>
        <v>0</v>
      </c>
      <c r="K49" s="115">
        <f t="shared" si="0"/>
        <v>0</v>
      </c>
      <c r="L49" s="116">
        <f t="shared" si="1"/>
        <v>0</v>
      </c>
    </row>
    <row r="50" spans="1:12" x14ac:dyDescent="0.25">
      <c r="A50" t="s">
        <v>174</v>
      </c>
      <c r="B50" s="126" t="s">
        <v>145</v>
      </c>
      <c r="C50" s="126" t="s">
        <v>15</v>
      </c>
      <c r="D50" s="126"/>
      <c r="E50" s="127" t="s">
        <v>286</v>
      </c>
      <c r="F50" t="s">
        <v>29</v>
      </c>
      <c r="H50" s="114">
        <v>0</v>
      </c>
      <c r="I50" s="99">
        <f>SUMIF('MUTASI 2026'!$F$5:$F$1048576,BB!A50,'MUTASI 2026'!$G$5:$G$1048576)</f>
        <v>0</v>
      </c>
      <c r="J50" s="99">
        <f>SUMIF('MUTASI 2026'!$F$5:$F$1048576,BB!A50,'MUTASI 2026'!$H$5:$H$1048576)</f>
        <v>0</v>
      </c>
      <c r="K50" s="115">
        <f t="shared" si="0"/>
        <v>0</v>
      </c>
      <c r="L50" s="116">
        <f t="shared" si="1"/>
        <v>0</v>
      </c>
    </row>
    <row r="51" spans="1:12" x14ac:dyDescent="0.25">
      <c r="A51" t="s">
        <v>175</v>
      </c>
      <c r="B51" s="126" t="s">
        <v>145</v>
      </c>
      <c r="C51" s="126" t="s">
        <v>17</v>
      </c>
      <c r="D51" s="126"/>
      <c r="E51" s="127" t="s">
        <v>286</v>
      </c>
      <c r="F51" t="s">
        <v>30</v>
      </c>
      <c r="H51" s="114">
        <v>0</v>
      </c>
      <c r="I51" s="99">
        <f>SUMIF('MUTASI 2026'!$F$5:$F$1048576,BB!A51,'MUTASI 2026'!$G$5:$G$1048576)</f>
        <v>0</v>
      </c>
      <c r="J51" s="99">
        <f>SUMIF('MUTASI 2026'!$F$5:$F$1048576,BB!A51,'MUTASI 2026'!$H$5:$H$1048576)</f>
        <v>0</v>
      </c>
      <c r="K51" s="115">
        <f t="shared" si="0"/>
        <v>0</v>
      </c>
      <c r="L51" s="116">
        <f t="shared" si="1"/>
        <v>0</v>
      </c>
    </row>
    <row r="52" spans="1:12" x14ac:dyDescent="0.25">
      <c r="A52" t="s">
        <v>176</v>
      </c>
      <c r="B52" s="126" t="s">
        <v>145</v>
      </c>
      <c r="C52" s="126" t="s">
        <v>21</v>
      </c>
      <c r="D52" s="126"/>
      <c r="E52" s="127" t="s">
        <v>286</v>
      </c>
      <c r="F52" t="s">
        <v>255</v>
      </c>
      <c r="H52" s="114">
        <v>0</v>
      </c>
      <c r="I52" s="99">
        <f>SUMIF('MUTASI 2026'!$F$5:$F$1048576,BB!A52,'MUTASI 2026'!$G$5:$G$1048576)</f>
        <v>0</v>
      </c>
      <c r="J52" s="99">
        <f>SUMIF('MUTASI 2026'!$F$5:$F$1048576,BB!A52,'MUTASI 2026'!$H$5:$H$1048576)</f>
        <v>0</v>
      </c>
      <c r="K52" s="115">
        <f t="shared" ref="K52:K82" si="4">I52-J52</f>
        <v>0</v>
      </c>
      <c r="L52" s="116">
        <f t="shared" ref="L52:L82" si="5">+H52+K52</f>
        <v>0</v>
      </c>
    </row>
    <row r="53" spans="1:12" x14ac:dyDescent="0.25">
      <c r="A53" t="s">
        <v>177</v>
      </c>
      <c r="B53" s="126" t="s">
        <v>145</v>
      </c>
      <c r="C53" s="126" t="s">
        <v>21</v>
      </c>
      <c r="D53" s="126"/>
      <c r="E53" s="127" t="s">
        <v>286</v>
      </c>
      <c r="F53" t="s">
        <v>256</v>
      </c>
      <c r="H53" s="114">
        <v>0</v>
      </c>
      <c r="I53" s="99">
        <f>SUMIF('MUTASI 2026'!$F$5:$F$1048576,BB!A53,'MUTASI 2026'!$G$5:$G$1048576)</f>
        <v>0</v>
      </c>
      <c r="J53" s="99">
        <f>SUMIF('MUTASI 2026'!$F$5:$F$1048576,BB!A53,'MUTASI 2026'!$H$5:$H$1048576)</f>
        <v>0</v>
      </c>
      <c r="K53" s="115">
        <f t="shared" si="4"/>
        <v>0</v>
      </c>
      <c r="L53" s="116">
        <f t="shared" si="5"/>
        <v>0</v>
      </c>
    </row>
    <row r="54" spans="1:12" x14ac:dyDescent="0.25">
      <c r="A54" t="s">
        <v>178</v>
      </c>
      <c r="B54" s="126" t="s">
        <v>145</v>
      </c>
      <c r="C54" s="126" t="s">
        <v>21</v>
      </c>
      <c r="D54" s="126"/>
      <c r="E54" s="127" t="s">
        <v>286</v>
      </c>
      <c r="F54" t="s">
        <v>257</v>
      </c>
      <c r="H54" s="114">
        <v>0</v>
      </c>
      <c r="I54" s="99">
        <f>SUMIF('MUTASI 2026'!$F$5:$F$1048576,BB!A54,'MUTASI 2026'!$G$5:$G$1048576)</f>
        <v>0</v>
      </c>
      <c r="J54" s="99">
        <f>SUMIF('MUTASI 2026'!$F$5:$F$1048576,BB!A54,'MUTASI 2026'!$H$5:$H$1048576)</f>
        <v>0</v>
      </c>
      <c r="K54" s="115">
        <f t="shared" si="4"/>
        <v>0</v>
      </c>
      <c r="L54" s="116">
        <f t="shared" si="5"/>
        <v>0</v>
      </c>
    </row>
    <row r="55" spans="1:12" x14ac:dyDescent="0.25">
      <c r="A55" t="s">
        <v>179</v>
      </c>
      <c r="B55" s="126" t="s">
        <v>145</v>
      </c>
      <c r="C55" s="126" t="s">
        <v>33</v>
      </c>
      <c r="D55" s="126"/>
      <c r="E55" s="127" t="s">
        <v>287</v>
      </c>
      <c r="F55" t="s">
        <v>258</v>
      </c>
      <c r="H55" s="114">
        <v>0</v>
      </c>
      <c r="I55" s="99">
        <f>SUMIF('MUTASI 2026'!$F$5:$F$1048576,BB!A55,'MUTASI 2026'!$G$5:$G$1048576)</f>
        <v>0</v>
      </c>
      <c r="J55" s="99">
        <f>SUMIF('MUTASI 2026'!$F$5:$F$1048576,BB!A55,'MUTASI 2026'!$H$5:$H$1048576)</f>
        <v>0</v>
      </c>
      <c r="K55" s="115">
        <f t="shared" si="4"/>
        <v>0</v>
      </c>
      <c r="L55" s="116">
        <f t="shared" si="5"/>
        <v>0</v>
      </c>
    </row>
    <row r="56" spans="1:12" x14ac:dyDescent="0.25">
      <c r="A56" t="s">
        <v>180</v>
      </c>
      <c r="B56" s="126" t="s">
        <v>145</v>
      </c>
      <c r="C56" s="126" t="s">
        <v>33</v>
      </c>
      <c r="D56" s="126"/>
      <c r="E56" s="127" t="s">
        <v>287</v>
      </c>
      <c r="F56" t="s">
        <v>259</v>
      </c>
      <c r="H56" s="114">
        <v>0</v>
      </c>
      <c r="I56" s="99">
        <f>SUMIF('MUTASI 2026'!$F$5:$F$1048576,BB!A56,'MUTASI 2026'!$G$5:$G$1048576)</f>
        <v>0</v>
      </c>
      <c r="J56" s="99">
        <f>SUMIF('MUTASI 2026'!$F$5:$F$1048576,BB!A56,'MUTASI 2026'!$H$5:$H$1048576)</f>
        <v>0</v>
      </c>
      <c r="K56" s="115">
        <f t="shared" si="4"/>
        <v>0</v>
      </c>
      <c r="L56" s="116">
        <f t="shared" si="5"/>
        <v>0</v>
      </c>
    </row>
    <row r="57" spans="1:12" x14ac:dyDescent="0.25">
      <c r="A57" t="s">
        <v>181</v>
      </c>
      <c r="B57" s="126" t="s">
        <v>145</v>
      </c>
      <c r="C57" s="126" t="s">
        <v>33</v>
      </c>
      <c r="D57" s="126"/>
      <c r="E57" s="127" t="s">
        <v>287</v>
      </c>
      <c r="F57" t="s">
        <v>260</v>
      </c>
      <c r="H57" s="114">
        <v>0</v>
      </c>
      <c r="I57" s="99">
        <f>SUMIF('MUTASI 2026'!$F$5:$F$1048576,BB!A57,'MUTASI 2026'!$G$5:$G$1048576)</f>
        <v>0</v>
      </c>
      <c r="J57" s="99">
        <f>SUMIF('MUTASI 2026'!$F$5:$F$1048576,BB!A57,'MUTASI 2026'!$H$5:$H$1048576)</f>
        <v>0</v>
      </c>
      <c r="K57" s="115">
        <f t="shared" si="4"/>
        <v>0</v>
      </c>
      <c r="L57" s="116">
        <f t="shared" si="5"/>
        <v>0</v>
      </c>
    </row>
    <row r="58" spans="1:12" x14ac:dyDescent="0.25">
      <c r="A58" t="s">
        <v>182</v>
      </c>
      <c r="B58" s="126" t="s">
        <v>145</v>
      </c>
      <c r="C58" s="126" t="s">
        <v>19</v>
      </c>
      <c r="D58" s="126"/>
      <c r="E58" s="127" t="s">
        <v>286</v>
      </c>
      <c r="F58" t="s">
        <v>261</v>
      </c>
      <c r="H58" s="114">
        <v>0</v>
      </c>
      <c r="I58" s="99">
        <f>SUMIF('MUTASI 2026'!$F$5:$F$1048576,BB!A58,'MUTASI 2026'!$G$5:$G$1048576)</f>
        <v>0</v>
      </c>
      <c r="J58" s="99">
        <f>SUMIF('MUTASI 2026'!$F$5:$F$1048576,BB!A58,'MUTASI 2026'!$H$5:$H$1048576)</f>
        <v>0</v>
      </c>
      <c r="K58" s="115">
        <f t="shared" si="4"/>
        <v>0</v>
      </c>
      <c r="L58" s="116">
        <f t="shared" si="5"/>
        <v>0</v>
      </c>
    </row>
    <row r="59" spans="1:12" x14ac:dyDescent="0.25">
      <c r="A59" t="s">
        <v>183</v>
      </c>
      <c r="B59" s="126" t="s">
        <v>145</v>
      </c>
      <c r="C59" s="126" t="s">
        <v>19</v>
      </c>
      <c r="D59" s="126"/>
      <c r="E59" s="127" t="s">
        <v>286</v>
      </c>
      <c r="F59" t="s">
        <v>318</v>
      </c>
      <c r="H59" s="114">
        <v>0</v>
      </c>
      <c r="I59" s="99">
        <f>SUMIF('MUTASI 2026'!$F$5:$F$1048576,BB!A59,'MUTASI 2026'!$G$5:$G$1048576)</f>
        <v>0</v>
      </c>
      <c r="J59" s="99">
        <f>SUMIF('MUTASI 2026'!$F$5:$F$1048576,BB!A59,'MUTASI 2026'!$H$5:$H$1048576)</f>
        <v>0</v>
      </c>
      <c r="K59" s="115">
        <f t="shared" si="4"/>
        <v>0</v>
      </c>
      <c r="L59" s="116">
        <f t="shared" si="5"/>
        <v>0</v>
      </c>
    </row>
    <row r="60" spans="1:12" x14ac:dyDescent="0.25">
      <c r="A60" t="s">
        <v>184</v>
      </c>
      <c r="B60" s="126" t="s">
        <v>145</v>
      </c>
      <c r="C60" s="126" t="s">
        <v>33</v>
      </c>
      <c r="D60" s="126"/>
      <c r="E60" s="127" t="s">
        <v>287</v>
      </c>
      <c r="F60" t="s">
        <v>262</v>
      </c>
      <c r="H60" s="114">
        <v>0</v>
      </c>
      <c r="I60" s="99">
        <f>SUMIF('MUTASI 2026'!$F$5:$F$1048576,BB!A60,'MUTASI 2026'!$G$5:$G$1048576)</f>
        <v>0</v>
      </c>
      <c r="J60" s="99">
        <f>SUMIF('MUTASI 2026'!$F$5:$F$1048576,BB!A60,'MUTASI 2026'!$H$5:$H$1048576)</f>
        <v>0</v>
      </c>
      <c r="K60" s="115">
        <f t="shared" si="4"/>
        <v>0</v>
      </c>
      <c r="L60" s="116">
        <f t="shared" si="5"/>
        <v>0</v>
      </c>
    </row>
    <row r="61" spans="1:12" x14ac:dyDescent="0.25">
      <c r="A61" t="s">
        <v>185</v>
      </c>
      <c r="B61" s="126" t="s">
        <v>145</v>
      </c>
      <c r="C61" s="126" t="s">
        <v>33</v>
      </c>
      <c r="D61" s="126"/>
      <c r="E61" s="127" t="s">
        <v>287</v>
      </c>
      <c r="F61" t="s">
        <v>319</v>
      </c>
      <c r="H61" s="114">
        <v>0</v>
      </c>
      <c r="I61" s="99">
        <f>SUMIF('MUTASI 2026'!$F$5:$F$1048576,BB!A61,'MUTASI 2026'!$G$5:$G$1048576)</f>
        <v>0</v>
      </c>
      <c r="J61" s="99">
        <f>SUMIF('MUTASI 2026'!$F$5:$F$1048576,BB!A61,'MUTASI 2026'!$H$5:$H$1048576)</f>
        <v>0</v>
      </c>
      <c r="K61" s="115">
        <f t="shared" si="4"/>
        <v>0</v>
      </c>
      <c r="L61" s="116">
        <f t="shared" si="5"/>
        <v>0</v>
      </c>
    </row>
    <row r="62" spans="1:12" x14ac:dyDescent="0.25">
      <c r="A62" t="s">
        <v>186</v>
      </c>
      <c r="B62" s="126" t="s">
        <v>145</v>
      </c>
      <c r="C62" s="126" t="s">
        <v>332</v>
      </c>
      <c r="D62" s="126"/>
      <c r="E62" s="127" t="s">
        <v>286</v>
      </c>
      <c r="F62" t="s">
        <v>31</v>
      </c>
      <c r="H62" s="114">
        <v>0</v>
      </c>
      <c r="I62" s="99">
        <f>SUMIF('MUTASI 2026'!$F$5:$F$1048576,BB!A62,'MUTASI 2026'!$G$5:$G$1048576)</f>
        <v>0</v>
      </c>
      <c r="J62" s="99">
        <f>SUMIF('MUTASI 2026'!$F$5:$F$1048576,BB!A62,'MUTASI 2026'!$H$5:$H$1048576)</f>
        <v>0</v>
      </c>
      <c r="K62" s="115">
        <f t="shared" si="4"/>
        <v>0</v>
      </c>
      <c r="L62" s="116">
        <f t="shared" si="5"/>
        <v>0</v>
      </c>
    </row>
    <row r="63" spans="1:12" x14ac:dyDescent="0.25">
      <c r="A63" t="s">
        <v>187</v>
      </c>
      <c r="B63" s="126" t="s">
        <v>145</v>
      </c>
      <c r="C63" s="126" t="s">
        <v>33</v>
      </c>
      <c r="D63" s="126"/>
      <c r="E63" s="127" t="s">
        <v>287</v>
      </c>
      <c r="F63" t="s">
        <v>263</v>
      </c>
      <c r="H63" s="114">
        <v>0</v>
      </c>
      <c r="I63" s="99">
        <f>SUMIF('MUTASI 2026'!$F$5:$F$1048576,BB!A63,'MUTASI 2026'!$G$5:$G$1048576)</f>
        <v>0</v>
      </c>
      <c r="J63" s="99">
        <f>SUMIF('MUTASI 2026'!$F$5:$F$1048576,BB!A63,'MUTASI 2026'!$H$5:$H$1048576)</f>
        <v>0</v>
      </c>
      <c r="K63" s="115">
        <f>I63-J63</f>
        <v>0</v>
      </c>
      <c r="L63" s="116">
        <f>+H63+K63</f>
        <v>0</v>
      </c>
    </row>
    <row r="64" spans="1:12" x14ac:dyDescent="0.25">
      <c r="A64" t="s">
        <v>188</v>
      </c>
      <c r="B64" s="126" t="s">
        <v>145</v>
      </c>
      <c r="C64" s="126" t="s">
        <v>333</v>
      </c>
      <c r="D64" s="126"/>
      <c r="E64" s="127" t="s">
        <v>286</v>
      </c>
      <c r="F64" t="s">
        <v>32</v>
      </c>
      <c r="H64" s="114">
        <v>0</v>
      </c>
      <c r="I64" s="99">
        <f>SUMIF('MUTASI 2026'!$F$5:$F$1048576,BB!A64,'MUTASI 2026'!$G$5:$G$1048576)</f>
        <v>0</v>
      </c>
      <c r="J64" s="99">
        <f>SUMIF('MUTASI 2026'!$F$5:$F$1048576,BB!A64,'MUTASI 2026'!$H$5:$H$1048576)</f>
        <v>0</v>
      </c>
      <c r="K64" s="115">
        <f>I64-J64</f>
        <v>0</v>
      </c>
      <c r="L64" s="116">
        <f>+H64+K64</f>
        <v>0</v>
      </c>
    </row>
    <row r="65" spans="1:12" x14ac:dyDescent="0.25">
      <c r="A65" t="s">
        <v>189</v>
      </c>
      <c r="B65" s="126" t="s">
        <v>145</v>
      </c>
      <c r="C65" s="126" t="s">
        <v>33</v>
      </c>
      <c r="D65" s="126"/>
      <c r="E65" s="127" t="s">
        <v>287</v>
      </c>
      <c r="F65" t="s">
        <v>264</v>
      </c>
      <c r="H65" s="114">
        <v>0</v>
      </c>
      <c r="I65" s="99">
        <f>SUMIF('MUTASI 2026'!$F$5:$F$1048576,BB!A65,'MUTASI 2026'!$G$5:$G$1048576)</f>
        <v>0</v>
      </c>
      <c r="J65" s="99">
        <f>SUMIF('MUTASI 2026'!$F$5:$F$1048576,BB!A65,'MUTASI 2026'!$H$5:$H$1048576)</f>
        <v>0</v>
      </c>
      <c r="K65" s="115">
        <f t="shared" si="4"/>
        <v>0</v>
      </c>
      <c r="L65" s="116">
        <f t="shared" si="5"/>
        <v>0</v>
      </c>
    </row>
    <row r="66" spans="1:12" x14ac:dyDescent="0.25">
      <c r="A66" t="s">
        <v>190</v>
      </c>
      <c r="B66" s="126" t="s">
        <v>145</v>
      </c>
      <c r="C66" s="126" t="s">
        <v>35</v>
      </c>
      <c r="D66" s="126"/>
      <c r="E66" s="127" t="s">
        <v>286</v>
      </c>
      <c r="F66" t="s">
        <v>265</v>
      </c>
      <c r="H66" s="114">
        <v>0</v>
      </c>
      <c r="I66" s="99">
        <f>SUMIF('MUTASI 2026'!$F$5:$F$1048576,BB!A66,'MUTASI 2026'!$G$5:$G$1048576)</f>
        <v>0</v>
      </c>
      <c r="J66" s="99">
        <f>SUMIF('MUTASI 2026'!$F$5:$F$1048576,BB!A66,'MUTASI 2026'!$H$5:$H$1048576)</f>
        <v>0</v>
      </c>
      <c r="K66" s="115">
        <f t="shared" si="4"/>
        <v>0</v>
      </c>
      <c r="L66" s="116">
        <f t="shared" si="5"/>
        <v>0</v>
      </c>
    </row>
    <row r="67" spans="1:12" x14ac:dyDescent="0.25">
      <c r="A67" t="s">
        <v>191</v>
      </c>
      <c r="B67" s="126" t="s">
        <v>145</v>
      </c>
      <c r="C67" s="126" t="s">
        <v>35</v>
      </c>
      <c r="D67" s="126"/>
      <c r="E67" s="127" t="s">
        <v>286</v>
      </c>
      <c r="F67" t="s">
        <v>320</v>
      </c>
      <c r="H67" s="114">
        <v>0</v>
      </c>
      <c r="I67" s="99">
        <f>SUMIF('MUTASI 2026'!$F$5:$F$1048576,BB!A67,'MUTASI 2026'!$G$5:$G$1048576)</f>
        <v>0</v>
      </c>
      <c r="J67" s="99">
        <f>SUMIF('MUTASI 2026'!$F$5:$F$1048576,BB!A67,'MUTASI 2026'!$H$5:$H$1048576)</f>
        <v>0</v>
      </c>
      <c r="K67" s="115">
        <f t="shared" si="4"/>
        <v>0</v>
      </c>
      <c r="L67" s="116">
        <f t="shared" si="5"/>
        <v>0</v>
      </c>
    </row>
    <row r="68" spans="1:12" x14ac:dyDescent="0.25">
      <c r="A68" t="s">
        <v>192</v>
      </c>
      <c r="B68" s="126" t="s">
        <v>145</v>
      </c>
      <c r="C68" s="126" t="s">
        <v>36</v>
      </c>
      <c r="D68" s="126"/>
      <c r="E68" s="127" t="s">
        <v>287</v>
      </c>
      <c r="F68" t="s">
        <v>266</v>
      </c>
      <c r="H68" s="114">
        <v>0</v>
      </c>
      <c r="I68" s="99">
        <f>SUMIF('MUTASI 2026'!$F$5:$F$1048576,BB!A68,'MUTASI 2026'!$G$5:$G$1048576)</f>
        <v>0</v>
      </c>
      <c r="J68" s="99">
        <f>SUMIF('MUTASI 2026'!$F$5:$F$1048576,BB!A68,'MUTASI 2026'!$H$5:$H$1048576)</f>
        <v>0</v>
      </c>
      <c r="K68" s="115">
        <f t="shared" si="4"/>
        <v>0</v>
      </c>
      <c r="L68" s="116">
        <f t="shared" si="5"/>
        <v>0</v>
      </c>
    </row>
    <row r="69" spans="1:12" x14ac:dyDescent="0.25">
      <c r="A69" t="s">
        <v>193</v>
      </c>
      <c r="B69" s="126" t="s">
        <v>145</v>
      </c>
      <c r="C69" s="126" t="s">
        <v>36</v>
      </c>
      <c r="D69" s="126"/>
      <c r="E69" s="127" t="s">
        <v>287</v>
      </c>
      <c r="F69" t="s">
        <v>321</v>
      </c>
      <c r="H69" s="114">
        <v>0</v>
      </c>
      <c r="I69" s="99">
        <f>SUMIF('MUTASI 2026'!$F$5:$F$1048576,BB!A69,'MUTASI 2026'!$G$5:$G$1048576)</f>
        <v>0</v>
      </c>
      <c r="J69" s="99">
        <f>SUMIF('MUTASI 2026'!$F$5:$F$1048576,BB!A69,'MUTASI 2026'!$H$5:$H$1048576)</f>
        <v>0</v>
      </c>
      <c r="K69" s="115">
        <f t="shared" si="4"/>
        <v>0</v>
      </c>
      <c r="L69" s="116">
        <f t="shared" si="5"/>
        <v>0</v>
      </c>
    </row>
    <row r="70" spans="1:12" x14ac:dyDescent="0.25">
      <c r="A70" t="s">
        <v>194</v>
      </c>
      <c r="B70" s="126" t="s">
        <v>145</v>
      </c>
      <c r="C70" s="126" t="s">
        <v>28</v>
      </c>
      <c r="D70" s="126"/>
      <c r="E70" s="127" t="s">
        <v>286</v>
      </c>
      <c r="F70" t="s">
        <v>37</v>
      </c>
      <c r="H70" s="114">
        <v>0</v>
      </c>
      <c r="I70" s="99">
        <f>SUMIF('MUTASI 2026'!$F$5:$F$1048576,BB!A70,'MUTASI 2026'!$G$5:$G$1048576)</f>
        <v>0</v>
      </c>
      <c r="J70" s="99">
        <f>SUMIF('MUTASI 2026'!$F$5:$F$1048576,BB!A70,'MUTASI 2026'!$H$5:$H$1048576)</f>
        <v>0</v>
      </c>
      <c r="K70" s="115">
        <f t="shared" si="4"/>
        <v>0</v>
      </c>
      <c r="L70" s="116">
        <f t="shared" si="5"/>
        <v>0</v>
      </c>
    </row>
    <row r="71" spans="1:12" x14ac:dyDescent="0.25">
      <c r="A71" t="s">
        <v>195</v>
      </c>
      <c r="B71" s="126" t="s">
        <v>288</v>
      </c>
      <c r="C71" s="126" t="s">
        <v>38</v>
      </c>
      <c r="D71" s="126"/>
      <c r="E71" s="127" t="s">
        <v>287</v>
      </c>
      <c r="F71" t="s">
        <v>322</v>
      </c>
      <c r="H71" s="114">
        <v>0</v>
      </c>
      <c r="I71" s="99">
        <f>SUMIF('MUTASI 2026'!$F$5:$F$1048576,BB!A71,'MUTASI 2026'!$G$5:$G$1048576)</f>
        <v>0</v>
      </c>
      <c r="J71" s="99">
        <f>SUMIF('MUTASI 2026'!$F$5:$F$1048576,BB!A71,'MUTASI 2026'!$H$5:$H$1048576)</f>
        <v>0</v>
      </c>
      <c r="K71" s="115">
        <f t="shared" si="4"/>
        <v>0</v>
      </c>
      <c r="L71" s="116">
        <f t="shared" si="5"/>
        <v>0</v>
      </c>
    </row>
    <row r="72" spans="1:12" x14ac:dyDescent="0.25">
      <c r="A72" s="147" t="s">
        <v>323</v>
      </c>
      <c r="B72" s="126" t="s">
        <v>288</v>
      </c>
      <c r="C72" s="126" t="s">
        <v>40</v>
      </c>
      <c r="D72" s="126"/>
      <c r="E72" s="127" t="s">
        <v>287</v>
      </c>
      <c r="F72" t="s">
        <v>324</v>
      </c>
      <c r="H72" s="114">
        <v>0</v>
      </c>
      <c r="I72" s="99">
        <f>SUMIF('MUTASI 2026'!$F$5:$F$1048576,BB!A72,'MUTASI 2026'!$G$5:$G$1048576)</f>
        <v>0</v>
      </c>
      <c r="J72" s="99">
        <f>SUMIF('MUTASI 2026'!$F$5:$F$1048576,BB!A72,'MUTASI 2026'!$H$5:$H$1048576)</f>
        <v>0</v>
      </c>
      <c r="K72" s="115">
        <f t="shared" si="4"/>
        <v>0</v>
      </c>
      <c r="L72" s="116">
        <f t="shared" si="5"/>
        <v>0</v>
      </c>
    </row>
    <row r="73" spans="1:12" x14ac:dyDescent="0.25">
      <c r="A73" s="147" t="s">
        <v>325</v>
      </c>
      <c r="B73" s="126" t="s">
        <v>288</v>
      </c>
      <c r="C73" s="126" t="s">
        <v>41</v>
      </c>
      <c r="D73" s="126"/>
      <c r="E73" s="127" t="s">
        <v>287</v>
      </c>
      <c r="F73" t="s">
        <v>326</v>
      </c>
      <c r="H73" s="114">
        <v>0</v>
      </c>
      <c r="I73" s="99">
        <f>SUMIF('MUTASI 2026'!$F$5:$F$1048576,BB!A73,'MUTASI 2026'!$G$5:$G$1048576)</f>
        <v>0</v>
      </c>
      <c r="J73" s="99">
        <f>SUMIF('MUTASI 2026'!$F$5:$F$1048576,BB!A73,'MUTASI 2026'!$H$5:$H$1048576)</f>
        <v>0</v>
      </c>
      <c r="K73" s="115">
        <f t="shared" si="4"/>
        <v>0</v>
      </c>
      <c r="L73" s="116">
        <f t="shared" si="5"/>
        <v>0</v>
      </c>
    </row>
    <row r="74" spans="1:12" x14ac:dyDescent="0.25">
      <c r="A74" s="147" t="s">
        <v>445</v>
      </c>
      <c r="B74" s="126" t="s">
        <v>288</v>
      </c>
      <c r="C74" s="126" t="s">
        <v>41</v>
      </c>
      <c r="D74" s="126"/>
      <c r="E74" s="127" t="s">
        <v>287</v>
      </c>
      <c r="F74" t="s">
        <v>313</v>
      </c>
      <c r="H74" s="114">
        <v>0</v>
      </c>
      <c r="I74" s="99">
        <f>SUMIF('MUTASI 2026'!$F$5:$F$1048576,BB!A74,'MUTASI 2026'!$G$5:$G$1048576)</f>
        <v>0</v>
      </c>
      <c r="J74" s="99">
        <f>SUMIF('MUTASI 2026'!$F$5:$F$1048576,BB!A74,'MUTASI 2026'!$H$5:$H$1048576)</f>
        <v>0</v>
      </c>
      <c r="K74" s="115">
        <f>I74-J74</f>
        <v>0</v>
      </c>
      <c r="L74" s="116">
        <f>+H74+K74</f>
        <v>0</v>
      </c>
    </row>
    <row r="75" spans="1:12" x14ac:dyDescent="0.25">
      <c r="A75" s="147" t="s">
        <v>446</v>
      </c>
      <c r="B75" s="126" t="s">
        <v>288</v>
      </c>
      <c r="C75" s="126" t="s">
        <v>41</v>
      </c>
      <c r="D75" s="126"/>
      <c r="E75" s="127" t="s">
        <v>287</v>
      </c>
      <c r="F75" t="s">
        <v>448</v>
      </c>
      <c r="H75" s="114">
        <v>-300000000</v>
      </c>
      <c r="I75" s="99">
        <f>SUMIF('MUTASI 2026'!$F$5:$F$1048576,BB!A75,'MUTASI 2026'!$G$5:$G$1048576)</f>
        <v>0</v>
      </c>
      <c r="J75" s="99">
        <f>SUMIF('MUTASI 2026'!$F$5:$F$1048576,BB!A75,'MUTASI 2026'!$H$5:$H$1048576)</f>
        <v>0</v>
      </c>
      <c r="K75" s="115">
        <f>I75-J75</f>
        <v>0</v>
      </c>
      <c r="L75" s="116">
        <f>+H75+K75</f>
        <v>-300000000</v>
      </c>
    </row>
    <row r="76" spans="1:12" x14ac:dyDescent="0.25">
      <c r="A76" s="147" t="s">
        <v>447</v>
      </c>
      <c r="B76" s="126" t="s">
        <v>288</v>
      </c>
      <c r="C76" s="126" t="s">
        <v>41</v>
      </c>
      <c r="D76" s="126"/>
      <c r="E76" s="127" t="s">
        <v>287</v>
      </c>
      <c r="F76" t="s">
        <v>449</v>
      </c>
      <c r="H76" s="114">
        <v>0</v>
      </c>
      <c r="I76" s="99">
        <f>SUMIF('MUTASI 2026'!$F$5:$F$1048576,BB!A76,'MUTASI 2026'!$G$5:$G$1048576)</f>
        <v>0</v>
      </c>
      <c r="J76" s="99">
        <f>SUMIF('MUTASI 2026'!$F$5:$F$1048576,BB!A76,'MUTASI 2026'!$H$5:$H$1048576)</f>
        <v>0</v>
      </c>
      <c r="K76" s="115">
        <f>I76-J76</f>
        <v>0</v>
      </c>
      <c r="L76" s="116">
        <f>+H76+K76</f>
        <v>0</v>
      </c>
    </row>
    <row r="77" spans="1:12" x14ac:dyDescent="0.25">
      <c r="A77" s="147" t="s">
        <v>465</v>
      </c>
      <c r="B77" s="126" t="s">
        <v>288</v>
      </c>
      <c r="C77" s="126" t="s">
        <v>41</v>
      </c>
      <c r="D77" s="126"/>
      <c r="E77" s="127" t="s">
        <v>287</v>
      </c>
      <c r="F77" t="s">
        <v>466</v>
      </c>
      <c r="H77" s="114">
        <v>0</v>
      </c>
      <c r="I77" s="99">
        <f>SUMIF('MUTASI 2026'!$F$5:$F$1048576,BB!A77,'MUTASI 2026'!$G$5:$G$1048576)</f>
        <v>0</v>
      </c>
      <c r="J77" s="99">
        <f>SUMIF('MUTASI 2026'!$F$5:$F$1048576,BB!A77,'MUTASI 2026'!$H$5:$H$1048576)</f>
        <v>0</v>
      </c>
      <c r="K77" s="115">
        <f>I77-J77</f>
        <v>0</v>
      </c>
      <c r="L77" s="116">
        <f>+H77+K77</f>
        <v>0</v>
      </c>
    </row>
    <row r="78" spans="1:12" x14ac:dyDescent="0.25">
      <c r="A78" s="147" t="s">
        <v>327</v>
      </c>
      <c r="B78" s="126" t="s">
        <v>288</v>
      </c>
      <c r="C78" s="126" t="s">
        <v>42</v>
      </c>
      <c r="D78" s="126"/>
      <c r="E78" s="127" t="s">
        <v>287</v>
      </c>
      <c r="F78" t="s">
        <v>407</v>
      </c>
      <c r="H78" s="114">
        <v>0</v>
      </c>
      <c r="I78" s="99">
        <f>SUMIF('MUTASI 2026'!$F$5:$F$1048576,BB!A78,'MUTASI 2026'!$G$5:$G$1048576)</f>
        <v>0</v>
      </c>
      <c r="J78" s="99">
        <f>SUMIF('MUTASI 2026'!$F$5:$F$1048576,BB!A78,'MUTASI 2026'!$H$5:$H$1048576)</f>
        <v>0</v>
      </c>
      <c r="K78" s="115">
        <f t="shared" si="4"/>
        <v>0</v>
      </c>
      <c r="L78" s="116">
        <f t="shared" si="5"/>
        <v>0</v>
      </c>
    </row>
    <row r="79" spans="1:12" x14ac:dyDescent="0.25">
      <c r="A79" s="147" t="s">
        <v>328</v>
      </c>
      <c r="B79" s="126" t="s">
        <v>288</v>
      </c>
      <c r="C79" s="126" t="s">
        <v>334</v>
      </c>
      <c r="D79" s="126"/>
      <c r="E79" s="127" t="s">
        <v>287</v>
      </c>
      <c r="F79" t="s">
        <v>408</v>
      </c>
      <c r="H79" s="114">
        <v>0</v>
      </c>
      <c r="I79" s="99">
        <f>SUMIF('MUTASI 2026'!$F$5:$F$1048576,BB!A79,'MUTASI 2026'!$G$5:$G$1048576)</f>
        <v>0</v>
      </c>
      <c r="J79" s="99">
        <f>SUMIF('MUTASI 2026'!$F$5:$F$1048576,BB!A79,'MUTASI 2026'!$H$5:$H$1048576)</f>
        <v>0</v>
      </c>
      <c r="K79" s="115">
        <f>I79-J79</f>
        <v>0</v>
      </c>
      <c r="L79" s="116">
        <f>+H79+K79</f>
        <v>0</v>
      </c>
    </row>
    <row r="80" spans="1:12" x14ac:dyDescent="0.25">
      <c r="A80" t="s">
        <v>196</v>
      </c>
      <c r="B80" s="126" t="s">
        <v>288</v>
      </c>
      <c r="C80" s="126" t="s">
        <v>44</v>
      </c>
      <c r="D80" s="126"/>
      <c r="E80" s="127" t="s">
        <v>287</v>
      </c>
      <c r="F80" t="s">
        <v>335</v>
      </c>
      <c r="H80" s="114">
        <v>0</v>
      </c>
      <c r="I80" s="99">
        <f>SUMIF('MUTASI 2026'!$F$5:$F$1048576,BB!A80,'MUTASI 2026'!$G$5:$G$1048576)</f>
        <v>0</v>
      </c>
      <c r="J80" s="99">
        <f>SUMIF('MUTASI 2026'!$F$5:$F$1048576,BB!A80,'MUTASI 2026'!$H$5:$H$1048576)</f>
        <v>0</v>
      </c>
      <c r="K80" s="115">
        <f t="shared" si="4"/>
        <v>0</v>
      </c>
      <c r="L80" s="116">
        <f t="shared" si="5"/>
        <v>0</v>
      </c>
    </row>
    <row r="81" spans="1:12" x14ac:dyDescent="0.25">
      <c r="A81" t="s">
        <v>197</v>
      </c>
      <c r="B81" s="126" t="s">
        <v>288</v>
      </c>
      <c r="C81" s="126" t="s">
        <v>39</v>
      </c>
      <c r="D81" s="126"/>
      <c r="E81" s="127" t="s">
        <v>287</v>
      </c>
      <c r="F81" t="s">
        <v>336</v>
      </c>
      <c r="H81" s="114">
        <v>-21680000</v>
      </c>
      <c r="I81" s="99">
        <f>SUMIF('MUTASI 2026'!$F$5:$F$1048576,BB!A81,'MUTASI 2026'!$G$5:$G$1048576)</f>
        <v>0</v>
      </c>
      <c r="J81" s="99">
        <f>SUMIF('MUTASI 2026'!$F$5:$F$1048576,BB!A81,'MUTASI 2026'!$H$5:$H$1048576)</f>
        <v>0</v>
      </c>
      <c r="K81" s="115">
        <f t="shared" si="4"/>
        <v>0</v>
      </c>
      <c r="L81" s="116">
        <f t="shared" si="5"/>
        <v>-21680000</v>
      </c>
    </row>
    <row r="82" spans="1:12" x14ac:dyDescent="0.25">
      <c r="A82" t="s">
        <v>198</v>
      </c>
      <c r="B82" s="126" t="s">
        <v>288</v>
      </c>
      <c r="C82" s="126" t="s">
        <v>43</v>
      </c>
      <c r="D82" s="126"/>
      <c r="E82" s="127" t="s">
        <v>287</v>
      </c>
      <c r="F82" t="s">
        <v>337</v>
      </c>
      <c r="H82" s="114">
        <v>0</v>
      </c>
      <c r="I82" s="99">
        <f>SUMIF('MUTASI 2026'!$F$5:$F$1048576,BB!A82,'MUTASI 2026'!$G$5:$G$1048576)</f>
        <v>0</v>
      </c>
      <c r="J82" s="99">
        <f>SUMIF('MUTASI 2026'!$F$5:$F$1048576,BB!A82,'MUTASI 2026'!$H$5:$H$1048576)</f>
        <v>0</v>
      </c>
      <c r="K82" s="115">
        <f t="shared" si="4"/>
        <v>0</v>
      </c>
      <c r="L82" s="116">
        <f t="shared" si="5"/>
        <v>0</v>
      </c>
    </row>
    <row r="83" spans="1:12" x14ac:dyDescent="0.25">
      <c r="A83" t="s">
        <v>199</v>
      </c>
      <c r="B83" s="126" t="s">
        <v>288</v>
      </c>
      <c r="C83" s="126" t="s">
        <v>43</v>
      </c>
      <c r="D83" s="126"/>
      <c r="E83" s="127" t="s">
        <v>287</v>
      </c>
      <c r="F83" t="s">
        <v>338</v>
      </c>
      <c r="H83" s="114">
        <v>-47239212.427372783</v>
      </c>
      <c r="I83" s="99">
        <f>SUMIF('MUTASI 2026'!$F$5:$F$1048576,BB!A83,'MUTASI 2026'!$G$5:$G$1048576)</f>
        <v>0</v>
      </c>
      <c r="J83" s="99">
        <f>SUMIF('MUTASI 2026'!$F$5:$F$1048576,BB!A83,'MUTASI 2026'!$H$5:$H$1048576)</f>
        <v>0</v>
      </c>
      <c r="K83" s="115">
        <f t="shared" ref="K83:K116" si="6">I83-J83</f>
        <v>0</v>
      </c>
      <c r="L83" s="116">
        <f t="shared" ref="L83:L116" si="7">+H83+K83</f>
        <v>-47239212.427372783</v>
      </c>
    </row>
    <row r="84" spans="1:12" x14ac:dyDescent="0.25">
      <c r="A84" t="s">
        <v>200</v>
      </c>
      <c r="B84" s="126" t="s">
        <v>288</v>
      </c>
      <c r="C84" s="126" t="s">
        <v>43</v>
      </c>
      <c r="D84" s="126"/>
      <c r="E84" s="127" t="s">
        <v>287</v>
      </c>
      <c r="F84" t="s">
        <v>267</v>
      </c>
      <c r="H84" s="114">
        <v>0</v>
      </c>
      <c r="I84" s="99">
        <f>SUMIF('MUTASI 2026'!$F$5:$F$1048576,BB!A84,'MUTASI 2026'!$G$5:$G$1048576)</f>
        <v>0</v>
      </c>
      <c r="J84" s="99">
        <f>SUMIF('MUTASI 2026'!$F$5:$F$1048576,BB!A84,'MUTASI 2026'!$H$5:$H$1048576)</f>
        <v>0</v>
      </c>
      <c r="K84" s="115">
        <f t="shared" si="6"/>
        <v>0</v>
      </c>
      <c r="L84" s="116">
        <f t="shared" si="7"/>
        <v>0</v>
      </c>
    </row>
    <row r="85" spans="1:12" x14ac:dyDescent="0.25">
      <c r="A85" t="s">
        <v>201</v>
      </c>
      <c r="B85" s="126" t="s">
        <v>288</v>
      </c>
      <c r="C85" s="126" t="s">
        <v>43</v>
      </c>
      <c r="D85" s="126"/>
      <c r="E85" s="127" t="s">
        <v>287</v>
      </c>
      <c r="F85" t="s">
        <v>268</v>
      </c>
      <c r="H85" s="114">
        <v>0</v>
      </c>
      <c r="I85" s="99">
        <f>SUMIF('MUTASI 2026'!$F$5:$F$1048576,BB!A85,'MUTASI 2026'!$G$5:$G$1048576)</f>
        <v>0</v>
      </c>
      <c r="J85" s="99">
        <f>SUMIF('MUTASI 2026'!$F$5:$F$1048576,BB!A85,'MUTASI 2026'!$H$5:$H$1048576)</f>
        <v>0</v>
      </c>
      <c r="K85" s="115">
        <f t="shared" si="6"/>
        <v>0</v>
      </c>
      <c r="L85" s="116">
        <f t="shared" si="7"/>
        <v>0</v>
      </c>
    </row>
    <row r="86" spans="1:12" x14ac:dyDescent="0.25">
      <c r="A86" t="s">
        <v>202</v>
      </c>
      <c r="B86" s="126" t="s">
        <v>288</v>
      </c>
      <c r="C86" s="126" t="s">
        <v>43</v>
      </c>
      <c r="D86" s="126"/>
      <c r="E86" s="127" t="s">
        <v>287</v>
      </c>
      <c r="F86" t="s">
        <v>252</v>
      </c>
      <c r="H86" s="114">
        <v>0</v>
      </c>
      <c r="I86" s="99">
        <f>SUMIF('MUTASI 2026'!$F$5:$F$1048576,BB!A86,'MUTASI 2026'!$G$5:$G$1048576)</f>
        <v>0</v>
      </c>
      <c r="J86" s="99">
        <f>SUMIF('MUTASI 2026'!$F$5:$F$1048576,BB!A86,'MUTASI 2026'!$H$5:$H$1048576)</f>
        <v>0</v>
      </c>
      <c r="K86" s="115">
        <f t="shared" si="6"/>
        <v>0</v>
      </c>
      <c r="L86" s="116">
        <f t="shared" si="7"/>
        <v>0</v>
      </c>
    </row>
    <row r="87" spans="1:12" x14ac:dyDescent="0.25">
      <c r="A87" t="s">
        <v>203</v>
      </c>
      <c r="B87" s="126" t="s">
        <v>288</v>
      </c>
      <c r="C87" s="126" t="s">
        <v>43</v>
      </c>
      <c r="D87" s="126"/>
      <c r="E87" s="127" t="s">
        <v>287</v>
      </c>
      <c r="F87" t="s">
        <v>269</v>
      </c>
      <c r="H87" s="114">
        <v>0</v>
      </c>
      <c r="I87" s="99">
        <f>SUMIF('MUTASI 2026'!$F$5:$F$1048576,BB!A87,'MUTASI 2026'!$G$5:$G$1048576)</f>
        <v>0</v>
      </c>
      <c r="J87" s="99">
        <f>SUMIF('MUTASI 2026'!$F$5:$F$1048576,BB!A87,'MUTASI 2026'!$H$5:$H$1048576)</f>
        <v>0</v>
      </c>
      <c r="K87" s="115">
        <f t="shared" si="6"/>
        <v>0</v>
      </c>
      <c r="L87" s="116">
        <f t="shared" si="7"/>
        <v>0</v>
      </c>
    </row>
    <row r="88" spans="1:12" x14ac:dyDescent="0.25">
      <c r="A88" t="s">
        <v>204</v>
      </c>
      <c r="B88" s="126" t="s">
        <v>288</v>
      </c>
      <c r="C88" s="126" t="s">
        <v>43</v>
      </c>
      <c r="D88" s="126"/>
      <c r="E88" s="127" t="s">
        <v>287</v>
      </c>
      <c r="F88" t="s">
        <v>270</v>
      </c>
      <c r="H88" s="114">
        <v>0</v>
      </c>
      <c r="I88" s="99">
        <f>SUMIF('MUTASI 2026'!$F$5:$F$1048576,BB!A88,'MUTASI 2026'!$G$5:$G$1048576)</f>
        <v>0</v>
      </c>
      <c r="J88" s="99">
        <f>SUMIF('MUTASI 2026'!$F$5:$F$1048576,BB!A88,'MUTASI 2026'!$H$5:$H$1048576)</f>
        <v>0</v>
      </c>
      <c r="K88" s="115">
        <f t="shared" si="6"/>
        <v>0</v>
      </c>
      <c r="L88" s="116">
        <f t="shared" si="7"/>
        <v>0</v>
      </c>
    </row>
    <row r="89" spans="1:12" x14ac:dyDescent="0.25">
      <c r="A89" t="s">
        <v>205</v>
      </c>
      <c r="B89" s="126" t="s">
        <v>288</v>
      </c>
      <c r="C89" s="126" t="s">
        <v>43</v>
      </c>
      <c r="D89" s="126"/>
      <c r="E89" s="127" t="s">
        <v>287</v>
      </c>
      <c r="F89" t="s">
        <v>339</v>
      </c>
      <c r="H89" s="114">
        <v>0</v>
      </c>
      <c r="I89" s="99">
        <f>SUMIF('MUTASI 2026'!$F$5:$F$1048576,BB!A89,'MUTASI 2026'!$G$5:$G$1048576)</f>
        <v>0</v>
      </c>
      <c r="J89" s="99">
        <f>SUMIF('MUTASI 2026'!$F$5:$F$1048576,BB!A89,'MUTASI 2026'!$H$5:$H$1048576)</f>
        <v>0</v>
      </c>
      <c r="K89" s="115">
        <f t="shared" si="6"/>
        <v>0</v>
      </c>
      <c r="L89" s="116">
        <f t="shared" si="7"/>
        <v>0</v>
      </c>
    </row>
    <row r="90" spans="1:12" x14ac:dyDescent="0.25">
      <c r="A90" t="s">
        <v>206</v>
      </c>
      <c r="B90" s="126" t="s">
        <v>288</v>
      </c>
      <c r="C90" s="126" t="s">
        <v>43</v>
      </c>
      <c r="D90" s="126"/>
      <c r="E90" s="127" t="s">
        <v>287</v>
      </c>
      <c r="F90" t="s">
        <v>271</v>
      </c>
      <c r="H90" s="114">
        <v>0</v>
      </c>
      <c r="I90" s="99">
        <f>SUMIF('MUTASI 2026'!$F$5:$F$1048576,BB!A90,'MUTASI 2026'!$G$5:$G$1048576)</f>
        <v>0</v>
      </c>
      <c r="J90" s="99">
        <f>SUMIF('MUTASI 2026'!$F$5:$F$1048576,BB!A90,'MUTASI 2026'!$H$5:$H$1048576)</f>
        <v>0</v>
      </c>
      <c r="K90" s="115">
        <f t="shared" si="6"/>
        <v>0</v>
      </c>
      <c r="L90" s="116">
        <f t="shared" si="7"/>
        <v>0</v>
      </c>
    </row>
    <row r="91" spans="1:12" x14ac:dyDescent="0.25">
      <c r="A91" t="s">
        <v>207</v>
      </c>
      <c r="B91" s="126" t="s">
        <v>288</v>
      </c>
      <c r="C91" s="126" t="s">
        <v>43</v>
      </c>
      <c r="D91" s="126"/>
      <c r="E91" s="127" t="s">
        <v>287</v>
      </c>
      <c r="F91" t="s">
        <v>272</v>
      </c>
      <c r="H91" s="114">
        <v>0</v>
      </c>
      <c r="I91" s="99">
        <f>SUMIF('MUTASI 2026'!$F$5:$F$1048576,BB!A91,'MUTASI 2026'!$G$5:$G$1048576)</f>
        <v>0</v>
      </c>
      <c r="J91" s="99">
        <f>SUMIF('MUTASI 2026'!$F$5:$F$1048576,BB!A91,'MUTASI 2026'!$H$5:$H$1048576)</f>
        <v>0</v>
      </c>
      <c r="K91" s="115">
        <f t="shared" si="6"/>
        <v>0</v>
      </c>
      <c r="L91" s="116">
        <f t="shared" si="7"/>
        <v>0</v>
      </c>
    </row>
    <row r="92" spans="1:12" x14ac:dyDescent="0.25">
      <c r="A92" t="s">
        <v>208</v>
      </c>
      <c r="B92" s="126" t="s">
        <v>288</v>
      </c>
      <c r="C92" s="126" t="s">
        <v>43</v>
      </c>
      <c r="D92" s="126"/>
      <c r="E92" s="127" t="s">
        <v>287</v>
      </c>
      <c r="F92" t="s">
        <v>273</v>
      </c>
      <c r="H92" s="114">
        <v>0</v>
      </c>
      <c r="I92" s="99">
        <f>SUMIF('MUTASI 2026'!$F$5:$F$1048576,BB!A92,'MUTASI 2026'!$G$5:$G$1048576)</f>
        <v>0</v>
      </c>
      <c r="J92" s="99">
        <f>SUMIF('MUTASI 2026'!$F$5:$F$1048576,BB!A92,'MUTASI 2026'!$H$5:$H$1048576)</f>
        <v>0</v>
      </c>
      <c r="K92" s="115">
        <f t="shared" si="6"/>
        <v>0</v>
      </c>
      <c r="L92" s="116">
        <f t="shared" si="7"/>
        <v>0</v>
      </c>
    </row>
    <row r="93" spans="1:12" x14ac:dyDescent="0.25">
      <c r="A93" t="s">
        <v>209</v>
      </c>
      <c r="B93" s="126" t="s">
        <v>288</v>
      </c>
      <c r="C93" s="126" t="s">
        <v>46</v>
      </c>
      <c r="D93" s="126"/>
      <c r="E93" s="127" t="s">
        <v>287</v>
      </c>
      <c r="F93" t="s">
        <v>47</v>
      </c>
      <c r="H93" s="114">
        <v>0</v>
      </c>
      <c r="I93" s="99">
        <f>SUMIF('MUTASI 2026'!$F$5:$F$1048576,BB!A93,'MUTASI 2026'!$G$5:$G$1048576)</f>
        <v>0</v>
      </c>
      <c r="J93" s="99">
        <f>SUMIF('MUTASI 2026'!$F$5:$F$1048576,BB!A93,'MUTASI 2026'!$H$5:$H$1048576)</f>
        <v>0</v>
      </c>
      <c r="K93" s="115">
        <f t="shared" si="6"/>
        <v>0</v>
      </c>
      <c r="L93" s="116">
        <f t="shared" si="7"/>
        <v>0</v>
      </c>
    </row>
    <row r="94" spans="1:12" x14ac:dyDescent="0.25">
      <c r="A94" s="147" t="s">
        <v>422</v>
      </c>
      <c r="B94" s="126" t="s">
        <v>288</v>
      </c>
      <c r="C94" s="126" t="s">
        <v>46</v>
      </c>
      <c r="D94" s="126"/>
      <c r="E94" s="127" t="s">
        <v>287</v>
      </c>
      <c r="F94" t="s">
        <v>423</v>
      </c>
      <c r="H94" s="114">
        <v>0</v>
      </c>
      <c r="I94" s="99">
        <f>SUMIF('MUTASI 2026'!$F$5:$F$1048576,BB!A94,'MUTASI 2026'!$G$5:$G$1048576)</f>
        <v>14475000</v>
      </c>
      <c r="J94" s="99">
        <f>SUMIF('MUTASI 2026'!$F$5:$F$1048576,BB!A94,'MUTASI 2026'!$H$5:$H$1048576)</f>
        <v>43425000</v>
      </c>
      <c r="K94" s="115">
        <f>I94-J94</f>
        <v>-28950000</v>
      </c>
      <c r="L94" s="116">
        <f>+H94+K94</f>
        <v>-28950000</v>
      </c>
    </row>
    <row r="95" spans="1:12" x14ac:dyDescent="0.25">
      <c r="A95" s="147" t="s">
        <v>424</v>
      </c>
      <c r="B95" s="126" t="s">
        <v>288</v>
      </c>
      <c r="C95" s="126" t="s">
        <v>46</v>
      </c>
      <c r="D95" s="126"/>
      <c r="E95" s="127" t="s">
        <v>287</v>
      </c>
      <c r="F95" t="s">
        <v>425</v>
      </c>
      <c r="H95" s="114">
        <v>0</v>
      </c>
      <c r="I95" s="99">
        <f>SUMIF('MUTASI 2026'!$F$5:$F$1048576,BB!A95,'MUTASI 2026'!$G$5:$G$1048576)</f>
        <v>0</v>
      </c>
      <c r="J95" s="99">
        <f>SUMIF('MUTASI 2026'!$F$5:$F$1048576,BB!A95,'MUTASI 2026'!$H$5:$H$1048576)</f>
        <v>0</v>
      </c>
      <c r="K95" s="115">
        <f>I95-J95</f>
        <v>0</v>
      </c>
      <c r="L95" s="116">
        <f>+H95+K95</f>
        <v>0</v>
      </c>
    </row>
    <row r="96" spans="1:12" x14ac:dyDescent="0.25">
      <c r="A96" s="147" t="s">
        <v>426</v>
      </c>
      <c r="B96" s="126" t="s">
        <v>288</v>
      </c>
      <c r="C96" s="126" t="s">
        <v>46</v>
      </c>
      <c r="D96" s="126"/>
      <c r="E96" s="127" t="s">
        <v>287</v>
      </c>
      <c r="F96" t="s">
        <v>427</v>
      </c>
      <c r="H96" s="114">
        <v>0</v>
      </c>
      <c r="I96" s="99">
        <f>SUMIF('MUTASI 2026'!$F$5:$F$1048576,BB!A96,'MUTASI 2026'!$G$5:$G$1048576)</f>
        <v>23217000</v>
      </c>
      <c r="J96" s="99">
        <f>SUMIF('MUTASI 2026'!$F$5:$F$1048576,BB!A96,'MUTASI 2026'!$H$5:$H$1048576)</f>
        <v>23217000</v>
      </c>
      <c r="K96" s="115">
        <f>I96-J96</f>
        <v>0</v>
      </c>
      <c r="L96" s="116">
        <f>+H96+K96</f>
        <v>0</v>
      </c>
    </row>
    <row r="97" spans="1:12" x14ac:dyDescent="0.25">
      <c r="A97" s="147" t="s">
        <v>476</v>
      </c>
      <c r="B97" s="126" t="s">
        <v>288</v>
      </c>
      <c r="C97" s="126" t="s">
        <v>46</v>
      </c>
      <c r="D97" s="126"/>
      <c r="E97" s="127" t="s">
        <v>287</v>
      </c>
      <c r="F97" t="s">
        <v>475</v>
      </c>
      <c r="H97" s="114">
        <v>-93098803.881087482</v>
      </c>
      <c r="I97" s="99">
        <f>SUMIF('MUTASI 2026'!$F$5:$F$1048576,BB!A97,'MUTASI 2026'!$G$5:$G$1048576)</f>
        <v>0</v>
      </c>
      <c r="J97" s="99">
        <f>SUMIF('MUTASI 2026'!$F$5:$F$1048576,BB!A97,'MUTASI 2026'!$H$5:$H$1048576)</f>
        <v>0</v>
      </c>
      <c r="K97" s="115">
        <f>I97-J97</f>
        <v>0</v>
      </c>
      <c r="L97" s="116">
        <f>+H97+K97</f>
        <v>-93098803.881087482</v>
      </c>
    </row>
    <row r="98" spans="1:12" x14ac:dyDescent="0.25">
      <c r="A98" t="s">
        <v>210</v>
      </c>
      <c r="B98" s="126" t="s">
        <v>288</v>
      </c>
      <c r="C98" s="126" t="s">
        <v>45</v>
      </c>
      <c r="D98" s="126"/>
      <c r="E98" s="127" t="s">
        <v>287</v>
      </c>
      <c r="F98" t="s">
        <v>274</v>
      </c>
      <c r="H98" s="114">
        <v>0</v>
      </c>
      <c r="I98" s="99">
        <f>SUMIF('MUTASI 2026'!$F$5:$F$1048576,BB!A98,'MUTASI 2026'!$G$5:$G$1048576)</f>
        <v>0</v>
      </c>
      <c r="J98" s="99">
        <f>SUMIF('MUTASI 2026'!$F$5:$F$1048576,BB!A98,'MUTASI 2026'!$H$5:$H$1048576)</f>
        <v>0</v>
      </c>
      <c r="K98" s="115">
        <f t="shared" si="6"/>
        <v>0</v>
      </c>
      <c r="L98" s="116">
        <f t="shared" si="7"/>
        <v>0</v>
      </c>
    </row>
    <row r="99" spans="1:12" x14ac:dyDescent="0.25">
      <c r="A99" t="s">
        <v>211</v>
      </c>
      <c r="B99" s="126" t="s">
        <v>288</v>
      </c>
      <c r="C99" s="126" t="s">
        <v>48</v>
      </c>
      <c r="D99" s="126"/>
      <c r="E99" s="127" t="s">
        <v>287</v>
      </c>
      <c r="F99" t="s">
        <v>340</v>
      </c>
      <c r="H99" s="114">
        <v>0</v>
      </c>
      <c r="I99" s="99">
        <f>SUMIF('MUTASI 2026'!$F$5:$F$1048576,BB!A99,'MUTASI 2026'!$G$5:$G$1048576)</f>
        <v>0</v>
      </c>
      <c r="J99" s="99">
        <f>SUMIF('MUTASI 2026'!$F$5:$F$1048576,BB!A99,'MUTASI 2026'!$H$5:$H$1048576)</f>
        <v>0</v>
      </c>
      <c r="K99" s="115">
        <f t="shared" si="6"/>
        <v>0</v>
      </c>
      <c r="L99" s="116">
        <f t="shared" si="7"/>
        <v>0</v>
      </c>
    </row>
    <row r="100" spans="1:12" x14ac:dyDescent="0.25">
      <c r="A100" t="s">
        <v>212</v>
      </c>
      <c r="B100" s="126" t="s">
        <v>288</v>
      </c>
      <c r="C100" s="126" t="s">
        <v>49</v>
      </c>
      <c r="D100" s="126"/>
      <c r="E100" s="127" t="s">
        <v>287</v>
      </c>
      <c r="F100" t="s">
        <v>341</v>
      </c>
      <c r="H100" s="114">
        <v>0</v>
      </c>
      <c r="I100" s="99">
        <f>SUMIF('MUTASI 2026'!$F$5:$F$1048576,BB!A100,'MUTASI 2026'!$G$5:$G$1048576)</f>
        <v>0</v>
      </c>
      <c r="J100" s="99">
        <f>SUMIF('MUTASI 2026'!$F$5:$F$1048576,BB!A100,'MUTASI 2026'!$H$5:$H$1048576)</f>
        <v>0</v>
      </c>
      <c r="K100" s="115">
        <f t="shared" si="6"/>
        <v>0</v>
      </c>
      <c r="L100" s="116">
        <f t="shared" si="7"/>
        <v>0</v>
      </c>
    </row>
    <row r="101" spans="1:12" x14ac:dyDescent="0.25">
      <c r="A101" t="s">
        <v>213</v>
      </c>
      <c r="B101" s="126" t="s">
        <v>288</v>
      </c>
      <c r="C101" s="126" t="s">
        <v>50</v>
      </c>
      <c r="D101" s="126"/>
      <c r="E101" s="127" t="s">
        <v>287</v>
      </c>
      <c r="F101" t="s">
        <v>342</v>
      </c>
      <c r="H101" s="114">
        <v>0</v>
      </c>
      <c r="I101" s="99">
        <f>SUMIF('MUTASI 2026'!$F$5:$F$1048576,BB!A101,'MUTASI 2026'!$G$5:$G$1048576)</f>
        <v>0</v>
      </c>
      <c r="J101" s="99">
        <f>SUMIF('MUTASI 2026'!$F$5:$F$1048576,BB!A101,'MUTASI 2026'!$H$5:$H$1048576)</f>
        <v>0</v>
      </c>
      <c r="K101" s="115">
        <f t="shared" si="6"/>
        <v>0</v>
      </c>
      <c r="L101" s="116">
        <f t="shared" si="7"/>
        <v>0</v>
      </c>
    </row>
    <row r="102" spans="1:12" x14ac:dyDescent="0.25">
      <c r="A102" t="s">
        <v>214</v>
      </c>
      <c r="B102" s="126" t="s">
        <v>288</v>
      </c>
      <c r="C102" s="126" t="s">
        <v>51</v>
      </c>
      <c r="D102" s="126"/>
      <c r="E102" s="127" t="s">
        <v>287</v>
      </c>
      <c r="F102" t="s">
        <v>275</v>
      </c>
      <c r="H102" s="114">
        <v>0</v>
      </c>
      <c r="I102" s="99">
        <f>SUMIF('MUTASI 2026'!$F$5:$F$1048576,BB!A102,'MUTASI 2026'!$G$5:$G$1048576)</f>
        <v>0</v>
      </c>
      <c r="J102" s="99">
        <f>SUMIF('MUTASI 2026'!$F$5:$F$1048576,BB!A102,'MUTASI 2026'!$H$5:$H$1048576)</f>
        <v>0</v>
      </c>
      <c r="K102" s="115">
        <f t="shared" si="6"/>
        <v>0</v>
      </c>
      <c r="L102" s="116">
        <f t="shared" si="7"/>
        <v>0</v>
      </c>
    </row>
    <row r="103" spans="1:12" x14ac:dyDescent="0.25">
      <c r="A103" t="s">
        <v>215</v>
      </c>
      <c r="B103" s="126" t="s">
        <v>288</v>
      </c>
      <c r="C103" s="126" t="s">
        <v>52</v>
      </c>
      <c r="D103" s="126"/>
      <c r="E103" s="127" t="s">
        <v>287</v>
      </c>
      <c r="F103" t="s">
        <v>385</v>
      </c>
      <c r="H103" s="114">
        <v>-7900000</v>
      </c>
      <c r="I103" s="99">
        <f>SUMIF('MUTASI 2026'!$F$5:$F$1048576,BB!A103,'MUTASI 2026'!$G$5:$G$1048576)</f>
        <v>0</v>
      </c>
      <c r="J103" s="99">
        <f>SUMIF('MUTASI 2026'!$F$5:$F$1048576,BB!A103,'MUTASI 2026'!$H$5:$H$1048576)</f>
        <v>0</v>
      </c>
      <c r="K103" s="115">
        <f>I103-J103</f>
        <v>0</v>
      </c>
      <c r="L103" s="116">
        <f>+H103+K103</f>
        <v>-7900000</v>
      </c>
    </row>
    <row r="104" spans="1:12" x14ac:dyDescent="0.25">
      <c r="A104" s="147" t="s">
        <v>216</v>
      </c>
      <c r="B104" s="126" t="s">
        <v>288</v>
      </c>
      <c r="C104" s="126" t="s">
        <v>343</v>
      </c>
      <c r="D104" s="126"/>
      <c r="E104" s="127" t="s">
        <v>287</v>
      </c>
      <c r="F104" t="s">
        <v>386</v>
      </c>
      <c r="H104" s="114">
        <v>-339030000</v>
      </c>
      <c r="I104" s="99">
        <f>SUMIF('MUTASI 2026'!$F$5:$F$1048576,BB!A104,'MUTASI 2026'!$G$5:$G$1048576)</f>
        <v>0</v>
      </c>
      <c r="J104" s="99">
        <f>SUMIF('MUTASI 2026'!$F$5:$F$1048576,BB!A104,'MUTASI 2026'!$H$5:$H$1048576)</f>
        <v>3800000</v>
      </c>
      <c r="K104" s="115">
        <f>I104-J104</f>
        <v>-3800000</v>
      </c>
      <c r="L104" s="116">
        <f>+H104+K104</f>
        <v>-342830000</v>
      </c>
    </row>
    <row r="105" spans="1:12" x14ac:dyDescent="0.25">
      <c r="A105" s="147" t="s">
        <v>217</v>
      </c>
      <c r="B105" s="126" t="s">
        <v>288</v>
      </c>
      <c r="C105" s="126" t="s">
        <v>53</v>
      </c>
      <c r="D105" s="126"/>
      <c r="E105" s="127" t="s">
        <v>287</v>
      </c>
      <c r="F105" t="s">
        <v>387</v>
      </c>
      <c r="H105" s="114">
        <v>0</v>
      </c>
      <c r="I105" s="99">
        <f>SUMIF('MUTASI 2026'!$F$5:$F$1048576,BB!A105,'MUTASI 2026'!$G$5:$G$1048576)</f>
        <v>0</v>
      </c>
      <c r="J105" s="99">
        <f>SUMIF('MUTASI 2026'!$F$5:$F$1048576,BB!A105,'MUTASI 2026'!$H$5:$H$1048576)</f>
        <v>0</v>
      </c>
      <c r="K105" s="115">
        <f>I105-J105</f>
        <v>0</v>
      </c>
      <c r="L105" s="116">
        <f>+H105+K105</f>
        <v>0</v>
      </c>
    </row>
    <row r="106" spans="1:12" x14ac:dyDescent="0.25">
      <c r="A106" s="147" t="s">
        <v>389</v>
      </c>
      <c r="B106" s="126" t="s">
        <v>288</v>
      </c>
      <c r="C106" s="126" t="s">
        <v>54</v>
      </c>
      <c r="D106" s="126"/>
      <c r="E106" s="127" t="s">
        <v>287</v>
      </c>
      <c r="F106" t="s">
        <v>276</v>
      </c>
      <c r="H106" s="114">
        <v>-1827910535.5656493</v>
      </c>
      <c r="I106" s="99">
        <f>SUMIF('MUTASI 2026'!$F$5:$F$1048576,BB!A106,'MUTASI 2026'!$G$5:$G$1048576)</f>
        <v>0</v>
      </c>
      <c r="J106" s="99">
        <f>SUMIF('MUTASI 2026'!$F$5:$F$1048576,BB!A106,'MUTASI 2026'!$H$5:$H$1048576)</f>
        <v>0</v>
      </c>
      <c r="K106" s="115">
        <f t="shared" si="6"/>
        <v>0</v>
      </c>
      <c r="L106" s="116">
        <f t="shared" si="7"/>
        <v>-1827910535.5656493</v>
      </c>
    </row>
    <row r="107" spans="1:12" x14ac:dyDescent="0.25">
      <c r="A107" s="147" t="s">
        <v>390</v>
      </c>
      <c r="B107" s="126" t="s">
        <v>288</v>
      </c>
      <c r="C107" s="126" t="s">
        <v>55</v>
      </c>
      <c r="D107" s="126"/>
      <c r="E107" s="127" t="s">
        <v>287</v>
      </c>
      <c r="F107" t="s">
        <v>56</v>
      </c>
      <c r="H107" s="114">
        <v>-62513192.2104664</v>
      </c>
      <c r="I107" s="99">
        <f>SUMIF('MUTASI 2026'!$F$5:$F$1048576,BB!A107,'MUTASI 2026'!$G$5:$G$1048576)</f>
        <v>0</v>
      </c>
      <c r="J107" s="99">
        <f>SUMIF('MUTASI 2026'!$F$5:$F$1048576,BB!A107,'MUTASI 2026'!$H$5:$H$1048576)</f>
        <v>0</v>
      </c>
      <c r="K107" s="115">
        <f t="shared" si="6"/>
        <v>0</v>
      </c>
      <c r="L107" s="116">
        <f t="shared" si="7"/>
        <v>-62513192.2104664</v>
      </c>
    </row>
    <row r="108" spans="1:12" x14ac:dyDescent="0.25">
      <c r="A108" s="147" t="s">
        <v>391</v>
      </c>
      <c r="B108" s="126" t="s">
        <v>288</v>
      </c>
      <c r="C108" s="126" t="s">
        <v>388</v>
      </c>
      <c r="D108" s="126"/>
      <c r="E108" s="127" t="s">
        <v>287</v>
      </c>
      <c r="F108" t="s">
        <v>277</v>
      </c>
      <c r="H108" s="114">
        <v>0</v>
      </c>
      <c r="I108" s="99">
        <f>SUMIF('MUTASI 2026'!$F$5:$F$1048576,BB!A108,'MUTASI 2026'!$G$5:$G$1048576)</f>
        <v>0</v>
      </c>
      <c r="J108" s="99">
        <f>SUMIF('MUTASI 2026'!$F$5:$F$1048576,BB!A108,'MUTASI 2026'!$H$5:$H$1048576)</f>
        <v>0</v>
      </c>
      <c r="K108" s="115">
        <f t="shared" si="6"/>
        <v>0</v>
      </c>
      <c r="L108" s="116">
        <f t="shared" si="7"/>
        <v>0</v>
      </c>
    </row>
    <row r="109" spans="1:12" x14ac:dyDescent="0.25">
      <c r="A109" t="s">
        <v>218</v>
      </c>
      <c r="B109" s="126" t="s">
        <v>289</v>
      </c>
      <c r="C109" s="126" t="s">
        <v>59</v>
      </c>
      <c r="D109" s="126" t="s">
        <v>481</v>
      </c>
      <c r="E109" s="127" t="s">
        <v>287</v>
      </c>
      <c r="F109" t="s">
        <v>344</v>
      </c>
      <c r="H109" s="114">
        <v>0</v>
      </c>
      <c r="I109" s="99">
        <f>SUMIF('MUTASI 2026'!$F$5:$F$1048576,BB!A109,'MUTASI 2026'!$G$5:$G$1048576)</f>
        <v>0</v>
      </c>
      <c r="J109" s="99">
        <f>SUMIF('MUTASI 2026'!$F$5:$F$1048576,BB!A109,'MUTASI 2026'!$H$5:$H$1048576)</f>
        <v>0</v>
      </c>
      <c r="K109" s="115">
        <f t="shared" si="6"/>
        <v>0</v>
      </c>
      <c r="L109" s="116">
        <f t="shared" si="7"/>
        <v>0</v>
      </c>
    </row>
    <row r="110" spans="1:12" x14ac:dyDescent="0.25">
      <c r="A110" s="147" t="s">
        <v>358</v>
      </c>
      <c r="B110" s="126" t="s">
        <v>289</v>
      </c>
      <c r="C110" s="126" t="s">
        <v>345</v>
      </c>
      <c r="D110" s="126" t="s">
        <v>481</v>
      </c>
      <c r="E110" s="127" t="s">
        <v>287</v>
      </c>
      <c r="F110" t="s">
        <v>350</v>
      </c>
      <c r="H110" s="114">
        <v>0</v>
      </c>
      <c r="I110" s="99">
        <f>SUMIF('MUTASI 2026'!$F$5:$F$1048576,BB!A110,'MUTASI 2026'!$G$5:$G$1048576)</f>
        <v>0</v>
      </c>
      <c r="J110" s="99">
        <f>SUMIF('MUTASI 2026'!$F$5:$F$1048576,BB!A110,'MUTASI 2026'!$H$5:$H$1048576)</f>
        <v>78721704.861111134</v>
      </c>
      <c r="K110" s="115">
        <f t="shared" si="6"/>
        <v>-78721704.861111134</v>
      </c>
      <c r="L110" s="116">
        <f t="shared" si="7"/>
        <v>-78721704.861111134</v>
      </c>
    </row>
    <row r="111" spans="1:12" x14ac:dyDescent="0.25">
      <c r="A111" s="147" t="s">
        <v>359</v>
      </c>
      <c r="B111" s="126" t="s">
        <v>289</v>
      </c>
      <c r="C111" s="126" t="s">
        <v>346</v>
      </c>
      <c r="D111" s="126" t="s">
        <v>481</v>
      </c>
      <c r="E111" s="127" t="s">
        <v>287</v>
      </c>
      <c r="F111" t="s">
        <v>351</v>
      </c>
      <c r="H111" s="114">
        <v>0</v>
      </c>
      <c r="I111" s="99">
        <f>SUMIF('MUTASI 2026'!$F$5:$F$1048576,BB!A111,'MUTASI 2026'!$G$5:$G$1048576)</f>
        <v>0</v>
      </c>
      <c r="J111" s="99">
        <f>SUMIF('MUTASI 2026'!$F$5:$F$1048576,BB!A111,'MUTASI 2026'!$H$5:$H$1048576)</f>
        <v>0</v>
      </c>
      <c r="K111" s="115">
        <f t="shared" si="6"/>
        <v>0</v>
      </c>
      <c r="L111" s="116">
        <f t="shared" si="7"/>
        <v>0</v>
      </c>
    </row>
    <row r="112" spans="1:12" x14ac:dyDescent="0.25">
      <c r="A112" s="147" t="s">
        <v>360</v>
      </c>
      <c r="B112" s="126" t="s">
        <v>289</v>
      </c>
      <c r="C112" s="126" t="s">
        <v>347</v>
      </c>
      <c r="D112" s="126" t="s">
        <v>481</v>
      </c>
      <c r="E112" s="127" t="s">
        <v>287</v>
      </c>
      <c r="F112" t="s">
        <v>352</v>
      </c>
      <c r="H112" s="114">
        <v>0</v>
      </c>
      <c r="I112" s="99">
        <f>SUMIF('MUTASI 2026'!$F$5:$F$1048576,BB!A112,'MUTASI 2026'!$G$5:$G$1048576)</f>
        <v>0</v>
      </c>
      <c r="J112" s="99">
        <f>SUMIF('MUTASI 2026'!$F$5:$F$1048576,BB!A112,'MUTASI 2026'!$H$5:$H$1048576)</f>
        <v>525000</v>
      </c>
      <c r="K112" s="115">
        <f t="shared" si="6"/>
        <v>-525000</v>
      </c>
      <c r="L112" s="116">
        <f t="shared" si="7"/>
        <v>-525000</v>
      </c>
    </row>
    <row r="113" spans="1:12" x14ac:dyDescent="0.25">
      <c r="A113" s="147" t="s">
        <v>361</v>
      </c>
      <c r="B113" s="126" t="s">
        <v>289</v>
      </c>
      <c r="C113" s="126" t="s">
        <v>60</v>
      </c>
      <c r="D113" s="126" t="s">
        <v>481</v>
      </c>
      <c r="E113" s="127" t="s">
        <v>286</v>
      </c>
      <c r="F113" t="s">
        <v>348</v>
      </c>
      <c r="H113" s="114">
        <v>0</v>
      </c>
      <c r="I113" s="99">
        <f>SUMIF('MUTASI 2026'!$F$5:$F$1048576,BB!A113,'MUTASI 2026'!$G$5:$G$1048576)</f>
        <v>0</v>
      </c>
      <c r="J113" s="99">
        <f>SUMIF('MUTASI 2026'!$F$5:$F$1048576,BB!A113,'MUTASI 2026'!$H$5:$H$1048576)</f>
        <v>0</v>
      </c>
      <c r="K113" s="115">
        <f t="shared" si="6"/>
        <v>0</v>
      </c>
      <c r="L113" s="116">
        <f t="shared" si="7"/>
        <v>0</v>
      </c>
    </row>
    <row r="114" spans="1:12" x14ac:dyDescent="0.25">
      <c r="A114" s="147" t="s">
        <v>362</v>
      </c>
      <c r="B114" s="126" t="s">
        <v>289</v>
      </c>
      <c r="C114" s="126" t="s">
        <v>349</v>
      </c>
      <c r="D114" s="126" t="s">
        <v>481</v>
      </c>
      <c r="E114" s="127" t="s">
        <v>286</v>
      </c>
      <c r="F114" t="s">
        <v>353</v>
      </c>
      <c r="H114" s="114">
        <v>0</v>
      </c>
      <c r="I114" s="99">
        <f>SUMIF('MUTASI 2026'!$F$5:$F$1048576,BB!A114,'MUTASI 2026'!$G$5:$G$1048576)</f>
        <v>60419861.111111104</v>
      </c>
      <c r="J114" s="99">
        <f>SUMIF('MUTASI 2026'!$F$5:$F$1048576,BB!A114,'MUTASI 2026'!$H$5:$H$1048576)</f>
        <v>0</v>
      </c>
      <c r="K114" s="115">
        <f t="shared" si="6"/>
        <v>60419861.111111104</v>
      </c>
      <c r="L114" s="116">
        <f t="shared" si="7"/>
        <v>60419861.111111104</v>
      </c>
    </row>
    <row r="115" spans="1:12" x14ac:dyDescent="0.25">
      <c r="A115" s="147" t="s">
        <v>363</v>
      </c>
      <c r="B115" s="126" t="s">
        <v>289</v>
      </c>
      <c r="C115" s="126" t="s">
        <v>356</v>
      </c>
      <c r="D115" s="126" t="s">
        <v>481</v>
      </c>
      <c r="E115" s="127" t="s">
        <v>286</v>
      </c>
      <c r="F115" t="s">
        <v>354</v>
      </c>
      <c r="H115" s="114">
        <v>0</v>
      </c>
      <c r="I115" s="99">
        <f>SUMIF('MUTASI 2026'!$F$5:$F$1048576,BB!A115,'MUTASI 2026'!$G$5:$G$1048576)</f>
        <v>0</v>
      </c>
      <c r="J115" s="99">
        <f>SUMIF('MUTASI 2026'!$F$5:$F$1048576,BB!A115,'MUTASI 2026'!$H$5:$H$1048576)</f>
        <v>0</v>
      </c>
      <c r="K115" s="115">
        <f t="shared" si="6"/>
        <v>0</v>
      </c>
      <c r="L115" s="116">
        <f t="shared" si="7"/>
        <v>0</v>
      </c>
    </row>
    <row r="116" spans="1:12" x14ac:dyDescent="0.25">
      <c r="A116" s="147" t="s">
        <v>364</v>
      </c>
      <c r="B116" s="126" t="s">
        <v>289</v>
      </c>
      <c r="C116" s="126" t="s">
        <v>357</v>
      </c>
      <c r="D116" s="126" t="s">
        <v>481</v>
      </c>
      <c r="E116" s="127" t="s">
        <v>286</v>
      </c>
      <c r="F116" t="s">
        <v>355</v>
      </c>
      <c r="H116" s="114">
        <v>0</v>
      </c>
      <c r="I116" s="99">
        <f>SUMIF('MUTASI 2026'!$F$5:$F$1048576,BB!A116,'MUTASI 2026'!$G$5:$G$1048576)</f>
        <v>0</v>
      </c>
      <c r="J116" s="99">
        <f>SUMIF('MUTASI 2026'!$F$5:$F$1048576,BB!A116,'MUTASI 2026'!$H$5:$H$1048576)</f>
        <v>0</v>
      </c>
      <c r="K116" s="115">
        <f t="shared" si="6"/>
        <v>0</v>
      </c>
      <c r="L116" s="116">
        <f t="shared" si="7"/>
        <v>0</v>
      </c>
    </row>
    <row r="117" spans="1:12" x14ac:dyDescent="0.25">
      <c r="A117" t="s">
        <v>219</v>
      </c>
      <c r="B117" s="126" t="s">
        <v>289</v>
      </c>
      <c r="C117" s="126" t="s">
        <v>61</v>
      </c>
      <c r="D117" s="126" t="s">
        <v>482</v>
      </c>
      <c r="E117" s="127" t="s">
        <v>286</v>
      </c>
      <c r="F117" t="s">
        <v>62</v>
      </c>
      <c r="H117" s="114">
        <v>0</v>
      </c>
      <c r="I117" s="99">
        <f>SUMIF('MUTASI 2026'!$F$5:$F$1048576,BB!A117,'MUTASI 2026'!$G$5:$G$1048576)</f>
        <v>0</v>
      </c>
      <c r="J117" s="99">
        <f>SUMIF('MUTASI 2026'!$F$5:$F$1048576,BB!A117,'MUTASI 2026'!$H$5:$H$1048576)</f>
        <v>0</v>
      </c>
      <c r="K117" s="115">
        <f t="shared" ref="K117:K131" si="8">I117-J117</f>
        <v>0</v>
      </c>
      <c r="L117" s="116">
        <f t="shared" ref="L117:L131" si="9">+H117+K117</f>
        <v>0</v>
      </c>
    </row>
    <row r="118" spans="1:12" x14ac:dyDescent="0.25">
      <c r="A118" t="s">
        <v>220</v>
      </c>
      <c r="B118" s="126" t="s">
        <v>289</v>
      </c>
      <c r="C118" s="126" t="s">
        <v>61</v>
      </c>
      <c r="D118" s="126" t="s">
        <v>482</v>
      </c>
      <c r="E118" s="127" t="s">
        <v>286</v>
      </c>
      <c r="F118" t="s">
        <v>278</v>
      </c>
      <c r="H118" s="114">
        <v>0</v>
      </c>
      <c r="I118" s="99">
        <f>SUMIF('MUTASI 2026'!$F$5:$F$1048576,BB!A118,'MUTASI 2026'!$G$5:$G$1048576)</f>
        <v>0</v>
      </c>
      <c r="J118" s="99">
        <f>SUMIF('MUTASI 2026'!$F$5:$F$1048576,BB!A118,'MUTASI 2026'!$H$5:$H$1048576)</f>
        <v>0</v>
      </c>
      <c r="K118" s="115">
        <f t="shared" si="8"/>
        <v>0</v>
      </c>
      <c r="L118" s="116">
        <f t="shared" si="9"/>
        <v>0</v>
      </c>
    </row>
    <row r="119" spans="1:12" x14ac:dyDescent="0.25">
      <c r="A119" t="s">
        <v>221</v>
      </c>
      <c r="B119" s="126" t="s">
        <v>289</v>
      </c>
      <c r="C119" s="126" t="s">
        <v>61</v>
      </c>
      <c r="D119" s="126" t="s">
        <v>482</v>
      </c>
      <c r="E119" s="127" t="s">
        <v>286</v>
      </c>
      <c r="F119" t="s">
        <v>365</v>
      </c>
      <c r="H119" s="114">
        <v>0</v>
      </c>
      <c r="I119" s="99">
        <f>SUMIF('MUTASI 2026'!$F$5:$F$1048576,BB!A119,'MUTASI 2026'!$G$5:$G$1048576)</f>
        <v>0</v>
      </c>
      <c r="J119" s="99">
        <f>SUMIF('MUTASI 2026'!$F$5:$F$1048576,BB!A119,'MUTASI 2026'!$H$5:$H$1048576)</f>
        <v>0</v>
      </c>
      <c r="K119" s="115">
        <f t="shared" si="8"/>
        <v>0</v>
      </c>
      <c r="L119" s="116">
        <f t="shared" si="9"/>
        <v>0</v>
      </c>
    </row>
    <row r="120" spans="1:12" x14ac:dyDescent="0.25">
      <c r="A120" t="s">
        <v>222</v>
      </c>
      <c r="B120" s="126" t="s">
        <v>289</v>
      </c>
      <c r="C120" s="126" t="s">
        <v>61</v>
      </c>
      <c r="D120" s="126" t="s">
        <v>482</v>
      </c>
      <c r="E120" s="127" t="s">
        <v>286</v>
      </c>
      <c r="F120" t="s">
        <v>366</v>
      </c>
      <c r="H120" s="114">
        <v>0</v>
      </c>
      <c r="I120" s="99">
        <f>SUMIF('MUTASI 2026'!$F$5:$F$1048576,BB!A120,'MUTASI 2026'!$G$5:$G$1048576)</f>
        <v>0</v>
      </c>
      <c r="J120" s="99">
        <f>SUMIF('MUTASI 2026'!$F$5:$F$1048576,BB!A120,'MUTASI 2026'!$H$5:$H$1048576)</f>
        <v>0</v>
      </c>
      <c r="K120" s="115">
        <f t="shared" si="8"/>
        <v>0</v>
      </c>
      <c r="L120" s="116">
        <f t="shared" si="9"/>
        <v>0</v>
      </c>
    </row>
    <row r="121" spans="1:12" x14ac:dyDescent="0.25">
      <c r="A121" s="147" t="s">
        <v>223</v>
      </c>
      <c r="B121" s="126" t="s">
        <v>289</v>
      </c>
      <c r="C121" s="126" t="s">
        <v>61</v>
      </c>
      <c r="D121" s="126" t="s">
        <v>482</v>
      </c>
      <c r="E121" s="127" t="s">
        <v>286</v>
      </c>
      <c r="F121" t="s">
        <v>395</v>
      </c>
      <c r="H121" s="114">
        <v>0</v>
      </c>
      <c r="I121" s="99">
        <f>SUMIF('MUTASI 2026'!$F$5:$F$1048576,BB!A121,'MUTASI 2026'!$G$5:$G$1048576)</f>
        <v>750000</v>
      </c>
      <c r="J121" s="99">
        <f>SUMIF('MUTASI 2026'!$F$5:$F$1048576,BB!A121,'MUTASI 2026'!$H$5:$H$1048576)</f>
        <v>0</v>
      </c>
      <c r="K121" s="115">
        <f>I121-J121</f>
        <v>750000</v>
      </c>
      <c r="L121" s="116">
        <f>+H121+K121</f>
        <v>750000</v>
      </c>
    </row>
    <row r="122" spans="1:12" x14ac:dyDescent="0.25">
      <c r="A122" s="147" t="s">
        <v>224</v>
      </c>
      <c r="B122" s="126" t="s">
        <v>289</v>
      </c>
      <c r="C122" s="126" t="s">
        <v>61</v>
      </c>
      <c r="D122" s="126" t="s">
        <v>482</v>
      </c>
      <c r="E122" s="127" t="s">
        <v>286</v>
      </c>
      <c r="F122" t="s">
        <v>367</v>
      </c>
      <c r="H122" s="114">
        <v>0</v>
      </c>
      <c r="I122" s="99">
        <f>SUMIF('MUTASI 2026'!$F$5:$F$1048576,BB!A122,'MUTASI 2026'!$G$5:$G$1048576)</f>
        <v>0</v>
      </c>
      <c r="J122" s="99">
        <f>SUMIF('MUTASI 2026'!$F$5:$F$1048576,BB!A122,'MUTASI 2026'!$H$5:$H$1048576)</f>
        <v>0</v>
      </c>
      <c r="K122" s="115">
        <f t="shared" si="8"/>
        <v>0</v>
      </c>
      <c r="L122" s="116">
        <f t="shared" si="9"/>
        <v>0</v>
      </c>
    </row>
    <row r="123" spans="1:12" x14ac:dyDescent="0.25">
      <c r="A123" s="147" t="s">
        <v>225</v>
      </c>
      <c r="B123" s="126" t="s">
        <v>289</v>
      </c>
      <c r="C123" s="126" t="s">
        <v>61</v>
      </c>
      <c r="D123" s="126" t="s">
        <v>482</v>
      </c>
      <c r="E123" s="127" t="s">
        <v>286</v>
      </c>
      <c r="F123" t="s">
        <v>376</v>
      </c>
      <c r="H123" s="114">
        <v>0</v>
      </c>
      <c r="I123" s="99">
        <f>SUMIF('MUTASI 2026'!$F$5:$F$1048576,BB!A123,'MUTASI 2026'!$G$5:$G$1048576)</f>
        <v>0</v>
      </c>
      <c r="J123" s="99">
        <f>SUMIF('MUTASI 2026'!$F$5:$F$1048576,BB!A123,'MUTASI 2026'!$H$5:$H$1048576)</f>
        <v>0</v>
      </c>
      <c r="K123" s="115">
        <f t="shared" si="8"/>
        <v>0</v>
      </c>
      <c r="L123" s="116">
        <f t="shared" si="9"/>
        <v>0</v>
      </c>
    </row>
    <row r="124" spans="1:12" x14ac:dyDescent="0.25">
      <c r="A124" s="147" t="s">
        <v>226</v>
      </c>
      <c r="B124" s="126" t="s">
        <v>289</v>
      </c>
      <c r="C124" s="126" t="s">
        <v>61</v>
      </c>
      <c r="D124" s="126" t="s">
        <v>482</v>
      </c>
      <c r="E124" s="127" t="s">
        <v>286</v>
      </c>
      <c r="F124" t="s">
        <v>94</v>
      </c>
      <c r="H124" s="114">
        <v>0</v>
      </c>
      <c r="I124" s="99">
        <f>SUMIF('MUTASI 2026'!$F$5:$F$1048576,BB!A124,'MUTASI 2026'!$G$5:$G$1048576)</f>
        <v>0</v>
      </c>
      <c r="J124" s="99">
        <f>SUMIF('MUTASI 2026'!$F$5:$F$1048576,BB!A124,'MUTASI 2026'!$H$5:$H$1048576)</f>
        <v>0</v>
      </c>
      <c r="K124" s="115">
        <f>I124-J124</f>
        <v>0</v>
      </c>
      <c r="L124" s="116">
        <f>+H124+K124</f>
        <v>0</v>
      </c>
    </row>
    <row r="125" spans="1:12" x14ac:dyDescent="0.25">
      <c r="A125" s="147" t="s">
        <v>227</v>
      </c>
      <c r="B125" s="126" t="s">
        <v>289</v>
      </c>
      <c r="C125" s="126" t="s">
        <v>61</v>
      </c>
      <c r="D125" s="126" t="s">
        <v>482</v>
      </c>
      <c r="E125" s="127" t="s">
        <v>286</v>
      </c>
      <c r="F125" t="s">
        <v>368</v>
      </c>
      <c r="H125" s="114">
        <v>0</v>
      </c>
      <c r="I125" s="99">
        <f>SUMIF('MUTASI 2026'!$F$5:$F$1048576,BB!A125,'MUTASI 2026'!$G$5:$G$1048576)</f>
        <v>0</v>
      </c>
      <c r="J125" s="99">
        <f>SUMIF('MUTASI 2026'!$F$5:$F$1048576,BB!A125,'MUTASI 2026'!$H$5:$H$1048576)</f>
        <v>0</v>
      </c>
      <c r="K125" s="115">
        <f t="shared" si="8"/>
        <v>0</v>
      </c>
      <c r="L125" s="116">
        <f t="shared" si="9"/>
        <v>0</v>
      </c>
    </row>
    <row r="126" spans="1:12" x14ac:dyDescent="0.25">
      <c r="A126" s="147" t="s">
        <v>401</v>
      </c>
      <c r="B126" s="126" t="s">
        <v>289</v>
      </c>
      <c r="C126" s="126" t="s">
        <v>61</v>
      </c>
      <c r="D126" s="126" t="s">
        <v>482</v>
      </c>
      <c r="E126" s="127" t="s">
        <v>286</v>
      </c>
      <c r="F126" t="s">
        <v>402</v>
      </c>
      <c r="H126" s="114">
        <v>0</v>
      </c>
      <c r="I126" s="99">
        <f>SUMIF('MUTASI 2026'!$F$5:$F$1048576,BB!A126,'MUTASI 2026'!$G$5:$G$1048576)</f>
        <v>0</v>
      </c>
      <c r="J126" s="99">
        <f>SUMIF('MUTASI 2026'!$F$5:$F$1048576,BB!A126,'MUTASI 2026'!$H$5:$H$1048576)</f>
        <v>0</v>
      </c>
      <c r="K126" s="115">
        <f>I126-J126</f>
        <v>0</v>
      </c>
      <c r="L126" s="116">
        <f>+H126+K126</f>
        <v>0</v>
      </c>
    </row>
    <row r="127" spans="1:12" x14ac:dyDescent="0.25">
      <c r="A127" s="147" t="s">
        <v>418</v>
      </c>
      <c r="B127" s="126" t="s">
        <v>289</v>
      </c>
      <c r="C127" s="126" t="s">
        <v>61</v>
      </c>
      <c r="D127" s="126" t="s">
        <v>482</v>
      </c>
      <c r="E127" s="127" t="s">
        <v>286</v>
      </c>
      <c r="F127" t="s">
        <v>419</v>
      </c>
      <c r="H127" s="114">
        <v>0</v>
      </c>
      <c r="I127" s="99">
        <f>SUMIF('MUTASI 2026'!$F$5:$F$1048576,BB!A127,'MUTASI 2026'!$G$5:$G$1048576)</f>
        <v>0</v>
      </c>
      <c r="J127" s="99">
        <f>SUMIF('MUTASI 2026'!$F$5:$F$1048576,BB!A127,'MUTASI 2026'!$H$5:$H$1048576)</f>
        <v>0</v>
      </c>
      <c r="K127" s="115">
        <f>I127-J127</f>
        <v>0</v>
      </c>
      <c r="L127" s="116">
        <f>+H127+K127</f>
        <v>0</v>
      </c>
    </row>
    <row r="128" spans="1:12" x14ac:dyDescent="0.25">
      <c r="A128" s="147" t="s">
        <v>369</v>
      </c>
      <c r="B128" s="126" t="s">
        <v>289</v>
      </c>
      <c r="C128" s="126" t="s">
        <v>61</v>
      </c>
      <c r="D128" s="126" t="s">
        <v>483</v>
      </c>
      <c r="E128" s="127" t="s">
        <v>286</v>
      </c>
      <c r="F128" t="s">
        <v>279</v>
      </c>
      <c r="H128" s="114">
        <v>0</v>
      </c>
      <c r="I128" s="99">
        <f>SUMIF('MUTASI 2026'!$F$5:$F$1048576,BB!A128,'MUTASI 2026'!$G$5:$G$1048576)</f>
        <v>0</v>
      </c>
      <c r="J128" s="99">
        <f>SUMIF('MUTASI 2026'!$F$5:$F$1048576,BB!A128,'MUTASI 2026'!$H$5:$H$1048576)</f>
        <v>0</v>
      </c>
      <c r="K128" s="115">
        <f t="shared" si="8"/>
        <v>0</v>
      </c>
      <c r="L128" s="116">
        <f t="shared" si="9"/>
        <v>0</v>
      </c>
    </row>
    <row r="129" spans="1:12" x14ac:dyDescent="0.25">
      <c r="A129" s="147" t="s">
        <v>370</v>
      </c>
      <c r="B129" s="126" t="s">
        <v>289</v>
      </c>
      <c r="C129" s="126" t="s">
        <v>61</v>
      </c>
      <c r="D129" s="126" t="s">
        <v>483</v>
      </c>
      <c r="E129" s="127" t="s">
        <v>286</v>
      </c>
      <c r="F129" t="s">
        <v>371</v>
      </c>
      <c r="H129" s="114">
        <v>0</v>
      </c>
      <c r="I129" s="99">
        <f>SUMIF('MUTASI 2026'!$F$5:$F$1048576,BB!A129,'MUTASI 2026'!$G$5:$G$1048576)</f>
        <v>0</v>
      </c>
      <c r="J129" s="99">
        <f>SUMIF('MUTASI 2026'!$F$5:$F$1048576,BB!A129,'MUTASI 2026'!$H$5:$H$1048576)</f>
        <v>0</v>
      </c>
      <c r="K129" s="115">
        <f t="shared" si="8"/>
        <v>0</v>
      </c>
      <c r="L129" s="116">
        <f t="shared" si="9"/>
        <v>0</v>
      </c>
    </row>
    <row r="130" spans="1:12" x14ac:dyDescent="0.25">
      <c r="A130" s="147" t="s">
        <v>374</v>
      </c>
      <c r="B130" s="126" t="s">
        <v>289</v>
      </c>
      <c r="C130" s="126" t="s">
        <v>61</v>
      </c>
      <c r="D130" s="126" t="s">
        <v>483</v>
      </c>
      <c r="E130" s="127" t="s">
        <v>286</v>
      </c>
      <c r="F130" t="s">
        <v>372</v>
      </c>
      <c r="H130" s="114">
        <v>0</v>
      </c>
      <c r="I130" s="99">
        <f>SUMIF('MUTASI 2026'!$F$5:$F$1048576,BB!A130,'MUTASI 2026'!$G$5:$G$1048576)</f>
        <v>8000</v>
      </c>
      <c r="J130" s="99">
        <f>SUMIF('MUTASI 2026'!$F$5:$F$1048576,BB!A130,'MUTASI 2026'!$H$5:$H$1048576)</f>
        <v>0</v>
      </c>
      <c r="K130" s="115">
        <f t="shared" si="8"/>
        <v>8000</v>
      </c>
      <c r="L130" s="116">
        <f t="shared" si="9"/>
        <v>8000</v>
      </c>
    </row>
    <row r="131" spans="1:12" x14ac:dyDescent="0.25">
      <c r="A131" s="147" t="s">
        <v>375</v>
      </c>
      <c r="B131" s="126" t="s">
        <v>289</v>
      </c>
      <c r="C131" s="126" t="s">
        <v>61</v>
      </c>
      <c r="D131" s="126" t="s">
        <v>483</v>
      </c>
      <c r="E131" s="127" t="s">
        <v>286</v>
      </c>
      <c r="F131" t="s">
        <v>373</v>
      </c>
      <c r="H131" s="114">
        <v>0</v>
      </c>
      <c r="I131" s="99">
        <f>SUMIF('MUTASI 2026'!$F$5:$F$1048576,BB!A131,'MUTASI 2026'!$G$5:$G$1048576)</f>
        <v>0</v>
      </c>
      <c r="J131" s="99">
        <f>SUMIF('MUTASI 2026'!$F$5:$F$1048576,BB!A131,'MUTASI 2026'!$H$5:$H$1048576)</f>
        <v>0</v>
      </c>
      <c r="K131" s="115">
        <f t="shared" si="8"/>
        <v>0</v>
      </c>
      <c r="L131" s="116">
        <f t="shared" si="9"/>
        <v>0</v>
      </c>
    </row>
    <row r="132" spans="1:12" x14ac:dyDescent="0.25">
      <c r="A132" t="s">
        <v>228</v>
      </c>
      <c r="B132" s="126" t="s">
        <v>289</v>
      </c>
      <c r="C132" s="126" t="s">
        <v>63</v>
      </c>
      <c r="D132" s="126" t="s">
        <v>484</v>
      </c>
      <c r="E132" s="127" t="s">
        <v>287</v>
      </c>
      <c r="F132" t="s">
        <v>65</v>
      </c>
      <c r="H132" s="114">
        <v>0</v>
      </c>
      <c r="I132" s="99">
        <f>SUMIF('MUTASI 2026'!$F$5:$F$1048576,BB!A132,'MUTASI 2026'!$G$5:$G$1048576)</f>
        <v>0</v>
      </c>
      <c r="J132" s="99">
        <f>SUMIF('MUTASI 2026'!$F$5:$F$1048576,BB!A132,'MUTASI 2026'!$H$5:$H$1048576)</f>
        <v>0</v>
      </c>
      <c r="K132" s="115">
        <f t="shared" ref="K132:K150" si="10">I132-J132</f>
        <v>0</v>
      </c>
      <c r="L132" s="116">
        <f t="shared" ref="L132:L150" si="11">+H132+K132</f>
        <v>0</v>
      </c>
    </row>
    <row r="133" spans="1:12" x14ac:dyDescent="0.25">
      <c r="A133" t="s">
        <v>229</v>
      </c>
      <c r="B133" s="126" t="s">
        <v>289</v>
      </c>
      <c r="C133" s="126" t="s">
        <v>63</v>
      </c>
      <c r="D133" s="126" t="s">
        <v>484</v>
      </c>
      <c r="E133" s="127" t="s">
        <v>287</v>
      </c>
      <c r="F133" t="s">
        <v>382</v>
      </c>
      <c r="H133" s="114">
        <v>0</v>
      </c>
      <c r="I133" s="99">
        <f>SUMIF('MUTASI 2026'!$F$5:$F$1048576,BB!A133,'MUTASI 2026'!$G$5:$G$1048576)</f>
        <v>0</v>
      </c>
      <c r="J133" s="99">
        <f>SUMIF('MUTASI 2026'!$F$5:$F$1048576,BB!A133,'MUTASI 2026'!$H$5:$H$1048576)</f>
        <v>0</v>
      </c>
      <c r="K133" s="115">
        <f t="shared" si="10"/>
        <v>0</v>
      </c>
      <c r="L133" s="116">
        <f t="shared" si="11"/>
        <v>0</v>
      </c>
    </row>
    <row r="134" spans="1:12" x14ac:dyDescent="0.25">
      <c r="A134" t="s">
        <v>230</v>
      </c>
      <c r="B134" s="126" t="s">
        <v>289</v>
      </c>
      <c r="C134" s="126" t="s">
        <v>63</v>
      </c>
      <c r="D134" s="126" t="s">
        <v>484</v>
      </c>
      <c r="E134" s="127" t="s">
        <v>287</v>
      </c>
      <c r="F134" t="s">
        <v>377</v>
      </c>
      <c r="H134" s="114">
        <v>0</v>
      </c>
      <c r="I134" s="99">
        <f>SUMIF('MUTASI 2026'!$F$5:$F$1048576,BB!A134,'MUTASI 2026'!$G$5:$G$1048576)</f>
        <v>0</v>
      </c>
      <c r="J134" s="99">
        <f>SUMIF('MUTASI 2026'!$F$5:$F$1048576,BB!A134,'MUTASI 2026'!$H$5:$H$1048576)</f>
        <v>0</v>
      </c>
      <c r="K134" s="115">
        <f t="shared" si="10"/>
        <v>0</v>
      </c>
      <c r="L134" s="116">
        <f t="shared" si="11"/>
        <v>0</v>
      </c>
    </row>
    <row r="135" spans="1:12" x14ac:dyDescent="0.25">
      <c r="A135" t="s">
        <v>231</v>
      </c>
      <c r="B135" s="126" t="s">
        <v>289</v>
      </c>
      <c r="C135" s="126" t="s">
        <v>63</v>
      </c>
      <c r="D135" s="126" t="s">
        <v>484</v>
      </c>
      <c r="E135" s="127" t="s">
        <v>287</v>
      </c>
      <c r="F135" t="s">
        <v>142</v>
      </c>
      <c r="H135" s="114">
        <v>0</v>
      </c>
      <c r="I135" s="99">
        <f>SUMIF('MUTASI 2026'!$F$5:$F$1048576,BB!A135,'MUTASI 2026'!$G$5:$G$1048576)</f>
        <v>0</v>
      </c>
      <c r="J135" s="99">
        <f>SUMIF('MUTASI 2026'!$F$5:$F$1048576,BB!A135,'MUTASI 2026'!$H$5:$H$1048576)</f>
        <v>0</v>
      </c>
      <c r="K135" s="115">
        <f t="shared" si="10"/>
        <v>0</v>
      </c>
      <c r="L135" s="116">
        <f t="shared" si="11"/>
        <v>0</v>
      </c>
    </row>
    <row r="136" spans="1:12" x14ac:dyDescent="0.25">
      <c r="A136" t="s">
        <v>232</v>
      </c>
      <c r="B136" s="126" t="s">
        <v>289</v>
      </c>
      <c r="C136" s="126" t="s">
        <v>63</v>
      </c>
      <c r="D136" s="126" t="s">
        <v>484</v>
      </c>
      <c r="E136" s="127" t="s">
        <v>287</v>
      </c>
      <c r="F136" t="s">
        <v>280</v>
      </c>
      <c r="H136" s="114">
        <v>0</v>
      </c>
      <c r="I136" s="99">
        <f>SUMIF('MUTASI 2026'!$F$5:$F$1048576,BB!A136,'MUTASI 2026'!$G$5:$G$1048576)</f>
        <v>0</v>
      </c>
      <c r="J136" s="99">
        <f>SUMIF('MUTASI 2026'!$F$5:$F$1048576,BB!A136,'MUTASI 2026'!$H$5:$H$1048576)</f>
        <v>0</v>
      </c>
      <c r="K136" s="115">
        <f t="shared" si="10"/>
        <v>0</v>
      </c>
      <c r="L136" s="116">
        <f t="shared" si="11"/>
        <v>0</v>
      </c>
    </row>
    <row r="137" spans="1:12" x14ac:dyDescent="0.25">
      <c r="A137" s="147" t="s">
        <v>380</v>
      </c>
      <c r="B137" s="126" t="s">
        <v>289</v>
      </c>
      <c r="C137" s="126" t="s">
        <v>63</v>
      </c>
      <c r="D137" s="126" t="s">
        <v>484</v>
      </c>
      <c r="E137" s="127" t="s">
        <v>287</v>
      </c>
      <c r="F137" t="s">
        <v>378</v>
      </c>
      <c r="H137" s="114">
        <v>0</v>
      </c>
      <c r="I137" s="99">
        <f>SUMIF('MUTASI 2026'!$F$5:$F$1048576,BB!A137,'MUTASI 2026'!$G$5:$G$1048576)</f>
        <v>0</v>
      </c>
      <c r="J137" s="99">
        <f>SUMIF('MUTASI 2026'!$F$5:$F$1048576,BB!A137,'MUTASI 2026'!$H$5:$H$1048576)</f>
        <v>0</v>
      </c>
      <c r="K137" s="115">
        <f>I137-J137</f>
        <v>0</v>
      </c>
      <c r="L137" s="116">
        <f>+H137+K137</f>
        <v>0</v>
      </c>
    </row>
    <row r="138" spans="1:12" x14ac:dyDescent="0.25">
      <c r="A138" s="147" t="s">
        <v>381</v>
      </c>
      <c r="B138" s="126" t="s">
        <v>289</v>
      </c>
      <c r="C138" s="126" t="s">
        <v>63</v>
      </c>
      <c r="D138" s="126" t="s">
        <v>484</v>
      </c>
      <c r="E138" s="127" t="s">
        <v>287</v>
      </c>
      <c r="F138" t="s">
        <v>379</v>
      </c>
      <c r="H138" s="114">
        <v>0</v>
      </c>
      <c r="I138" s="99">
        <f>SUMIF('MUTASI 2026'!$F$5:$F$1048576,BB!A138,'MUTASI 2026'!$G$5:$G$1048576)</f>
        <v>0</v>
      </c>
      <c r="J138" s="99">
        <f>SUMIF('MUTASI 2026'!$F$5:$F$1048576,BB!A138,'MUTASI 2026'!$H$5:$H$1048576)</f>
        <v>0</v>
      </c>
      <c r="K138" s="115">
        <f>I138-J138</f>
        <v>0</v>
      </c>
      <c r="L138" s="116">
        <f>+H138+K138</f>
        <v>0</v>
      </c>
    </row>
    <row r="139" spans="1:12" x14ac:dyDescent="0.25">
      <c r="A139" s="147" t="s">
        <v>383</v>
      </c>
      <c r="B139" s="126" t="s">
        <v>289</v>
      </c>
      <c r="C139" s="126" t="s">
        <v>63</v>
      </c>
      <c r="D139" s="126" t="s">
        <v>484</v>
      </c>
      <c r="E139" s="127" t="s">
        <v>287</v>
      </c>
      <c r="F139" t="s">
        <v>394</v>
      </c>
      <c r="H139" s="114">
        <v>0</v>
      </c>
      <c r="I139" s="99">
        <f>SUMIF('MUTASI 2026'!$F$5:$F$1048576,BB!A139,'MUTASI 2026'!$G$5:$G$1048576)</f>
        <v>0</v>
      </c>
      <c r="J139" s="99">
        <f>SUMIF('MUTASI 2026'!$F$5:$F$1048576,BB!A139,'MUTASI 2026'!$H$5:$H$1048576)</f>
        <v>303000</v>
      </c>
      <c r="K139" s="115">
        <f>I139-J139</f>
        <v>-303000</v>
      </c>
      <c r="L139" s="116">
        <f>+H139+K139</f>
        <v>-303000</v>
      </c>
    </row>
    <row r="140" spans="1:12" x14ac:dyDescent="0.25">
      <c r="A140" s="147" t="s">
        <v>392</v>
      </c>
      <c r="B140" s="126" t="s">
        <v>289</v>
      </c>
      <c r="C140" s="126" t="s">
        <v>63</v>
      </c>
      <c r="D140" s="126" t="s">
        <v>484</v>
      </c>
      <c r="E140" s="127" t="s">
        <v>287</v>
      </c>
      <c r="F140" t="s">
        <v>393</v>
      </c>
      <c r="H140" s="114">
        <v>0</v>
      </c>
      <c r="I140" s="99">
        <f>SUMIF('MUTASI 2026'!$F$5:$F$1048576,BB!A140,'MUTASI 2026'!$G$5:$G$1048576)</f>
        <v>0</v>
      </c>
      <c r="J140" s="99">
        <f>SUMIF('MUTASI 2026'!$F$5:$F$1048576,BB!A140,'MUTASI 2026'!$H$5:$H$1048576)</f>
        <v>3615000</v>
      </c>
      <c r="K140" s="115">
        <f>I140-J140</f>
        <v>-3615000</v>
      </c>
      <c r="L140" s="116">
        <f>+H140+K140</f>
        <v>-3615000</v>
      </c>
    </row>
    <row r="141" spans="1:12" x14ac:dyDescent="0.25">
      <c r="A141" t="s">
        <v>233</v>
      </c>
      <c r="B141" s="126" t="s">
        <v>289</v>
      </c>
      <c r="C141" s="126" t="s">
        <v>63</v>
      </c>
      <c r="D141" s="126" t="s">
        <v>484</v>
      </c>
      <c r="E141" s="127" t="s">
        <v>287</v>
      </c>
      <c r="F141" t="s">
        <v>471</v>
      </c>
      <c r="H141" s="114">
        <v>0</v>
      </c>
      <c r="I141" s="99">
        <f>SUMIF('MUTASI 2026'!$F$5:$F$1048576,BB!A141,'MUTASI 2026'!$G$5:$G$1048576)</f>
        <v>0</v>
      </c>
      <c r="J141" s="99">
        <f>SUMIF('MUTASI 2026'!$F$5:$F$1048576,BB!A141,'MUTASI 2026'!$H$5:$H$1048576)</f>
        <v>0</v>
      </c>
      <c r="K141" s="115">
        <f t="shared" si="10"/>
        <v>0</v>
      </c>
      <c r="L141" s="116">
        <f t="shared" si="11"/>
        <v>0</v>
      </c>
    </row>
    <row r="142" spans="1:12" x14ac:dyDescent="0.25">
      <c r="A142" s="147" t="s">
        <v>472</v>
      </c>
      <c r="B142" s="126" t="s">
        <v>289</v>
      </c>
      <c r="C142" s="126" t="s">
        <v>63</v>
      </c>
      <c r="D142" s="126" t="s">
        <v>484</v>
      </c>
      <c r="E142" s="127" t="s">
        <v>287</v>
      </c>
      <c r="F142" t="s">
        <v>281</v>
      </c>
      <c r="H142" s="114">
        <v>0</v>
      </c>
      <c r="I142" s="99">
        <f>SUMIF('MUTASI 2026'!$F$5:$F$1048576,BB!A142,'MUTASI 2026'!$G$5:$G$1048576)</f>
        <v>0</v>
      </c>
      <c r="J142" s="99">
        <f>SUMIF('MUTASI 2026'!$F$5:$F$1048576,BB!A142,'MUTASI 2026'!$H$5:$H$1048576)</f>
        <v>0</v>
      </c>
      <c r="K142" s="115">
        <f>I142-J142</f>
        <v>0</v>
      </c>
      <c r="L142" s="116">
        <f>+H142+K142</f>
        <v>0</v>
      </c>
    </row>
    <row r="143" spans="1:12" x14ac:dyDescent="0.25">
      <c r="A143" s="147" t="s">
        <v>473</v>
      </c>
      <c r="B143" s="126" t="s">
        <v>289</v>
      </c>
      <c r="C143" s="126" t="s">
        <v>63</v>
      </c>
      <c r="D143" s="126" t="s">
        <v>484</v>
      </c>
      <c r="E143" s="127" t="s">
        <v>287</v>
      </c>
      <c r="F143" t="s">
        <v>454</v>
      </c>
      <c r="H143" s="114">
        <v>0</v>
      </c>
      <c r="I143" s="99">
        <f>SUMIF('MUTASI 2026'!$F$5:$F$1048576,BB!A143,'MUTASI 2026'!$G$5:$G$1048576)</f>
        <v>0</v>
      </c>
      <c r="J143" s="99">
        <f>SUMIF('MUTASI 2026'!$F$5:$F$1048576,BB!A143,'MUTASI 2026'!$H$5:$H$1048576)</f>
        <v>0</v>
      </c>
      <c r="K143" s="115">
        <f>I143-J143</f>
        <v>0</v>
      </c>
      <c r="L143" s="116">
        <f>+H143+K143</f>
        <v>0</v>
      </c>
    </row>
    <row r="144" spans="1:12" x14ac:dyDescent="0.25">
      <c r="A144" t="s">
        <v>234</v>
      </c>
      <c r="B144" s="126" t="s">
        <v>289</v>
      </c>
      <c r="C144" s="126" t="s">
        <v>64</v>
      </c>
      <c r="D144" s="126" t="s">
        <v>484</v>
      </c>
      <c r="E144" s="127" t="s">
        <v>286</v>
      </c>
      <c r="F144" t="s">
        <v>66</v>
      </c>
      <c r="H144" s="114">
        <v>0</v>
      </c>
      <c r="I144" s="99">
        <f>SUMIF('MUTASI 2026'!$F$5:$F$1048576,BB!A144,'MUTASI 2026'!$G$5:$G$1048576)</f>
        <v>0</v>
      </c>
      <c r="J144" s="99">
        <f>SUMIF('MUTASI 2026'!$F$5:$F$1048576,BB!A144,'MUTASI 2026'!$H$5:$H$1048576)</f>
        <v>0</v>
      </c>
      <c r="K144" s="115">
        <f t="shared" si="10"/>
        <v>0</v>
      </c>
      <c r="L144" s="116">
        <f t="shared" si="11"/>
        <v>0</v>
      </c>
    </row>
    <row r="145" spans="1:12" x14ac:dyDescent="0.25">
      <c r="A145" t="s">
        <v>235</v>
      </c>
      <c r="B145" s="126" t="s">
        <v>289</v>
      </c>
      <c r="C145" s="126" t="s">
        <v>64</v>
      </c>
      <c r="D145" s="126" t="s">
        <v>484</v>
      </c>
      <c r="E145" s="127" t="s">
        <v>286</v>
      </c>
      <c r="F145" t="s">
        <v>384</v>
      </c>
      <c r="H145" s="114">
        <v>0</v>
      </c>
      <c r="I145" s="99">
        <f>SUMIF('MUTASI 2026'!$F$5:$F$1048576,BB!A145,'MUTASI 2026'!$G$5:$G$1048576)</f>
        <v>0</v>
      </c>
      <c r="J145" s="99">
        <f>SUMIF('MUTASI 2026'!$F$5:$F$1048576,BB!A145,'MUTASI 2026'!$H$5:$H$1048576)</f>
        <v>0</v>
      </c>
      <c r="K145" s="115">
        <f t="shared" si="10"/>
        <v>0</v>
      </c>
      <c r="L145" s="116">
        <f t="shared" si="11"/>
        <v>0</v>
      </c>
    </row>
    <row r="146" spans="1:12" x14ac:dyDescent="0.25">
      <c r="A146" t="s">
        <v>236</v>
      </c>
      <c r="B146" s="126" t="s">
        <v>289</v>
      </c>
      <c r="C146" s="126" t="s">
        <v>64</v>
      </c>
      <c r="D146" s="126" t="s">
        <v>484</v>
      </c>
      <c r="E146" s="127" t="s">
        <v>286</v>
      </c>
      <c r="F146" t="s">
        <v>282</v>
      </c>
      <c r="H146" s="114">
        <v>0</v>
      </c>
      <c r="I146" s="99">
        <f>SUMIF('MUTASI 2026'!$F$5:$F$1048576,BB!A146,'MUTASI 2026'!$G$5:$G$1048576)</f>
        <v>0</v>
      </c>
      <c r="J146" s="99">
        <f>SUMIF('MUTASI 2026'!$F$5:$F$1048576,BB!A146,'MUTASI 2026'!$H$5:$H$1048576)</f>
        <v>0</v>
      </c>
      <c r="K146" s="115">
        <f t="shared" si="10"/>
        <v>0</v>
      </c>
      <c r="L146" s="116">
        <f t="shared" si="11"/>
        <v>0</v>
      </c>
    </row>
    <row r="147" spans="1:12" x14ac:dyDescent="0.25">
      <c r="A147" s="147" t="s">
        <v>237</v>
      </c>
      <c r="B147" s="126" t="s">
        <v>289</v>
      </c>
      <c r="C147" s="126" t="s">
        <v>64</v>
      </c>
      <c r="D147" s="126" t="s">
        <v>484</v>
      </c>
      <c r="E147" s="127" t="s">
        <v>286</v>
      </c>
      <c r="F147" t="s">
        <v>397</v>
      </c>
      <c r="H147" s="114">
        <v>0</v>
      </c>
      <c r="I147" s="99">
        <f>SUMIF('MUTASI 2026'!$F$5:$F$1048576,BB!A147,'MUTASI 2026'!$G$5:$G$1048576)</f>
        <v>77084.820000000007</v>
      </c>
      <c r="J147" s="99">
        <f>SUMIF('MUTASI 2026'!$F$5:$F$1048576,BB!A147,'MUTASI 2026'!$H$5:$H$1048576)</f>
        <v>81424.12</v>
      </c>
      <c r="K147" s="115">
        <f>I147-J147</f>
        <v>-4339.2999999999884</v>
      </c>
      <c r="L147" s="116">
        <f>+H147+K147</f>
        <v>-4339.2999999999884</v>
      </c>
    </row>
    <row r="148" spans="1:12" x14ac:dyDescent="0.25">
      <c r="A148" s="147" t="s">
        <v>405</v>
      </c>
      <c r="B148" s="126" t="s">
        <v>289</v>
      </c>
      <c r="C148" s="126" t="s">
        <v>64</v>
      </c>
      <c r="D148" s="126" t="s">
        <v>485</v>
      </c>
      <c r="E148" s="127" t="s">
        <v>286</v>
      </c>
      <c r="F148" t="s">
        <v>406</v>
      </c>
      <c r="H148" s="114">
        <v>0</v>
      </c>
      <c r="I148" s="99">
        <f>SUMIF('MUTASI 2026'!$F$5:$F$1048576,BB!A148,'MUTASI 2026'!$G$5:$G$1048576)</f>
        <v>1500000</v>
      </c>
      <c r="J148" s="99">
        <f>SUMIF('MUTASI 2026'!$F$5:$F$1048576,BB!A148,'MUTASI 2026'!$H$5:$H$1048576)</f>
        <v>0</v>
      </c>
      <c r="K148" s="115">
        <f>I148-J148</f>
        <v>1500000</v>
      </c>
      <c r="L148" s="116">
        <f>+H148+K148</f>
        <v>1500000</v>
      </c>
    </row>
    <row r="149" spans="1:12" x14ac:dyDescent="0.25">
      <c r="A149" t="s">
        <v>238</v>
      </c>
      <c r="B149" s="126" t="s">
        <v>289</v>
      </c>
      <c r="C149" s="126" t="s">
        <v>64</v>
      </c>
      <c r="D149" s="126" t="s">
        <v>484</v>
      </c>
      <c r="E149" s="127" t="s">
        <v>286</v>
      </c>
      <c r="F149" t="s">
        <v>283</v>
      </c>
      <c r="H149" s="114">
        <v>0</v>
      </c>
      <c r="I149" s="99">
        <f>SUMIF('MUTASI 2026'!$F$5:$F$1048576,BB!A149,'MUTASI 2026'!$G$5:$G$1048576)</f>
        <v>8.4133329093456268</v>
      </c>
      <c r="J149" s="99">
        <f>SUMIF('MUTASI 2026'!$F$5:$F$1048576,BB!A149,'MUTASI 2026'!$H$5:$H$1048576)</f>
        <v>0</v>
      </c>
      <c r="K149" s="115">
        <f t="shared" si="10"/>
        <v>8.4133329093456268</v>
      </c>
      <c r="L149" s="116">
        <f t="shared" si="11"/>
        <v>8.4133329093456268</v>
      </c>
    </row>
    <row r="150" spans="1:12" x14ac:dyDescent="0.25">
      <c r="A150" t="s">
        <v>239</v>
      </c>
      <c r="B150" s="126" t="s">
        <v>289</v>
      </c>
      <c r="C150" s="126" t="s">
        <v>290</v>
      </c>
      <c r="D150" s="126" t="s">
        <v>486</v>
      </c>
      <c r="E150" s="127" t="s">
        <v>286</v>
      </c>
      <c r="F150" t="s">
        <v>67</v>
      </c>
      <c r="H150" s="114">
        <v>0</v>
      </c>
      <c r="I150" s="99">
        <f>SUMIF('MUTASI 2026'!$F$5:$F$1048576,BB!A150,'MUTASI 2026'!$G$5:$G$1048576)</f>
        <v>0</v>
      </c>
      <c r="J150" s="99">
        <f>SUMIF('MUTASI 2026'!$F$5:$F$1048576,BB!A150,'MUTASI 2026'!$H$5:$H$1048576)</f>
        <v>0</v>
      </c>
      <c r="K150" s="115">
        <f t="shared" si="10"/>
        <v>0</v>
      </c>
      <c r="L150" s="116">
        <f t="shared" si="11"/>
        <v>0</v>
      </c>
    </row>
    <row r="151" spans="1:12" x14ac:dyDescent="0.25">
      <c r="A151" t="s">
        <v>240</v>
      </c>
      <c r="B151" s="126" t="s">
        <v>289</v>
      </c>
      <c r="C151" s="126" t="s">
        <v>290</v>
      </c>
      <c r="D151" s="126" t="s">
        <v>486</v>
      </c>
      <c r="E151" s="127" t="s">
        <v>286</v>
      </c>
      <c r="F151" t="s">
        <v>284</v>
      </c>
      <c r="H151" s="114">
        <v>0</v>
      </c>
      <c r="I151" s="99">
        <f>SUMIF('MUTASI 2026'!$F$5:$F$1048576,BB!A151,'MUTASI 2026'!$G$5:$G$1048576)</f>
        <v>0</v>
      </c>
      <c r="J151" s="99">
        <f>SUMIF('MUTASI 2026'!$F$5:$F$1048576,BB!A151,'MUTASI 2026'!$H$5:$H$1048576)</f>
        <v>0</v>
      </c>
      <c r="K151" s="115">
        <f>I151-J151</f>
        <v>0</v>
      </c>
      <c r="L151" s="116">
        <f>+H151+K151</f>
        <v>0</v>
      </c>
    </row>
    <row r="152" spans="1:12" x14ac:dyDescent="0.25">
      <c r="A152" t="s">
        <v>241</v>
      </c>
      <c r="B152" s="126" t="s">
        <v>289</v>
      </c>
      <c r="C152" s="126" t="s">
        <v>290</v>
      </c>
      <c r="D152" s="126" t="s">
        <v>486</v>
      </c>
      <c r="E152" s="127" t="s">
        <v>286</v>
      </c>
      <c r="F152" t="s">
        <v>285</v>
      </c>
      <c r="H152" s="114">
        <v>0</v>
      </c>
      <c r="I152" s="99">
        <f>SUMIF('MUTASI 2026'!$F$5:$F$1048576,BB!A152,'MUTASI 2026'!$G$5:$G$1048576)</f>
        <v>0</v>
      </c>
      <c r="J152" s="99">
        <f>SUMIF('MUTASI 2026'!$F$5:$F$1048576,BB!A152,'MUTASI 2026'!$H$5:$H$1048576)</f>
        <v>0</v>
      </c>
      <c r="K152" s="115">
        <f>I152-J152</f>
        <v>0</v>
      </c>
      <c r="L152" s="116">
        <f>+H152+K152</f>
        <v>0</v>
      </c>
    </row>
  </sheetData>
  <autoFilter ref="A7:L152" xr:uid="{C5DFBAD6-97A3-4B12-91F5-F54C640C5D0E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NR</vt:lpstr>
      <vt:lpstr>LR</vt:lpstr>
      <vt:lpstr>WS Trial balance</vt:lpstr>
      <vt:lpstr>MUTASI 2026</vt:lpstr>
      <vt:lpstr>PIRUT</vt:lpstr>
      <vt:lpstr>BB</vt:lpstr>
      <vt:lpstr>'WS Trial balance'!Database</vt:lpstr>
      <vt:lpstr>LR!Print_Area</vt:lpstr>
      <vt:lpstr>NR!Print_Area</vt:lpstr>
      <vt:lpstr>'WS Trial balance'!Print_Area</vt:lpstr>
      <vt:lpstr>'WS Trial balance'!Print_Titles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Adita</dc:creator>
  <cp:lastModifiedBy>PT. Gresik Cipta Sejahtera</cp:lastModifiedBy>
  <cp:lastPrinted>2025-02-21T08:57:57Z</cp:lastPrinted>
  <dcterms:created xsi:type="dcterms:W3CDTF">2018-08-14T03:39:28Z</dcterms:created>
  <dcterms:modified xsi:type="dcterms:W3CDTF">2026-09-23T04:42:21Z</dcterms:modified>
</cp:coreProperties>
</file>