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---2026---\13. JO\ARJUNA\"/>
    </mc:Choice>
  </mc:AlternateContent>
  <xr:revisionPtr revIDLastSave="0" documentId="8_{3BC5C515-CC75-464A-8225-1DE86705D0CF}" xr6:coauthVersionLast="47" xr6:coauthVersionMax="47" xr10:uidLastSave="{00000000-0000-0000-0000-000000000000}"/>
  <bookViews>
    <workbookView xWindow="-120" yWindow="-120" windowWidth="29040" windowHeight="15720" xr2:uid="{23DF8694-7B87-4FFB-A1A7-7545D05D8DB8}"/>
  </bookViews>
  <sheets>
    <sheet name="NR" sheetId="1" r:id="rId1"/>
  </sheets>
  <externalReferences>
    <externalReference r:id="rId2"/>
    <externalReference r:id="rId3"/>
  </externalReferences>
  <definedNames>
    <definedName name="ACC" localSheetId="0">#REF!</definedName>
    <definedName name="ACC">#REF!</definedName>
    <definedName name="ACCOUNT" localSheetId="0">#REF!</definedName>
    <definedName name="ACCOUNT">#REF!</definedName>
    <definedName name="AKUN" localSheetId="0">#REF!</definedName>
    <definedName name="AKUN">#REF!</definedName>
    <definedName name="AKUNDUA" localSheetId="0">#REF!</definedName>
    <definedName name="AKUNDUA">#REF!</definedName>
    <definedName name="AKUNEMPAT" localSheetId="0">#REF!</definedName>
    <definedName name="AKUNEMPAT">#REF!</definedName>
    <definedName name="akunlima">[2]AKUNLIMA!$A$2:$C$310</definedName>
    <definedName name="AKUNTIGA" localSheetId="0">#REF!</definedName>
    <definedName name="AKUNTIGA">#REF!</definedName>
    <definedName name="asa">#REF!</definedName>
    <definedName name="_xlnm.Database">#REF!</definedName>
    <definedName name="JAN" localSheetId="0">#REF!</definedName>
    <definedName name="JAN">#REF!</definedName>
    <definedName name="OMSET" localSheetId="0">#REF!</definedName>
    <definedName name="OMSET">#REF!</definedName>
    <definedName name="_xlnm.Print_Area" localSheetId="0">NR!$B$2:$O$37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F34" i="1"/>
  <c r="E34" i="1"/>
  <c r="D34" i="1"/>
  <c r="H34" i="1"/>
  <c r="N31" i="1"/>
  <c r="M31" i="1"/>
  <c r="L31" i="1"/>
  <c r="K31" i="1"/>
  <c r="H28" i="1"/>
  <c r="H30" i="1" s="1"/>
  <c r="G28" i="1"/>
  <c r="G30" i="1" s="1"/>
  <c r="F28" i="1"/>
  <c r="F30" i="1" s="1"/>
  <c r="E28" i="1"/>
  <c r="E30" i="1" s="1"/>
  <c r="D28" i="1"/>
  <c r="D30" i="1" s="1"/>
  <c r="O31" i="1"/>
  <c r="N22" i="1"/>
  <c r="M22" i="1"/>
  <c r="L22" i="1"/>
  <c r="K22" i="1"/>
  <c r="G19" i="1"/>
  <c r="F19" i="1"/>
  <c r="E19" i="1"/>
  <c r="D19" i="1"/>
  <c r="H19" i="1"/>
  <c r="O22" i="1"/>
  <c r="O7" i="1"/>
  <c r="N7" i="1"/>
  <c r="M7" i="1"/>
  <c r="L7" i="1"/>
  <c r="K7" i="1"/>
  <c r="O6" i="1"/>
  <c r="N6" i="1"/>
  <c r="M6" i="1"/>
  <c r="L6" i="1"/>
  <c r="K6" i="1"/>
  <c r="F37" i="1" l="1"/>
  <c r="M37" i="1"/>
  <c r="L37" i="1"/>
  <c r="K37" i="1"/>
  <c r="G37" i="1"/>
  <c r="N37" i="1"/>
  <c r="O37" i="1"/>
  <c r="D37" i="1"/>
  <c r="H37" i="1"/>
  <c r="E37" i="1"/>
</calcChain>
</file>

<file path=xl/sharedStrings.xml><?xml version="1.0" encoding="utf-8"?>
<sst xmlns="http://schemas.openxmlformats.org/spreadsheetml/2006/main" count="75" uniqueCount="68">
  <si>
    <t>NERACA</t>
  </si>
  <si>
    <t>K K C S</t>
  </si>
  <si>
    <t>TAHUN 2023 - 2026</t>
  </si>
  <si>
    <t>No</t>
  </si>
  <si>
    <t>Uraian</t>
  </si>
  <si>
    <t>PER</t>
  </si>
  <si>
    <t>31 Desember 2022</t>
  </si>
  <si>
    <t>31 Desember 2023</t>
  </si>
  <si>
    <t>31 Desember 2024</t>
  </si>
  <si>
    <t>31 Desember 2025</t>
  </si>
  <si>
    <t>31 Desember 2026</t>
  </si>
  <si>
    <t>I</t>
  </si>
  <si>
    <t>Aset Lancar</t>
  </si>
  <si>
    <t>VII</t>
  </si>
  <si>
    <t>Liabilitas Jangka Pendek</t>
  </si>
  <si>
    <t>Kas</t>
  </si>
  <si>
    <t>Simpanan Sukarela I</t>
  </si>
  <si>
    <t>Bank</t>
  </si>
  <si>
    <t>Simpanan Sukarela II</t>
  </si>
  <si>
    <t>Surat Berharga</t>
  </si>
  <si>
    <t>Utang Anggota</t>
  </si>
  <si>
    <t>Piutang Anggota</t>
  </si>
  <si>
    <t>Utang Non Anggota</t>
  </si>
  <si>
    <t>Piutang Non Anggota</t>
  </si>
  <si>
    <t>Cad. Penyisihan</t>
  </si>
  <si>
    <t>Utang Pajak</t>
  </si>
  <si>
    <t>Biaya yg Dibayar Dimuka</t>
  </si>
  <si>
    <t>Utang Bunga</t>
  </si>
  <si>
    <t>Uang Muka Pembelian</t>
  </si>
  <si>
    <t>Utang Bank</t>
  </si>
  <si>
    <t>Uang Muka Operasional</t>
  </si>
  <si>
    <t>Utang Lain-Lain</t>
  </si>
  <si>
    <t>Uang Muka Pajak</t>
  </si>
  <si>
    <t>Biaya YMHD</t>
  </si>
  <si>
    <t>Total Aset Lancar :</t>
  </si>
  <si>
    <t>Uang Muka Penjualan</t>
  </si>
  <si>
    <t>II</t>
  </si>
  <si>
    <t>Penyertaan Modal</t>
  </si>
  <si>
    <t>III</t>
  </si>
  <si>
    <t>Aktiva Pajak Tangguhan</t>
  </si>
  <si>
    <t>IV</t>
  </si>
  <si>
    <t>Aset Tetap Berwujud</t>
  </si>
  <si>
    <t>Grand Total Liabilitas</t>
  </si>
  <si>
    <t>Tanah</t>
  </si>
  <si>
    <t>VIII</t>
  </si>
  <si>
    <t>Ekuitas</t>
  </si>
  <si>
    <t>Bangunan dan Instalasi Listrik</t>
  </si>
  <si>
    <t>Simpanan Pokok</t>
  </si>
  <si>
    <t>Kendaraan</t>
  </si>
  <si>
    <t>Wajib</t>
  </si>
  <si>
    <t>Mesin dan Peralatan</t>
  </si>
  <si>
    <t>Hibah</t>
  </si>
  <si>
    <t>Inventaris Kantor</t>
  </si>
  <si>
    <t>Cadangan</t>
  </si>
  <si>
    <t>Nilai Perolehan</t>
  </si>
  <si>
    <t>Laba Belum dicadangkan</t>
  </si>
  <si>
    <t>Akumulasi Penyusutan Aktiva Tetap</t>
  </si>
  <si>
    <t>SHU</t>
  </si>
  <si>
    <t>V</t>
  </si>
  <si>
    <t>Aset Tetap Tak Berwujud</t>
  </si>
  <si>
    <t>Total Ekuitas :</t>
  </si>
  <si>
    <t>Software Komputer</t>
  </si>
  <si>
    <t>Ak. Amrt. Software Komputer</t>
  </si>
  <si>
    <t>Total Aset Tetap Tak Berwujud :</t>
  </si>
  <si>
    <t>VI</t>
  </si>
  <si>
    <t>Aset Lain-lain</t>
  </si>
  <si>
    <t>Grand Total Aset</t>
  </si>
  <si>
    <t>Grand Total Liabilitas dan Ekuitas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</si>
</sst>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8">
    <xf numFmtId="0" fontId="0" fillId="0" borderId="0" xfId="0"/>
    <xf numFmtId="41" fontId="2" fillId="0" borderId="0" xfId="3" applyFont="1" applyAlignment="1">
      <alignment horizontal="center" vertical="center"/>
    </xf>
    <xf numFmtId="164" fontId="0" fillId="0" borderId="0" xfId="2" applyNumberFormat="1" applyFont="1"/>
    <xf numFmtId="41" fontId="0" fillId="0" borderId="0" xfId="3" applyFont="1"/>
    <xf numFmtId="17" fontId="2" fillId="0" borderId="0" xfId="3" quotePrefix="1" applyNumberFormat="1" applyFont="1" applyFill="1" applyAlignment="1">
      <alignment horizontal="center" vertical="center"/>
    </xf>
    <xf numFmtId="43" fontId="4" fillId="0" borderId="0" xfId="1" applyFont="1" applyFill="1"/>
    <xf numFmtId="43" fontId="0" fillId="0" borderId="0" xfId="1" applyFont="1" applyFill="1"/>
    <xf numFmtId="41" fontId="5" fillId="0" borderId="1" xfId="3" applyFont="1" applyBorder="1" applyAlignment="1">
      <alignment horizontal="center" vertical="center"/>
    </xf>
    <xf numFmtId="43" fontId="6" fillId="0" borderId="2" xfId="1" applyFont="1" applyFill="1" applyBorder="1" applyAlignment="1">
      <alignment horizontal="center" vertical="center"/>
    </xf>
    <xf numFmtId="41" fontId="5" fillId="0" borderId="2" xfId="3" applyFont="1" applyBorder="1" applyAlignment="1">
      <alignment horizontal="center" vertical="center"/>
    </xf>
    <xf numFmtId="43" fontId="5" fillId="0" borderId="2" xfId="1" applyFont="1" applyFill="1" applyBorder="1" applyAlignment="1">
      <alignment horizontal="center" vertical="center"/>
    </xf>
    <xf numFmtId="43" fontId="5" fillId="0" borderId="3" xfId="1" quotePrefix="1" applyFont="1" applyFill="1" applyBorder="1" applyAlignment="1">
      <alignment horizontal="center" vertical="center"/>
    </xf>
    <xf numFmtId="43" fontId="5" fillId="2" borderId="3" xfId="1" quotePrefix="1" applyFont="1" applyFill="1" applyBorder="1" applyAlignment="1">
      <alignment horizontal="center" vertical="center"/>
    </xf>
    <xf numFmtId="41" fontId="5" fillId="0" borderId="3" xfId="3" applyFont="1" applyBorder="1" applyAlignment="1">
      <alignment horizontal="center" vertical="center"/>
    </xf>
    <xf numFmtId="43" fontId="5" fillId="0" borderId="3" xfId="1" applyFont="1" applyFill="1" applyBorder="1" applyAlignment="1">
      <alignment horizontal="center" vertical="center"/>
    </xf>
    <xf numFmtId="41" fontId="5" fillId="0" borderId="2" xfId="3" applyFont="1" applyBorder="1" applyAlignment="1">
      <alignment horizontal="center"/>
    </xf>
    <xf numFmtId="41" fontId="5" fillId="0" borderId="2" xfId="3" applyFont="1" applyBorder="1"/>
    <xf numFmtId="43" fontId="0" fillId="0" borderId="2" xfId="1" applyFont="1" applyFill="1" applyBorder="1"/>
    <xf numFmtId="41" fontId="5" fillId="0" borderId="4" xfId="3" applyFont="1" applyBorder="1" applyAlignment="1">
      <alignment horizontal="center"/>
    </xf>
    <xf numFmtId="41" fontId="0" fillId="0" borderId="4" xfId="3" applyFont="1" applyBorder="1"/>
    <xf numFmtId="43" fontId="0" fillId="0" borderId="4" xfId="1" applyFont="1" applyFill="1" applyBorder="1"/>
    <xf numFmtId="43" fontId="7" fillId="0" borderId="4" xfId="1" applyFont="1" applyFill="1" applyBorder="1"/>
    <xf numFmtId="41" fontId="5" fillId="0" borderId="1" xfId="3" applyFont="1" applyBorder="1"/>
    <xf numFmtId="43" fontId="5" fillId="0" borderId="1" xfId="1" applyFont="1" applyFill="1" applyBorder="1"/>
    <xf numFmtId="41" fontId="5" fillId="0" borderId="4" xfId="3" applyFont="1" applyBorder="1"/>
    <xf numFmtId="43" fontId="5" fillId="0" borderId="4" xfId="1" applyFont="1" applyFill="1" applyBorder="1"/>
    <xf numFmtId="41" fontId="0" fillId="0" borderId="3" xfId="3" applyFont="1" applyBorder="1"/>
    <xf numFmtId="43" fontId="0" fillId="0" borderId="3" xfId="1" applyFont="1" applyFill="1" applyBorder="1"/>
    <xf numFmtId="41" fontId="8" fillId="0" borderId="4" xfId="3" applyFont="1" applyBorder="1"/>
    <xf numFmtId="11" fontId="0" fillId="0" borderId="0" xfId="3" applyNumberFormat="1" applyFont="1"/>
    <xf numFmtId="43" fontId="0" fillId="0" borderId="2" xfId="1" applyFont="1" applyBorder="1"/>
    <xf numFmtId="43" fontId="0" fillId="0" borderId="4" xfId="1" applyFont="1" applyBorder="1"/>
    <xf numFmtId="41" fontId="5" fillId="0" borderId="3" xfId="3" applyFont="1" applyBorder="1" applyAlignment="1">
      <alignment horizontal="center"/>
    </xf>
    <xf numFmtId="41" fontId="5" fillId="0" borderId="3" xfId="3" applyFont="1" applyBorder="1"/>
    <xf numFmtId="43" fontId="5" fillId="0" borderId="3" xfId="1" applyFont="1" applyFill="1" applyBorder="1"/>
    <xf numFmtId="41" fontId="5" fillId="0" borderId="5" xfId="3" applyFont="1" applyBorder="1" applyAlignment="1">
      <alignment horizontal="center"/>
    </xf>
    <xf numFmtId="41" fontId="5" fillId="0" borderId="6" xfId="3" applyFont="1" applyBorder="1" applyAlignment="1">
      <alignment horizontal="center"/>
    </xf>
    <xf numFmtId="43" fontId="0" fillId="0" borderId="0" xfId="1" applyFont="1"/>
  </cellXfs>
  <cellStyles count="4">
    <cellStyle name="Comma" xfId="1" builtinId="3"/>
    <cellStyle name="Comma [0]" xfId="2" builtinId="6"/>
    <cellStyle name="Comma [0] 3" xfId="3" xr:uid="{74D76282-422E-455B-B81F-646DE100F5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KERJA\K%20K%20C%20S\Laporan%20Bulanan\2026\KKCS%20-%20WS%20Neraca+Laba%20Rugi%202026.xlsx" TargetMode="External"/><Relationship Id="rId1" Type="http://schemas.openxmlformats.org/officeDocument/2006/relationships/externalLinkPath" Target="file:///D:\01.%20KERJA\K%20K%20C%20S\Laporan%20Bulanan\2026\KKCS%20-%20WS%20Neraca+Laba%20Rugi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09-10-2017/---2017---/00.%20URGENT/01.%20Order%20P.%20Joko/Persiapan%20Month%20End%202017/Laporan%20WORKSHEET%202017_per%20Apr%20(Month%20End).xlsx" TargetMode="External"/><Relationship Id="rId1" Type="http://schemas.openxmlformats.org/officeDocument/2006/relationships/externalLinkPath" Target="/09-10-2017/---2017---/00.%20URGENT/01.%20Order%20P.%20Joko/Persiapan%20Month%20End%202017/Laporan%20WORKSHEET%202017_per%20Apr%20(Month%20En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R"/>
      <sheetName val="LR"/>
      <sheetName val="Neraca - Laba Rugi"/>
      <sheetName val="MUTASI 2026"/>
      <sheetName val="MUTASI 2025"/>
      <sheetName val="BB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  TAHUNAN"/>
      <sheetName val="WORKING  BULANAN"/>
      <sheetName val="1 (ada yg brbh)"/>
      <sheetName val="2 (ada + jur hut)"/>
      <sheetName val="3"/>
      <sheetName val="4 (ada yg brbh)"/>
      <sheetName val="5"/>
      <sheetName val="AKUNLI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110101</v>
          </cell>
          <cell r="B2" t="str">
            <v>Kas IDR Gresik</v>
          </cell>
          <cell r="C2" t="str">
            <v>A01</v>
          </cell>
        </row>
        <row r="3">
          <cell r="A3" t="str">
            <v>110102</v>
          </cell>
          <cell r="B3" t="str">
            <v>Kas IDR Medan</v>
          </cell>
          <cell r="C3" t="str">
            <v>A01</v>
          </cell>
        </row>
        <row r="4">
          <cell r="A4" t="str">
            <v>110103</v>
          </cell>
          <cell r="B4" t="str">
            <v>Kas IDR Makassar</v>
          </cell>
          <cell r="C4" t="str">
            <v>A01</v>
          </cell>
        </row>
        <row r="5">
          <cell r="A5" t="str">
            <v>110104</v>
          </cell>
          <cell r="B5" t="str">
            <v>Kas IDR Lampung</v>
          </cell>
          <cell r="C5" t="str">
            <v>A01</v>
          </cell>
        </row>
        <row r="6">
          <cell r="A6" t="str">
            <v>110110</v>
          </cell>
          <cell r="B6" t="str">
            <v>Kas USD</v>
          </cell>
          <cell r="C6" t="str">
            <v>A01</v>
          </cell>
        </row>
        <row r="7">
          <cell r="A7" t="str">
            <v>110120</v>
          </cell>
          <cell r="B7" t="str">
            <v>Kas Kecil IDR KIG</v>
          </cell>
          <cell r="C7" t="str">
            <v>A01</v>
          </cell>
        </row>
        <row r="8">
          <cell r="A8" t="str">
            <v>110201</v>
          </cell>
          <cell r="B8" t="str">
            <v>Giro Mandiri Gresik</v>
          </cell>
          <cell r="C8" t="str">
            <v>A02</v>
          </cell>
        </row>
        <row r="9">
          <cell r="A9" t="str">
            <v>110202</v>
          </cell>
          <cell r="B9" t="str">
            <v xml:space="preserve">Giro BNI'46 Gresik                                          </v>
          </cell>
          <cell r="C9" t="str">
            <v>A02</v>
          </cell>
        </row>
        <row r="10">
          <cell r="A10" t="str">
            <v>110203</v>
          </cell>
          <cell r="B10" t="str">
            <v>Giro Lippo Gresik</v>
          </cell>
          <cell r="C10" t="str">
            <v>A02</v>
          </cell>
        </row>
        <row r="11">
          <cell r="A11" t="str">
            <v>110204</v>
          </cell>
          <cell r="B11" t="str">
            <v>Giro Niaga Gresik</v>
          </cell>
          <cell r="C11" t="str">
            <v>A02</v>
          </cell>
        </row>
        <row r="12">
          <cell r="A12" t="str">
            <v>110205</v>
          </cell>
          <cell r="B12" t="str">
            <v>Giro BRI I Gresik</v>
          </cell>
          <cell r="C12" t="str">
            <v>A02</v>
          </cell>
        </row>
        <row r="13">
          <cell r="A13" t="str">
            <v>110206</v>
          </cell>
          <cell r="B13" t="str">
            <v>Giro Agro Gresik</v>
          </cell>
          <cell r="C13" t="str">
            <v>A02</v>
          </cell>
        </row>
        <row r="14">
          <cell r="A14" t="str">
            <v>110207</v>
          </cell>
          <cell r="B14" t="str">
            <v>Giro BCA Gresik</v>
          </cell>
          <cell r="C14" t="str">
            <v>A02</v>
          </cell>
        </row>
        <row r="15">
          <cell r="A15" t="str">
            <v>110208</v>
          </cell>
          <cell r="B15" t="str">
            <v>Giro Bank Jatim Gresik</v>
          </cell>
          <cell r="C15" t="str">
            <v>A02</v>
          </cell>
        </row>
        <row r="16">
          <cell r="A16" t="str">
            <v>110209</v>
          </cell>
          <cell r="B16" t="str">
            <v>Giro Dollar Mandiri Gresik</v>
          </cell>
          <cell r="C16" t="str">
            <v>A02</v>
          </cell>
        </row>
        <row r="17">
          <cell r="A17" t="str">
            <v>110210</v>
          </cell>
          <cell r="B17" t="str">
            <v>Giro Dollar CIMB Niaga Gresik</v>
          </cell>
          <cell r="C17" t="str">
            <v>A02</v>
          </cell>
        </row>
        <row r="18">
          <cell r="A18" t="str">
            <v>110211</v>
          </cell>
          <cell r="B18" t="str">
            <v>Giro Bank Jatim Surabaya</v>
          </cell>
          <cell r="C18" t="str">
            <v>A02</v>
          </cell>
        </row>
        <row r="19">
          <cell r="A19" t="str">
            <v>110212</v>
          </cell>
          <cell r="B19" t="str">
            <v>Giro Dollar Panin Surabaya</v>
          </cell>
          <cell r="C19" t="str">
            <v>A02</v>
          </cell>
        </row>
        <row r="20">
          <cell r="A20" t="str">
            <v>110213</v>
          </cell>
          <cell r="B20" t="str">
            <v>Giro Mandiri Medan</v>
          </cell>
          <cell r="C20" t="str">
            <v>A02</v>
          </cell>
        </row>
        <row r="21">
          <cell r="A21" t="str">
            <v>110214</v>
          </cell>
          <cell r="B21" t="str">
            <v xml:space="preserve">Giro BNI'46 Medan                                           </v>
          </cell>
          <cell r="C21" t="str">
            <v>A02</v>
          </cell>
        </row>
        <row r="22">
          <cell r="A22" t="str">
            <v>110215</v>
          </cell>
          <cell r="B22" t="str">
            <v>Giro BRI Medan</v>
          </cell>
          <cell r="C22" t="str">
            <v>A02</v>
          </cell>
        </row>
        <row r="23">
          <cell r="A23" t="str">
            <v>110216</v>
          </cell>
          <cell r="B23" t="str">
            <v xml:space="preserve">Giro BNI'46 Makassar                                        </v>
          </cell>
          <cell r="C23" t="str">
            <v>A02</v>
          </cell>
        </row>
        <row r="24">
          <cell r="A24" t="str">
            <v>110217</v>
          </cell>
          <cell r="B24" t="str">
            <v>Giro Bukopin Makassar</v>
          </cell>
          <cell r="C24" t="str">
            <v>A02</v>
          </cell>
        </row>
        <row r="25">
          <cell r="A25" t="str">
            <v>110218</v>
          </cell>
          <cell r="B25" t="str">
            <v>Giro BRI Sidrap Makassar</v>
          </cell>
          <cell r="C25" t="str">
            <v>A02</v>
          </cell>
        </row>
        <row r="26">
          <cell r="A26" t="str">
            <v>110219</v>
          </cell>
          <cell r="B26" t="str">
            <v>Giro Mandiri Makassar</v>
          </cell>
          <cell r="C26" t="str">
            <v>A02</v>
          </cell>
        </row>
        <row r="27">
          <cell r="A27" t="str">
            <v>110220</v>
          </cell>
          <cell r="B27" t="str">
            <v>Giro BRI Makassar</v>
          </cell>
          <cell r="C27" t="str">
            <v>A02</v>
          </cell>
        </row>
        <row r="28">
          <cell r="A28" t="str">
            <v>110221</v>
          </cell>
          <cell r="B28" t="str">
            <v>Giro Mandiri Lampung</v>
          </cell>
          <cell r="C28" t="str">
            <v>A02</v>
          </cell>
        </row>
        <row r="29">
          <cell r="A29" t="str">
            <v>110222</v>
          </cell>
          <cell r="B29" t="str">
            <v>Giro BRI Lampung</v>
          </cell>
          <cell r="C29" t="str">
            <v>A02</v>
          </cell>
        </row>
        <row r="30">
          <cell r="A30" t="str">
            <v>110223</v>
          </cell>
          <cell r="B30" t="str">
            <v>Giro BRI II Gresik</v>
          </cell>
          <cell r="C30" t="str">
            <v>A02</v>
          </cell>
        </row>
        <row r="31">
          <cell r="A31" t="str">
            <v>110224</v>
          </cell>
          <cell r="B31" t="str">
            <v>Giro Bank DBS Surabaya</v>
          </cell>
          <cell r="C31" t="str">
            <v>A02</v>
          </cell>
        </row>
        <row r="32">
          <cell r="A32" t="str">
            <v>110225</v>
          </cell>
          <cell r="B32" t="str">
            <v>Giro Bank DBS Dolar Surabaya</v>
          </cell>
          <cell r="C32" t="str">
            <v>A02</v>
          </cell>
        </row>
        <row r="33">
          <cell r="A33" t="str">
            <v>110226</v>
          </cell>
          <cell r="B33" t="str">
            <v>KMK Bank Mandiri</v>
          </cell>
          <cell r="C33" t="str">
            <v>P08</v>
          </cell>
        </row>
        <row r="34">
          <cell r="A34" t="str">
            <v>110227</v>
          </cell>
          <cell r="B34" t="str">
            <v>KMK CIMB Niaga</v>
          </cell>
          <cell r="C34" t="str">
            <v>P08</v>
          </cell>
        </row>
        <row r="35">
          <cell r="A35" t="str">
            <v>110228</v>
          </cell>
          <cell r="B35" t="str">
            <v>KMK CIMB Niaga Dolar</v>
          </cell>
          <cell r="C35" t="str">
            <v>P01A</v>
          </cell>
        </row>
        <row r="36">
          <cell r="A36" t="str">
            <v>110229</v>
          </cell>
          <cell r="B36" t="str">
            <v>Giro BRI Rajawali Surabaya</v>
          </cell>
          <cell r="C36" t="str">
            <v>A02</v>
          </cell>
        </row>
        <row r="37">
          <cell r="A37" t="str">
            <v>110230</v>
          </cell>
          <cell r="B37" t="str">
            <v>Giro BRI III Gresik</v>
          </cell>
          <cell r="C37" t="str">
            <v>A02</v>
          </cell>
        </row>
        <row r="38">
          <cell r="A38" t="str">
            <v>110231</v>
          </cell>
          <cell r="B38" t="str">
            <v>Giro Mandiri Gresik 2</v>
          </cell>
          <cell r="C38" t="str">
            <v>A02</v>
          </cell>
        </row>
        <row r="39">
          <cell r="A39" t="str">
            <v>110232</v>
          </cell>
          <cell r="B39" t="str">
            <v>Giro BRI III Escrow</v>
          </cell>
          <cell r="C39" t="str">
            <v>A02</v>
          </cell>
        </row>
        <row r="40">
          <cell r="A40" t="str">
            <v>110251</v>
          </cell>
          <cell r="B40" t="str">
            <v>Giro Mandiri Gresik - (Bank Perantara)</v>
          </cell>
          <cell r="C40" t="str">
            <v>A02</v>
          </cell>
        </row>
        <row r="41">
          <cell r="A41" t="str">
            <v>110252</v>
          </cell>
          <cell r="B41" t="str">
            <v xml:space="preserve">Giro BNI'46 Gresik - (Bank Perantara)                       </v>
          </cell>
          <cell r="C41" t="str">
            <v>A02</v>
          </cell>
        </row>
        <row r="42">
          <cell r="A42" t="str">
            <v>110253</v>
          </cell>
          <cell r="B42" t="str">
            <v>Giro Lippo Gresik - (Bank Perantara)</v>
          </cell>
          <cell r="C42" t="str">
            <v>A02</v>
          </cell>
        </row>
        <row r="43">
          <cell r="A43" t="str">
            <v>110254</v>
          </cell>
          <cell r="B43" t="str">
            <v>Giro Niaga Gresik - (Bank Perantara)</v>
          </cell>
          <cell r="C43" t="str">
            <v>A02</v>
          </cell>
        </row>
        <row r="44">
          <cell r="A44" t="str">
            <v>110255</v>
          </cell>
          <cell r="B44" t="str">
            <v>Giro BRI Gresik - (Bank Perantara)</v>
          </cell>
          <cell r="C44" t="str">
            <v>A02</v>
          </cell>
        </row>
        <row r="45">
          <cell r="A45" t="str">
            <v>110256</v>
          </cell>
          <cell r="B45" t="str">
            <v>Giro Agro Gresik - (Bank Perantara)</v>
          </cell>
          <cell r="C45" t="str">
            <v>A02</v>
          </cell>
        </row>
        <row r="46">
          <cell r="A46" t="str">
            <v>110257</v>
          </cell>
          <cell r="B46" t="str">
            <v>Giro BCA Gresik - (Bank Perantara)</v>
          </cell>
          <cell r="C46" t="str">
            <v>A02</v>
          </cell>
        </row>
        <row r="47">
          <cell r="A47" t="str">
            <v>110258</v>
          </cell>
          <cell r="B47" t="str">
            <v>Giro Bank Jatim Gresik - (Bank Perantara)</v>
          </cell>
          <cell r="C47" t="str">
            <v>A02</v>
          </cell>
        </row>
        <row r="48">
          <cell r="A48" t="str">
            <v>110259</v>
          </cell>
          <cell r="B48" t="str">
            <v>Giro Dollar Mandiri Gresik - (Bank Perantara)</v>
          </cell>
          <cell r="C48" t="str">
            <v>A02</v>
          </cell>
        </row>
        <row r="49">
          <cell r="A49" t="str">
            <v>110260</v>
          </cell>
          <cell r="B49" t="str">
            <v>Giro Dollar CIMB Niaga Gresik - (Bank Perantara)</v>
          </cell>
          <cell r="C49" t="str">
            <v>A02</v>
          </cell>
        </row>
        <row r="50">
          <cell r="A50" t="str">
            <v>110261</v>
          </cell>
          <cell r="B50" t="str">
            <v>Giro Bank Jatim Surabaya - (Bank Perantara)</v>
          </cell>
          <cell r="C50" t="str">
            <v>A02</v>
          </cell>
        </row>
        <row r="51">
          <cell r="A51" t="str">
            <v>110262</v>
          </cell>
          <cell r="B51" t="str">
            <v>Giro Dollar Panin Surabaya - (Bank Perantara)</v>
          </cell>
          <cell r="C51" t="str">
            <v>A02</v>
          </cell>
        </row>
        <row r="52">
          <cell r="A52" t="str">
            <v>110263</v>
          </cell>
          <cell r="B52" t="str">
            <v>Giro Mandiri Medan - (Bank Perantara)</v>
          </cell>
          <cell r="C52" t="str">
            <v>A02</v>
          </cell>
        </row>
        <row r="53">
          <cell r="A53" t="str">
            <v>110264</v>
          </cell>
          <cell r="B53" t="str">
            <v xml:space="preserve">Giro BNI'46 Medan - (Bank Perantara)                        </v>
          </cell>
          <cell r="C53" t="str">
            <v>A02</v>
          </cell>
        </row>
        <row r="54">
          <cell r="A54" t="str">
            <v>110265</v>
          </cell>
          <cell r="B54" t="str">
            <v>Giro BRI Medan - (Bank Perantara)</v>
          </cell>
          <cell r="C54" t="str">
            <v>A02</v>
          </cell>
        </row>
        <row r="55">
          <cell r="A55" t="str">
            <v>110266</v>
          </cell>
          <cell r="B55" t="str">
            <v xml:space="preserve">Giro BNI'46 Makassar - (Bank Perantara)                     </v>
          </cell>
          <cell r="C55" t="str">
            <v>A02</v>
          </cell>
        </row>
        <row r="56">
          <cell r="A56" t="str">
            <v>110267</v>
          </cell>
          <cell r="B56" t="str">
            <v>Giro Bukopin Makassar - (Bank Perantara)</v>
          </cell>
          <cell r="C56" t="str">
            <v>A02</v>
          </cell>
        </row>
        <row r="57">
          <cell r="A57" t="str">
            <v>110268</v>
          </cell>
          <cell r="B57" t="str">
            <v>Giro BRI Sidrap Makassar - (Bank Perantara)</v>
          </cell>
          <cell r="C57" t="str">
            <v>A02</v>
          </cell>
        </row>
        <row r="58">
          <cell r="A58" t="str">
            <v>110269</v>
          </cell>
          <cell r="B58" t="str">
            <v>Giro Mandiri Makassar - (Bank Perantara)</v>
          </cell>
          <cell r="C58" t="str">
            <v>A02</v>
          </cell>
        </row>
        <row r="59">
          <cell r="A59" t="str">
            <v>110270</v>
          </cell>
          <cell r="B59" t="str">
            <v>Giro BRI Makassar - (Bank Perantara)</v>
          </cell>
          <cell r="C59" t="str">
            <v>A02</v>
          </cell>
        </row>
        <row r="60">
          <cell r="A60" t="str">
            <v>110271</v>
          </cell>
          <cell r="B60" t="str">
            <v>Giro Mandiri Lampung - (Bank Perantara)</v>
          </cell>
          <cell r="C60" t="str">
            <v>A02</v>
          </cell>
        </row>
        <row r="61">
          <cell r="A61" t="str">
            <v>110272</v>
          </cell>
          <cell r="B61" t="str">
            <v>KMK Mandiri Gresik - (Bank Perantara)</v>
          </cell>
          <cell r="C61" t="str">
            <v>A02</v>
          </cell>
        </row>
        <row r="62">
          <cell r="A62" t="str">
            <v>110273</v>
          </cell>
          <cell r="B62" t="str">
            <v>KMK Bank BRI</v>
          </cell>
          <cell r="C62" t="str">
            <v>P08</v>
          </cell>
        </row>
        <row r="63">
          <cell r="A63" t="str">
            <v>110274</v>
          </cell>
          <cell r="B63" t="str">
            <v>KMK BCA Syariah Gresik</v>
          </cell>
          <cell r="C63" t="str">
            <v>A02</v>
          </cell>
        </row>
        <row r="64">
          <cell r="A64" t="str">
            <v>110275</v>
          </cell>
          <cell r="B64" t="str">
            <v>Giro BCA Syariah Gresik</v>
          </cell>
          <cell r="C64" t="str">
            <v>A02</v>
          </cell>
        </row>
        <row r="65">
          <cell r="A65" t="str">
            <v>110276</v>
          </cell>
          <cell r="B65" t="str">
            <v>KMK TR Mandiri</v>
          </cell>
          <cell r="C65" t="str">
            <v>A02</v>
          </cell>
        </row>
        <row r="66">
          <cell r="A66" t="str">
            <v>110277</v>
          </cell>
          <cell r="B66" t="str">
            <v>KMK Loan DF Mandiri</v>
          </cell>
          <cell r="C66" t="str">
            <v>A02</v>
          </cell>
        </row>
        <row r="67">
          <cell r="A67" t="str">
            <v>110278</v>
          </cell>
          <cell r="B67" t="str">
            <v>Giro Bank Lampung Cab. Metro</v>
          </cell>
          <cell r="C67" t="str">
            <v>A02</v>
          </cell>
        </row>
        <row r="68">
          <cell r="A68" t="str">
            <v>110279</v>
          </cell>
          <cell r="B68" t="str">
            <v>Giro Bank Lampung Cab. Lampung Tengah</v>
          </cell>
          <cell r="C68" t="str">
            <v>A02</v>
          </cell>
        </row>
        <row r="69">
          <cell r="A69" t="str">
            <v>110301</v>
          </cell>
          <cell r="B69" t="str">
            <v>Bank Garansi Gresik</v>
          </cell>
          <cell r="C69" t="str">
            <v>A03</v>
          </cell>
        </row>
        <row r="70">
          <cell r="A70" t="str">
            <v>110302</v>
          </cell>
          <cell r="B70" t="str">
            <v>Deposito Berjangka Gresik</v>
          </cell>
          <cell r="C70" t="str">
            <v>A03</v>
          </cell>
        </row>
        <row r="71">
          <cell r="A71" t="str">
            <v>110303</v>
          </cell>
          <cell r="B71" t="str">
            <v>DOC Gresik</v>
          </cell>
          <cell r="C71" t="str">
            <v>A03</v>
          </cell>
        </row>
        <row r="72">
          <cell r="A72" t="str">
            <v>110304</v>
          </cell>
          <cell r="B72" t="str">
            <v>Deposito Dollar Gresik</v>
          </cell>
          <cell r="C72" t="str">
            <v>A03</v>
          </cell>
        </row>
        <row r="73">
          <cell r="A73" t="str">
            <v>110305</v>
          </cell>
          <cell r="B73" t="str">
            <v>Setor Jaminan Skbdn</v>
          </cell>
          <cell r="C73" t="str">
            <v>A03</v>
          </cell>
        </row>
        <row r="74">
          <cell r="A74" t="str">
            <v>110306</v>
          </cell>
          <cell r="B74" t="str">
            <v>Surat-Surat Berharga</v>
          </cell>
          <cell r="C74" t="str">
            <v>A03</v>
          </cell>
        </row>
        <row r="75">
          <cell r="A75" t="str">
            <v>110307</v>
          </cell>
          <cell r="B75" t="str">
            <v>Saham</v>
          </cell>
          <cell r="C75" t="str">
            <v>A03</v>
          </cell>
        </row>
        <row r="76">
          <cell r="A76" t="str">
            <v>110308</v>
          </cell>
          <cell r="B76" t="str">
            <v>Bank Garansi Medan</v>
          </cell>
          <cell r="C76" t="str">
            <v>A03</v>
          </cell>
        </row>
        <row r="77">
          <cell r="A77" t="str">
            <v>110309</v>
          </cell>
          <cell r="B77" t="str">
            <v>Deposito Berjangka Medan</v>
          </cell>
          <cell r="C77" t="str">
            <v>A03</v>
          </cell>
        </row>
        <row r="78">
          <cell r="A78" t="str">
            <v>110310</v>
          </cell>
          <cell r="B78" t="str">
            <v>DOC Medan</v>
          </cell>
          <cell r="C78" t="str">
            <v>A03</v>
          </cell>
        </row>
        <row r="79">
          <cell r="A79" t="str">
            <v>110401</v>
          </cell>
          <cell r="B79" t="str">
            <v>Piutang Usaha</v>
          </cell>
          <cell r="C79" t="str">
            <v>A04</v>
          </cell>
        </row>
        <row r="80">
          <cell r="A80" t="str">
            <v>110402</v>
          </cell>
          <cell r="B80" t="str">
            <v>Piutang Affiliasi</v>
          </cell>
          <cell r="C80" t="str">
            <v>A05</v>
          </cell>
        </row>
        <row r="81">
          <cell r="A81" t="str">
            <v>110403</v>
          </cell>
          <cell r="B81" t="str">
            <v>Piutang Lain - lain</v>
          </cell>
          <cell r="C81" t="str">
            <v>A06</v>
          </cell>
        </row>
        <row r="82">
          <cell r="A82" t="str">
            <v>110501</v>
          </cell>
          <cell r="B82" t="str">
            <v>Cad. PH Piutang Usaha</v>
          </cell>
          <cell r="C82" t="str">
            <v>A07</v>
          </cell>
        </row>
        <row r="83">
          <cell r="A83" t="str">
            <v>110502</v>
          </cell>
          <cell r="B83" t="str">
            <v>Cad. PH Piutang Lain - lain</v>
          </cell>
          <cell r="C83" t="str">
            <v>A07</v>
          </cell>
        </row>
        <row r="84">
          <cell r="A84" t="str">
            <v>110600</v>
          </cell>
          <cell r="B84" t="str">
            <v>Persediaan Barang Jadi</v>
          </cell>
          <cell r="C84" t="str">
            <v>A08</v>
          </cell>
        </row>
        <row r="85">
          <cell r="A85" t="str">
            <v>110601</v>
          </cell>
          <cell r="B85" t="str">
            <v>Pupuk Subsidi</v>
          </cell>
          <cell r="C85" t="str">
            <v>A08</v>
          </cell>
        </row>
        <row r="86">
          <cell r="A86" t="str">
            <v>110602</v>
          </cell>
          <cell r="B86" t="str">
            <v>Pupuk Non Subsidi</v>
          </cell>
          <cell r="C86" t="str">
            <v>A08</v>
          </cell>
        </row>
        <row r="87">
          <cell r="A87" t="str">
            <v>110603</v>
          </cell>
          <cell r="B87" t="str">
            <v>Pupuk Non Subsidi Ritail</v>
          </cell>
          <cell r="C87" t="str">
            <v>A08</v>
          </cell>
        </row>
        <row r="88">
          <cell r="A88" t="str">
            <v>110604</v>
          </cell>
          <cell r="B88" t="str">
            <v>Pupuk Indrustri</v>
          </cell>
          <cell r="C88" t="str">
            <v>A08</v>
          </cell>
        </row>
        <row r="89">
          <cell r="A89" t="str">
            <v>110605</v>
          </cell>
          <cell r="B89" t="str">
            <v>Pestisida</v>
          </cell>
          <cell r="C89" t="str">
            <v>A08</v>
          </cell>
        </row>
        <row r="90">
          <cell r="A90" t="str">
            <v>110606</v>
          </cell>
          <cell r="B90" t="str">
            <v>Bahan Kimia</v>
          </cell>
          <cell r="C90" t="str">
            <v>A08</v>
          </cell>
        </row>
        <row r="91">
          <cell r="A91" t="str">
            <v>110607</v>
          </cell>
          <cell r="B91" t="str">
            <v>Kesuplieran Bahan Teknik</v>
          </cell>
          <cell r="C91" t="str">
            <v>A08</v>
          </cell>
        </row>
        <row r="92">
          <cell r="A92" t="str">
            <v>110608</v>
          </cell>
          <cell r="B92" t="str">
            <v>Kesuplieran Bahan Kimia</v>
          </cell>
          <cell r="C92" t="str">
            <v>A08</v>
          </cell>
        </row>
        <row r="93">
          <cell r="A93" t="str">
            <v>110609</v>
          </cell>
          <cell r="B93" t="str">
            <v>Bibit Benih</v>
          </cell>
          <cell r="C93" t="str">
            <v>A08</v>
          </cell>
        </row>
        <row r="94">
          <cell r="A94" t="str">
            <v>110610</v>
          </cell>
          <cell r="B94" t="str">
            <v>Benih</v>
          </cell>
          <cell r="C94" t="str">
            <v>A08</v>
          </cell>
        </row>
        <row r="95">
          <cell r="A95" t="str">
            <v>110611</v>
          </cell>
          <cell r="B95" t="str">
            <v>Jasa Angkutan Pupuk</v>
          </cell>
          <cell r="C95" t="str">
            <v>A08</v>
          </cell>
        </row>
        <row r="96">
          <cell r="A96" t="str">
            <v>110612</v>
          </cell>
          <cell r="B96" t="str">
            <v>Jasa Angkutan Non Pupuk</v>
          </cell>
          <cell r="C96" t="str">
            <v>A08</v>
          </cell>
        </row>
        <row r="97">
          <cell r="A97" t="str">
            <v>110613</v>
          </cell>
          <cell r="B97" t="str">
            <v>Hasil Produksi Petroganik</v>
          </cell>
          <cell r="C97" t="str">
            <v>A08</v>
          </cell>
        </row>
        <row r="98">
          <cell r="A98" t="str">
            <v>110701</v>
          </cell>
          <cell r="B98" t="str">
            <v>Persediaan Barang Dalam Proses</v>
          </cell>
          <cell r="C98" t="str">
            <v>A09</v>
          </cell>
        </row>
        <row r="99">
          <cell r="A99" t="str">
            <v>110801</v>
          </cell>
          <cell r="B99" t="str">
            <v>Bahan Baku Produksi</v>
          </cell>
          <cell r="C99" t="str">
            <v>A10</v>
          </cell>
        </row>
        <row r="100">
          <cell r="A100" t="str">
            <v>110802</v>
          </cell>
          <cell r="B100" t="str">
            <v>Bahan Penolong Produksi</v>
          </cell>
          <cell r="C100" t="str">
            <v>A10</v>
          </cell>
        </row>
        <row r="101">
          <cell r="A101" t="str">
            <v>110803</v>
          </cell>
          <cell r="B101" t="str">
            <v>Peralatan Keselamat Kerja</v>
          </cell>
          <cell r="C101" t="str">
            <v>A10</v>
          </cell>
        </row>
        <row r="102">
          <cell r="A102" t="str">
            <v>110804</v>
          </cell>
          <cell r="B102" t="str">
            <v>Hasil Produksi Petroganik</v>
          </cell>
          <cell r="C102" t="str">
            <v>A10</v>
          </cell>
        </row>
        <row r="103">
          <cell r="A103" t="str">
            <v>110805</v>
          </cell>
          <cell r="B103" t="str">
            <v>Hasil Panen Padi</v>
          </cell>
          <cell r="C103" t="str">
            <v>A10</v>
          </cell>
        </row>
        <row r="104">
          <cell r="A104" t="str">
            <v>110901</v>
          </cell>
          <cell r="B104" t="str">
            <v>Bahan Penolong Petroganik</v>
          </cell>
          <cell r="C104" t="str">
            <v>A11</v>
          </cell>
        </row>
        <row r="105">
          <cell r="A105" t="str">
            <v>110902</v>
          </cell>
          <cell r="B105" t="str">
            <v>Peralatan Keselamat Kerja</v>
          </cell>
          <cell r="C105" t="str">
            <v>A11</v>
          </cell>
        </row>
        <row r="106">
          <cell r="A106" t="str">
            <v>111001</v>
          </cell>
          <cell r="B106" t="str">
            <v>Uang Muka Pembelian</v>
          </cell>
          <cell r="C106" t="str">
            <v>A13</v>
          </cell>
        </row>
        <row r="107">
          <cell r="A107" t="str">
            <v>111002</v>
          </cell>
          <cell r="B107" t="str">
            <v>Uang Muka Pajak</v>
          </cell>
          <cell r="C107" t="str">
            <v>A14</v>
          </cell>
        </row>
        <row r="108">
          <cell r="A108" t="str">
            <v>111003</v>
          </cell>
          <cell r="B108" t="str">
            <v>Uang Muka Lain - Lain</v>
          </cell>
          <cell r="C108" t="str">
            <v>A15</v>
          </cell>
        </row>
        <row r="109">
          <cell r="A109" t="str">
            <v>111100</v>
          </cell>
          <cell r="B109" t="str">
            <v>Biaya Yang Dibayar Dimuka</v>
          </cell>
          <cell r="C109" t="str">
            <v>A15</v>
          </cell>
        </row>
        <row r="110">
          <cell r="A110" t="str">
            <v>111101</v>
          </cell>
          <cell r="B110" t="str">
            <v>BYDD Asuransi</v>
          </cell>
          <cell r="C110" t="str">
            <v>A15</v>
          </cell>
        </row>
        <row r="111">
          <cell r="A111" t="str">
            <v>111102</v>
          </cell>
          <cell r="B111" t="str">
            <v>BYDD Pajak</v>
          </cell>
          <cell r="C111" t="str">
            <v>A15</v>
          </cell>
        </row>
        <row r="112">
          <cell r="A112" t="str">
            <v>111103</v>
          </cell>
          <cell r="B112" t="str">
            <v>BYDD Sewa</v>
          </cell>
          <cell r="C112" t="str">
            <v>A15</v>
          </cell>
        </row>
        <row r="113">
          <cell r="A113" t="str">
            <v>111104</v>
          </cell>
          <cell r="B113" t="str">
            <v>BYDD Transportasi</v>
          </cell>
          <cell r="C113" t="str">
            <v>A15</v>
          </cell>
        </row>
        <row r="114">
          <cell r="A114" t="str">
            <v>111105</v>
          </cell>
          <cell r="B114" t="str">
            <v>BYDD Lain -lain</v>
          </cell>
          <cell r="C114" t="str">
            <v>A15</v>
          </cell>
        </row>
        <row r="115">
          <cell r="A115" t="str">
            <v>111200</v>
          </cell>
          <cell r="B115" t="str">
            <v>Persediaan Barang Habis Pakai</v>
          </cell>
          <cell r="C115" t="str">
            <v>A112</v>
          </cell>
        </row>
        <row r="116">
          <cell r="A116" t="str">
            <v>120101</v>
          </cell>
          <cell r="B116" t="str">
            <v>Sumber Alam Organik Sejahtera, PT</v>
          </cell>
          <cell r="C116" t="str">
            <v>A16</v>
          </cell>
        </row>
        <row r="117">
          <cell r="A117" t="str">
            <v>120102</v>
          </cell>
          <cell r="B117" t="str">
            <v>Sumekar Abdi Sejahtera, PT</v>
          </cell>
          <cell r="C117" t="str">
            <v>A16</v>
          </cell>
        </row>
        <row r="118">
          <cell r="A118" t="str">
            <v>121002</v>
          </cell>
          <cell r="B118" t="str">
            <v>KOSONG</v>
          </cell>
          <cell r="C118" t="str">
            <v>A16</v>
          </cell>
        </row>
        <row r="119">
          <cell r="A119" t="str">
            <v>130101</v>
          </cell>
          <cell r="B119" t="str">
            <v>Aktiva Pajak Tangguhan</v>
          </cell>
          <cell r="C119" t="str">
            <v>A17A</v>
          </cell>
        </row>
        <row r="120">
          <cell r="A120" t="str">
            <v>140101</v>
          </cell>
          <cell r="B120" t="str">
            <v>Aktiva Imbalan Pasca Kerja</v>
          </cell>
          <cell r="C120" t="str">
            <v>A17</v>
          </cell>
        </row>
        <row r="121">
          <cell r="A121" t="str">
            <v>150101</v>
          </cell>
          <cell r="B121" t="str">
            <v>Tanah</v>
          </cell>
          <cell r="C121" t="str">
            <v>A18A</v>
          </cell>
        </row>
        <row r="122">
          <cell r="A122" t="str">
            <v>150102</v>
          </cell>
          <cell r="B122" t="str">
            <v>Gedung Dan Instalasi Listrik</v>
          </cell>
          <cell r="C122" t="str">
            <v>A18B</v>
          </cell>
        </row>
        <row r="123">
          <cell r="A123" t="str">
            <v>150103</v>
          </cell>
          <cell r="B123" t="str">
            <v>Kendaraan</v>
          </cell>
          <cell r="C123" t="str">
            <v>A18C</v>
          </cell>
        </row>
        <row r="124">
          <cell r="A124" t="str">
            <v>150104</v>
          </cell>
          <cell r="B124" t="str">
            <v>Mesin &amp; Peralatan Pabrik</v>
          </cell>
          <cell r="C124" t="str">
            <v>A18D</v>
          </cell>
        </row>
        <row r="125">
          <cell r="A125" t="str">
            <v>150105</v>
          </cell>
          <cell r="B125" t="str">
            <v>Inventaris Kantor</v>
          </cell>
          <cell r="C125" t="str">
            <v>A18E</v>
          </cell>
        </row>
        <row r="126">
          <cell r="A126" t="str">
            <v>150200</v>
          </cell>
          <cell r="B126" t="str">
            <v>Aktiva Tetap Tak Berwujud</v>
          </cell>
          <cell r="C126" t="str">
            <v>A19</v>
          </cell>
        </row>
        <row r="127">
          <cell r="A127" t="str">
            <v>150201</v>
          </cell>
          <cell r="B127" t="str">
            <v>Aktiva Tetap Tak Berwujud</v>
          </cell>
          <cell r="C127" t="str">
            <v>A19</v>
          </cell>
        </row>
        <row r="128">
          <cell r="A128" t="str">
            <v>160102</v>
          </cell>
          <cell r="B128" t="str">
            <v>Akm.PH Gedung &amp; Instalasi Listrik</v>
          </cell>
          <cell r="C128" t="str">
            <v>A20</v>
          </cell>
        </row>
        <row r="129">
          <cell r="A129" t="str">
            <v>160103</v>
          </cell>
          <cell r="B129" t="str">
            <v>Akm.PH Kendaraan</v>
          </cell>
          <cell r="C129" t="str">
            <v>A20</v>
          </cell>
        </row>
        <row r="130">
          <cell r="A130" t="str">
            <v>160104</v>
          </cell>
          <cell r="B130" t="str">
            <v>Akm.PH Mesin &amp; Peralatan Pabrik</v>
          </cell>
          <cell r="C130" t="str">
            <v>A20</v>
          </cell>
        </row>
        <row r="131">
          <cell r="A131" t="str">
            <v>160105</v>
          </cell>
          <cell r="B131" t="str">
            <v>Akm.PH Inventaris Kantor</v>
          </cell>
          <cell r="C131" t="str">
            <v>A20</v>
          </cell>
        </row>
        <row r="132">
          <cell r="A132" t="str">
            <v>160200</v>
          </cell>
          <cell r="B132" t="str">
            <v>Akm.PH Aktiva Tetap Tak Berwujud</v>
          </cell>
          <cell r="C132" t="str">
            <v>A21</v>
          </cell>
        </row>
        <row r="133">
          <cell r="A133" t="str">
            <v>170000</v>
          </cell>
          <cell r="B133" t="str">
            <v>Aktiva Dalam Pelaksanaan</v>
          </cell>
          <cell r="C133" t="str">
            <v>A22</v>
          </cell>
        </row>
        <row r="134">
          <cell r="A134" t="str">
            <v>170100</v>
          </cell>
          <cell r="B134" t="str">
            <v>Pengembangan Software Sistem Informasi</v>
          </cell>
          <cell r="C134" t="str">
            <v>A22</v>
          </cell>
        </row>
        <row r="135">
          <cell r="A135" t="str">
            <v>170200</v>
          </cell>
          <cell r="B135" t="str">
            <v>Kendaraan</v>
          </cell>
          <cell r="C135" t="str">
            <v>A22</v>
          </cell>
        </row>
        <row r="136">
          <cell r="A136" t="str">
            <v>170300</v>
          </cell>
          <cell r="B136" t="str">
            <v>Produksi / Pabrik</v>
          </cell>
          <cell r="C136" t="str">
            <v>A22</v>
          </cell>
        </row>
        <row r="137">
          <cell r="A137" t="str">
            <v>170400</v>
          </cell>
          <cell r="B137" t="str">
            <v>Bangunan</v>
          </cell>
          <cell r="C137" t="str">
            <v>A22</v>
          </cell>
        </row>
        <row r="138">
          <cell r="A138" t="str">
            <v>180000</v>
          </cell>
          <cell r="B138" t="str">
            <v>Aktiva Lain-2</v>
          </cell>
          <cell r="C138" t="str">
            <v>A23</v>
          </cell>
        </row>
        <row r="139">
          <cell r="A139" t="str">
            <v>180100</v>
          </cell>
          <cell r="B139" t="str">
            <v>Piutang Dalam Perkara</v>
          </cell>
          <cell r="C139" t="str">
            <v>A23</v>
          </cell>
        </row>
        <row r="140">
          <cell r="A140" t="str">
            <v>180200</v>
          </cell>
          <cell r="B140" t="str">
            <v>Penyisihan Piutang Perkara</v>
          </cell>
          <cell r="C140" t="str">
            <v>A23</v>
          </cell>
        </row>
        <row r="141">
          <cell r="A141" t="str">
            <v>180300</v>
          </cell>
          <cell r="B141" t="str">
            <v>Aset Sitaan</v>
          </cell>
          <cell r="C141" t="str">
            <v>A23</v>
          </cell>
        </row>
        <row r="142">
          <cell r="A142" t="str">
            <v>180400</v>
          </cell>
          <cell r="B142" t="str">
            <v>Aset Pabrik Petroganik Ex PT SAOS</v>
          </cell>
          <cell r="C142" t="str">
            <v>A23</v>
          </cell>
        </row>
        <row r="143">
          <cell r="A143" t="str">
            <v>180500</v>
          </cell>
          <cell r="B143" t="str">
            <v>Konsorsium MBU</v>
          </cell>
          <cell r="C143" t="str">
            <v>A23</v>
          </cell>
        </row>
        <row r="144">
          <cell r="A144" t="str">
            <v>180600</v>
          </cell>
          <cell r="B144" t="str">
            <v>Jaminan Botol</v>
          </cell>
          <cell r="C144" t="str">
            <v>A23</v>
          </cell>
        </row>
        <row r="145">
          <cell r="A145" t="str">
            <v>180700</v>
          </cell>
          <cell r="B145" t="str">
            <v>Aktiva Dalam Proses Jual</v>
          </cell>
          <cell r="C145" t="str">
            <v>A23</v>
          </cell>
        </row>
        <row r="146">
          <cell r="A146" t="str">
            <v>210100</v>
          </cell>
          <cell r="B146" t="str">
            <v>Hutang Dagang</v>
          </cell>
          <cell r="C146" t="str">
            <v>P01</v>
          </cell>
        </row>
        <row r="147">
          <cell r="A147" t="str">
            <v>210200</v>
          </cell>
          <cell r="B147" t="str">
            <v>Hutang Bank</v>
          </cell>
          <cell r="C147" t="str">
            <v>P01A</v>
          </cell>
        </row>
        <row r="148">
          <cell r="A148" t="str">
            <v>210300</v>
          </cell>
          <cell r="B148" t="str">
            <v>Hutang Affiliasi</v>
          </cell>
          <cell r="C148" t="str">
            <v>P02</v>
          </cell>
        </row>
        <row r="149">
          <cell r="A149" t="str">
            <v>210400</v>
          </cell>
          <cell r="B149" t="str">
            <v>Hutang Pajak</v>
          </cell>
          <cell r="C149" t="str">
            <v>P03</v>
          </cell>
        </row>
        <row r="150">
          <cell r="A150" t="str">
            <v>210500</v>
          </cell>
          <cell r="B150" t="str">
            <v>Hutang Lain-Lain</v>
          </cell>
          <cell r="C150" t="str">
            <v>P04</v>
          </cell>
        </row>
        <row r="151">
          <cell r="A151" t="str">
            <v>210600</v>
          </cell>
          <cell r="B151" t="str">
            <v>Biaya Yang Masih Harus Dibayar</v>
          </cell>
          <cell r="C151" t="str">
            <v>P05</v>
          </cell>
        </row>
        <row r="152">
          <cell r="A152" t="str">
            <v>---210602</v>
          </cell>
          <cell r="B152" t="str">
            <v>Biaya Yang Masih Harus Dibayar</v>
          </cell>
          <cell r="C152" t="str">
            <v>P05</v>
          </cell>
        </row>
        <row r="153">
          <cell r="A153" t="str">
            <v>---210603</v>
          </cell>
          <cell r="B153" t="str">
            <v>Biaya Yang Masih Harus Dibayar</v>
          </cell>
          <cell r="C153" t="str">
            <v>P05</v>
          </cell>
        </row>
        <row r="154">
          <cell r="A154" t="str">
            <v>210700</v>
          </cell>
          <cell r="B154" t="str">
            <v>UM Penjualan - Pupuk Subsidi</v>
          </cell>
          <cell r="C154" t="str">
            <v>P06</v>
          </cell>
        </row>
        <row r="155">
          <cell r="A155" t="str">
            <v>210701</v>
          </cell>
          <cell r="B155" t="str">
            <v>UM Penjualan - Pupuk Subsidi</v>
          </cell>
          <cell r="C155" t="str">
            <v>P06</v>
          </cell>
        </row>
        <row r="156">
          <cell r="A156" t="str">
            <v>210702</v>
          </cell>
          <cell r="B156" t="str">
            <v>UM Penjualan - Pupuk Non Subsidi</v>
          </cell>
          <cell r="C156" t="str">
            <v>P06</v>
          </cell>
        </row>
        <row r="157">
          <cell r="A157" t="str">
            <v>210703</v>
          </cell>
          <cell r="B157" t="str">
            <v>UM Penjualan - Pupuk Non Subsidi Ritail</v>
          </cell>
          <cell r="C157" t="str">
            <v>P06</v>
          </cell>
        </row>
        <row r="158">
          <cell r="A158" t="str">
            <v>210704</v>
          </cell>
          <cell r="B158" t="str">
            <v>UM Penjualan - Pupuk Indrustri</v>
          </cell>
          <cell r="C158" t="str">
            <v>P06</v>
          </cell>
        </row>
        <row r="159">
          <cell r="A159" t="str">
            <v>210705</v>
          </cell>
          <cell r="B159" t="str">
            <v>UM Penjualan - Pestisida</v>
          </cell>
          <cell r="C159" t="str">
            <v>P06</v>
          </cell>
        </row>
        <row r="160">
          <cell r="A160" t="str">
            <v>210706</v>
          </cell>
          <cell r="B160" t="str">
            <v>UM Penjualan - Bahan Kimia</v>
          </cell>
          <cell r="C160" t="str">
            <v>P06</v>
          </cell>
        </row>
        <row r="161">
          <cell r="A161" t="str">
            <v>210707</v>
          </cell>
          <cell r="B161" t="str">
            <v>UM Penjualan - Kesuplieran Bahan Teknik</v>
          </cell>
          <cell r="C161" t="str">
            <v>P06</v>
          </cell>
        </row>
        <row r="162">
          <cell r="A162" t="str">
            <v>210708</v>
          </cell>
          <cell r="B162" t="str">
            <v>UM Penjualan - Kesuplieran Bahan Kimia</v>
          </cell>
          <cell r="C162" t="str">
            <v>P06</v>
          </cell>
        </row>
        <row r="163">
          <cell r="A163" t="str">
            <v>210709</v>
          </cell>
          <cell r="B163" t="str">
            <v>UM Penjualan - Bibit Benih</v>
          </cell>
          <cell r="C163" t="str">
            <v>P06</v>
          </cell>
        </row>
        <row r="164">
          <cell r="A164" t="str">
            <v>210710</v>
          </cell>
          <cell r="B164" t="str">
            <v>UM Penjualan - Benih</v>
          </cell>
          <cell r="C164" t="str">
            <v>P06</v>
          </cell>
        </row>
        <row r="165">
          <cell r="A165" t="str">
            <v>210711</v>
          </cell>
          <cell r="B165" t="str">
            <v>UM Penjualan - Jasa Angkutan Pupuk</v>
          </cell>
          <cell r="C165" t="str">
            <v>P06</v>
          </cell>
        </row>
        <row r="166">
          <cell r="A166" t="str">
            <v>210712</v>
          </cell>
          <cell r="B166" t="str">
            <v>UM Penjualan - Jasa Angkutan Non Pupuk</v>
          </cell>
          <cell r="C166" t="str">
            <v>P06</v>
          </cell>
        </row>
        <row r="167">
          <cell r="A167" t="str">
            <v>210713</v>
          </cell>
          <cell r="B167" t="str">
            <v>UM Penjualan - Jasa Pengelolaan Gudang</v>
          </cell>
          <cell r="C167" t="str">
            <v>P06</v>
          </cell>
        </row>
        <row r="168">
          <cell r="A168" t="str">
            <v>210714</v>
          </cell>
          <cell r="B168" t="str">
            <v>UM Penjualan - Hasil Produksi Petroganik</v>
          </cell>
          <cell r="C168" t="str">
            <v>P06</v>
          </cell>
        </row>
        <row r="169">
          <cell r="A169" t="str">
            <v>210800</v>
          </cell>
          <cell r="B169" t="str">
            <v>Hutang Jangka Panjang</v>
          </cell>
          <cell r="C169" t="str">
            <v>P07</v>
          </cell>
        </row>
        <row r="170">
          <cell r="A170" t="str">
            <v>210801</v>
          </cell>
          <cell r="B170" t="str">
            <v>Hutang Jangka Panjang jatuh Tempo</v>
          </cell>
          <cell r="C170" t="str">
            <v>P07</v>
          </cell>
        </row>
        <row r="171">
          <cell r="A171" t="str">
            <v>220100</v>
          </cell>
          <cell r="B171" t="str">
            <v>Hutang Bank Jangka Panjang</v>
          </cell>
          <cell r="C171" t="str">
            <v>P08</v>
          </cell>
        </row>
        <row r="172">
          <cell r="A172" t="str">
            <v>220200</v>
          </cell>
          <cell r="B172" t="str">
            <v>Hutang Investasi</v>
          </cell>
          <cell r="C172" t="str">
            <v>P09</v>
          </cell>
        </row>
        <row r="173">
          <cell r="A173" t="str">
            <v>220300</v>
          </cell>
          <cell r="B173" t="str">
            <v>Kewajiban Imbalan Pasca Kerja</v>
          </cell>
          <cell r="C173" t="str">
            <v>P10</v>
          </cell>
        </row>
        <row r="174">
          <cell r="A174" t="str">
            <v>220400</v>
          </cell>
          <cell r="B174" t="str">
            <v>Hutang Jangka Panjang Lainnya</v>
          </cell>
          <cell r="C174" t="str">
            <v>P11</v>
          </cell>
        </row>
        <row r="175">
          <cell r="A175" t="str">
            <v>230101</v>
          </cell>
          <cell r="B175" t="str">
            <v>Kewajiban Pajak Tangguhan</v>
          </cell>
          <cell r="C175" t="str">
            <v>P12</v>
          </cell>
        </row>
        <row r="176">
          <cell r="A176" t="str">
            <v>240101</v>
          </cell>
          <cell r="B176" t="str">
            <v>Saham Statutair</v>
          </cell>
          <cell r="C176" t="str">
            <v>P14</v>
          </cell>
        </row>
        <row r="177">
          <cell r="A177" t="str">
            <v>240102</v>
          </cell>
          <cell r="B177" t="str">
            <v>Saham Belum Ditempatkan</v>
          </cell>
          <cell r="C177" t="str">
            <v>P15</v>
          </cell>
        </row>
        <row r="178">
          <cell r="A178" t="str">
            <v>240103</v>
          </cell>
          <cell r="B178" t="str">
            <v>Saham Yang Telah Disetor</v>
          </cell>
          <cell r="C178" t="str">
            <v>P16</v>
          </cell>
        </row>
        <row r="179">
          <cell r="A179" t="str">
            <v>240200</v>
          </cell>
          <cell r="B179" t="str">
            <v>Laba yang dicadangkan</v>
          </cell>
          <cell r="C179" t="str">
            <v>P19</v>
          </cell>
        </row>
        <row r="180">
          <cell r="A180" t="str">
            <v>240201</v>
          </cell>
          <cell r="B180" t="str">
            <v>Laba yang dicadangkan</v>
          </cell>
          <cell r="C180" t="str">
            <v>P19A</v>
          </cell>
        </row>
        <row r="181">
          <cell r="A181" t="str">
            <v>240301</v>
          </cell>
          <cell r="B181" t="str">
            <v>Laba/(Rugi) Tahun Berjalan</v>
          </cell>
          <cell r="C181" t="str">
            <v>P18</v>
          </cell>
        </row>
        <row r="182">
          <cell r="A182" t="str">
            <v>240302</v>
          </cell>
          <cell r="B182" t="str">
            <v>Laba/(Rugi)Belum Dicadangkan</v>
          </cell>
          <cell r="C182" t="str">
            <v>P19</v>
          </cell>
        </row>
        <row r="183">
          <cell r="A183" t="str">
            <v>240400</v>
          </cell>
          <cell r="B183" t="str">
            <v>Ayat Silang Antar Cabang</v>
          </cell>
          <cell r="C183" t="str">
            <v>P14</v>
          </cell>
        </row>
        <row r="184">
          <cell r="A184" t="str">
            <v>240401</v>
          </cell>
          <cell r="B184" t="str">
            <v>Ayat Silang Antar Cabang Gresik</v>
          </cell>
          <cell r="C184" t="str">
            <v>A02</v>
          </cell>
        </row>
        <row r="185">
          <cell r="A185" t="str">
            <v>240402</v>
          </cell>
          <cell r="B185" t="str">
            <v>Ayat Silang Antar Cabang Medan</v>
          </cell>
          <cell r="C185" t="str">
            <v>A02</v>
          </cell>
        </row>
        <row r="186">
          <cell r="A186" t="str">
            <v>240403</v>
          </cell>
          <cell r="B186" t="str">
            <v>Ayat Silang Antar Cabang Makassar</v>
          </cell>
          <cell r="C186" t="str">
            <v>A02</v>
          </cell>
        </row>
        <row r="187">
          <cell r="A187" t="str">
            <v>240404</v>
          </cell>
          <cell r="B187" t="str">
            <v>Ayat Silang Antar Cabang Lampung</v>
          </cell>
          <cell r="C187" t="str">
            <v>A02</v>
          </cell>
        </row>
        <row r="188">
          <cell r="A188" t="str">
            <v>240500</v>
          </cell>
          <cell r="B188" t="str">
            <v>KOSONG</v>
          </cell>
          <cell r="C188" t="str">
            <v>P14</v>
          </cell>
        </row>
        <row r="189">
          <cell r="A189" t="str">
            <v>250100</v>
          </cell>
          <cell r="B189" t="str">
            <v>Penjualan Pupuk</v>
          </cell>
          <cell r="C189" t="str">
            <v>LR01</v>
          </cell>
        </row>
        <row r="190">
          <cell r="A190" t="str">
            <v>250101</v>
          </cell>
          <cell r="B190" t="str">
            <v>Pupuk Subsidi</v>
          </cell>
          <cell r="C190" t="str">
            <v>LR01</v>
          </cell>
        </row>
        <row r="191">
          <cell r="A191" t="str">
            <v>250102</v>
          </cell>
          <cell r="B191" t="str">
            <v>Pupuk Non Subsidi</v>
          </cell>
          <cell r="C191" t="str">
            <v>LR01</v>
          </cell>
        </row>
        <row r="192">
          <cell r="A192" t="str">
            <v>250103</v>
          </cell>
          <cell r="B192" t="str">
            <v>Pupuk Non Subsidi Ritail</v>
          </cell>
          <cell r="C192" t="str">
            <v>LR01</v>
          </cell>
        </row>
        <row r="193">
          <cell r="A193" t="str">
            <v>250104</v>
          </cell>
          <cell r="B193" t="str">
            <v>Pupuk Indrustri</v>
          </cell>
          <cell r="C193" t="str">
            <v>LR01</v>
          </cell>
        </row>
        <row r="194">
          <cell r="A194" t="str">
            <v>250105</v>
          </cell>
          <cell r="B194" t="str">
            <v>Pestisida</v>
          </cell>
          <cell r="C194" t="str">
            <v>LR01</v>
          </cell>
        </row>
        <row r="195">
          <cell r="A195" t="str">
            <v>250106</v>
          </cell>
          <cell r="B195" t="str">
            <v>Bahan Kimia</v>
          </cell>
          <cell r="C195" t="str">
            <v>LR01</v>
          </cell>
        </row>
        <row r="196">
          <cell r="A196" t="str">
            <v>250107</v>
          </cell>
          <cell r="B196" t="str">
            <v>Kesuplieran Bahan Teknik</v>
          </cell>
          <cell r="C196" t="str">
            <v>LR01</v>
          </cell>
        </row>
        <row r="197">
          <cell r="A197" t="str">
            <v>250108</v>
          </cell>
          <cell r="B197" t="str">
            <v>Kesuplieran Bahan Kimia</v>
          </cell>
          <cell r="C197" t="str">
            <v>LR01</v>
          </cell>
        </row>
        <row r="198">
          <cell r="A198" t="str">
            <v>250109</v>
          </cell>
          <cell r="B198" t="str">
            <v>Bibit Benih</v>
          </cell>
          <cell r="C198" t="str">
            <v>LR01</v>
          </cell>
        </row>
        <row r="199">
          <cell r="A199" t="str">
            <v>250110</v>
          </cell>
          <cell r="B199" t="str">
            <v>Benih</v>
          </cell>
          <cell r="C199" t="str">
            <v>LR01</v>
          </cell>
        </row>
        <row r="200">
          <cell r="A200" t="str">
            <v>250111</v>
          </cell>
          <cell r="B200" t="str">
            <v>Jasa Angkutan Pupuk</v>
          </cell>
          <cell r="C200" t="str">
            <v>LR01</v>
          </cell>
        </row>
        <row r="201">
          <cell r="A201" t="str">
            <v>250112</v>
          </cell>
          <cell r="B201" t="str">
            <v>Jasa Angkutan Non Pupuk</v>
          </cell>
          <cell r="C201" t="str">
            <v>LR01</v>
          </cell>
        </row>
        <row r="202">
          <cell r="A202" t="str">
            <v>250113</v>
          </cell>
          <cell r="B202" t="str">
            <v>Jasa Pengelolaan Gudang</v>
          </cell>
          <cell r="C202" t="str">
            <v>LR01</v>
          </cell>
        </row>
        <row r="203">
          <cell r="A203" t="str">
            <v>250114</v>
          </cell>
          <cell r="B203" t="str">
            <v>Hasil Produksi Petroganik</v>
          </cell>
          <cell r="C203" t="str">
            <v>LR01</v>
          </cell>
        </row>
        <row r="204">
          <cell r="A204" t="str">
            <v>250200</v>
          </cell>
          <cell r="B204" t="str">
            <v>Diskon Penjualan Pupuk</v>
          </cell>
          <cell r="C204" t="str">
            <v>LR03</v>
          </cell>
        </row>
        <row r="205">
          <cell r="A205" t="str">
            <v>250201</v>
          </cell>
          <cell r="B205" t="str">
            <v>Pupuk Subsidi</v>
          </cell>
          <cell r="C205" t="str">
            <v>LR03</v>
          </cell>
        </row>
        <row r="206">
          <cell r="A206" t="str">
            <v>250202</v>
          </cell>
          <cell r="B206" t="str">
            <v>Pupuk Non Subsidi</v>
          </cell>
          <cell r="C206" t="str">
            <v>LR03</v>
          </cell>
        </row>
        <row r="207">
          <cell r="A207" t="str">
            <v>250203</v>
          </cell>
          <cell r="B207" t="str">
            <v>Pupuk Non Subsidi Ritail</v>
          </cell>
          <cell r="C207" t="str">
            <v>LR03</v>
          </cell>
        </row>
        <row r="208">
          <cell r="A208" t="str">
            <v>250204</v>
          </cell>
          <cell r="B208" t="str">
            <v>Pupuk Indrustri</v>
          </cell>
          <cell r="C208" t="str">
            <v>LR03</v>
          </cell>
        </row>
        <row r="209">
          <cell r="A209" t="str">
            <v>250205</v>
          </cell>
          <cell r="B209" t="str">
            <v>Pestisida</v>
          </cell>
          <cell r="C209" t="str">
            <v>LR03</v>
          </cell>
        </row>
        <row r="210">
          <cell r="A210" t="str">
            <v>250206</v>
          </cell>
          <cell r="B210" t="str">
            <v>Bahan Kimia</v>
          </cell>
          <cell r="C210" t="str">
            <v>LR03</v>
          </cell>
        </row>
        <row r="211">
          <cell r="A211" t="str">
            <v>250207</v>
          </cell>
          <cell r="B211" t="str">
            <v>Kesuplieran Bahan Teknik</v>
          </cell>
          <cell r="C211" t="str">
            <v>LR03</v>
          </cell>
        </row>
        <row r="212">
          <cell r="A212" t="str">
            <v>250208</v>
          </cell>
          <cell r="B212" t="str">
            <v>Kesuplieran Bahan Kimia</v>
          </cell>
          <cell r="C212" t="str">
            <v>LR03</v>
          </cell>
        </row>
        <row r="213">
          <cell r="A213" t="str">
            <v>250209</v>
          </cell>
          <cell r="B213" t="str">
            <v>Bibit Benih</v>
          </cell>
          <cell r="C213" t="str">
            <v>LR03</v>
          </cell>
        </row>
        <row r="214">
          <cell r="A214" t="str">
            <v>250210</v>
          </cell>
          <cell r="B214" t="str">
            <v>Benih</v>
          </cell>
          <cell r="C214" t="str">
            <v>LR03</v>
          </cell>
        </row>
        <row r="215">
          <cell r="A215" t="str">
            <v>250211</v>
          </cell>
          <cell r="B215" t="str">
            <v>Jasa Angkutan Pupuk</v>
          </cell>
          <cell r="C215" t="str">
            <v>LR03</v>
          </cell>
        </row>
        <row r="216">
          <cell r="A216" t="str">
            <v>250212</v>
          </cell>
          <cell r="B216" t="str">
            <v>Jasa Angkutan Non Pupuk</v>
          </cell>
          <cell r="C216" t="str">
            <v>LR03</v>
          </cell>
        </row>
        <row r="217">
          <cell r="A217" t="str">
            <v>250213</v>
          </cell>
          <cell r="B217" t="str">
            <v>Jasa Pengelolaan Gudang</v>
          </cell>
          <cell r="C217" t="str">
            <v>LR03</v>
          </cell>
        </row>
        <row r="218">
          <cell r="A218" t="str">
            <v>250214</v>
          </cell>
          <cell r="B218" t="str">
            <v>Hasil Produksi Petroganik</v>
          </cell>
          <cell r="C218" t="str">
            <v>LR03</v>
          </cell>
        </row>
        <row r="219">
          <cell r="A219" t="str">
            <v>250301</v>
          </cell>
          <cell r="B219" t="str">
            <v>Pupuk Subsidi</v>
          </cell>
          <cell r="C219" t="str">
            <v>LR04</v>
          </cell>
        </row>
        <row r="220">
          <cell r="A220" t="str">
            <v>250302</v>
          </cell>
          <cell r="B220" t="str">
            <v>Pupuk Non Subsidi</v>
          </cell>
          <cell r="C220" t="str">
            <v>LR04</v>
          </cell>
        </row>
        <row r="221">
          <cell r="A221" t="str">
            <v>250303</v>
          </cell>
          <cell r="B221" t="str">
            <v>Pupuk Non Subsidi Ritail</v>
          </cell>
          <cell r="C221" t="str">
            <v>LR04</v>
          </cell>
        </row>
        <row r="222">
          <cell r="A222" t="str">
            <v>250304</v>
          </cell>
          <cell r="B222" t="str">
            <v>Pupuk Indrustri</v>
          </cell>
          <cell r="C222" t="str">
            <v>LR04</v>
          </cell>
        </row>
        <row r="223">
          <cell r="A223" t="str">
            <v>250305</v>
          </cell>
          <cell r="B223" t="str">
            <v>Pestisida</v>
          </cell>
          <cell r="C223" t="str">
            <v>LR04</v>
          </cell>
        </row>
        <row r="224">
          <cell r="A224" t="str">
            <v>250306</v>
          </cell>
          <cell r="B224" t="str">
            <v>Bahan Kimia</v>
          </cell>
          <cell r="C224" t="str">
            <v>LR04</v>
          </cell>
        </row>
        <row r="225">
          <cell r="A225" t="str">
            <v>250307</v>
          </cell>
          <cell r="B225" t="str">
            <v>Kesuplieran Bahan Teknik</v>
          </cell>
          <cell r="C225" t="str">
            <v>LR04</v>
          </cell>
        </row>
        <row r="226">
          <cell r="A226" t="str">
            <v>250308</v>
          </cell>
          <cell r="B226" t="str">
            <v>Kesuplieran Bahan Kimia</v>
          </cell>
          <cell r="C226" t="str">
            <v>LR04</v>
          </cell>
        </row>
        <row r="227">
          <cell r="A227" t="str">
            <v>250309</v>
          </cell>
          <cell r="B227" t="str">
            <v>Bibit Benih</v>
          </cell>
          <cell r="C227" t="str">
            <v>LR04</v>
          </cell>
        </row>
        <row r="228">
          <cell r="A228" t="str">
            <v>250310</v>
          </cell>
          <cell r="B228" t="str">
            <v>Benih</v>
          </cell>
          <cell r="C228" t="str">
            <v>LR04</v>
          </cell>
        </row>
        <row r="229">
          <cell r="A229" t="str">
            <v>250311</v>
          </cell>
          <cell r="B229" t="str">
            <v>Jasa Angkutan Pupuk</v>
          </cell>
          <cell r="C229" t="str">
            <v>LR04</v>
          </cell>
        </row>
        <row r="230">
          <cell r="A230" t="str">
            <v>250312</v>
          </cell>
          <cell r="B230" t="str">
            <v>Jasa Angkutan Non Pupuk</v>
          </cell>
          <cell r="C230" t="str">
            <v>LR04</v>
          </cell>
        </row>
        <row r="231">
          <cell r="A231" t="str">
            <v>250313</v>
          </cell>
          <cell r="B231" t="str">
            <v>Jasa Pengelolaan Gudang</v>
          </cell>
          <cell r="C231" t="str">
            <v>LR04</v>
          </cell>
        </row>
        <row r="232">
          <cell r="A232" t="str">
            <v>250314</v>
          </cell>
          <cell r="B232" t="str">
            <v>Hasil Produksi Petroganik</v>
          </cell>
          <cell r="C232" t="str">
            <v>LR04</v>
          </cell>
        </row>
        <row r="233">
          <cell r="A233" t="str">
            <v>250400</v>
          </cell>
          <cell r="B233" t="str">
            <v>Harga Pokok Penjualan</v>
          </cell>
          <cell r="C233" t="str">
            <v>LR02</v>
          </cell>
        </row>
        <row r="234">
          <cell r="A234" t="str">
            <v>250401</v>
          </cell>
          <cell r="B234" t="str">
            <v>Harga Bahan Pokok Barang</v>
          </cell>
          <cell r="C234" t="str">
            <v>LR02</v>
          </cell>
        </row>
        <row r="235">
          <cell r="A235" t="str">
            <v>250402</v>
          </cell>
          <cell r="B235" t="str">
            <v>Kesusutan Barang</v>
          </cell>
          <cell r="C235" t="str">
            <v>LR02</v>
          </cell>
        </row>
        <row r="236">
          <cell r="A236" t="str">
            <v>250403</v>
          </cell>
          <cell r="B236" t="str">
            <v>Harga Bahan Baku Produksi</v>
          </cell>
          <cell r="C236" t="str">
            <v>LR02</v>
          </cell>
        </row>
        <row r="237">
          <cell r="A237" t="str">
            <v>250404</v>
          </cell>
          <cell r="B237" t="str">
            <v>Harga Bahan Pokok Produksi (Adj)</v>
          </cell>
          <cell r="C237" t="str">
            <v>LR02</v>
          </cell>
        </row>
        <row r="238">
          <cell r="A238" t="str">
            <v>250405</v>
          </cell>
          <cell r="B238" t="str">
            <v>Harga Bahan Penolong Produksi</v>
          </cell>
          <cell r="C238" t="str">
            <v>LR02</v>
          </cell>
        </row>
        <row r="239">
          <cell r="A239" t="str">
            <v>250406</v>
          </cell>
          <cell r="B239" t="str">
            <v>Biaya Diperhitungkan ke HPP</v>
          </cell>
          <cell r="C239" t="str">
            <v>LR02</v>
          </cell>
        </row>
        <row r="240">
          <cell r="A240" t="str">
            <v>260100</v>
          </cell>
          <cell r="B240" t="str">
            <v>Biaya Umum Dan Administrasi</v>
          </cell>
          <cell r="C240" t="str">
            <v>LR05</v>
          </cell>
        </row>
        <row r="241">
          <cell r="A241" t="str">
            <v>260101</v>
          </cell>
          <cell r="B241" t="str">
            <v>Biaya Gaji, Upah Dan Honorarium</v>
          </cell>
          <cell r="C241" t="str">
            <v>LR05</v>
          </cell>
        </row>
        <row r="242">
          <cell r="A242" t="str">
            <v>260102</v>
          </cell>
          <cell r="B242" t="str">
            <v>Biaya Gaji Karyawan Dbp</v>
          </cell>
          <cell r="C242" t="str">
            <v>LR05</v>
          </cell>
        </row>
        <row r="243">
          <cell r="A243" t="str">
            <v>260103</v>
          </cell>
          <cell r="B243" t="str">
            <v>Biaya Natura Dan Uang Makan</v>
          </cell>
          <cell r="C243" t="str">
            <v>LR05</v>
          </cell>
        </row>
        <row r="244">
          <cell r="A244" t="str">
            <v>260104</v>
          </cell>
          <cell r="B244" t="str">
            <v>Biaya Perawatan Dan Pengobatan</v>
          </cell>
          <cell r="C244" t="str">
            <v>LR05</v>
          </cell>
        </row>
        <row r="245">
          <cell r="A245" t="str">
            <v>260105</v>
          </cell>
          <cell r="B245" t="str">
            <v xml:space="preserve">Biaya Kesejahteraan Karyawan </v>
          </cell>
          <cell r="C245" t="str">
            <v>LR05</v>
          </cell>
        </row>
        <row r="246">
          <cell r="A246" t="str">
            <v>260106</v>
          </cell>
          <cell r="B246" t="str">
            <v>Biaya Asuransi Karyawan</v>
          </cell>
          <cell r="C246" t="str">
            <v>LR05</v>
          </cell>
        </row>
        <row r="247">
          <cell r="A247" t="str">
            <v>260107</v>
          </cell>
          <cell r="B247" t="str">
            <v>Biaya Bbc</v>
          </cell>
          <cell r="C247" t="str">
            <v>LR05</v>
          </cell>
        </row>
        <row r="248">
          <cell r="A248" t="str">
            <v>260108</v>
          </cell>
          <cell r="B248" t="str">
            <v>Biaya Keagamaan</v>
          </cell>
          <cell r="C248" t="str">
            <v>LR05</v>
          </cell>
        </row>
        <row r="249">
          <cell r="A249" t="str">
            <v>260109</v>
          </cell>
          <cell r="B249" t="str">
            <v>Biaya Insentif</v>
          </cell>
          <cell r="C249" t="str">
            <v>LR05</v>
          </cell>
        </row>
        <row r="250">
          <cell r="A250" t="str">
            <v>260110</v>
          </cell>
          <cell r="B250" t="str">
            <v>Biaya Jasa Operasional</v>
          </cell>
          <cell r="C250" t="str">
            <v>LR05</v>
          </cell>
        </row>
        <row r="251">
          <cell r="A251" t="str">
            <v>260111</v>
          </cell>
          <cell r="B251" t="str">
            <v>Biaya Diklat &amp; Seminar</v>
          </cell>
          <cell r="C251" t="str">
            <v>LR05</v>
          </cell>
        </row>
        <row r="252">
          <cell r="A252" t="str">
            <v>260112</v>
          </cell>
          <cell r="B252" t="str">
            <v>Biaya Perjalanan Dinas</v>
          </cell>
          <cell r="C252" t="str">
            <v>LR05</v>
          </cell>
        </row>
        <row r="253">
          <cell r="A253" t="str">
            <v>260113</v>
          </cell>
          <cell r="B253" t="str">
            <v>Biaya Alat Tulis, Cetak &amp; Foto Copy</v>
          </cell>
          <cell r="C253" t="str">
            <v>LR05</v>
          </cell>
        </row>
        <row r="254">
          <cell r="A254" t="str">
            <v>260114</v>
          </cell>
          <cell r="B254" t="str">
            <v>Biaya Pos, Telepon &amp; Telegram</v>
          </cell>
          <cell r="C254" t="str">
            <v>LR05</v>
          </cell>
        </row>
        <row r="255">
          <cell r="A255" t="str">
            <v>260115</v>
          </cell>
          <cell r="B255" t="str">
            <v>Biaya Materai</v>
          </cell>
          <cell r="C255" t="str">
            <v>LR05</v>
          </cell>
        </row>
        <row r="256">
          <cell r="A256" t="str">
            <v>260116</v>
          </cell>
          <cell r="B256" t="str">
            <v>Biaya Surat Kabar</v>
          </cell>
          <cell r="C256" t="str">
            <v>LR05</v>
          </cell>
        </row>
        <row r="257">
          <cell r="A257" t="str">
            <v>260117</v>
          </cell>
          <cell r="B257" t="str">
            <v>Biaya Rapat Dan Tamu</v>
          </cell>
          <cell r="C257" t="str">
            <v>LR05</v>
          </cell>
        </row>
        <row r="258">
          <cell r="A258" t="str">
            <v>260118</v>
          </cell>
          <cell r="B258" t="str">
            <v>Biaya Audit Dan Konsultan Manajemen</v>
          </cell>
          <cell r="C258" t="str">
            <v>LR05</v>
          </cell>
        </row>
        <row r="259">
          <cell r="A259" t="str">
            <v>260119</v>
          </cell>
          <cell r="B259" t="str">
            <v>Biaya Asuransi</v>
          </cell>
          <cell r="C259" t="str">
            <v>LR05</v>
          </cell>
        </row>
        <row r="260">
          <cell r="A260" t="str">
            <v>260120</v>
          </cell>
          <cell r="B260" t="str">
            <v>Biaya Administrasi Bank</v>
          </cell>
          <cell r="C260" t="str">
            <v>LR05</v>
          </cell>
        </row>
        <row r="261">
          <cell r="A261" t="str">
            <v>260121</v>
          </cell>
          <cell r="B261" t="str">
            <v>Biaya Sewa Kantor, Listrik Dan Air</v>
          </cell>
          <cell r="C261" t="str">
            <v>LR05</v>
          </cell>
        </row>
        <row r="262">
          <cell r="A262" t="str">
            <v>260122</v>
          </cell>
          <cell r="B262" t="str">
            <v>Biaya Transportasi, Bahan Bakar &amp; Oli</v>
          </cell>
          <cell r="C262" t="str">
            <v>LR05</v>
          </cell>
        </row>
        <row r="263">
          <cell r="A263" t="str">
            <v>260123</v>
          </cell>
          <cell r="B263" t="str">
            <v>Biaya Sewa Kendaraan</v>
          </cell>
          <cell r="C263" t="str">
            <v>LR05</v>
          </cell>
        </row>
        <row r="264">
          <cell r="A264" t="str">
            <v>260124</v>
          </cell>
          <cell r="B264" t="str">
            <v>Biaya Pemeliharaan Gedung dan Bangunan</v>
          </cell>
          <cell r="C264" t="str">
            <v>LR05</v>
          </cell>
        </row>
        <row r="265">
          <cell r="A265" t="str">
            <v>260125</v>
          </cell>
          <cell r="B265" t="str">
            <v>Biaya Pemeliharaan Kendaraan</v>
          </cell>
          <cell r="C265" t="str">
            <v>LR05</v>
          </cell>
        </row>
        <row r="266">
          <cell r="A266" t="str">
            <v>260126</v>
          </cell>
          <cell r="B266" t="str">
            <v>Biaya Bantuan Sosial</v>
          </cell>
          <cell r="C266" t="str">
            <v>LR05</v>
          </cell>
        </row>
        <row r="267">
          <cell r="A267" t="str">
            <v>260127</v>
          </cell>
          <cell r="B267" t="str">
            <v>Biaya Penyusutan</v>
          </cell>
          <cell r="C267" t="str">
            <v>LR05</v>
          </cell>
        </row>
        <row r="268">
          <cell r="A268" t="str">
            <v>260128</v>
          </cell>
          <cell r="B268" t="str">
            <v>Biaya Umum Dan Lain-Lain</v>
          </cell>
          <cell r="C268" t="str">
            <v>LR05</v>
          </cell>
        </row>
        <row r="269">
          <cell r="A269" t="str">
            <v>260200</v>
          </cell>
          <cell r="B269" t="str">
            <v>Biaya Gaji, Upah Dan Honorarium</v>
          </cell>
          <cell r="C269" t="str">
            <v>LR06</v>
          </cell>
        </row>
        <row r="270">
          <cell r="A270" t="str">
            <v>260201</v>
          </cell>
          <cell r="B270" t="str">
            <v>Biaya Gaji, Upah Dan Honorarium</v>
          </cell>
          <cell r="C270" t="str">
            <v>LR06</v>
          </cell>
        </row>
        <row r="271">
          <cell r="A271" t="str">
            <v>260202</v>
          </cell>
          <cell r="B271" t="str">
            <v>Biaya Gaji Karyawan Dbp</v>
          </cell>
          <cell r="C271" t="str">
            <v>LR06</v>
          </cell>
        </row>
        <row r="272">
          <cell r="A272" t="str">
            <v>260203</v>
          </cell>
          <cell r="B272" t="str">
            <v>Biaya Natura Dan Uang Makan</v>
          </cell>
          <cell r="C272" t="str">
            <v>LR06</v>
          </cell>
        </row>
        <row r="273">
          <cell r="A273" t="str">
            <v>260204</v>
          </cell>
          <cell r="B273" t="str">
            <v>Biaya Perawatan Dan Pengobatan</v>
          </cell>
          <cell r="C273" t="str">
            <v>LR06</v>
          </cell>
        </row>
        <row r="274">
          <cell r="A274" t="str">
            <v>260205</v>
          </cell>
          <cell r="B274" t="str">
            <v xml:space="preserve">Biaya Kesejahteraan Karyawan </v>
          </cell>
          <cell r="C274" t="str">
            <v>LR06</v>
          </cell>
        </row>
        <row r="275">
          <cell r="A275" t="str">
            <v>260206</v>
          </cell>
          <cell r="B275" t="str">
            <v>Biaya Asuransi Karyawan</v>
          </cell>
          <cell r="C275" t="str">
            <v>LR06</v>
          </cell>
        </row>
        <row r="276">
          <cell r="A276" t="str">
            <v>260207</v>
          </cell>
          <cell r="B276" t="str">
            <v>Biaya Bbc</v>
          </cell>
          <cell r="C276" t="str">
            <v>LR06</v>
          </cell>
        </row>
        <row r="277">
          <cell r="A277" t="str">
            <v>260208</v>
          </cell>
          <cell r="B277" t="str">
            <v>Biaya Keagamaan</v>
          </cell>
          <cell r="C277" t="str">
            <v>LR06</v>
          </cell>
        </row>
        <row r="278">
          <cell r="A278" t="str">
            <v>260209</v>
          </cell>
          <cell r="B278" t="str">
            <v>Biaya Insentif</v>
          </cell>
          <cell r="C278" t="str">
            <v>LR06</v>
          </cell>
        </row>
        <row r="279">
          <cell r="A279" t="str">
            <v>260210</v>
          </cell>
          <cell r="B279" t="str">
            <v>Biaya Jasa Operasional</v>
          </cell>
          <cell r="C279" t="str">
            <v>LR06</v>
          </cell>
        </row>
        <row r="280">
          <cell r="A280" t="str">
            <v>260211</v>
          </cell>
          <cell r="B280" t="str">
            <v>Biaya Diklat &amp; Seminar</v>
          </cell>
          <cell r="C280" t="str">
            <v>LR06</v>
          </cell>
        </row>
        <row r="281">
          <cell r="A281" t="str">
            <v>260212</v>
          </cell>
          <cell r="B281" t="str">
            <v>Biaya Perjalanan Dinas</v>
          </cell>
          <cell r="C281" t="str">
            <v>LR06</v>
          </cell>
        </row>
        <row r="282">
          <cell r="A282" t="str">
            <v>260213</v>
          </cell>
          <cell r="B282" t="str">
            <v>Biaya Alat Tulis, Cetak &amp; Foto Copy</v>
          </cell>
          <cell r="C282" t="str">
            <v>LR06</v>
          </cell>
        </row>
        <row r="283">
          <cell r="A283" t="str">
            <v>260214</v>
          </cell>
          <cell r="B283" t="str">
            <v>Biaya Pos, Telepon &amp; Telegram</v>
          </cell>
          <cell r="C283" t="str">
            <v>LR06</v>
          </cell>
        </row>
        <row r="284">
          <cell r="A284" t="str">
            <v>260215</v>
          </cell>
          <cell r="B284" t="str">
            <v>Biaya Materai</v>
          </cell>
          <cell r="C284" t="str">
            <v>LR06</v>
          </cell>
        </row>
        <row r="285">
          <cell r="A285" t="str">
            <v>260216</v>
          </cell>
          <cell r="B285" t="str">
            <v>Biaya Surat Kabar</v>
          </cell>
          <cell r="C285" t="str">
            <v>LR06</v>
          </cell>
        </row>
        <row r="286">
          <cell r="A286" t="str">
            <v>260217</v>
          </cell>
          <cell r="B286" t="str">
            <v>Biaya Rapat Dan Tamu</v>
          </cell>
          <cell r="C286" t="str">
            <v>LR06</v>
          </cell>
        </row>
        <row r="287">
          <cell r="A287" t="str">
            <v>260218</v>
          </cell>
          <cell r="B287" t="str">
            <v>Biaya Audit Dan Konsultan Manajemen</v>
          </cell>
          <cell r="C287" t="str">
            <v>LR06</v>
          </cell>
        </row>
        <row r="288">
          <cell r="A288" t="str">
            <v>260219</v>
          </cell>
          <cell r="B288" t="str">
            <v>Biaya Asuransi</v>
          </cell>
          <cell r="C288" t="str">
            <v>LR06</v>
          </cell>
        </row>
        <row r="289">
          <cell r="A289" t="str">
            <v>260220</v>
          </cell>
          <cell r="B289" t="str">
            <v>Biaya Administrasi Bank</v>
          </cell>
          <cell r="C289" t="str">
            <v>LR06</v>
          </cell>
        </row>
        <row r="290">
          <cell r="A290" t="str">
            <v>260221</v>
          </cell>
          <cell r="B290" t="str">
            <v>Biaya Sewa Kantor, Listrik Dan Air</v>
          </cell>
          <cell r="C290" t="str">
            <v>LR06</v>
          </cell>
        </row>
        <row r="291">
          <cell r="A291" t="str">
            <v>260222</v>
          </cell>
          <cell r="B291" t="str">
            <v>Biaya Transportasi, Bahan Bakar &amp; Oli</v>
          </cell>
          <cell r="C291" t="str">
            <v>LR06</v>
          </cell>
        </row>
        <row r="292">
          <cell r="A292" t="str">
            <v>260223</v>
          </cell>
          <cell r="B292" t="str">
            <v>Biaya Sewa Kendaraan</v>
          </cell>
          <cell r="C292" t="str">
            <v>LR06</v>
          </cell>
        </row>
        <row r="293">
          <cell r="A293" t="str">
            <v>260224</v>
          </cell>
          <cell r="B293" t="str">
            <v>Biaya Pemeliharaan Kantor</v>
          </cell>
          <cell r="C293" t="str">
            <v>LR06</v>
          </cell>
        </row>
        <row r="294">
          <cell r="A294" t="str">
            <v>260225</v>
          </cell>
          <cell r="B294" t="str">
            <v>Biaya Pemeliharaan Rumah Dinas</v>
          </cell>
          <cell r="C294" t="str">
            <v>LR06</v>
          </cell>
        </row>
        <row r="295">
          <cell r="A295" t="str">
            <v>260226</v>
          </cell>
          <cell r="B295" t="str">
            <v>Biaya Pemeliharaan Pabrik</v>
          </cell>
          <cell r="C295" t="str">
            <v>LR06</v>
          </cell>
        </row>
        <row r="296">
          <cell r="A296" t="str">
            <v>260227</v>
          </cell>
          <cell r="B296" t="str">
            <v>Biaya Pemeliharaan Gudang</v>
          </cell>
          <cell r="C296" t="str">
            <v>LR06</v>
          </cell>
        </row>
        <row r="297">
          <cell r="A297" t="str">
            <v>260228</v>
          </cell>
          <cell r="B297" t="str">
            <v>Biaya Pemeliharaan Kendaraan</v>
          </cell>
          <cell r="C297" t="str">
            <v>LR06</v>
          </cell>
        </row>
        <row r="298">
          <cell r="A298" t="str">
            <v>260229</v>
          </cell>
          <cell r="B298" t="str">
            <v xml:space="preserve">Biaya Penyusustan </v>
          </cell>
          <cell r="C298" t="str">
            <v>LR06</v>
          </cell>
        </row>
        <row r="299">
          <cell r="A299" t="str">
            <v>260230</v>
          </cell>
          <cell r="B299" t="str">
            <v>Biaya Pemasaran Kabupaten (Ppk)</v>
          </cell>
          <cell r="C299" t="str">
            <v>LR06</v>
          </cell>
        </row>
        <row r="300">
          <cell r="A300" t="str">
            <v>260231</v>
          </cell>
          <cell r="B300" t="str">
            <v>Biaya Promosi / Advertensi</v>
          </cell>
          <cell r="C300" t="str">
            <v>LR06</v>
          </cell>
        </row>
        <row r="301">
          <cell r="A301" t="str">
            <v>260232</v>
          </cell>
          <cell r="B301" t="str">
            <v>Biaya Umum Dan Lain-Lain</v>
          </cell>
          <cell r="C301" t="str">
            <v>LR06</v>
          </cell>
        </row>
        <row r="302">
          <cell r="A302" t="str">
            <v>260300</v>
          </cell>
          <cell r="B302" t="str">
            <v>Biaya Bunga</v>
          </cell>
          <cell r="C302" t="str">
            <v>LR07</v>
          </cell>
        </row>
        <row r="303">
          <cell r="A303" t="str">
            <v>260301</v>
          </cell>
          <cell r="B303" t="str">
            <v>Biaya Bunga</v>
          </cell>
          <cell r="C303" t="str">
            <v>LR07</v>
          </cell>
        </row>
        <row r="304">
          <cell r="A304" t="str">
            <v>270100</v>
          </cell>
          <cell r="B304" t="str">
            <v>Pendapatan Penjualan Aktiva Tetap</v>
          </cell>
          <cell r="C304" t="str">
            <v>LR09</v>
          </cell>
        </row>
        <row r="305">
          <cell r="A305" t="str">
            <v>270101</v>
          </cell>
          <cell r="B305" t="str">
            <v>Pendapatan Penjualan Aktiva Tetap</v>
          </cell>
          <cell r="C305" t="str">
            <v>LR09</v>
          </cell>
        </row>
        <row r="306">
          <cell r="A306" t="str">
            <v>270102</v>
          </cell>
          <cell r="B306" t="str">
            <v>Pendapatan Lain - lain</v>
          </cell>
          <cell r="C306" t="str">
            <v>LR09</v>
          </cell>
        </row>
        <row r="307">
          <cell r="A307" t="str">
            <v>270200</v>
          </cell>
          <cell r="B307" t="str">
            <v>Biaya Diluar Usaha</v>
          </cell>
          <cell r="C307" t="str">
            <v>LR09</v>
          </cell>
        </row>
        <row r="308">
          <cell r="A308" t="str">
            <v>270201</v>
          </cell>
          <cell r="B308" t="str">
            <v>Biaya Lain - lain Diluar Usaha</v>
          </cell>
          <cell r="C308" t="str">
            <v>LR09</v>
          </cell>
        </row>
        <row r="309">
          <cell r="A309" t="str">
            <v>280100</v>
          </cell>
          <cell r="B309" t="str">
            <v>Beban Pajak Penghasilan</v>
          </cell>
          <cell r="C309" t="str">
            <v>LR10</v>
          </cell>
        </row>
        <row r="310">
          <cell r="A310" t="str">
            <v>290100</v>
          </cell>
          <cell r="B310" t="str">
            <v>Laba (Rugi) dipindahkan</v>
          </cell>
          <cell r="C310" t="str">
            <v>LR11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174E-D209-4E83-AD01-415DE4200CFB}">
  <sheetPr>
    <tabColor rgb="FF00B0F0"/>
    <pageSetUpPr fitToPage="1"/>
  </sheetPr>
  <dimension ref="B2:V44"/>
  <sheetViews>
    <sheetView tabSelected="1" zoomScale="80" zoomScaleNormal="80" workbookViewId="0">
      <pane ySplit="7" topLeftCell="A8" activePane="bottomLeft" state="frozen"/>
      <selection pane="bottomLeft" activeCell="M29" sqref="M29"/>
    </sheetView>
  </sheetViews>
  <sheetFormatPr defaultColWidth="9.140625" defaultRowHeight="15" outlineLevelCol="1" x14ac:dyDescent="0.25"/>
  <cols>
    <col min="1" max="2" width="5.28515625" style="3" customWidth="1"/>
    <col min="3" max="3" width="38.42578125" style="3" bestFit="1" customWidth="1"/>
    <col min="4" max="4" width="20.140625" style="6" customWidth="1" outlineLevel="1"/>
    <col min="5" max="8" width="20.140625" style="6" customWidth="1"/>
    <col min="9" max="9" width="5.28515625" style="3" customWidth="1"/>
    <col min="10" max="10" width="40.7109375" style="3" bestFit="1" customWidth="1"/>
    <col min="11" max="11" width="20.140625" style="6" customWidth="1" outlineLevel="1"/>
    <col min="12" max="14" width="20.140625" style="6" customWidth="1"/>
    <col min="15" max="15" width="19.5703125" style="6" bestFit="1" customWidth="1"/>
    <col min="16" max="16" width="19.140625" style="2" bestFit="1" customWidth="1"/>
    <col min="17" max="17" width="16.28515625" style="3" bestFit="1" customWidth="1"/>
    <col min="18" max="18" width="13.42578125" style="3" bestFit="1" customWidth="1"/>
    <col min="19" max="20" width="9.140625" style="3"/>
    <col min="21" max="22" width="9.140625" style="2"/>
    <col min="23" max="23" width="9.140625" style="3"/>
    <col min="24" max="24" width="15.140625" style="3" bestFit="1" customWidth="1"/>
    <col min="25" max="16384" width="9.140625" style="3"/>
  </cols>
  <sheetData>
    <row r="2" spans="2:22" ht="15.7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22" ht="15.75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22" ht="15.75" x14ac:dyDescent="0.25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22" x14ac:dyDescent="0.25">
      <c r="D5" s="5"/>
      <c r="E5" s="5"/>
      <c r="F5" s="5"/>
      <c r="G5" s="5"/>
    </row>
    <row r="6" spans="2:22" ht="15" customHeight="1" x14ac:dyDescent="0.25">
      <c r="B6" s="7" t="s">
        <v>3</v>
      </c>
      <c r="C6" s="7" t="s">
        <v>4</v>
      </c>
      <c r="D6" s="8" t="s">
        <v>5</v>
      </c>
      <c r="E6" s="8" t="s">
        <v>5</v>
      </c>
      <c r="F6" s="8" t="s">
        <v>5</v>
      </c>
      <c r="G6" s="8" t="s">
        <v>5</v>
      </c>
      <c r="H6" s="8" t="s">
        <v>5</v>
      </c>
      <c r="I6" s="9" t="s">
        <v>3</v>
      </c>
      <c r="J6" s="7" t="s">
        <v>4</v>
      </c>
      <c r="K6" s="10" t="str">
        <f t="shared" ref="K6:O7" si="0">D6</f>
        <v>PER</v>
      </c>
      <c r="L6" s="10" t="str">
        <f t="shared" si="0"/>
        <v>PER</v>
      </c>
      <c r="M6" s="10" t="str">
        <f t="shared" si="0"/>
        <v>PER</v>
      </c>
      <c r="N6" s="10" t="str">
        <f t="shared" si="0"/>
        <v>PER</v>
      </c>
      <c r="O6" s="10" t="str">
        <f t="shared" si="0"/>
        <v>PER</v>
      </c>
    </row>
    <row r="7" spans="2:22" ht="15" customHeight="1" x14ac:dyDescent="0.25">
      <c r="B7" s="7"/>
      <c r="C7" s="7"/>
      <c r="D7" s="11" t="s">
        <v>6</v>
      </c>
      <c r="E7" s="11" t="s">
        <v>7</v>
      </c>
      <c r="F7" s="11" t="s">
        <v>8</v>
      </c>
      <c r="G7" s="11" t="s">
        <v>9</v>
      </c>
      <c r="H7" s="12" t="s">
        <v>10</v>
      </c>
      <c r="I7" s="13"/>
      <c r="J7" s="7"/>
      <c r="K7" s="14" t="str">
        <f t="shared" si="0"/>
        <v>31 Desember 2022</v>
      </c>
      <c r="L7" s="14" t="str">
        <f t="shared" si="0"/>
        <v>31 Desember 2023</v>
      </c>
      <c r="M7" s="14" t="str">
        <f t="shared" si="0"/>
        <v>31 Desember 2024</v>
      </c>
      <c r="N7" s="14" t="str">
        <f t="shared" si="0"/>
        <v>31 Desember 2025</v>
      </c>
      <c r="O7" s="14" t="str">
        <f t="shared" si="0"/>
        <v>31 Desember 2026</v>
      </c>
    </row>
    <row r="8" spans="2:22" ht="15" customHeight="1" x14ac:dyDescent="0.25">
      <c r="B8" s="15" t="s">
        <v>11</v>
      </c>
      <c r="C8" s="16" t="s">
        <v>12</v>
      </c>
      <c r="D8" s="17"/>
      <c r="E8" s="17"/>
      <c r="F8" s="17"/>
      <c r="G8" s="17"/>
      <c r="H8" s="17"/>
      <c r="I8" s="15" t="s">
        <v>13</v>
      </c>
      <c r="J8" s="16" t="s">
        <v>14</v>
      </c>
      <c r="K8" s="17"/>
      <c r="L8" s="17"/>
      <c r="M8" s="17"/>
      <c r="N8" s="17"/>
      <c r="O8" s="17"/>
    </row>
    <row r="9" spans="2:22" ht="15" customHeight="1" x14ac:dyDescent="0.25">
      <c r="B9" s="18"/>
      <c r="C9" s="19" t="s">
        <v>15</v>
      </c>
      <c r="D9" s="20">
        <v>22964480.670000076</v>
      </c>
      <c r="E9" s="20">
        <v>5751013.6700000763</v>
      </c>
      <c r="F9" s="20">
        <v>1788563.6700000763</v>
      </c>
      <c r="G9" s="20">
        <v>8851508.6700000763</v>
      </c>
      <c r="H9" s="20">
        <v>0</v>
      </c>
      <c r="I9" s="18"/>
      <c r="J9" s="19" t="s">
        <v>16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3"/>
      <c r="U9" s="3"/>
      <c r="V9" s="3"/>
    </row>
    <row r="10" spans="2:22" ht="15" customHeight="1" x14ac:dyDescent="0.25">
      <c r="B10" s="18"/>
      <c r="C10" s="19" t="s">
        <v>17</v>
      </c>
      <c r="D10" s="20">
        <v>38487371.7000008</v>
      </c>
      <c r="E10" s="20">
        <v>53412528.38999939</v>
      </c>
      <c r="F10" s="20">
        <v>42405265.960000038</v>
      </c>
      <c r="G10" s="20">
        <v>302956673.61999941</v>
      </c>
      <c r="H10" s="20">
        <v>0</v>
      </c>
      <c r="I10" s="18"/>
      <c r="J10" s="19" t="s">
        <v>18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3"/>
      <c r="U10" s="3"/>
      <c r="V10" s="3"/>
    </row>
    <row r="11" spans="2:22" ht="15" customHeight="1" x14ac:dyDescent="0.25">
      <c r="B11" s="18"/>
      <c r="C11" s="19" t="s">
        <v>19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18"/>
      <c r="J11" s="19" t="s">
        <v>20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3"/>
      <c r="U11" s="3"/>
      <c r="V11" s="3"/>
    </row>
    <row r="12" spans="2:22" ht="15" customHeight="1" x14ac:dyDescent="0.25">
      <c r="B12" s="18"/>
      <c r="C12" s="19" t="s">
        <v>21</v>
      </c>
      <c r="D12" s="20">
        <v>1570759595.7777438</v>
      </c>
      <c r="E12" s="20">
        <v>1754783596.6166806</v>
      </c>
      <c r="F12" s="20">
        <v>1977894241.3630219</v>
      </c>
      <c r="G12" s="20">
        <v>1926419694.7945766</v>
      </c>
      <c r="H12" s="20">
        <v>0</v>
      </c>
      <c r="I12" s="18"/>
      <c r="J12" s="3" t="s">
        <v>22</v>
      </c>
      <c r="K12" s="21">
        <v>6033860000</v>
      </c>
      <c r="L12" s="21">
        <v>6164854500</v>
      </c>
      <c r="M12" s="21">
        <v>2850000000</v>
      </c>
      <c r="N12" s="21">
        <v>300000000</v>
      </c>
      <c r="O12" s="21">
        <v>0</v>
      </c>
      <c r="P12" s="3"/>
      <c r="U12" s="3"/>
      <c r="V12" s="3"/>
    </row>
    <row r="13" spans="2:22" ht="15" customHeight="1" x14ac:dyDescent="0.25">
      <c r="B13" s="18"/>
      <c r="C13" s="19" t="s">
        <v>23</v>
      </c>
      <c r="D13" s="20">
        <v>6561449467</v>
      </c>
      <c r="E13" s="20">
        <v>6721087630.5555553</v>
      </c>
      <c r="F13" s="20">
        <v>3335823867</v>
      </c>
      <c r="G13" s="20">
        <v>643143867</v>
      </c>
      <c r="H13" s="20">
        <v>0</v>
      </c>
      <c r="I13" s="18"/>
      <c r="K13" s="21"/>
      <c r="L13" s="21"/>
      <c r="M13" s="21"/>
      <c r="N13" s="21"/>
      <c r="O13" s="21">
        <v>0</v>
      </c>
      <c r="P13" s="3"/>
      <c r="U13" s="3"/>
      <c r="V13" s="3"/>
    </row>
    <row r="14" spans="2:22" ht="15" customHeight="1" x14ac:dyDescent="0.25">
      <c r="B14" s="18"/>
      <c r="C14" s="19" t="s">
        <v>24</v>
      </c>
      <c r="D14" s="20">
        <v>-75000000</v>
      </c>
      <c r="E14" s="20">
        <v>-155000000</v>
      </c>
      <c r="F14" s="20">
        <v>-164000000</v>
      </c>
      <c r="G14" s="20">
        <v>-182000000</v>
      </c>
      <c r="H14" s="20">
        <v>0</v>
      </c>
      <c r="I14" s="18"/>
      <c r="J14" s="19" t="s">
        <v>25</v>
      </c>
      <c r="K14" s="21">
        <v>0</v>
      </c>
      <c r="L14" s="21">
        <v>5244487.570415251</v>
      </c>
      <c r="M14" s="21">
        <v>29607286.427372813</v>
      </c>
      <c r="N14" s="21">
        <v>47686535.383781642</v>
      </c>
      <c r="O14" s="21">
        <v>0</v>
      </c>
      <c r="P14" s="3"/>
      <c r="U14" s="3"/>
      <c r="V14" s="3"/>
    </row>
    <row r="15" spans="2:22" ht="15" customHeight="1" x14ac:dyDescent="0.25">
      <c r="B15" s="18"/>
      <c r="C15" s="19" t="s">
        <v>26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18"/>
      <c r="J15" s="19" t="s">
        <v>27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3"/>
      <c r="U15" s="3"/>
      <c r="V15" s="3"/>
    </row>
    <row r="16" spans="2:22" ht="15" customHeight="1" x14ac:dyDescent="0.25">
      <c r="B16" s="18"/>
      <c r="C16" s="19" t="s">
        <v>28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18"/>
      <c r="J16" s="19" t="s">
        <v>29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3"/>
      <c r="U16" s="3"/>
      <c r="V16" s="3"/>
    </row>
    <row r="17" spans="2:22" ht="15" customHeight="1" x14ac:dyDescent="0.25">
      <c r="B17" s="18"/>
      <c r="C17" s="19" t="s">
        <v>30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18"/>
      <c r="J17" s="19" t="s">
        <v>31</v>
      </c>
      <c r="K17" s="21">
        <v>0</v>
      </c>
      <c r="L17" s="21">
        <v>0</v>
      </c>
      <c r="M17" s="21">
        <v>0</v>
      </c>
      <c r="N17" s="21">
        <v>21680000</v>
      </c>
      <c r="O17" s="21">
        <v>0</v>
      </c>
      <c r="P17" s="3"/>
      <c r="U17" s="3"/>
      <c r="V17" s="3"/>
    </row>
    <row r="18" spans="2:22" ht="15" customHeight="1" x14ac:dyDescent="0.25">
      <c r="B18" s="18"/>
      <c r="C18" s="19" t="s">
        <v>32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18"/>
      <c r="J18" s="19" t="s">
        <v>33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3"/>
      <c r="U18" s="3"/>
      <c r="V18" s="3"/>
    </row>
    <row r="19" spans="2:22" ht="15" customHeight="1" x14ac:dyDescent="0.25">
      <c r="B19" s="18"/>
      <c r="C19" s="22" t="s">
        <v>34</v>
      </c>
      <c r="D19" s="23">
        <f>SUM(D9:D18)</f>
        <v>8118660915.1477451</v>
      </c>
      <c r="E19" s="23">
        <f>SUM(E9:E18)</f>
        <v>8380034769.232235</v>
      </c>
      <c r="F19" s="23">
        <f>SUM(F9:F18)</f>
        <v>5193911937.993022</v>
      </c>
      <c r="G19" s="23">
        <f>SUM(G9:G18)</f>
        <v>2699371744.0845761</v>
      </c>
      <c r="H19" s="23">
        <f>SUM(H9:H18)</f>
        <v>0</v>
      </c>
      <c r="I19" s="18"/>
      <c r="J19" s="19" t="s">
        <v>35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3"/>
      <c r="U19" s="3"/>
      <c r="V19" s="3"/>
    </row>
    <row r="20" spans="2:22" ht="15" customHeight="1" x14ac:dyDescent="0.25">
      <c r="B20" s="18" t="s">
        <v>36</v>
      </c>
      <c r="C20" s="24" t="s">
        <v>37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18"/>
      <c r="J20" s="19"/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3"/>
      <c r="U20" s="3"/>
      <c r="V20" s="3"/>
    </row>
    <row r="21" spans="2:22" ht="15" customHeight="1" x14ac:dyDescent="0.25">
      <c r="B21" s="18" t="s">
        <v>38</v>
      </c>
      <c r="C21" s="24" t="s">
        <v>39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18"/>
      <c r="J21" s="19"/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3"/>
      <c r="U21" s="3"/>
      <c r="V21" s="3"/>
    </row>
    <row r="22" spans="2:22" ht="15" customHeight="1" x14ac:dyDescent="0.25">
      <c r="B22" s="18" t="s">
        <v>40</v>
      </c>
      <c r="C22" s="24" t="s">
        <v>41</v>
      </c>
      <c r="D22" s="20"/>
      <c r="E22" s="20"/>
      <c r="F22" s="20"/>
      <c r="G22" s="20"/>
      <c r="H22" s="20"/>
      <c r="I22" s="18"/>
      <c r="J22" s="22" t="s">
        <v>42</v>
      </c>
      <c r="K22" s="23">
        <f>SUM(K9:K21)</f>
        <v>6033860000</v>
      </c>
      <c r="L22" s="23">
        <f>SUM(L9:L21)</f>
        <v>6170098987.5704155</v>
      </c>
      <c r="M22" s="23">
        <f>SUM(M9:M21)</f>
        <v>2879607286.4273729</v>
      </c>
      <c r="N22" s="23">
        <f>SUM(N9:N21)</f>
        <v>369366535.38378167</v>
      </c>
      <c r="O22" s="23">
        <f>SUM(O9:O21)</f>
        <v>0</v>
      </c>
      <c r="P22" s="3"/>
      <c r="U22" s="3"/>
      <c r="V22" s="3"/>
    </row>
    <row r="23" spans="2:22" ht="15" customHeight="1" x14ac:dyDescent="0.25">
      <c r="B23" s="18"/>
      <c r="C23" s="19" t="s">
        <v>43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18" t="s">
        <v>44</v>
      </c>
      <c r="J23" s="24" t="s">
        <v>45</v>
      </c>
      <c r="K23" s="20"/>
      <c r="L23" s="20"/>
      <c r="M23" s="20"/>
      <c r="N23" s="20"/>
      <c r="O23" s="20"/>
      <c r="P23" s="3"/>
      <c r="U23" s="3"/>
      <c r="V23" s="3"/>
    </row>
    <row r="24" spans="2:22" ht="15" customHeight="1" x14ac:dyDescent="0.25">
      <c r="B24" s="18"/>
      <c r="C24" s="19" t="s">
        <v>46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18"/>
      <c r="J24" s="19" t="s">
        <v>47</v>
      </c>
      <c r="K24" s="20">
        <v>10900000</v>
      </c>
      <c r="L24" s="20">
        <v>10100000</v>
      </c>
      <c r="M24" s="20">
        <v>9500000</v>
      </c>
      <c r="N24" s="20">
        <v>7900000</v>
      </c>
      <c r="O24" s="20">
        <v>0</v>
      </c>
      <c r="P24" s="3"/>
      <c r="U24" s="3"/>
      <c r="V24" s="3"/>
    </row>
    <row r="25" spans="2:22" ht="15" customHeight="1" x14ac:dyDescent="0.25">
      <c r="B25" s="18"/>
      <c r="C25" s="19" t="s">
        <v>48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18"/>
      <c r="J25" s="19" t="s">
        <v>49</v>
      </c>
      <c r="K25" s="20">
        <v>306200000</v>
      </c>
      <c r="L25" s="20">
        <v>335950000</v>
      </c>
      <c r="M25" s="20">
        <v>364570000</v>
      </c>
      <c r="N25" s="20">
        <v>339030000</v>
      </c>
      <c r="O25" s="20">
        <v>0</v>
      </c>
      <c r="P25" s="3"/>
      <c r="U25" s="3"/>
      <c r="V25" s="3"/>
    </row>
    <row r="26" spans="2:22" ht="15" customHeight="1" x14ac:dyDescent="0.25">
      <c r="B26" s="18"/>
      <c r="C26" s="19" t="s">
        <v>50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18"/>
      <c r="J26" s="19" t="s">
        <v>51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3"/>
      <c r="U26" s="3"/>
      <c r="V26" s="3"/>
    </row>
    <row r="27" spans="2:22" ht="15" customHeight="1" x14ac:dyDescent="0.25">
      <c r="B27" s="18"/>
      <c r="C27" s="26" t="s">
        <v>52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18"/>
      <c r="J27" s="19" t="s">
        <v>53</v>
      </c>
      <c r="K27" s="20">
        <v>1623304769</v>
      </c>
      <c r="L27" s="20">
        <v>1681063227.4590981</v>
      </c>
      <c r="M27" s="20">
        <v>1753027683.2295132</v>
      </c>
      <c r="N27" s="20">
        <v>1827910535.5656493</v>
      </c>
      <c r="O27" s="20">
        <v>0</v>
      </c>
      <c r="P27" s="3"/>
      <c r="U27" s="3"/>
      <c r="V27" s="3"/>
    </row>
    <row r="28" spans="2:22" ht="15" customHeight="1" x14ac:dyDescent="0.25">
      <c r="B28" s="18"/>
      <c r="C28" s="28" t="s">
        <v>54</v>
      </c>
      <c r="D28" s="20">
        <f>SUM(D23:D27)</f>
        <v>0</v>
      </c>
      <c r="E28" s="20">
        <f>SUM(E23:E27)</f>
        <v>0</v>
      </c>
      <c r="F28" s="20">
        <f>SUM(F23:F27)</f>
        <v>0</v>
      </c>
      <c r="G28" s="20">
        <f>SUM(G23:G27)</f>
        <v>0</v>
      </c>
      <c r="H28" s="20">
        <f>SUM(H23:H27)</f>
        <v>0</v>
      </c>
      <c r="I28" s="18"/>
      <c r="J28" s="19" t="s">
        <v>55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9"/>
      <c r="U28" s="3"/>
      <c r="V28" s="3"/>
    </row>
    <row r="29" spans="2:22" ht="15" customHeight="1" x14ac:dyDescent="0.25">
      <c r="B29" s="18"/>
      <c r="C29" s="19" t="s">
        <v>56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18"/>
      <c r="J29" s="19"/>
      <c r="K29" s="20"/>
      <c r="L29" s="20"/>
      <c r="M29" s="20"/>
      <c r="N29" s="20"/>
      <c r="O29" s="20">
        <v>0</v>
      </c>
      <c r="P29" s="3"/>
      <c r="U29" s="3"/>
      <c r="V29" s="3"/>
    </row>
    <row r="30" spans="2:22" ht="15" customHeight="1" x14ac:dyDescent="0.25">
      <c r="B30" s="18"/>
      <c r="C30" s="22" t="s">
        <v>34</v>
      </c>
      <c r="D30" s="23">
        <f>D28+D29</f>
        <v>0</v>
      </c>
      <c r="E30" s="23">
        <f>E28+E29</f>
        <v>0</v>
      </c>
      <c r="F30" s="23">
        <f>F28+F29</f>
        <v>0</v>
      </c>
      <c r="G30" s="23">
        <f>G28+G29</f>
        <v>0</v>
      </c>
      <c r="H30" s="23">
        <f>H28+H29</f>
        <v>0</v>
      </c>
      <c r="I30" s="18"/>
      <c r="J30" s="19" t="s">
        <v>57</v>
      </c>
      <c r="K30" s="20">
        <v>144396146.14774501</v>
      </c>
      <c r="L30" s="20">
        <v>182822554.2027216</v>
      </c>
      <c r="M30" s="20">
        <v>187206968.33613586</v>
      </c>
      <c r="N30" s="20">
        <v>155164673.13514519</v>
      </c>
      <c r="O30" s="20">
        <v>0</v>
      </c>
      <c r="P30" s="3"/>
      <c r="U30" s="3"/>
      <c r="V30" s="3"/>
    </row>
    <row r="31" spans="2:22" ht="15" customHeight="1" x14ac:dyDescent="0.25">
      <c r="B31" s="18" t="s">
        <v>58</v>
      </c>
      <c r="C31" s="24" t="s">
        <v>59</v>
      </c>
      <c r="D31" s="20"/>
      <c r="E31" s="20"/>
      <c r="F31" s="20"/>
      <c r="G31" s="20"/>
      <c r="H31" s="20"/>
      <c r="I31" s="18"/>
      <c r="J31" s="22" t="s">
        <v>60</v>
      </c>
      <c r="K31" s="23">
        <f>SUM(K24:K30)</f>
        <v>2084800915.1477451</v>
      </c>
      <c r="L31" s="23">
        <f>SUM(L24:L30)</f>
        <v>2209935781.6618195</v>
      </c>
      <c r="M31" s="23">
        <f>SUM(M24:M30)</f>
        <v>2314304651.565649</v>
      </c>
      <c r="N31" s="23">
        <f>SUM(N24:N30)</f>
        <v>2330005208.7007942</v>
      </c>
      <c r="O31" s="23">
        <f>SUM(O24:O30)</f>
        <v>0</v>
      </c>
      <c r="P31" s="3"/>
      <c r="U31" s="3"/>
      <c r="V31" s="3"/>
    </row>
    <row r="32" spans="2:22" ht="15" customHeight="1" x14ac:dyDescent="0.25">
      <c r="B32" s="18"/>
      <c r="C32" s="19" t="s">
        <v>61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18"/>
      <c r="K32" s="30"/>
      <c r="L32" s="30"/>
      <c r="M32" s="30"/>
      <c r="N32" s="30"/>
      <c r="O32" s="30"/>
      <c r="P32" s="3"/>
      <c r="U32" s="3"/>
      <c r="V32" s="3"/>
    </row>
    <row r="33" spans="2:22" ht="15" customHeight="1" x14ac:dyDescent="0.25">
      <c r="B33" s="18"/>
      <c r="C33" s="19" t="s">
        <v>62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18"/>
      <c r="K33" s="31"/>
      <c r="L33" s="31"/>
      <c r="M33" s="31"/>
      <c r="N33" s="31"/>
      <c r="O33" s="31"/>
      <c r="P33" s="3"/>
      <c r="U33" s="3"/>
      <c r="V33" s="3"/>
    </row>
    <row r="34" spans="2:22" ht="15" customHeight="1" x14ac:dyDescent="0.25">
      <c r="B34" s="18"/>
      <c r="C34" s="22" t="s">
        <v>63</v>
      </c>
      <c r="D34" s="23">
        <f>SUM(D32:D33)</f>
        <v>0</v>
      </c>
      <c r="E34" s="23">
        <f>SUM(E32:E33)</f>
        <v>0</v>
      </c>
      <c r="F34" s="23">
        <f>SUM(F32:F33)</f>
        <v>0</v>
      </c>
      <c r="G34" s="23">
        <f>SUM(G32:G33)</f>
        <v>0</v>
      </c>
      <c r="H34" s="23">
        <f>SUM(H32:H33)</f>
        <v>0</v>
      </c>
      <c r="I34" s="18"/>
      <c r="K34" s="31"/>
      <c r="L34" s="31"/>
      <c r="M34" s="31"/>
      <c r="N34" s="31"/>
      <c r="O34" s="31"/>
      <c r="P34" s="3"/>
      <c r="U34" s="3"/>
      <c r="V34" s="3"/>
    </row>
    <row r="35" spans="2:22" ht="15" customHeight="1" x14ac:dyDescent="0.25">
      <c r="B35" s="18" t="s">
        <v>64</v>
      </c>
      <c r="C35" s="24" t="s">
        <v>65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18"/>
      <c r="J35" s="19"/>
      <c r="K35" s="20"/>
      <c r="L35" s="20"/>
      <c r="M35" s="20"/>
      <c r="N35" s="20"/>
      <c r="O35" s="20"/>
      <c r="P35" s="3"/>
      <c r="U35" s="3"/>
      <c r="V35" s="3"/>
    </row>
    <row r="36" spans="2:22" ht="15" customHeight="1" x14ac:dyDescent="0.25">
      <c r="B36" s="32"/>
      <c r="C36" s="33"/>
      <c r="D36" s="34"/>
      <c r="E36" s="34"/>
      <c r="F36" s="34"/>
      <c r="G36" s="34"/>
      <c r="H36" s="34"/>
      <c r="I36" s="18"/>
      <c r="J36" s="19"/>
      <c r="K36" s="20"/>
      <c r="L36" s="20"/>
      <c r="M36" s="20"/>
      <c r="N36" s="20"/>
      <c r="O36" s="20"/>
      <c r="P36" s="3"/>
      <c r="U36" s="3"/>
      <c r="V36" s="3"/>
    </row>
    <row r="37" spans="2:22" x14ac:dyDescent="0.25">
      <c r="B37" s="35" t="s">
        <v>66</v>
      </c>
      <c r="C37" s="36"/>
      <c r="D37" s="23">
        <f>D19+D20+D21+D30+D34+D35</f>
        <v>8118660915.1477451</v>
      </c>
      <c r="E37" s="23">
        <f>E19+E20+E21+E30+E34+E35</f>
        <v>8380034769.232235</v>
      </c>
      <c r="F37" s="23">
        <f>F19+F20+F21+F30+F34+F35</f>
        <v>5193911937.993022</v>
      </c>
      <c r="G37" s="23">
        <f>G19+G20+G21+G30+G34+G35</f>
        <v>2699371744.0845761</v>
      </c>
      <c r="H37" s="23">
        <f>H19+H20+H21+H30+H34+H35</f>
        <v>0</v>
      </c>
      <c r="I37" s="35" t="s">
        <v>67</v>
      </c>
      <c r="J37" s="36"/>
      <c r="K37" s="23">
        <f>K22+K31</f>
        <v>8118660915.1477451</v>
      </c>
      <c r="L37" s="23">
        <f>L22+L31</f>
        <v>8380034769.232235</v>
      </c>
      <c r="M37" s="23">
        <f>M22+M31</f>
        <v>5193911937.993022</v>
      </c>
      <c r="N37" s="23">
        <f>N22+N31</f>
        <v>2699371744.0845757</v>
      </c>
      <c r="O37" s="23">
        <f>O22+O31</f>
        <v>0</v>
      </c>
      <c r="P37" s="3"/>
      <c r="U37" s="3"/>
      <c r="V37" s="3"/>
    </row>
    <row r="38" spans="2:22" x14ac:dyDescent="0.25">
      <c r="D38" s="37"/>
      <c r="E38" s="37"/>
      <c r="F38" s="37"/>
      <c r="G38" s="37"/>
      <c r="H38" s="37"/>
      <c r="K38" s="37"/>
      <c r="L38" s="37"/>
      <c r="M38" s="37"/>
      <c r="N38" s="37"/>
      <c r="O38" s="37"/>
      <c r="P38" s="3"/>
      <c r="U38" s="3"/>
      <c r="V38" s="3"/>
    </row>
    <row r="39" spans="2:22" x14ac:dyDescent="0.25">
      <c r="D39" s="37"/>
      <c r="E39" s="37"/>
      <c r="F39" s="37"/>
      <c r="G39" s="37"/>
      <c r="H39" s="37"/>
      <c r="K39" s="3"/>
      <c r="L39" s="3"/>
      <c r="M39" s="3"/>
      <c r="N39" s="3"/>
      <c r="O39" s="3"/>
      <c r="P39" s="3"/>
      <c r="U39" s="3"/>
      <c r="V39" s="3"/>
    </row>
    <row r="40" spans="2:22" x14ac:dyDescent="0.25">
      <c r="D40" s="37"/>
      <c r="E40" s="37"/>
      <c r="F40" s="37"/>
      <c r="G40" s="37"/>
      <c r="H40" s="37"/>
      <c r="K40" s="3"/>
      <c r="L40" s="3"/>
      <c r="M40" s="3"/>
      <c r="N40" s="3"/>
      <c r="O40" s="3"/>
      <c r="P40" s="3"/>
      <c r="U40" s="3"/>
      <c r="V40" s="3"/>
    </row>
    <row r="41" spans="2:22" x14ac:dyDescent="0.25">
      <c r="K41" s="3"/>
      <c r="L41" s="3"/>
      <c r="M41" s="3"/>
      <c r="N41" s="3"/>
      <c r="O41" s="3"/>
      <c r="P41" s="3"/>
      <c r="U41" s="3"/>
      <c r="V41" s="3"/>
    </row>
    <row r="42" spans="2:22" x14ac:dyDescent="0.25">
      <c r="K42" s="3"/>
      <c r="L42" s="3"/>
      <c r="M42" s="3"/>
      <c r="N42" s="3"/>
      <c r="O42" s="3"/>
      <c r="P42" s="3"/>
      <c r="U42" s="3"/>
      <c r="V42" s="3"/>
    </row>
    <row r="43" spans="2:22" x14ac:dyDescent="0.25">
      <c r="K43" s="3"/>
      <c r="L43" s="3"/>
      <c r="M43" s="3"/>
      <c r="N43" s="3"/>
      <c r="O43" s="3"/>
      <c r="P43" s="3"/>
      <c r="U43" s="3"/>
      <c r="V43" s="3"/>
    </row>
    <row r="44" spans="2:22" x14ac:dyDescent="0.25">
      <c r="P44" s="3"/>
      <c r="U44" s="3"/>
      <c r="V44" s="3"/>
    </row>
  </sheetData>
  <mergeCells count="9">
    <mergeCell ref="B37:C37"/>
    <mergeCell ref="I37:J37"/>
    <mergeCell ref="B2:O2"/>
    <mergeCell ref="B3:O3"/>
    <mergeCell ref="B4:O4"/>
    <mergeCell ref="B6:B7"/>
    <mergeCell ref="C6:C7"/>
    <mergeCell ref="I6:I7"/>
    <mergeCell ref="J6:J7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6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NR</vt:lpstr>
      <vt:lpstr>NR!Print_Area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PT. Gresik Cipta Sejahtera</dc:creator>
  <cp:lastModifiedBy>PT. Gresik Cipta Sejahtera</cp:lastModifiedBy>
  <dcterms:created xsi:type="dcterms:W3CDTF">2026-09-22T00:29:46Z</dcterms:created>
  <dcterms:modified xsi:type="dcterms:W3CDTF">2026-09-22T00:56:10Z</dcterms:modified>
</cp:coreProperties>
</file>