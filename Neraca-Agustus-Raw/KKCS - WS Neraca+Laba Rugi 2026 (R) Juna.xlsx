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1. KERJA\K K C S\Laporan Bulanan\2026\"/>
    </mc:Choice>
  </mc:AlternateContent>
  <xr:revisionPtr revIDLastSave="0" documentId="8_{6F95E094-E327-4847-8522-0C6AED80AFA4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NR" sheetId="8" r:id="rId1"/>
    <sheet name="LR" sheetId="9" r:id="rId2"/>
    <sheet name="WS Trial balance" sheetId="1" r:id="rId3"/>
    <sheet name="MUTASI 2026" sheetId="27" r:id="rId4"/>
    <sheet name="BB" sheetId="26" r:id="rId5"/>
  </sheets>
  <externalReferences>
    <externalReference r:id="rId6"/>
  </externalReferences>
  <definedNames>
    <definedName name="_xlnm._FilterDatabase" localSheetId="4" hidden="1">BB!$A$7:$L$152</definedName>
    <definedName name="_xlnm._FilterDatabase" localSheetId="3" hidden="1">'MUTASI 2026'!$A$4:$M$1199</definedName>
    <definedName name="_xlnm._FilterDatabase" localSheetId="2" hidden="1">'WS Trial balance'!$B$6:$H$51</definedName>
    <definedName name="ACC" localSheetId="1">#REF!</definedName>
    <definedName name="ACC" localSheetId="0">#REF!</definedName>
    <definedName name="ACC" localSheetId="2">#REF!</definedName>
    <definedName name="ACC">#REF!</definedName>
    <definedName name="ACCOUNT" localSheetId="1">#REF!</definedName>
    <definedName name="ACCOUNT" localSheetId="0">#REF!</definedName>
    <definedName name="ACCOUNT" localSheetId="2">#REF!</definedName>
    <definedName name="ACCOUNT">#REF!</definedName>
    <definedName name="AKUN" localSheetId="1">#REF!</definedName>
    <definedName name="AKUN" localSheetId="0">#REF!</definedName>
    <definedName name="AKUN" localSheetId="2">#REF!</definedName>
    <definedName name="AKUN">#REF!</definedName>
    <definedName name="AKUNDUA" localSheetId="1">#REF!</definedName>
    <definedName name="AKUNDUA" localSheetId="0">#REF!</definedName>
    <definedName name="AKUNDUA" localSheetId="2">#REF!</definedName>
    <definedName name="AKUNDUA">#REF!</definedName>
    <definedName name="AKUNEMPAT" localSheetId="1">#REF!</definedName>
    <definedName name="AKUNEMPAT" localSheetId="0">#REF!</definedName>
    <definedName name="AKUNEMPAT" localSheetId="2">#REF!</definedName>
    <definedName name="AKUNEMPAT">#REF!</definedName>
    <definedName name="akunlima">[1]AKUNLIMA!$A$2:$C$310</definedName>
    <definedName name="AKUNTIGA" localSheetId="1">#REF!</definedName>
    <definedName name="AKUNTIGA" localSheetId="0">#REF!</definedName>
    <definedName name="AKUNTIGA" localSheetId="2">#REF!</definedName>
    <definedName name="AKUNTIGA">#REF!</definedName>
    <definedName name="asa" localSheetId="1">#REF!</definedName>
    <definedName name="asa">#REF!</definedName>
    <definedName name="_xlnm.Database" localSheetId="1">#REF!</definedName>
    <definedName name="_xlnm.Database" localSheetId="2">'WS Trial balance'!$C$6:$H$67</definedName>
    <definedName name="_xlnm.Database">#REF!</definedName>
    <definedName name="JAN" localSheetId="1">#REF!</definedName>
    <definedName name="JAN" localSheetId="0">#REF!</definedName>
    <definedName name="JAN" localSheetId="2">#REF!</definedName>
    <definedName name="JAN">#REF!</definedName>
    <definedName name="OMSET" localSheetId="1">#REF!</definedName>
    <definedName name="OMSET" localSheetId="0">#REF!</definedName>
    <definedName name="OMSET" localSheetId="2">#REF!</definedName>
    <definedName name="OMSET">#REF!</definedName>
    <definedName name="_xlnm.Print_Area" localSheetId="1">LR!$B$2:$K$27</definedName>
    <definedName name="_xlnm.Print_Area" localSheetId="0">NR!$B$2:$O$37</definedName>
    <definedName name="_xlnm.Print_Area" localSheetId="2">'WS Trial balance'!$C$3:$M$51</definedName>
    <definedName name="_xlnm.Print_Area">#REF!</definedName>
    <definedName name="_xlnm.Print_Titles" localSheetId="2">'WS Trial balance'!$C:$H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8" l="1"/>
  <c r="AT67" i="1"/>
  <c r="AS67" i="1"/>
  <c r="AT66" i="1"/>
  <c r="AS66" i="1"/>
  <c r="AT65" i="1"/>
  <c r="AS65" i="1"/>
  <c r="AT64" i="1"/>
  <c r="AS64" i="1"/>
  <c r="AT63" i="1"/>
  <c r="AS63" i="1"/>
  <c r="AT62" i="1"/>
  <c r="AS62" i="1"/>
  <c r="AT61" i="1"/>
  <c r="AS61" i="1"/>
  <c r="AT60" i="1"/>
  <c r="AS60" i="1"/>
  <c r="AT59" i="1"/>
  <c r="AS59" i="1"/>
  <c r="AT58" i="1"/>
  <c r="AS58" i="1"/>
  <c r="AT48" i="1"/>
  <c r="AS48" i="1"/>
  <c r="AT47" i="1"/>
  <c r="AS47" i="1"/>
  <c r="AT46" i="1"/>
  <c r="AS46" i="1"/>
  <c r="AT45" i="1"/>
  <c r="AS45" i="1"/>
  <c r="AT44" i="1"/>
  <c r="AS44" i="1"/>
  <c r="AT43" i="1"/>
  <c r="AS43" i="1"/>
  <c r="AT42" i="1"/>
  <c r="AS42" i="1"/>
  <c r="AT41" i="1"/>
  <c r="AS41" i="1"/>
  <c r="AT40" i="1"/>
  <c r="AS40" i="1"/>
  <c r="AT39" i="1"/>
  <c r="AS39" i="1"/>
  <c r="AT38" i="1"/>
  <c r="AS38" i="1"/>
  <c r="AT37" i="1"/>
  <c r="AS37" i="1"/>
  <c r="AT36" i="1"/>
  <c r="AS36" i="1"/>
  <c r="AT35" i="1"/>
  <c r="AS35" i="1"/>
  <c r="AT34" i="1"/>
  <c r="AS34" i="1"/>
  <c r="AT33" i="1"/>
  <c r="AS33" i="1"/>
  <c r="AT32" i="1"/>
  <c r="AS32" i="1"/>
  <c r="AT31" i="1"/>
  <c r="AS31" i="1"/>
  <c r="AT30" i="1"/>
  <c r="AS30" i="1"/>
  <c r="AT29" i="1"/>
  <c r="AS29" i="1"/>
  <c r="AT28" i="1"/>
  <c r="AS28" i="1"/>
  <c r="AT27" i="1"/>
  <c r="AS27" i="1"/>
  <c r="AT26" i="1"/>
  <c r="AS26" i="1"/>
  <c r="AT25" i="1"/>
  <c r="AS25" i="1"/>
  <c r="AT24" i="1"/>
  <c r="AS24" i="1"/>
  <c r="AT23" i="1"/>
  <c r="AS23" i="1"/>
  <c r="AT22" i="1"/>
  <c r="AS22" i="1"/>
  <c r="AT21" i="1"/>
  <c r="AS21" i="1"/>
  <c r="AT20" i="1"/>
  <c r="AS20" i="1"/>
  <c r="AT19" i="1"/>
  <c r="AS19" i="1"/>
  <c r="AT18" i="1"/>
  <c r="AS18" i="1"/>
  <c r="AT17" i="1"/>
  <c r="AS17" i="1"/>
  <c r="AT16" i="1"/>
  <c r="AS16" i="1"/>
  <c r="AT15" i="1"/>
  <c r="AS15" i="1"/>
  <c r="AT14" i="1"/>
  <c r="AS14" i="1"/>
  <c r="AT13" i="1"/>
  <c r="AS13" i="1"/>
  <c r="AT12" i="1"/>
  <c r="AS12" i="1"/>
  <c r="AT11" i="1"/>
  <c r="AS11" i="1"/>
  <c r="AT10" i="1"/>
  <c r="AS10" i="1"/>
  <c r="AT9" i="1"/>
  <c r="AS9" i="1"/>
  <c r="AT8" i="1"/>
  <c r="AS8" i="1"/>
  <c r="AT7" i="1"/>
  <c r="AS7" i="1"/>
  <c r="AO67" i="1"/>
  <c r="AN67" i="1"/>
  <c r="AO66" i="1"/>
  <c r="AN66" i="1"/>
  <c r="AO65" i="1"/>
  <c r="AN65" i="1"/>
  <c r="AO64" i="1"/>
  <c r="AN64" i="1"/>
  <c r="AO63" i="1"/>
  <c r="AN63" i="1"/>
  <c r="AO62" i="1"/>
  <c r="AN62" i="1"/>
  <c r="AO61" i="1"/>
  <c r="AN61" i="1"/>
  <c r="AO60" i="1"/>
  <c r="AN60" i="1"/>
  <c r="AO59" i="1"/>
  <c r="AN59" i="1"/>
  <c r="AO58" i="1"/>
  <c r="AN58" i="1"/>
  <c r="AO48" i="1"/>
  <c r="AN48" i="1"/>
  <c r="AO47" i="1"/>
  <c r="AN47" i="1"/>
  <c r="AO46" i="1"/>
  <c r="AN46" i="1"/>
  <c r="AO45" i="1"/>
  <c r="AN45" i="1"/>
  <c r="AO44" i="1"/>
  <c r="AN44" i="1"/>
  <c r="AO43" i="1"/>
  <c r="AN43" i="1"/>
  <c r="AO42" i="1"/>
  <c r="AN42" i="1"/>
  <c r="AO41" i="1"/>
  <c r="AN41" i="1"/>
  <c r="AO40" i="1"/>
  <c r="AN40" i="1"/>
  <c r="AO39" i="1"/>
  <c r="AN39" i="1"/>
  <c r="AO38" i="1"/>
  <c r="AN38" i="1"/>
  <c r="AO37" i="1"/>
  <c r="AN37" i="1"/>
  <c r="AO36" i="1"/>
  <c r="AN36" i="1"/>
  <c r="AO35" i="1"/>
  <c r="AN35" i="1"/>
  <c r="AO34" i="1"/>
  <c r="AN34" i="1"/>
  <c r="AO33" i="1"/>
  <c r="AN33" i="1"/>
  <c r="AO32" i="1"/>
  <c r="AN32" i="1"/>
  <c r="AO31" i="1"/>
  <c r="AN31" i="1"/>
  <c r="AO30" i="1"/>
  <c r="AN30" i="1"/>
  <c r="AO29" i="1"/>
  <c r="AN29" i="1"/>
  <c r="AO28" i="1"/>
  <c r="AN28" i="1"/>
  <c r="AO27" i="1"/>
  <c r="AN27" i="1"/>
  <c r="AO26" i="1"/>
  <c r="AN26" i="1"/>
  <c r="AO25" i="1"/>
  <c r="AN25" i="1"/>
  <c r="AO24" i="1"/>
  <c r="AN24" i="1"/>
  <c r="AO23" i="1"/>
  <c r="AN23" i="1"/>
  <c r="AO22" i="1"/>
  <c r="AN22" i="1"/>
  <c r="AO21" i="1"/>
  <c r="AN21" i="1"/>
  <c r="AO20" i="1"/>
  <c r="AN20" i="1"/>
  <c r="AO19" i="1"/>
  <c r="AN19" i="1"/>
  <c r="AO18" i="1"/>
  <c r="AN18" i="1"/>
  <c r="AO17" i="1"/>
  <c r="AN17" i="1"/>
  <c r="AO16" i="1"/>
  <c r="AN16" i="1"/>
  <c r="AO15" i="1"/>
  <c r="AN15" i="1"/>
  <c r="AO14" i="1"/>
  <c r="AN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J67" i="1"/>
  <c r="AI67" i="1"/>
  <c r="AJ66" i="1"/>
  <c r="AI66" i="1"/>
  <c r="AJ65" i="1"/>
  <c r="AI65" i="1"/>
  <c r="AJ64" i="1"/>
  <c r="AI64" i="1"/>
  <c r="AJ63" i="1"/>
  <c r="AI63" i="1"/>
  <c r="AJ62" i="1"/>
  <c r="AI62" i="1"/>
  <c r="AJ61" i="1"/>
  <c r="AI61" i="1"/>
  <c r="AJ60" i="1"/>
  <c r="AI60" i="1"/>
  <c r="AJ59" i="1"/>
  <c r="AI59" i="1"/>
  <c r="AJ58" i="1"/>
  <c r="AI58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L943" i="27" l="1"/>
  <c r="K943" i="27"/>
  <c r="J943" i="27"/>
  <c r="H943" i="27"/>
  <c r="G943" i="27"/>
  <c r="E943" i="27"/>
  <c r="D943" i="27"/>
  <c r="C943" i="27"/>
  <c r="B943" i="27"/>
  <c r="I942" i="27"/>
  <c r="B942" i="27"/>
  <c r="H940" i="27"/>
  <c r="I940" i="27" s="1"/>
  <c r="B940" i="27"/>
  <c r="K939" i="27"/>
  <c r="K940" i="27" s="1"/>
  <c r="J939" i="27"/>
  <c r="G939" i="27"/>
  <c r="I939" i="27" s="1"/>
  <c r="E939" i="27"/>
  <c r="E940" i="27" s="1"/>
  <c r="D939" i="27"/>
  <c r="D940" i="27" s="1"/>
  <c r="C939" i="27"/>
  <c r="C940" i="27" s="1"/>
  <c r="B939" i="27"/>
  <c r="I938" i="27"/>
  <c r="B938" i="27"/>
  <c r="L936" i="27"/>
  <c r="K936" i="27"/>
  <c r="J936" i="27"/>
  <c r="H936" i="27"/>
  <c r="G936" i="27"/>
  <c r="I936" i="27" s="1"/>
  <c r="E936" i="27"/>
  <c r="D936" i="27"/>
  <c r="C936" i="27"/>
  <c r="B936" i="27"/>
  <c r="I935" i="27"/>
  <c r="B935" i="27"/>
  <c r="B933" i="27"/>
  <c r="L932" i="27"/>
  <c r="L933" i="27" s="1"/>
  <c r="K932" i="27"/>
  <c r="K933" i="27" s="1"/>
  <c r="J932" i="27"/>
  <c r="J933" i="27" s="1"/>
  <c r="H932" i="27"/>
  <c r="H933" i="27" s="1"/>
  <c r="I933" i="27" s="1"/>
  <c r="E932" i="27"/>
  <c r="E933" i="27" s="1"/>
  <c r="D932" i="27"/>
  <c r="D933" i="27" s="1"/>
  <c r="C932" i="27"/>
  <c r="C933" i="27" s="1"/>
  <c r="B932" i="27"/>
  <c r="I931" i="27"/>
  <c r="B931" i="27"/>
  <c r="B929" i="27"/>
  <c r="L928" i="27"/>
  <c r="L929" i="27" s="1"/>
  <c r="K928" i="27"/>
  <c r="K929" i="27" s="1"/>
  <c r="J928" i="27"/>
  <c r="J929" i="27" s="1"/>
  <c r="H928" i="27"/>
  <c r="H929" i="27" s="1"/>
  <c r="I929" i="27" s="1"/>
  <c r="E928" i="27"/>
  <c r="E929" i="27" s="1"/>
  <c r="D928" i="27"/>
  <c r="D929" i="27" s="1"/>
  <c r="C928" i="27"/>
  <c r="C929" i="27" s="1"/>
  <c r="B928" i="27"/>
  <c r="I927" i="27"/>
  <c r="B927" i="27"/>
  <c r="B925" i="27"/>
  <c r="L924" i="27"/>
  <c r="L925" i="27" s="1"/>
  <c r="K924" i="27"/>
  <c r="K925" i="27" s="1"/>
  <c r="J924" i="27"/>
  <c r="J925" i="27" s="1"/>
  <c r="H924" i="27"/>
  <c r="H925" i="27" s="1"/>
  <c r="I925" i="27" s="1"/>
  <c r="E924" i="27"/>
  <c r="E925" i="27" s="1"/>
  <c r="D924" i="27"/>
  <c r="D925" i="27" s="1"/>
  <c r="C924" i="27"/>
  <c r="C925" i="27" s="1"/>
  <c r="B924" i="27"/>
  <c r="I923" i="27"/>
  <c r="B923" i="27"/>
  <c r="B921" i="27"/>
  <c r="L920" i="27"/>
  <c r="L921" i="27" s="1"/>
  <c r="K920" i="27"/>
  <c r="K921" i="27" s="1"/>
  <c r="J920" i="27"/>
  <c r="J921" i="27" s="1"/>
  <c r="H920" i="27"/>
  <c r="H921" i="27" s="1"/>
  <c r="I921" i="27" s="1"/>
  <c r="E920" i="27"/>
  <c r="E921" i="27" s="1"/>
  <c r="D920" i="27"/>
  <c r="D921" i="27" s="1"/>
  <c r="C920" i="27"/>
  <c r="C921" i="27" s="1"/>
  <c r="B920" i="27"/>
  <c r="I919" i="27"/>
  <c r="B919" i="27"/>
  <c r="L917" i="27"/>
  <c r="K917" i="27"/>
  <c r="J917" i="27"/>
  <c r="H917" i="27"/>
  <c r="G917" i="27"/>
  <c r="I917" i="27" s="1"/>
  <c r="E917" i="27"/>
  <c r="D917" i="27"/>
  <c r="C917" i="27"/>
  <c r="B917" i="27"/>
  <c r="I916" i="27"/>
  <c r="B916" i="27"/>
  <c r="B914" i="27"/>
  <c r="L913" i="27"/>
  <c r="L914" i="27" s="1"/>
  <c r="K913" i="27"/>
  <c r="K914" i="27" s="1"/>
  <c r="J913" i="27"/>
  <c r="J914" i="27" s="1"/>
  <c r="H913" i="27"/>
  <c r="H914" i="27" s="1"/>
  <c r="I914" i="27" s="1"/>
  <c r="E913" i="27"/>
  <c r="E914" i="27" s="1"/>
  <c r="D913" i="27"/>
  <c r="D914" i="27" s="1"/>
  <c r="C913" i="27"/>
  <c r="C914" i="27" s="1"/>
  <c r="B913" i="27"/>
  <c r="I912" i="27"/>
  <c r="B912" i="27"/>
  <c r="B910" i="27"/>
  <c r="L909" i="27"/>
  <c r="L910" i="27" s="1"/>
  <c r="K909" i="27"/>
  <c r="K910" i="27" s="1"/>
  <c r="J909" i="27"/>
  <c r="J910" i="27" s="1"/>
  <c r="H909" i="27"/>
  <c r="H910" i="27" s="1"/>
  <c r="I910" i="27" s="1"/>
  <c r="E909" i="27"/>
  <c r="E910" i="27" s="1"/>
  <c r="D909" i="27"/>
  <c r="D910" i="27" s="1"/>
  <c r="C909" i="27"/>
  <c r="C910" i="27" s="1"/>
  <c r="B909" i="27"/>
  <c r="I908" i="27"/>
  <c r="B908" i="27"/>
  <c r="H905" i="27"/>
  <c r="H906" i="27" s="1"/>
  <c r="I906" i="27" s="1"/>
  <c r="B906" i="27"/>
  <c r="L905" i="27"/>
  <c r="L906" i="27" s="1"/>
  <c r="K905" i="27"/>
  <c r="K906" i="27" s="1"/>
  <c r="J905" i="27"/>
  <c r="J906" i="27" s="1"/>
  <c r="E905" i="27"/>
  <c r="E906" i="27" s="1"/>
  <c r="D905" i="27"/>
  <c r="D906" i="27" s="1"/>
  <c r="C905" i="27"/>
  <c r="C906" i="27" s="1"/>
  <c r="B905" i="27"/>
  <c r="I904" i="27"/>
  <c r="B904" i="27"/>
  <c r="L902" i="27"/>
  <c r="K902" i="27"/>
  <c r="J902" i="27"/>
  <c r="H902" i="27"/>
  <c r="G902" i="27"/>
  <c r="I902" i="27" s="1"/>
  <c r="E902" i="27"/>
  <c r="D902" i="27"/>
  <c r="C902" i="27"/>
  <c r="B902" i="27"/>
  <c r="I901" i="27"/>
  <c r="B901" i="27"/>
  <c r="L899" i="27"/>
  <c r="K899" i="27"/>
  <c r="J899" i="27"/>
  <c r="H899" i="27"/>
  <c r="G899" i="27"/>
  <c r="I899" i="27" s="1"/>
  <c r="E899" i="27"/>
  <c r="D899" i="27"/>
  <c r="C899" i="27"/>
  <c r="B899" i="27"/>
  <c r="I898" i="27"/>
  <c r="B898" i="27"/>
  <c r="L896" i="27"/>
  <c r="K896" i="27"/>
  <c r="J896" i="27"/>
  <c r="H896" i="27"/>
  <c r="G896" i="27"/>
  <c r="I896" i="27" s="1"/>
  <c r="E896" i="27"/>
  <c r="D896" i="27"/>
  <c r="C896" i="27"/>
  <c r="B896" i="27"/>
  <c r="I895" i="27"/>
  <c r="B895" i="27"/>
  <c r="L893" i="27"/>
  <c r="K893" i="27"/>
  <c r="J893" i="27"/>
  <c r="H893" i="27"/>
  <c r="G893" i="27"/>
  <c r="I893" i="27" s="1"/>
  <c r="E893" i="27"/>
  <c r="D893" i="27"/>
  <c r="C893" i="27"/>
  <c r="B893" i="27"/>
  <c r="I892" i="27"/>
  <c r="B892" i="27"/>
  <c r="B890" i="27"/>
  <c r="L889" i="27"/>
  <c r="L890" i="27" s="1"/>
  <c r="K889" i="27"/>
  <c r="K890" i="27" s="1"/>
  <c r="J889" i="27"/>
  <c r="J890" i="27" s="1"/>
  <c r="H890" i="27"/>
  <c r="I890" i="27" s="1"/>
  <c r="E889" i="27"/>
  <c r="E890" i="27" s="1"/>
  <c r="D889" i="27"/>
  <c r="D890" i="27" s="1"/>
  <c r="C889" i="27"/>
  <c r="C890" i="27" s="1"/>
  <c r="B889" i="27"/>
  <c r="I888" i="27"/>
  <c r="B888" i="27"/>
  <c r="L886" i="27"/>
  <c r="K886" i="27"/>
  <c r="J886" i="27"/>
  <c r="H886" i="27"/>
  <c r="G886" i="27"/>
  <c r="I886" i="27" s="1"/>
  <c r="E886" i="27"/>
  <c r="D886" i="27"/>
  <c r="C886" i="27"/>
  <c r="B886" i="27"/>
  <c r="I885" i="27"/>
  <c r="B885" i="27"/>
  <c r="L883" i="27"/>
  <c r="K883" i="27"/>
  <c r="J883" i="27"/>
  <c r="H883" i="27"/>
  <c r="G883" i="27"/>
  <c r="I883" i="27" s="1"/>
  <c r="E883" i="27"/>
  <c r="D883" i="27"/>
  <c r="C883" i="27"/>
  <c r="B883" i="27"/>
  <c r="I882" i="27"/>
  <c r="B882" i="27"/>
  <c r="I880" i="27"/>
  <c r="E880" i="27"/>
  <c r="D880" i="27"/>
  <c r="C880" i="27"/>
  <c r="B880" i="27"/>
  <c r="I879" i="27"/>
  <c r="B879" i="27"/>
  <c r="I877" i="27"/>
  <c r="B877" i="27"/>
  <c r="I876" i="27"/>
  <c r="B876" i="27"/>
  <c r="I875" i="27"/>
  <c r="E875" i="27"/>
  <c r="E876" i="27" s="1"/>
  <c r="E877" i="27" s="1"/>
  <c r="D875" i="27"/>
  <c r="D876" i="27" s="1"/>
  <c r="D877" i="27" s="1"/>
  <c r="C875" i="27"/>
  <c r="C876" i="27" s="1"/>
  <c r="C877" i="27" s="1"/>
  <c r="B875" i="27"/>
  <c r="J874" i="27"/>
  <c r="J875" i="27" s="1"/>
  <c r="J876" i="27" s="1"/>
  <c r="J877" i="27" s="1"/>
  <c r="B874" i="27"/>
  <c r="H872" i="27"/>
  <c r="I872" i="27" s="1"/>
  <c r="B872" i="27"/>
  <c r="L871" i="27"/>
  <c r="L872" i="27" s="1"/>
  <c r="K871" i="27"/>
  <c r="K872" i="27" s="1"/>
  <c r="J871" i="27"/>
  <c r="J872" i="27" s="1"/>
  <c r="I871" i="27"/>
  <c r="E871" i="27"/>
  <c r="E872" i="27" s="1"/>
  <c r="D871" i="27"/>
  <c r="D872" i="27" s="1"/>
  <c r="C871" i="27"/>
  <c r="C872" i="27" s="1"/>
  <c r="B871" i="27"/>
  <c r="I870" i="27"/>
  <c r="B870" i="27"/>
  <c r="B868" i="27"/>
  <c r="G867" i="27"/>
  <c r="I867" i="27" s="1"/>
  <c r="B867" i="27"/>
  <c r="L866" i="27"/>
  <c r="L867" i="27" s="1"/>
  <c r="I866" i="27"/>
  <c r="B866" i="27"/>
  <c r="I865" i="27"/>
  <c r="B865" i="27"/>
  <c r="L864" i="27"/>
  <c r="K864" i="27"/>
  <c r="K865" i="27" s="1"/>
  <c r="K866" i="27" s="1"/>
  <c r="K867" i="27" s="1"/>
  <c r="K868" i="27" s="1"/>
  <c r="J864" i="27"/>
  <c r="J865" i="27" s="1"/>
  <c r="J866" i="27" s="1"/>
  <c r="J867" i="27" s="1"/>
  <c r="J868" i="27" s="1"/>
  <c r="I864" i="27"/>
  <c r="E864" i="27"/>
  <c r="E865" i="27" s="1"/>
  <c r="E866" i="27" s="1"/>
  <c r="E867" i="27" s="1"/>
  <c r="E868" i="27" s="1"/>
  <c r="D864" i="27"/>
  <c r="D865" i="27" s="1"/>
  <c r="D866" i="27" s="1"/>
  <c r="D867" i="27" s="1"/>
  <c r="D868" i="27" s="1"/>
  <c r="C864" i="27"/>
  <c r="C865" i="27" s="1"/>
  <c r="C866" i="27" s="1"/>
  <c r="C867" i="27" s="1"/>
  <c r="C868" i="27" s="1"/>
  <c r="B864" i="27"/>
  <c r="I863" i="27"/>
  <c r="B863" i="27"/>
  <c r="L861" i="27"/>
  <c r="K861" i="27"/>
  <c r="J861" i="27"/>
  <c r="H861" i="27"/>
  <c r="G861" i="27"/>
  <c r="I861" i="27" s="1"/>
  <c r="E861" i="27"/>
  <c r="D861" i="27"/>
  <c r="C861" i="27"/>
  <c r="B861" i="27"/>
  <c r="I860" i="27"/>
  <c r="B860" i="27"/>
  <c r="L858" i="27"/>
  <c r="K858" i="27"/>
  <c r="J858" i="27"/>
  <c r="H858" i="27"/>
  <c r="G858" i="27"/>
  <c r="I858" i="27" s="1"/>
  <c r="E858" i="27"/>
  <c r="D858" i="27"/>
  <c r="C858" i="27"/>
  <c r="B858" i="27"/>
  <c r="I857" i="27"/>
  <c r="B857" i="27"/>
  <c r="L855" i="27"/>
  <c r="K855" i="27"/>
  <c r="J855" i="27"/>
  <c r="G855" i="27"/>
  <c r="I855" i="27" s="1"/>
  <c r="E855" i="27"/>
  <c r="D855" i="27"/>
  <c r="C855" i="27"/>
  <c r="B855" i="27"/>
  <c r="I854" i="27"/>
  <c r="B854" i="27"/>
  <c r="L849" i="27"/>
  <c r="K849" i="27"/>
  <c r="J849" i="27"/>
  <c r="H849" i="27"/>
  <c r="G849" i="27"/>
  <c r="I849" i="27" s="1"/>
  <c r="E849" i="27"/>
  <c r="D849" i="27"/>
  <c r="C849" i="27"/>
  <c r="B849" i="27"/>
  <c r="I848" i="27"/>
  <c r="B848" i="27"/>
  <c r="H846" i="27"/>
  <c r="I846" i="27" s="1"/>
  <c r="B846" i="27"/>
  <c r="K845" i="27"/>
  <c r="K846" i="27" s="1"/>
  <c r="J845" i="27"/>
  <c r="G845" i="27"/>
  <c r="I845" i="27" s="1"/>
  <c r="E845" i="27"/>
  <c r="E846" i="27" s="1"/>
  <c r="D845" i="27"/>
  <c r="D846" i="27" s="1"/>
  <c r="C845" i="27"/>
  <c r="C846" i="27" s="1"/>
  <c r="B845" i="27"/>
  <c r="I844" i="27"/>
  <c r="B844" i="27"/>
  <c r="L842" i="27"/>
  <c r="K842" i="27"/>
  <c r="J842" i="27"/>
  <c r="H842" i="27"/>
  <c r="G842" i="27"/>
  <c r="I842" i="27" s="1"/>
  <c r="E842" i="27"/>
  <c r="D842" i="27"/>
  <c r="C842" i="27"/>
  <c r="B842" i="27"/>
  <c r="I841" i="27"/>
  <c r="B841" i="27"/>
  <c r="B839" i="27"/>
  <c r="L838" i="27"/>
  <c r="L839" i="27" s="1"/>
  <c r="K838" i="27"/>
  <c r="K839" i="27" s="1"/>
  <c r="J838" i="27"/>
  <c r="J839" i="27" s="1"/>
  <c r="H838" i="27"/>
  <c r="H839" i="27" s="1"/>
  <c r="I839" i="27" s="1"/>
  <c r="E838" i="27"/>
  <c r="E839" i="27" s="1"/>
  <c r="D838" i="27"/>
  <c r="D839" i="27" s="1"/>
  <c r="C838" i="27"/>
  <c r="C839" i="27" s="1"/>
  <c r="B838" i="27"/>
  <c r="I837" i="27"/>
  <c r="B837" i="27"/>
  <c r="B835" i="27"/>
  <c r="L834" i="27"/>
  <c r="L835" i="27" s="1"/>
  <c r="K834" i="27"/>
  <c r="K835" i="27" s="1"/>
  <c r="J834" i="27"/>
  <c r="J835" i="27" s="1"/>
  <c r="H834" i="27"/>
  <c r="H835" i="27" s="1"/>
  <c r="I835" i="27" s="1"/>
  <c r="E834" i="27"/>
  <c r="E835" i="27" s="1"/>
  <c r="D834" i="27"/>
  <c r="D835" i="27" s="1"/>
  <c r="C834" i="27"/>
  <c r="C835" i="27" s="1"/>
  <c r="B834" i="27"/>
  <c r="I833" i="27"/>
  <c r="B833" i="27"/>
  <c r="B831" i="27"/>
  <c r="L830" i="27"/>
  <c r="L831" i="27" s="1"/>
  <c r="K830" i="27"/>
  <c r="K831" i="27" s="1"/>
  <c r="J830" i="27"/>
  <c r="J831" i="27" s="1"/>
  <c r="H830" i="27"/>
  <c r="H831" i="27" s="1"/>
  <c r="I831" i="27" s="1"/>
  <c r="E830" i="27"/>
  <c r="E831" i="27" s="1"/>
  <c r="D830" i="27"/>
  <c r="D831" i="27" s="1"/>
  <c r="C830" i="27"/>
  <c r="C831" i="27" s="1"/>
  <c r="B830" i="27"/>
  <c r="I829" i="27"/>
  <c r="B829" i="27"/>
  <c r="B827" i="27"/>
  <c r="L826" i="27"/>
  <c r="L827" i="27" s="1"/>
  <c r="K826" i="27"/>
  <c r="K827" i="27" s="1"/>
  <c r="J826" i="27"/>
  <c r="J827" i="27" s="1"/>
  <c r="H826" i="27"/>
  <c r="H827" i="27" s="1"/>
  <c r="I827" i="27" s="1"/>
  <c r="E826" i="27"/>
  <c r="E827" i="27" s="1"/>
  <c r="D826" i="27"/>
  <c r="D827" i="27" s="1"/>
  <c r="C826" i="27"/>
  <c r="C827" i="27" s="1"/>
  <c r="B826" i="27"/>
  <c r="I825" i="27"/>
  <c r="B825" i="27"/>
  <c r="B823" i="27"/>
  <c r="L822" i="27"/>
  <c r="L823" i="27" s="1"/>
  <c r="K822" i="27"/>
  <c r="K823" i="27" s="1"/>
  <c r="J822" i="27"/>
  <c r="J823" i="27" s="1"/>
  <c r="H822" i="27"/>
  <c r="H823" i="27" s="1"/>
  <c r="I823" i="27" s="1"/>
  <c r="E822" i="27"/>
  <c r="E823" i="27" s="1"/>
  <c r="D822" i="27"/>
  <c r="D823" i="27" s="1"/>
  <c r="C822" i="27"/>
  <c r="C823" i="27" s="1"/>
  <c r="B822" i="27"/>
  <c r="I821" i="27"/>
  <c r="B821" i="27"/>
  <c r="B819" i="27"/>
  <c r="L818" i="27"/>
  <c r="L819" i="27" s="1"/>
  <c r="K818" i="27"/>
  <c r="K819" i="27" s="1"/>
  <c r="J818" i="27"/>
  <c r="J819" i="27" s="1"/>
  <c r="H818" i="27"/>
  <c r="H819" i="27" s="1"/>
  <c r="I819" i="27" s="1"/>
  <c r="E818" i="27"/>
  <c r="E819" i="27" s="1"/>
  <c r="D818" i="27"/>
  <c r="D819" i="27" s="1"/>
  <c r="C818" i="27"/>
  <c r="C819" i="27" s="1"/>
  <c r="B818" i="27"/>
  <c r="I817" i="27"/>
  <c r="B817" i="27"/>
  <c r="B815" i="27"/>
  <c r="L814" i="27"/>
  <c r="L815" i="27" s="1"/>
  <c r="K814" i="27"/>
  <c r="K815" i="27" s="1"/>
  <c r="J814" i="27"/>
  <c r="J815" i="27" s="1"/>
  <c r="H814" i="27"/>
  <c r="H815" i="27" s="1"/>
  <c r="I815" i="27" s="1"/>
  <c r="E814" i="27"/>
  <c r="E815" i="27" s="1"/>
  <c r="D814" i="27"/>
  <c r="D815" i="27" s="1"/>
  <c r="C814" i="27"/>
  <c r="C815" i="27" s="1"/>
  <c r="B814" i="27"/>
  <c r="I813" i="27"/>
  <c r="B813" i="27"/>
  <c r="L811" i="27"/>
  <c r="K811" i="27"/>
  <c r="J811" i="27"/>
  <c r="H811" i="27"/>
  <c r="G811" i="27"/>
  <c r="I811" i="27" s="1"/>
  <c r="E811" i="27"/>
  <c r="D811" i="27"/>
  <c r="C811" i="27"/>
  <c r="B811" i="27"/>
  <c r="I810" i="27"/>
  <c r="B810" i="27"/>
  <c r="B808" i="27"/>
  <c r="L807" i="27"/>
  <c r="L808" i="27" s="1"/>
  <c r="K807" i="27"/>
  <c r="K808" i="27" s="1"/>
  <c r="J807" i="27"/>
  <c r="J808" i="27" s="1"/>
  <c r="H807" i="27"/>
  <c r="H808" i="27" s="1"/>
  <c r="I808" i="27" s="1"/>
  <c r="E807" i="27"/>
  <c r="E808" i="27" s="1"/>
  <c r="D807" i="27"/>
  <c r="D808" i="27" s="1"/>
  <c r="C807" i="27"/>
  <c r="C808" i="27" s="1"/>
  <c r="B807" i="27"/>
  <c r="I806" i="27"/>
  <c r="B806" i="27"/>
  <c r="B804" i="27"/>
  <c r="L803" i="27"/>
  <c r="L804" i="27" s="1"/>
  <c r="K803" i="27"/>
  <c r="K804" i="27" s="1"/>
  <c r="J803" i="27"/>
  <c r="J804" i="27" s="1"/>
  <c r="H803" i="27"/>
  <c r="H804" i="27" s="1"/>
  <c r="I804" i="27" s="1"/>
  <c r="E803" i="27"/>
  <c r="E804" i="27" s="1"/>
  <c r="D803" i="27"/>
  <c r="D804" i="27" s="1"/>
  <c r="C803" i="27"/>
  <c r="C804" i="27" s="1"/>
  <c r="B803" i="27"/>
  <c r="I802" i="27"/>
  <c r="B802" i="27"/>
  <c r="L800" i="27"/>
  <c r="K800" i="27"/>
  <c r="J800" i="27"/>
  <c r="H800" i="27"/>
  <c r="G800" i="27"/>
  <c r="I800" i="27" s="1"/>
  <c r="E800" i="27"/>
  <c r="D800" i="27"/>
  <c r="C800" i="27"/>
  <c r="B800" i="27"/>
  <c r="I799" i="27"/>
  <c r="B799" i="27"/>
  <c r="L797" i="27"/>
  <c r="K797" i="27"/>
  <c r="J797" i="27"/>
  <c r="H797" i="27"/>
  <c r="G797" i="27"/>
  <c r="E797" i="27"/>
  <c r="D797" i="27"/>
  <c r="C797" i="27"/>
  <c r="B797" i="27"/>
  <c r="I796" i="27"/>
  <c r="B796" i="27"/>
  <c r="I794" i="27"/>
  <c r="E794" i="27"/>
  <c r="D794" i="27"/>
  <c r="C794" i="27"/>
  <c r="B794" i="27"/>
  <c r="I793" i="27"/>
  <c r="B793" i="27"/>
  <c r="I791" i="27"/>
  <c r="B791" i="27"/>
  <c r="I790" i="27"/>
  <c r="B790" i="27"/>
  <c r="I789" i="27"/>
  <c r="E789" i="27"/>
  <c r="E790" i="27" s="1"/>
  <c r="E791" i="27" s="1"/>
  <c r="D789" i="27"/>
  <c r="D790" i="27" s="1"/>
  <c r="D791" i="27" s="1"/>
  <c r="C789" i="27"/>
  <c r="C790" i="27" s="1"/>
  <c r="C791" i="27" s="1"/>
  <c r="B789" i="27"/>
  <c r="J788" i="27"/>
  <c r="J789" i="27" s="1"/>
  <c r="J790" i="27" s="1"/>
  <c r="J791" i="27" s="1"/>
  <c r="B788" i="27"/>
  <c r="H786" i="27"/>
  <c r="I786" i="27" s="1"/>
  <c r="B786" i="27"/>
  <c r="L785" i="27"/>
  <c r="L786" i="27" s="1"/>
  <c r="K785" i="27"/>
  <c r="K786" i="27" s="1"/>
  <c r="J785" i="27"/>
  <c r="J786" i="27" s="1"/>
  <c r="I785" i="27"/>
  <c r="E785" i="27"/>
  <c r="E786" i="27" s="1"/>
  <c r="D785" i="27"/>
  <c r="D786" i="27" s="1"/>
  <c r="C785" i="27"/>
  <c r="C786" i="27" s="1"/>
  <c r="B785" i="27"/>
  <c r="I784" i="27"/>
  <c r="B784" i="27"/>
  <c r="I943" i="27" l="1"/>
  <c r="H868" i="27"/>
  <c r="I932" i="27"/>
  <c r="I928" i="27"/>
  <c r="I924" i="27"/>
  <c r="I920" i="27"/>
  <c r="I913" i="27"/>
  <c r="I909" i="27"/>
  <c r="I905" i="27"/>
  <c r="I889" i="27"/>
  <c r="H874" i="27"/>
  <c r="G874" i="27"/>
  <c r="I874" i="27" s="1"/>
  <c r="K874" i="27" s="1"/>
  <c r="G868" i="27"/>
  <c r="I868" i="27" s="1"/>
  <c r="I838" i="27"/>
  <c r="I834" i="27"/>
  <c r="I830" i="27"/>
  <c r="I826" i="27"/>
  <c r="I822" i="27"/>
  <c r="I818" i="27"/>
  <c r="I814" i="27"/>
  <c r="I807" i="27"/>
  <c r="I803" i="27"/>
  <c r="I797" i="27"/>
  <c r="H788" i="27"/>
  <c r="G788" i="27"/>
  <c r="L874" i="27" l="1"/>
  <c r="K875" i="27"/>
  <c r="K876" i="27" s="1"/>
  <c r="K877" i="27" s="1"/>
  <c r="I788" i="27"/>
  <c r="K788" i="27" s="1"/>
  <c r="K789" i="27" s="1"/>
  <c r="K790" i="27" s="1"/>
  <c r="K791" i="27" s="1"/>
  <c r="L788" i="27" l="1"/>
  <c r="B782" i="27" l="1"/>
  <c r="G781" i="27"/>
  <c r="I781" i="27" s="1"/>
  <c r="B781" i="27"/>
  <c r="L780" i="27"/>
  <c r="L781" i="27" s="1"/>
  <c r="I780" i="27"/>
  <c r="B780" i="27"/>
  <c r="I779" i="27"/>
  <c r="B779" i="27"/>
  <c r="L778" i="27"/>
  <c r="K778" i="27"/>
  <c r="K779" i="27" s="1"/>
  <c r="K780" i="27" s="1"/>
  <c r="K781" i="27" s="1"/>
  <c r="K782" i="27" s="1"/>
  <c r="J778" i="27"/>
  <c r="J779" i="27" s="1"/>
  <c r="J780" i="27" s="1"/>
  <c r="J781" i="27" s="1"/>
  <c r="J782" i="27" s="1"/>
  <c r="I778" i="27"/>
  <c r="E778" i="27"/>
  <c r="E779" i="27" s="1"/>
  <c r="E780" i="27" s="1"/>
  <c r="E781" i="27" s="1"/>
  <c r="E782" i="27" s="1"/>
  <c r="D778" i="27"/>
  <c r="D779" i="27" s="1"/>
  <c r="D780" i="27" s="1"/>
  <c r="D781" i="27" s="1"/>
  <c r="D782" i="27" s="1"/>
  <c r="C778" i="27"/>
  <c r="C779" i="27" s="1"/>
  <c r="C780" i="27" s="1"/>
  <c r="C781" i="27" s="1"/>
  <c r="C782" i="27" s="1"/>
  <c r="B778" i="27"/>
  <c r="I777" i="27"/>
  <c r="B777" i="27"/>
  <c r="L775" i="27"/>
  <c r="K775" i="27"/>
  <c r="H775" i="27"/>
  <c r="I775" i="27" s="1"/>
  <c r="E775" i="27"/>
  <c r="D775" i="27"/>
  <c r="C775" i="27"/>
  <c r="B775" i="27"/>
  <c r="I774" i="27"/>
  <c r="B774" i="27"/>
  <c r="L772" i="27"/>
  <c r="K772" i="27"/>
  <c r="J772" i="27"/>
  <c r="H772" i="27"/>
  <c r="G772" i="27"/>
  <c r="I772" i="27" s="1"/>
  <c r="E772" i="27"/>
  <c r="D772" i="27"/>
  <c r="C772" i="27"/>
  <c r="B772" i="27"/>
  <c r="I771" i="27"/>
  <c r="B771" i="27"/>
  <c r="H769" i="27"/>
  <c r="I769" i="27" s="1"/>
  <c r="B769" i="27"/>
  <c r="L768" i="27"/>
  <c r="L769" i="27" s="1"/>
  <c r="K768" i="27"/>
  <c r="K769" i="27" s="1"/>
  <c r="J768" i="27"/>
  <c r="J769" i="27" s="1"/>
  <c r="I768" i="27"/>
  <c r="E768" i="27"/>
  <c r="E769" i="27" s="1"/>
  <c r="D768" i="27"/>
  <c r="D769" i="27" s="1"/>
  <c r="C768" i="27"/>
  <c r="C769" i="27" s="1"/>
  <c r="B768" i="27"/>
  <c r="I767" i="27"/>
  <c r="B767" i="27"/>
  <c r="L765" i="27"/>
  <c r="K765" i="27"/>
  <c r="H765" i="27"/>
  <c r="I765" i="27" s="1"/>
  <c r="E765" i="27"/>
  <c r="D765" i="27"/>
  <c r="C765" i="27"/>
  <c r="B765" i="27"/>
  <c r="I764" i="27"/>
  <c r="B764" i="27"/>
  <c r="L762" i="27"/>
  <c r="K762" i="27"/>
  <c r="J762" i="27"/>
  <c r="G762" i="27"/>
  <c r="I762" i="27" s="1"/>
  <c r="E762" i="27"/>
  <c r="D762" i="27"/>
  <c r="C762" i="27"/>
  <c r="B762" i="27"/>
  <c r="I761" i="27"/>
  <c r="B761" i="27"/>
  <c r="L759" i="27"/>
  <c r="K759" i="27"/>
  <c r="J759" i="27"/>
  <c r="H759" i="27"/>
  <c r="G759" i="27"/>
  <c r="I759" i="27" s="1"/>
  <c r="E759" i="27"/>
  <c r="D759" i="27"/>
  <c r="C759" i="27"/>
  <c r="B759" i="27"/>
  <c r="I758" i="27"/>
  <c r="B758" i="27"/>
  <c r="L756" i="27"/>
  <c r="K756" i="27"/>
  <c r="J756" i="27"/>
  <c r="G756" i="27"/>
  <c r="I756" i="27" s="1"/>
  <c r="E756" i="27"/>
  <c r="D756" i="27"/>
  <c r="C756" i="27"/>
  <c r="B756" i="27"/>
  <c r="I755" i="27"/>
  <c r="B755" i="27"/>
  <c r="H753" i="27"/>
  <c r="I753" i="27" s="1"/>
  <c r="B753" i="27"/>
  <c r="L752" i="27"/>
  <c r="L753" i="27" s="1"/>
  <c r="K752" i="27"/>
  <c r="K753" i="27" s="1"/>
  <c r="J752" i="27"/>
  <c r="J753" i="27" s="1"/>
  <c r="I752" i="27"/>
  <c r="E752" i="27"/>
  <c r="E753" i="27" s="1"/>
  <c r="D752" i="27"/>
  <c r="D753" i="27" s="1"/>
  <c r="C752" i="27"/>
  <c r="C753" i="27" s="1"/>
  <c r="B752" i="27"/>
  <c r="I751" i="27"/>
  <c r="B751" i="27"/>
  <c r="L746" i="27"/>
  <c r="K746" i="27"/>
  <c r="J746" i="27"/>
  <c r="H746" i="27"/>
  <c r="G746" i="27"/>
  <c r="E746" i="27"/>
  <c r="D746" i="27"/>
  <c r="C746" i="27"/>
  <c r="B746" i="27"/>
  <c r="I745" i="27"/>
  <c r="B745" i="27"/>
  <c r="H743" i="27"/>
  <c r="I743" i="27" s="1"/>
  <c r="B743" i="27"/>
  <c r="K742" i="27"/>
  <c r="K743" i="27" s="1"/>
  <c r="J742" i="27"/>
  <c r="G742" i="27"/>
  <c r="I742" i="27" s="1"/>
  <c r="E742" i="27"/>
  <c r="E743" i="27" s="1"/>
  <c r="D742" i="27"/>
  <c r="D743" i="27" s="1"/>
  <c r="C742" i="27"/>
  <c r="C743" i="27" s="1"/>
  <c r="B742" i="27"/>
  <c r="I741" i="27"/>
  <c r="B741" i="27"/>
  <c r="L739" i="27"/>
  <c r="K739" i="27"/>
  <c r="J739" i="27"/>
  <c r="H739" i="27"/>
  <c r="G739" i="27"/>
  <c r="E739" i="27"/>
  <c r="D739" i="27"/>
  <c r="C739" i="27"/>
  <c r="B739" i="27"/>
  <c r="I738" i="27"/>
  <c r="B738" i="27"/>
  <c r="B736" i="27"/>
  <c r="L735" i="27"/>
  <c r="L736" i="27" s="1"/>
  <c r="K735" i="27"/>
  <c r="K736" i="27" s="1"/>
  <c r="J735" i="27"/>
  <c r="J736" i="27" s="1"/>
  <c r="H735" i="27"/>
  <c r="H736" i="27" s="1"/>
  <c r="I736" i="27" s="1"/>
  <c r="E735" i="27"/>
  <c r="E736" i="27" s="1"/>
  <c r="D735" i="27"/>
  <c r="D736" i="27" s="1"/>
  <c r="C735" i="27"/>
  <c r="C736" i="27" s="1"/>
  <c r="B735" i="27"/>
  <c r="I734" i="27"/>
  <c r="B734" i="27"/>
  <c r="L732" i="27"/>
  <c r="K732" i="27"/>
  <c r="J732" i="27"/>
  <c r="H732" i="27"/>
  <c r="G732" i="27"/>
  <c r="I732" i="27" s="1"/>
  <c r="E732" i="27"/>
  <c r="D732" i="27"/>
  <c r="C732" i="27"/>
  <c r="B732" i="27"/>
  <c r="I731" i="27"/>
  <c r="B731" i="27"/>
  <c r="H729" i="27"/>
  <c r="I729" i="27" s="1"/>
  <c r="B729" i="27"/>
  <c r="L728" i="27"/>
  <c r="L729" i="27" s="1"/>
  <c r="K728" i="27"/>
  <c r="K729" i="27" s="1"/>
  <c r="J728" i="27"/>
  <c r="J729" i="27" s="1"/>
  <c r="I728" i="27"/>
  <c r="E728" i="27"/>
  <c r="E729" i="27" s="1"/>
  <c r="D728" i="27"/>
  <c r="D729" i="27" s="1"/>
  <c r="C728" i="27"/>
  <c r="C729" i="27" s="1"/>
  <c r="B728" i="27"/>
  <c r="I727" i="27"/>
  <c r="B727" i="27"/>
  <c r="H724" i="27"/>
  <c r="I724" i="27" s="1"/>
  <c r="H720" i="27"/>
  <c r="H721" i="27" s="1"/>
  <c r="I721" i="27" s="1"/>
  <c r="B725" i="27"/>
  <c r="L724" i="27"/>
  <c r="L725" i="27" s="1"/>
  <c r="K724" i="27"/>
  <c r="K725" i="27" s="1"/>
  <c r="J724" i="27"/>
  <c r="J725" i="27" s="1"/>
  <c r="E724" i="27"/>
  <c r="E725" i="27" s="1"/>
  <c r="D724" i="27"/>
  <c r="D725" i="27" s="1"/>
  <c r="C724" i="27"/>
  <c r="C725" i="27" s="1"/>
  <c r="B724" i="27"/>
  <c r="I723" i="27"/>
  <c r="B723" i="27"/>
  <c r="B721" i="27"/>
  <c r="L720" i="27"/>
  <c r="L721" i="27" s="1"/>
  <c r="K720" i="27"/>
  <c r="K721" i="27" s="1"/>
  <c r="J720" i="27"/>
  <c r="J721" i="27" s="1"/>
  <c r="E720" i="27"/>
  <c r="E721" i="27" s="1"/>
  <c r="D720" i="27"/>
  <c r="D721" i="27" s="1"/>
  <c r="C720" i="27"/>
  <c r="C721" i="27" s="1"/>
  <c r="B720" i="27"/>
  <c r="I719" i="27"/>
  <c r="B719" i="27"/>
  <c r="L717" i="27"/>
  <c r="K717" i="27"/>
  <c r="J717" i="27"/>
  <c r="H717" i="27"/>
  <c r="G717" i="27"/>
  <c r="I717" i="27" s="1"/>
  <c r="E717" i="27"/>
  <c r="D717" i="27"/>
  <c r="C717" i="27"/>
  <c r="B717" i="27"/>
  <c r="I716" i="27"/>
  <c r="B716" i="27"/>
  <c r="L714" i="27"/>
  <c r="K714" i="27"/>
  <c r="J714" i="27"/>
  <c r="H714" i="27"/>
  <c r="G714" i="27"/>
  <c r="I714" i="27" s="1"/>
  <c r="E714" i="27"/>
  <c r="D714" i="27"/>
  <c r="C714" i="27"/>
  <c r="B714" i="27"/>
  <c r="I713" i="27"/>
  <c r="B713" i="27"/>
  <c r="L711" i="27"/>
  <c r="K711" i="27"/>
  <c r="J711" i="27"/>
  <c r="H711" i="27"/>
  <c r="G711" i="27"/>
  <c r="I711" i="27" s="1"/>
  <c r="E711" i="27"/>
  <c r="D711" i="27"/>
  <c r="C711" i="27"/>
  <c r="B711" i="27"/>
  <c r="I710" i="27"/>
  <c r="B710" i="27"/>
  <c r="L708" i="27"/>
  <c r="K708" i="27"/>
  <c r="J708" i="27"/>
  <c r="H708" i="27"/>
  <c r="G708" i="27"/>
  <c r="I708" i="27" s="1"/>
  <c r="E708" i="27"/>
  <c r="D708" i="27"/>
  <c r="C708" i="27"/>
  <c r="B708" i="27"/>
  <c r="I707" i="27"/>
  <c r="B707" i="27"/>
  <c r="L705" i="27"/>
  <c r="K705" i="27"/>
  <c r="J705" i="27"/>
  <c r="H705" i="27"/>
  <c r="G705" i="27"/>
  <c r="E705" i="27"/>
  <c r="D705" i="27"/>
  <c r="C705" i="27"/>
  <c r="B705" i="27"/>
  <c r="I704" i="27"/>
  <c r="B704" i="27"/>
  <c r="L702" i="27"/>
  <c r="K702" i="27"/>
  <c r="J702" i="27"/>
  <c r="H702" i="27"/>
  <c r="G702" i="27"/>
  <c r="I702" i="27" s="1"/>
  <c r="E702" i="27"/>
  <c r="D702" i="27"/>
  <c r="C702" i="27"/>
  <c r="B702" i="27"/>
  <c r="I701" i="27"/>
  <c r="B701" i="27"/>
  <c r="L699" i="27"/>
  <c r="K699" i="27"/>
  <c r="J699" i="27"/>
  <c r="H699" i="27"/>
  <c r="G699" i="27"/>
  <c r="I699" i="27" s="1"/>
  <c r="E699" i="27"/>
  <c r="D699" i="27"/>
  <c r="C699" i="27"/>
  <c r="B699" i="27"/>
  <c r="I698" i="27"/>
  <c r="B698" i="27"/>
  <c r="H696" i="27"/>
  <c r="I696" i="27" s="1"/>
  <c r="B696" i="27"/>
  <c r="L695" i="27"/>
  <c r="L696" i="27" s="1"/>
  <c r="K695" i="27"/>
  <c r="K696" i="27" s="1"/>
  <c r="J695" i="27"/>
  <c r="J696" i="27" s="1"/>
  <c r="I695" i="27"/>
  <c r="E695" i="27"/>
  <c r="E696" i="27" s="1"/>
  <c r="D695" i="27"/>
  <c r="D696" i="27" s="1"/>
  <c r="C695" i="27"/>
  <c r="C696" i="27" s="1"/>
  <c r="B695" i="27"/>
  <c r="I694" i="27"/>
  <c r="B694" i="27"/>
  <c r="I692" i="27"/>
  <c r="E692" i="27"/>
  <c r="D692" i="27"/>
  <c r="C692" i="27"/>
  <c r="B692" i="27"/>
  <c r="I691" i="27"/>
  <c r="B691" i="27"/>
  <c r="I689" i="27"/>
  <c r="B689" i="27"/>
  <c r="I688" i="27"/>
  <c r="B688" i="27"/>
  <c r="I687" i="27"/>
  <c r="E687" i="27"/>
  <c r="E688" i="27" s="1"/>
  <c r="E689" i="27" s="1"/>
  <c r="D687" i="27"/>
  <c r="D688" i="27" s="1"/>
  <c r="D689" i="27" s="1"/>
  <c r="C687" i="27"/>
  <c r="C688" i="27" s="1"/>
  <c r="C689" i="27" s="1"/>
  <c r="B687" i="27"/>
  <c r="J686" i="27"/>
  <c r="J687" i="27" s="1"/>
  <c r="J688" i="27" s="1"/>
  <c r="J689" i="27" s="1"/>
  <c r="B686" i="27"/>
  <c r="L684" i="27"/>
  <c r="K684" i="27"/>
  <c r="J684" i="27"/>
  <c r="G684" i="27"/>
  <c r="I684" i="27" s="1"/>
  <c r="E684" i="27"/>
  <c r="D684" i="27"/>
  <c r="C684" i="27"/>
  <c r="B684" i="27"/>
  <c r="I683" i="27"/>
  <c r="B683" i="27"/>
  <c r="I705" i="27" l="1"/>
  <c r="I739" i="27"/>
  <c r="H782" i="27"/>
  <c r="G782" i="27"/>
  <c r="I782" i="27" s="1"/>
  <c r="H725" i="27"/>
  <c r="I725" i="27" s="1"/>
  <c r="I746" i="27"/>
  <c r="I735" i="27"/>
  <c r="I720" i="27"/>
  <c r="H686" i="27"/>
  <c r="G686" i="27"/>
  <c r="I686" i="27" l="1"/>
  <c r="K686" i="27" s="1"/>
  <c r="L686" i="27" s="1"/>
  <c r="K687" i="27" l="1"/>
  <c r="K688" i="27" s="1"/>
  <c r="K689" i="27" s="1"/>
  <c r="B681" i="27" l="1"/>
  <c r="G680" i="27"/>
  <c r="I680" i="27" s="1"/>
  <c r="B680" i="27"/>
  <c r="L679" i="27"/>
  <c r="L680" i="27" s="1"/>
  <c r="I679" i="27"/>
  <c r="B679" i="27"/>
  <c r="I678" i="27"/>
  <c r="B678" i="27"/>
  <c r="L677" i="27"/>
  <c r="K677" i="27"/>
  <c r="K678" i="27" s="1"/>
  <c r="K679" i="27" s="1"/>
  <c r="K680" i="27" s="1"/>
  <c r="K681" i="27" s="1"/>
  <c r="J677" i="27"/>
  <c r="J678" i="27" s="1"/>
  <c r="J679" i="27" s="1"/>
  <c r="J680" i="27" s="1"/>
  <c r="J681" i="27" s="1"/>
  <c r="I677" i="27"/>
  <c r="E677" i="27"/>
  <c r="E678" i="27" s="1"/>
  <c r="E679" i="27" s="1"/>
  <c r="E680" i="27" s="1"/>
  <c r="E681" i="27" s="1"/>
  <c r="D677" i="27"/>
  <c r="D678" i="27" s="1"/>
  <c r="D679" i="27" s="1"/>
  <c r="D680" i="27" s="1"/>
  <c r="D681" i="27" s="1"/>
  <c r="C677" i="27"/>
  <c r="C678" i="27" s="1"/>
  <c r="C679" i="27" s="1"/>
  <c r="C680" i="27" s="1"/>
  <c r="C681" i="27" s="1"/>
  <c r="B677" i="27"/>
  <c r="I676" i="27"/>
  <c r="B676" i="27"/>
  <c r="L674" i="27"/>
  <c r="K674" i="27"/>
  <c r="J674" i="27"/>
  <c r="H674" i="27"/>
  <c r="G674" i="27"/>
  <c r="I674" i="27" s="1"/>
  <c r="E674" i="27"/>
  <c r="D674" i="27"/>
  <c r="C674" i="27"/>
  <c r="B674" i="27"/>
  <c r="I673" i="27"/>
  <c r="B673" i="27"/>
  <c r="L671" i="27"/>
  <c r="K671" i="27"/>
  <c r="H671" i="27"/>
  <c r="I671" i="27" s="1"/>
  <c r="E671" i="27"/>
  <c r="D671" i="27"/>
  <c r="C671" i="27"/>
  <c r="B671" i="27"/>
  <c r="I670" i="27"/>
  <c r="B670" i="27"/>
  <c r="L668" i="27"/>
  <c r="K668" i="27"/>
  <c r="J668" i="27"/>
  <c r="H668" i="27"/>
  <c r="G668" i="27"/>
  <c r="I668" i="27" s="1"/>
  <c r="E668" i="27"/>
  <c r="D668" i="27"/>
  <c r="C668" i="27"/>
  <c r="B668" i="27"/>
  <c r="I667" i="27"/>
  <c r="B667" i="27"/>
  <c r="L665" i="27"/>
  <c r="G665" i="27"/>
  <c r="I665" i="27" s="1"/>
  <c r="E665" i="27"/>
  <c r="D665" i="27"/>
  <c r="C665" i="27"/>
  <c r="B665" i="27"/>
  <c r="I664" i="27"/>
  <c r="B664" i="27"/>
  <c r="L662" i="27"/>
  <c r="K662" i="27"/>
  <c r="J662" i="27"/>
  <c r="H662" i="27"/>
  <c r="G662" i="27"/>
  <c r="I662" i="27" s="1"/>
  <c r="E662" i="27"/>
  <c r="D662" i="27"/>
  <c r="C662" i="27"/>
  <c r="B662" i="27"/>
  <c r="I661" i="27"/>
  <c r="B661" i="27"/>
  <c r="L659" i="27"/>
  <c r="K659" i="27"/>
  <c r="H659" i="27"/>
  <c r="I659" i="27" s="1"/>
  <c r="E659" i="27"/>
  <c r="D659" i="27"/>
  <c r="C659" i="27"/>
  <c r="B659" i="27"/>
  <c r="I658" i="27"/>
  <c r="B658" i="27"/>
  <c r="L653" i="27"/>
  <c r="K653" i="27"/>
  <c r="J653" i="27"/>
  <c r="H653" i="27"/>
  <c r="G653" i="27"/>
  <c r="E653" i="27"/>
  <c r="D653" i="27"/>
  <c r="C653" i="27"/>
  <c r="B653" i="27"/>
  <c r="I652" i="27"/>
  <c r="B652" i="27"/>
  <c r="H650" i="27"/>
  <c r="I650" i="27" s="1"/>
  <c r="B650" i="27"/>
  <c r="K649" i="27"/>
  <c r="K650" i="27" s="1"/>
  <c r="J649" i="27"/>
  <c r="G649" i="27"/>
  <c r="I649" i="27" s="1"/>
  <c r="E649" i="27"/>
  <c r="E650" i="27" s="1"/>
  <c r="D649" i="27"/>
  <c r="D650" i="27" s="1"/>
  <c r="C649" i="27"/>
  <c r="C650" i="27" s="1"/>
  <c r="B649" i="27"/>
  <c r="I648" i="27"/>
  <c r="B648" i="27"/>
  <c r="B646" i="27"/>
  <c r="K645" i="27"/>
  <c r="K646" i="27" s="1"/>
  <c r="J645" i="27"/>
  <c r="H645" i="27"/>
  <c r="G645" i="27"/>
  <c r="I645" i="27" s="1"/>
  <c r="E645" i="27"/>
  <c r="E646" i="27" s="1"/>
  <c r="D645" i="27"/>
  <c r="D646" i="27" s="1"/>
  <c r="C645" i="27"/>
  <c r="C646" i="27" s="1"/>
  <c r="B645" i="27"/>
  <c r="G644" i="27"/>
  <c r="H646" i="27" s="1"/>
  <c r="I646" i="27" s="1"/>
  <c r="B644" i="27"/>
  <c r="L642" i="27"/>
  <c r="K642" i="27"/>
  <c r="J642" i="27"/>
  <c r="H642" i="27"/>
  <c r="G642" i="27"/>
  <c r="E642" i="27"/>
  <c r="D642" i="27"/>
  <c r="C642" i="27"/>
  <c r="B642" i="27"/>
  <c r="I641" i="27"/>
  <c r="B641" i="27"/>
  <c r="B583" i="27"/>
  <c r="L582" i="27"/>
  <c r="L583" i="27" s="1"/>
  <c r="K582" i="27"/>
  <c r="K583" i="27" s="1"/>
  <c r="J582" i="27"/>
  <c r="J583" i="27" s="1"/>
  <c r="H583" i="27"/>
  <c r="I583" i="27" s="1"/>
  <c r="E582" i="27"/>
  <c r="E583" i="27" s="1"/>
  <c r="D582" i="27"/>
  <c r="D583" i="27" s="1"/>
  <c r="C582" i="27"/>
  <c r="C583" i="27" s="1"/>
  <c r="B582" i="27"/>
  <c r="I581" i="27"/>
  <c r="B581" i="27"/>
  <c r="L639" i="27"/>
  <c r="K639" i="27"/>
  <c r="J639" i="27"/>
  <c r="H639" i="27"/>
  <c r="G639" i="27"/>
  <c r="I639" i="27" s="1"/>
  <c r="E639" i="27"/>
  <c r="D639" i="27"/>
  <c r="C639" i="27"/>
  <c r="B639" i="27"/>
  <c r="I638" i="27"/>
  <c r="B638" i="27"/>
  <c r="B636" i="27"/>
  <c r="L635" i="27"/>
  <c r="L636" i="27" s="1"/>
  <c r="K635" i="27"/>
  <c r="K636" i="27" s="1"/>
  <c r="J635" i="27"/>
  <c r="J636" i="27" s="1"/>
  <c r="H635" i="27"/>
  <c r="H636" i="27" s="1"/>
  <c r="I636" i="27" s="1"/>
  <c r="E635" i="27"/>
  <c r="E636" i="27" s="1"/>
  <c r="D635" i="27"/>
  <c r="D636" i="27" s="1"/>
  <c r="C635" i="27"/>
  <c r="C636" i="27" s="1"/>
  <c r="B635" i="27"/>
  <c r="I634" i="27"/>
  <c r="B634" i="27"/>
  <c r="B632" i="27"/>
  <c r="L631" i="27"/>
  <c r="L632" i="27" s="1"/>
  <c r="K631" i="27"/>
  <c r="K632" i="27" s="1"/>
  <c r="J631" i="27"/>
  <c r="J632" i="27" s="1"/>
  <c r="H631" i="27"/>
  <c r="H632" i="27" s="1"/>
  <c r="I632" i="27" s="1"/>
  <c r="E631" i="27"/>
  <c r="E632" i="27" s="1"/>
  <c r="D631" i="27"/>
  <c r="D632" i="27" s="1"/>
  <c r="C631" i="27"/>
  <c r="C632" i="27" s="1"/>
  <c r="B631" i="27"/>
  <c r="I630" i="27"/>
  <c r="B630" i="27"/>
  <c r="B628" i="27"/>
  <c r="L627" i="27"/>
  <c r="L628" i="27" s="1"/>
  <c r="K627" i="27"/>
  <c r="K628" i="27" s="1"/>
  <c r="J627" i="27"/>
  <c r="J628" i="27" s="1"/>
  <c r="H627" i="27"/>
  <c r="H628" i="27" s="1"/>
  <c r="I628" i="27" s="1"/>
  <c r="E627" i="27"/>
  <c r="E628" i="27" s="1"/>
  <c r="D627" i="27"/>
  <c r="D628" i="27" s="1"/>
  <c r="C627" i="27"/>
  <c r="C628" i="27" s="1"/>
  <c r="B627" i="27"/>
  <c r="I626" i="27"/>
  <c r="B626" i="27"/>
  <c r="L624" i="27"/>
  <c r="K624" i="27"/>
  <c r="J624" i="27"/>
  <c r="H624" i="27"/>
  <c r="G624" i="27"/>
  <c r="E624" i="27"/>
  <c r="D624" i="27"/>
  <c r="C624" i="27"/>
  <c r="B624" i="27"/>
  <c r="I623" i="27"/>
  <c r="B623" i="27"/>
  <c r="L621" i="27"/>
  <c r="K621" i="27"/>
  <c r="J621" i="27"/>
  <c r="H621" i="27"/>
  <c r="G621" i="27"/>
  <c r="I621" i="27" s="1"/>
  <c r="E621" i="27"/>
  <c r="D621" i="27"/>
  <c r="C621" i="27"/>
  <c r="B621" i="27"/>
  <c r="I620" i="27"/>
  <c r="B620" i="27"/>
  <c r="L618" i="27"/>
  <c r="K618" i="27"/>
  <c r="J618" i="27"/>
  <c r="H618" i="27"/>
  <c r="G618" i="27"/>
  <c r="I618" i="27" s="1"/>
  <c r="E618" i="27"/>
  <c r="D618" i="27"/>
  <c r="C618" i="27"/>
  <c r="B618" i="27"/>
  <c r="I617" i="27"/>
  <c r="B617" i="27"/>
  <c r="L615" i="27"/>
  <c r="K615" i="27"/>
  <c r="J615" i="27"/>
  <c r="H615" i="27"/>
  <c r="G615" i="27"/>
  <c r="E615" i="27"/>
  <c r="D615" i="27"/>
  <c r="C615" i="27"/>
  <c r="B615" i="27"/>
  <c r="I614" i="27"/>
  <c r="B614" i="27"/>
  <c r="B612" i="27"/>
  <c r="L611" i="27"/>
  <c r="L612" i="27" s="1"/>
  <c r="K611" i="27"/>
  <c r="K612" i="27" s="1"/>
  <c r="J611" i="27"/>
  <c r="J612" i="27" s="1"/>
  <c r="H611" i="27"/>
  <c r="I611" i="27" s="1"/>
  <c r="E611" i="27"/>
  <c r="E612" i="27" s="1"/>
  <c r="D611" i="27"/>
  <c r="D612" i="27" s="1"/>
  <c r="C611" i="27"/>
  <c r="C612" i="27" s="1"/>
  <c r="B611" i="27"/>
  <c r="I610" i="27"/>
  <c r="B610" i="27"/>
  <c r="L608" i="27"/>
  <c r="K608" i="27"/>
  <c r="J608" i="27"/>
  <c r="H608" i="27"/>
  <c r="G608" i="27"/>
  <c r="I608" i="27" s="1"/>
  <c r="E608" i="27"/>
  <c r="D608" i="27"/>
  <c r="C608" i="27"/>
  <c r="B608" i="27"/>
  <c r="I607" i="27"/>
  <c r="B607" i="27"/>
  <c r="L605" i="27"/>
  <c r="K605" i="27"/>
  <c r="J605" i="27"/>
  <c r="H605" i="27"/>
  <c r="G605" i="27"/>
  <c r="I605" i="27" s="1"/>
  <c r="E605" i="27"/>
  <c r="D605" i="27"/>
  <c r="C605" i="27"/>
  <c r="B605" i="27"/>
  <c r="I604" i="27"/>
  <c r="B604" i="27"/>
  <c r="B602" i="27"/>
  <c r="L601" i="27"/>
  <c r="L602" i="27" s="1"/>
  <c r="K601" i="27"/>
  <c r="K602" i="27" s="1"/>
  <c r="J601" i="27"/>
  <c r="J602" i="27" s="1"/>
  <c r="H601" i="27"/>
  <c r="H602" i="27" s="1"/>
  <c r="I602" i="27" s="1"/>
  <c r="E601" i="27"/>
  <c r="E602" i="27" s="1"/>
  <c r="D601" i="27"/>
  <c r="D602" i="27" s="1"/>
  <c r="C601" i="27"/>
  <c r="C602" i="27" s="1"/>
  <c r="B601" i="27"/>
  <c r="I600" i="27"/>
  <c r="B600" i="27"/>
  <c r="L598" i="27"/>
  <c r="K598" i="27"/>
  <c r="J598" i="27"/>
  <c r="H598" i="27"/>
  <c r="G598" i="27"/>
  <c r="I598" i="27" s="1"/>
  <c r="E598" i="27"/>
  <c r="D598" i="27"/>
  <c r="C598" i="27"/>
  <c r="B598" i="27"/>
  <c r="I597" i="27"/>
  <c r="B597" i="27"/>
  <c r="L595" i="27"/>
  <c r="K595" i="27"/>
  <c r="J595" i="27"/>
  <c r="H595" i="27"/>
  <c r="G595" i="27"/>
  <c r="I595" i="27" s="1"/>
  <c r="E595" i="27"/>
  <c r="D595" i="27"/>
  <c r="C595" i="27"/>
  <c r="B595" i="27"/>
  <c r="I594" i="27"/>
  <c r="B594" i="27"/>
  <c r="L592" i="27"/>
  <c r="K592" i="27"/>
  <c r="J592" i="27"/>
  <c r="H592" i="27"/>
  <c r="G592" i="27"/>
  <c r="E592" i="27"/>
  <c r="D592" i="27"/>
  <c r="C592" i="27"/>
  <c r="B592" i="27"/>
  <c r="I591" i="27"/>
  <c r="B591" i="27"/>
  <c r="L589" i="27"/>
  <c r="K589" i="27"/>
  <c r="J589" i="27"/>
  <c r="H589" i="27"/>
  <c r="G589" i="27"/>
  <c r="E589" i="27"/>
  <c r="D589" i="27"/>
  <c r="C589" i="27"/>
  <c r="B589" i="27"/>
  <c r="I588" i="27"/>
  <c r="B588" i="27"/>
  <c r="L586" i="27"/>
  <c r="K586" i="27"/>
  <c r="J586" i="27"/>
  <c r="H586" i="27"/>
  <c r="G586" i="27"/>
  <c r="E586" i="27"/>
  <c r="D586" i="27"/>
  <c r="C586" i="27"/>
  <c r="B586" i="27"/>
  <c r="I585" i="27"/>
  <c r="B585" i="27"/>
  <c r="B579" i="27"/>
  <c r="L578" i="27"/>
  <c r="L579" i="27" s="1"/>
  <c r="K578" i="27"/>
  <c r="K579" i="27" s="1"/>
  <c r="J578" i="27"/>
  <c r="J579" i="27" s="1"/>
  <c r="H578" i="27"/>
  <c r="H579" i="27" s="1"/>
  <c r="I579" i="27" s="1"/>
  <c r="E578" i="27"/>
  <c r="E579" i="27" s="1"/>
  <c r="D578" i="27"/>
  <c r="D579" i="27" s="1"/>
  <c r="C578" i="27"/>
  <c r="C579" i="27" s="1"/>
  <c r="B578" i="27"/>
  <c r="I577" i="27"/>
  <c r="B577" i="27"/>
  <c r="L575" i="27"/>
  <c r="K575" i="27"/>
  <c r="J575" i="27"/>
  <c r="H575" i="27"/>
  <c r="G575" i="27"/>
  <c r="I575" i="27" s="1"/>
  <c r="E575" i="27"/>
  <c r="D575" i="27"/>
  <c r="C575" i="27"/>
  <c r="B575" i="27"/>
  <c r="I574" i="27"/>
  <c r="B574" i="27"/>
  <c r="L572" i="27"/>
  <c r="K572" i="27"/>
  <c r="J572" i="27"/>
  <c r="H572" i="27"/>
  <c r="G572" i="27"/>
  <c r="I572" i="27" s="1"/>
  <c r="E572" i="27"/>
  <c r="D572" i="27"/>
  <c r="C572" i="27"/>
  <c r="B572" i="27"/>
  <c r="I571" i="27"/>
  <c r="B571" i="27"/>
  <c r="L569" i="27"/>
  <c r="K569" i="27"/>
  <c r="J569" i="27"/>
  <c r="H569" i="27"/>
  <c r="G569" i="27"/>
  <c r="E569" i="27"/>
  <c r="D569" i="27"/>
  <c r="C569" i="27"/>
  <c r="B569" i="27"/>
  <c r="I568" i="27"/>
  <c r="B568" i="27"/>
  <c r="L566" i="27"/>
  <c r="K566" i="27"/>
  <c r="J566" i="27"/>
  <c r="H566" i="27"/>
  <c r="G566" i="27"/>
  <c r="I566" i="27" s="1"/>
  <c r="E566" i="27"/>
  <c r="D566" i="27"/>
  <c r="C566" i="27"/>
  <c r="B566" i="27"/>
  <c r="I565" i="27"/>
  <c r="B565" i="27"/>
  <c r="H563" i="27"/>
  <c r="I563" i="27" s="1"/>
  <c r="B563" i="27"/>
  <c r="L562" i="27"/>
  <c r="L563" i="27" s="1"/>
  <c r="K562" i="27"/>
  <c r="K563" i="27" s="1"/>
  <c r="J562" i="27"/>
  <c r="J563" i="27" s="1"/>
  <c r="I562" i="27"/>
  <c r="E562" i="27"/>
  <c r="E563" i="27" s="1"/>
  <c r="D562" i="27"/>
  <c r="D563" i="27" s="1"/>
  <c r="C562" i="27"/>
  <c r="C563" i="27" s="1"/>
  <c r="B562" i="27"/>
  <c r="I561" i="27"/>
  <c r="B561" i="27"/>
  <c r="I559" i="27"/>
  <c r="E559" i="27"/>
  <c r="D559" i="27"/>
  <c r="C559" i="27"/>
  <c r="B559" i="27"/>
  <c r="I558" i="27"/>
  <c r="B558" i="27"/>
  <c r="I556" i="27"/>
  <c r="B556" i="27"/>
  <c r="I555" i="27"/>
  <c r="B555" i="27"/>
  <c r="I554" i="27"/>
  <c r="E554" i="27"/>
  <c r="E555" i="27" s="1"/>
  <c r="E556" i="27" s="1"/>
  <c r="D554" i="27"/>
  <c r="D555" i="27" s="1"/>
  <c r="D556" i="27" s="1"/>
  <c r="C554" i="27"/>
  <c r="C555" i="27" s="1"/>
  <c r="C556" i="27" s="1"/>
  <c r="B554" i="27"/>
  <c r="J553" i="27"/>
  <c r="J554" i="27" s="1"/>
  <c r="J555" i="27" s="1"/>
  <c r="J556" i="27" s="1"/>
  <c r="B553" i="27"/>
  <c r="L551" i="27"/>
  <c r="K551" i="27"/>
  <c r="J551" i="27"/>
  <c r="H551" i="27"/>
  <c r="G551" i="27"/>
  <c r="I551" i="27" s="1"/>
  <c r="E551" i="27"/>
  <c r="D551" i="27"/>
  <c r="C551" i="27"/>
  <c r="B551" i="27"/>
  <c r="I550" i="27"/>
  <c r="B550" i="27"/>
  <c r="L548" i="27"/>
  <c r="K548" i="27"/>
  <c r="J548" i="27"/>
  <c r="G548" i="27"/>
  <c r="I548" i="27" s="1"/>
  <c r="E548" i="27"/>
  <c r="D548" i="27"/>
  <c r="C548" i="27"/>
  <c r="B548" i="27"/>
  <c r="I547" i="27"/>
  <c r="B547" i="27"/>
  <c r="H545" i="27"/>
  <c r="I545" i="27" s="1"/>
  <c r="B545" i="27"/>
  <c r="L544" i="27"/>
  <c r="L545" i="27" s="1"/>
  <c r="K544" i="27"/>
  <c r="K545" i="27" s="1"/>
  <c r="J544" i="27"/>
  <c r="J545" i="27" s="1"/>
  <c r="I544" i="27"/>
  <c r="E544" i="27"/>
  <c r="E545" i="27" s="1"/>
  <c r="D544" i="27"/>
  <c r="D545" i="27" s="1"/>
  <c r="C544" i="27"/>
  <c r="C545" i="27" s="1"/>
  <c r="B544" i="27"/>
  <c r="I543" i="27"/>
  <c r="B543" i="27"/>
  <c r="H541" i="27"/>
  <c r="I541" i="27" s="1"/>
  <c r="B541" i="27"/>
  <c r="L540" i="27"/>
  <c r="L541" i="27" s="1"/>
  <c r="K540" i="27"/>
  <c r="K541" i="27" s="1"/>
  <c r="J540" i="27"/>
  <c r="J541" i="27" s="1"/>
  <c r="I540" i="27"/>
  <c r="E540" i="27"/>
  <c r="E541" i="27" s="1"/>
  <c r="D540" i="27"/>
  <c r="D541" i="27" s="1"/>
  <c r="C540" i="27"/>
  <c r="C541" i="27" s="1"/>
  <c r="B540" i="27"/>
  <c r="I539" i="27"/>
  <c r="B539" i="27"/>
  <c r="L537" i="27"/>
  <c r="G537" i="27"/>
  <c r="I537" i="27" s="1"/>
  <c r="E537" i="27"/>
  <c r="D537" i="27"/>
  <c r="C537" i="27"/>
  <c r="B537" i="27"/>
  <c r="I536" i="27"/>
  <c r="B536" i="27"/>
  <c r="L534" i="27"/>
  <c r="G534" i="27"/>
  <c r="I534" i="27" s="1"/>
  <c r="E534" i="27"/>
  <c r="D534" i="27"/>
  <c r="C534" i="27"/>
  <c r="B534" i="27"/>
  <c r="I533" i="27"/>
  <c r="B533" i="27"/>
  <c r="L531" i="27"/>
  <c r="G531" i="27"/>
  <c r="I531" i="27" s="1"/>
  <c r="E531" i="27"/>
  <c r="D531" i="27"/>
  <c r="C531" i="27"/>
  <c r="B531" i="27"/>
  <c r="I530" i="27"/>
  <c r="B530" i="27"/>
  <c r="L528" i="27"/>
  <c r="K528" i="27"/>
  <c r="J528" i="27"/>
  <c r="H528" i="27"/>
  <c r="G528" i="27"/>
  <c r="I528" i="27" s="1"/>
  <c r="E528" i="27"/>
  <c r="D528" i="27"/>
  <c r="C528" i="27"/>
  <c r="B528" i="27"/>
  <c r="I527" i="27"/>
  <c r="B527" i="27"/>
  <c r="L525" i="27"/>
  <c r="G525" i="27"/>
  <c r="I525" i="27" s="1"/>
  <c r="E525" i="27"/>
  <c r="D525" i="27"/>
  <c r="C525" i="27"/>
  <c r="B525" i="27"/>
  <c r="I524" i="27"/>
  <c r="B524" i="27"/>
  <c r="G522" i="27"/>
  <c r="I522" i="27" s="1"/>
  <c r="B522" i="27"/>
  <c r="K521" i="27"/>
  <c r="K522" i="27" s="1"/>
  <c r="J521" i="27"/>
  <c r="J522" i="27" s="1"/>
  <c r="I521" i="27"/>
  <c r="E521" i="27"/>
  <c r="E522" i="27" s="1"/>
  <c r="D521" i="27"/>
  <c r="D522" i="27" s="1"/>
  <c r="C521" i="27"/>
  <c r="C522" i="27" s="1"/>
  <c r="B521" i="27"/>
  <c r="I520" i="27"/>
  <c r="B520" i="27"/>
  <c r="AE46" i="1" l="1"/>
  <c r="AE32" i="1"/>
  <c r="AE18" i="1"/>
  <c r="AD32" i="1"/>
  <c r="AD18" i="1"/>
  <c r="AE31" i="1"/>
  <c r="AE17" i="1"/>
  <c r="AD45" i="1"/>
  <c r="AD31" i="1"/>
  <c r="AD17" i="1"/>
  <c r="AD16" i="1"/>
  <c r="AE43" i="1"/>
  <c r="AD66" i="1"/>
  <c r="AD29" i="1"/>
  <c r="AE42" i="1"/>
  <c r="AE14" i="1"/>
  <c r="AD42" i="1"/>
  <c r="AD14" i="1"/>
  <c r="AE41" i="1"/>
  <c r="AE13" i="1"/>
  <c r="AD27" i="1"/>
  <c r="AE63" i="1"/>
  <c r="AE26" i="1"/>
  <c r="AD63" i="1"/>
  <c r="AD26" i="1"/>
  <c r="AE62" i="1"/>
  <c r="AE11" i="1"/>
  <c r="AD39" i="1"/>
  <c r="AD11" i="1"/>
  <c r="AE61" i="1"/>
  <c r="AE24" i="1"/>
  <c r="AE35" i="1"/>
  <c r="AD21" i="1"/>
  <c r="AE48" i="1"/>
  <c r="AD48" i="1"/>
  <c r="AE47" i="1"/>
  <c r="AD47" i="1"/>
  <c r="AD46" i="1"/>
  <c r="AE45" i="1"/>
  <c r="AE7" i="1"/>
  <c r="AE67" i="1"/>
  <c r="AE44" i="1"/>
  <c r="AE30" i="1"/>
  <c r="AE16" i="1"/>
  <c r="AD44" i="1"/>
  <c r="AD30" i="1"/>
  <c r="AE66" i="1"/>
  <c r="AE15" i="1"/>
  <c r="AD43" i="1"/>
  <c r="AD15" i="1"/>
  <c r="AE65" i="1"/>
  <c r="AE28" i="1"/>
  <c r="AD28" i="1"/>
  <c r="AE64" i="1"/>
  <c r="AE27" i="1"/>
  <c r="AD41" i="1"/>
  <c r="AD13" i="1"/>
  <c r="AE40" i="1"/>
  <c r="AE12" i="1"/>
  <c r="AD40" i="1"/>
  <c r="AD12" i="1"/>
  <c r="AE39" i="1"/>
  <c r="AE25" i="1"/>
  <c r="AD62" i="1"/>
  <c r="AD25" i="1"/>
  <c r="AE38" i="1"/>
  <c r="AE10" i="1"/>
  <c r="AD58" i="1"/>
  <c r="AD7" i="1"/>
  <c r="AE20" i="1"/>
  <c r="AD20" i="1"/>
  <c r="AE33" i="1"/>
  <c r="AD33" i="1"/>
  <c r="AD67" i="1"/>
  <c r="AE29" i="1"/>
  <c r="AD65" i="1"/>
  <c r="AD64" i="1"/>
  <c r="AD61" i="1"/>
  <c r="AD38" i="1"/>
  <c r="AD24" i="1"/>
  <c r="AD10" i="1"/>
  <c r="AE60" i="1"/>
  <c r="AE37" i="1"/>
  <c r="AE23" i="1"/>
  <c r="AE9" i="1"/>
  <c r="AD60" i="1"/>
  <c r="AD37" i="1"/>
  <c r="AD23" i="1"/>
  <c r="AD9" i="1"/>
  <c r="AE59" i="1"/>
  <c r="AE36" i="1"/>
  <c r="AE22" i="1"/>
  <c r="AE8" i="1"/>
  <c r="AD59" i="1"/>
  <c r="AD36" i="1"/>
  <c r="AD22" i="1"/>
  <c r="AD8" i="1"/>
  <c r="AE58" i="1"/>
  <c r="AE21" i="1"/>
  <c r="AD35" i="1"/>
  <c r="AE34" i="1"/>
  <c r="AD34" i="1"/>
  <c r="AE19" i="1"/>
  <c r="AD19" i="1"/>
  <c r="I615" i="27"/>
  <c r="I642" i="27"/>
  <c r="I644" i="27"/>
  <c r="I586" i="27"/>
  <c r="I624" i="27"/>
  <c r="I592" i="27"/>
  <c r="H681" i="27"/>
  <c r="G681" i="27"/>
  <c r="I653" i="27"/>
  <c r="I582" i="27"/>
  <c r="I569" i="27"/>
  <c r="I589" i="27"/>
  <c r="I635" i="27"/>
  <c r="I631" i="27"/>
  <c r="I627" i="27"/>
  <c r="H612" i="27"/>
  <c r="I612" i="27" s="1"/>
  <c r="I601" i="27"/>
  <c r="I578" i="27"/>
  <c r="H553" i="27"/>
  <c r="G553" i="27"/>
  <c r="I553" i="27" s="1"/>
  <c r="K553" i="27" s="1"/>
  <c r="I681" i="27" l="1"/>
  <c r="L553" i="27"/>
  <c r="K554" i="27"/>
  <c r="K555" i="27" s="1"/>
  <c r="K556" i="27" s="1"/>
  <c r="B518" i="27" l="1"/>
  <c r="G517" i="27"/>
  <c r="I517" i="27" s="1"/>
  <c r="B517" i="27"/>
  <c r="L516" i="27"/>
  <c r="L517" i="27" s="1"/>
  <c r="I516" i="27"/>
  <c r="B516" i="27"/>
  <c r="I515" i="27"/>
  <c r="B515" i="27"/>
  <c r="L514" i="27"/>
  <c r="K514" i="27"/>
  <c r="K515" i="27" s="1"/>
  <c r="K516" i="27" s="1"/>
  <c r="K517" i="27" s="1"/>
  <c r="K518" i="27" s="1"/>
  <c r="J514" i="27"/>
  <c r="J515" i="27" s="1"/>
  <c r="J516" i="27" s="1"/>
  <c r="J517" i="27" s="1"/>
  <c r="J518" i="27" s="1"/>
  <c r="I514" i="27"/>
  <c r="E514" i="27"/>
  <c r="E515" i="27" s="1"/>
  <c r="E516" i="27" s="1"/>
  <c r="E517" i="27" s="1"/>
  <c r="E518" i="27" s="1"/>
  <c r="D514" i="27"/>
  <c r="D515" i="27" s="1"/>
  <c r="D516" i="27" s="1"/>
  <c r="D517" i="27" s="1"/>
  <c r="D518" i="27" s="1"/>
  <c r="C514" i="27"/>
  <c r="C515" i="27" s="1"/>
  <c r="C516" i="27" s="1"/>
  <c r="C517" i="27" s="1"/>
  <c r="C518" i="27" s="1"/>
  <c r="B514" i="27"/>
  <c r="I513" i="27"/>
  <c r="B513" i="27"/>
  <c r="L511" i="27"/>
  <c r="K511" i="27"/>
  <c r="J511" i="27"/>
  <c r="G511" i="27"/>
  <c r="I511" i="27" s="1"/>
  <c r="E511" i="27"/>
  <c r="D511" i="27"/>
  <c r="C511" i="27"/>
  <c r="B511" i="27"/>
  <c r="I510" i="27"/>
  <c r="B510" i="27"/>
  <c r="L508" i="27"/>
  <c r="K508" i="27"/>
  <c r="J508" i="27"/>
  <c r="H508" i="27"/>
  <c r="G508" i="27"/>
  <c r="I508" i="27" s="1"/>
  <c r="E508" i="27"/>
  <c r="D508" i="27"/>
  <c r="C508" i="27"/>
  <c r="B508" i="27"/>
  <c r="I507" i="27"/>
  <c r="B507" i="27"/>
  <c r="L505" i="27"/>
  <c r="K505" i="27"/>
  <c r="H505" i="27"/>
  <c r="I505" i="27" s="1"/>
  <c r="E505" i="27"/>
  <c r="D505" i="27"/>
  <c r="C505" i="27"/>
  <c r="B505" i="27"/>
  <c r="I504" i="27"/>
  <c r="B504" i="27"/>
  <c r="L502" i="27"/>
  <c r="K502" i="27"/>
  <c r="H502" i="27"/>
  <c r="I502" i="27" s="1"/>
  <c r="E502" i="27"/>
  <c r="D502" i="27"/>
  <c r="C502" i="27"/>
  <c r="B502" i="27"/>
  <c r="I501" i="27"/>
  <c r="B501" i="27"/>
  <c r="G499" i="27"/>
  <c r="I499" i="27" s="1"/>
  <c r="B499" i="27"/>
  <c r="K498" i="27"/>
  <c r="K499" i="27" s="1"/>
  <c r="J498" i="27"/>
  <c r="J499" i="27" s="1"/>
  <c r="I498" i="27"/>
  <c r="E498" i="27"/>
  <c r="E499" i="27" s="1"/>
  <c r="D498" i="27"/>
  <c r="D499" i="27" s="1"/>
  <c r="C498" i="27"/>
  <c r="C499" i="27" s="1"/>
  <c r="B498" i="27"/>
  <c r="I497" i="27"/>
  <c r="B497" i="27"/>
  <c r="G495" i="27"/>
  <c r="I495" i="27" s="1"/>
  <c r="B495" i="27"/>
  <c r="K494" i="27"/>
  <c r="K495" i="27" s="1"/>
  <c r="J494" i="27"/>
  <c r="J495" i="27" s="1"/>
  <c r="I494" i="27"/>
  <c r="E494" i="27"/>
  <c r="E495" i="27" s="1"/>
  <c r="D494" i="27"/>
  <c r="D495" i="27" s="1"/>
  <c r="C494" i="27"/>
  <c r="C495" i="27" s="1"/>
  <c r="B494" i="27"/>
  <c r="I493" i="27"/>
  <c r="B493" i="27"/>
  <c r="G491" i="27"/>
  <c r="I491" i="27" s="1"/>
  <c r="B491" i="27"/>
  <c r="K490" i="27"/>
  <c r="K491" i="27" s="1"/>
  <c r="J490" i="27"/>
  <c r="J491" i="27" s="1"/>
  <c r="I490" i="27"/>
  <c r="E490" i="27"/>
  <c r="E491" i="27" s="1"/>
  <c r="D490" i="27"/>
  <c r="D491" i="27" s="1"/>
  <c r="C490" i="27"/>
  <c r="C491" i="27" s="1"/>
  <c r="B490" i="27"/>
  <c r="I489" i="27"/>
  <c r="B489" i="27"/>
  <c r="L487" i="27"/>
  <c r="K487" i="27"/>
  <c r="J487" i="27"/>
  <c r="G487" i="27"/>
  <c r="I487" i="27" s="1"/>
  <c r="E487" i="27"/>
  <c r="D487" i="27"/>
  <c r="C487" i="27"/>
  <c r="B487" i="27"/>
  <c r="I486" i="27"/>
  <c r="B486" i="27"/>
  <c r="L484" i="27"/>
  <c r="K484" i="27"/>
  <c r="J484" i="27"/>
  <c r="H484" i="27"/>
  <c r="G484" i="27"/>
  <c r="I484" i="27" s="1"/>
  <c r="E484" i="27"/>
  <c r="D484" i="27"/>
  <c r="C484" i="27"/>
  <c r="B484" i="27"/>
  <c r="I483" i="27"/>
  <c r="B483" i="27"/>
  <c r="B464" i="27"/>
  <c r="L463" i="27"/>
  <c r="L464" i="27" s="1"/>
  <c r="K463" i="27"/>
  <c r="K464" i="27" s="1"/>
  <c r="J463" i="27"/>
  <c r="J464" i="27" s="1"/>
  <c r="H463" i="27"/>
  <c r="H464" i="27" s="1"/>
  <c r="I464" i="27" s="1"/>
  <c r="E463" i="27"/>
  <c r="E464" i="27" s="1"/>
  <c r="D463" i="27"/>
  <c r="D464" i="27" s="1"/>
  <c r="C463" i="27"/>
  <c r="C464" i="27" s="1"/>
  <c r="B463" i="27"/>
  <c r="I462" i="27"/>
  <c r="B462" i="27"/>
  <c r="B460" i="27"/>
  <c r="L459" i="27"/>
  <c r="L460" i="27" s="1"/>
  <c r="K459" i="27"/>
  <c r="K460" i="27" s="1"/>
  <c r="J459" i="27"/>
  <c r="J460" i="27" s="1"/>
  <c r="H459" i="27"/>
  <c r="I459" i="27" s="1"/>
  <c r="E459" i="27"/>
  <c r="E460" i="27" s="1"/>
  <c r="D459" i="27"/>
  <c r="D460" i="27" s="1"/>
  <c r="C459" i="27"/>
  <c r="C460" i="27" s="1"/>
  <c r="B459" i="27"/>
  <c r="I458" i="27"/>
  <c r="B458" i="27"/>
  <c r="B456" i="27"/>
  <c r="L455" i="27"/>
  <c r="L456" i="27" s="1"/>
  <c r="K455" i="27"/>
  <c r="K456" i="27" s="1"/>
  <c r="J455" i="27"/>
  <c r="J456" i="27" s="1"/>
  <c r="H455" i="27"/>
  <c r="H456" i="27" s="1"/>
  <c r="I456" i="27" s="1"/>
  <c r="E455" i="27"/>
  <c r="E456" i="27" s="1"/>
  <c r="D455" i="27"/>
  <c r="D456" i="27" s="1"/>
  <c r="C455" i="27"/>
  <c r="C456" i="27" s="1"/>
  <c r="B455" i="27"/>
  <c r="I454" i="27"/>
  <c r="B454" i="27"/>
  <c r="L452" i="27"/>
  <c r="K452" i="27"/>
  <c r="J452" i="27"/>
  <c r="H452" i="27"/>
  <c r="G452" i="27"/>
  <c r="I452" i="27" s="1"/>
  <c r="E452" i="27"/>
  <c r="D452" i="27"/>
  <c r="C452" i="27"/>
  <c r="B452" i="27"/>
  <c r="I451" i="27"/>
  <c r="B451" i="27"/>
  <c r="B449" i="27"/>
  <c r="L448" i="27"/>
  <c r="L449" i="27" s="1"/>
  <c r="K448" i="27"/>
  <c r="K449" i="27" s="1"/>
  <c r="J448" i="27"/>
  <c r="J449" i="27" s="1"/>
  <c r="H449" i="27"/>
  <c r="I449" i="27" s="1"/>
  <c r="E448" i="27"/>
  <c r="E449" i="27" s="1"/>
  <c r="D448" i="27"/>
  <c r="D449" i="27" s="1"/>
  <c r="C448" i="27"/>
  <c r="C449" i="27" s="1"/>
  <c r="B448" i="27"/>
  <c r="I447" i="27"/>
  <c r="B447" i="27"/>
  <c r="B445" i="27"/>
  <c r="L444" i="27"/>
  <c r="L445" i="27" s="1"/>
  <c r="K444" i="27"/>
  <c r="K445" i="27" s="1"/>
  <c r="J444" i="27"/>
  <c r="J445" i="27" s="1"/>
  <c r="H444" i="27"/>
  <c r="H445" i="27" s="1"/>
  <c r="I445" i="27" s="1"/>
  <c r="E444" i="27"/>
  <c r="E445" i="27" s="1"/>
  <c r="D444" i="27"/>
  <c r="D445" i="27" s="1"/>
  <c r="C444" i="27"/>
  <c r="C445" i="27" s="1"/>
  <c r="B444" i="27"/>
  <c r="I443" i="27"/>
  <c r="B443" i="27"/>
  <c r="B441" i="27"/>
  <c r="L440" i="27"/>
  <c r="L441" i="27" s="1"/>
  <c r="K440" i="27"/>
  <c r="K441" i="27" s="1"/>
  <c r="J440" i="27"/>
  <c r="J441" i="27" s="1"/>
  <c r="H440" i="27"/>
  <c r="H441" i="27" s="1"/>
  <c r="I441" i="27" s="1"/>
  <c r="E440" i="27"/>
  <c r="E441" i="27" s="1"/>
  <c r="D440" i="27"/>
  <c r="D441" i="27" s="1"/>
  <c r="C440" i="27"/>
  <c r="C441" i="27" s="1"/>
  <c r="B440" i="27"/>
  <c r="I439" i="27"/>
  <c r="B439" i="27"/>
  <c r="L437" i="27"/>
  <c r="K437" i="27"/>
  <c r="J437" i="27"/>
  <c r="H437" i="27"/>
  <c r="G437" i="27"/>
  <c r="I437" i="27" s="1"/>
  <c r="E437" i="27"/>
  <c r="D437" i="27"/>
  <c r="C437" i="27"/>
  <c r="B437" i="27"/>
  <c r="I436" i="27"/>
  <c r="B436" i="27"/>
  <c r="L434" i="27"/>
  <c r="K434" i="27"/>
  <c r="J434" i="27"/>
  <c r="H434" i="27"/>
  <c r="G434" i="27"/>
  <c r="I434" i="27" s="1"/>
  <c r="E434" i="27"/>
  <c r="D434" i="27"/>
  <c r="C434" i="27"/>
  <c r="B434" i="27"/>
  <c r="I433" i="27"/>
  <c r="B433" i="27"/>
  <c r="B431" i="27"/>
  <c r="L430" i="27"/>
  <c r="L431" i="27" s="1"/>
  <c r="K430" i="27"/>
  <c r="K431" i="27" s="1"/>
  <c r="J430" i="27"/>
  <c r="J431" i="27" s="1"/>
  <c r="I430" i="27"/>
  <c r="E430" i="27"/>
  <c r="E431" i="27" s="1"/>
  <c r="D430" i="27"/>
  <c r="D431" i="27" s="1"/>
  <c r="C430" i="27"/>
  <c r="C431" i="27" s="1"/>
  <c r="B430" i="27"/>
  <c r="I429" i="27"/>
  <c r="B429" i="27"/>
  <c r="B427" i="27"/>
  <c r="L426" i="27"/>
  <c r="L427" i="27" s="1"/>
  <c r="K426" i="27"/>
  <c r="K427" i="27" s="1"/>
  <c r="J426" i="27"/>
  <c r="J427" i="27" s="1"/>
  <c r="H426" i="27"/>
  <c r="H427" i="27" s="1"/>
  <c r="I427" i="27" s="1"/>
  <c r="E426" i="27"/>
  <c r="E427" i="27" s="1"/>
  <c r="D426" i="27"/>
  <c r="D427" i="27" s="1"/>
  <c r="C426" i="27"/>
  <c r="C427" i="27" s="1"/>
  <c r="B426" i="27"/>
  <c r="I425" i="27"/>
  <c r="B425" i="27"/>
  <c r="B423" i="27"/>
  <c r="L422" i="27"/>
  <c r="L423" i="27" s="1"/>
  <c r="K422" i="27"/>
  <c r="K423" i="27" s="1"/>
  <c r="J422" i="27"/>
  <c r="J423" i="27" s="1"/>
  <c r="H422" i="27"/>
  <c r="H423" i="27" s="1"/>
  <c r="I423" i="27" s="1"/>
  <c r="E422" i="27"/>
  <c r="E423" i="27" s="1"/>
  <c r="D422" i="27"/>
  <c r="D423" i="27" s="1"/>
  <c r="C422" i="27"/>
  <c r="C423" i="27" s="1"/>
  <c r="B422" i="27"/>
  <c r="I421" i="27"/>
  <c r="B421" i="27"/>
  <c r="B419" i="27"/>
  <c r="L418" i="27"/>
  <c r="L419" i="27" s="1"/>
  <c r="K418" i="27"/>
  <c r="K419" i="27" s="1"/>
  <c r="J418" i="27"/>
  <c r="J419" i="27" s="1"/>
  <c r="H418" i="27"/>
  <c r="H419" i="27" s="1"/>
  <c r="I419" i="27" s="1"/>
  <c r="E418" i="27"/>
  <c r="E419" i="27" s="1"/>
  <c r="D418" i="27"/>
  <c r="D419" i="27" s="1"/>
  <c r="C418" i="27"/>
  <c r="C419" i="27" s="1"/>
  <c r="B418" i="27"/>
  <c r="I417" i="27"/>
  <c r="B417" i="27"/>
  <c r="B340" i="27"/>
  <c r="L339" i="27"/>
  <c r="L340" i="27" s="1"/>
  <c r="K339" i="27"/>
  <c r="K340" i="27" s="1"/>
  <c r="J339" i="27"/>
  <c r="J340" i="27" s="1"/>
  <c r="I340" i="27"/>
  <c r="E339" i="27"/>
  <c r="E340" i="27" s="1"/>
  <c r="D339" i="27"/>
  <c r="D340" i="27" s="1"/>
  <c r="C339" i="27"/>
  <c r="C340" i="27" s="1"/>
  <c r="B339" i="27"/>
  <c r="I338" i="27"/>
  <c r="B338" i="27"/>
  <c r="B336" i="27"/>
  <c r="L335" i="27"/>
  <c r="L336" i="27" s="1"/>
  <c r="K335" i="27"/>
  <c r="K336" i="27" s="1"/>
  <c r="J335" i="27"/>
  <c r="J336" i="27" s="1"/>
  <c r="H335" i="27"/>
  <c r="H336" i="27" s="1"/>
  <c r="I336" i="27" s="1"/>
  <c r="E335" i="27"/>
  <c r="E336" i="27" s="1"/>
  <c r="D335" i="27"/>
  <c r="D336" i="27" s="1"/>
  <c r="C335" i="27"/>
  <c r="C336" i="27" s="1"/>
  <c r="B335" i="27"/>
  <c r="I334" i="27"/>
  <c r="B334" i="27"/>
  <c r="B332" i="27"/>
  <c r="L331" i="27"/>
  <c r="L332" i="27" s="1"/>
  <c r="K331" i="27"/>
  <c r="K332" i="27" s="1"/>
  <c r="J331" i="27"/>
  <c r="J332" i="27" s="1"/>
  <c r="H331" i="27"/>
  <c r="I331" i="27" s="1"/>
  <c r="E331" i="27"/>
  <c r="E332" i="27" s="1"/>
  <c r="D331" i="27"/>
  <c r="D332" i="27" s="1"/>
  <c r="C331" i="27"/>
  <c r="C332" i="27" s="1"/>
  <c r="B331" i="27"/>
  <c r="I330" i="27"/>
  <c r="B330" i="27"/>
  <c r="L328" i="27"/>
  <c r="K328" i="27"/>
  <c r="J328" i="27"/>
  <c r="H328" i="27"/>
  <c r="G328" i="27"/>
  <c r="I328" i="27" s="1"/>
  <c r="E328" i="27"/>
  <c r="D328" i="27"/>
  <c r="C328" i="27"/>
  <c r="B328" i="27"/>
  <c r="I327" i="27"/>
  <c r="B327" i="27"/>
  <c r="B325" i="27"/>
  <c r="L324" i="27"/>
  <c r="L325" i="27" s="1"/>
  <c r="K324" i="27"/>
  <c r="K325" i="27" s="1"/>
  <c r="J324" i="27"/>
  <c r="J325" i="27" s="1"/>
  <c r="H324" i="27"/>
  <c r="H325" i="27" s="1"/>
  <c r="I325" i="27" s="1"/>
  <c r="E324" i="27"/>
  <c r="E325" i="27" s="1"/>
  <c r="D324" i="27"/>
  <c r="D325" i="27" s="1"/>
  <c r="C324" i="27"/>
  <c r="C325" i="27" s="1"/>
  <c r="B324" i="27"/>
  <c r="I323" i="27"/>
  <c r="B323" i="27"/>
  <c r="G321" i="27"/>
  <c r="I321" i="27" s="1"/>
  <c r="L321" i="27"/>
  <c r="K321" i="27"/>
  <c r="J321" i="27"/>
  <c r="H321" i="27"/>
  <c r="E321" i="27"/>
  <c r="D321" i="27"/>
  <c r="C321" i="27"/>
  <c r="B321" i="27"/>
  <c r="I320" i="27"/>
  <c r="B320" i="27"/>
  <c r="L318" i="27"/>
  <c r="K318" i="27"/>
  <c r="J318" i="27"/>
  <c r="H318" i="27"/>
  <c r="G318" i="27"/>
  <c r="I318" i="27" s="1"/>
  <c r="E318" i="27"/>
  <c r="D318" i="27"/>
  <c r="C318" i="27"/>
  <c r="B318" i="27"/>
  <c r="I317" i="27"/>
  <c r="B317" i="27"/>
  <c r="L315" i="27"/>
  <c r="K315" i="27"/>
  <c r="J315" i="27"/>
  <c r="H315" i="27"/>
  <c r="G315" i="27"/>
  <c r="I315" i="27" s="1"/>
  <c r="E315" i="27"/>
  <c r="D315" i="27"/>
  <c r="C315" i="27"/>
  <c r="B315" i="27"/>
  <c r="I314" i="27"/>
  <c r="B314" i="27"/>
  <c r="L236" i="27"/>
  <c r="K236" i="27"/>
  <c r="J236" i="27"/>
  <c r="H236" i="27"/>
  <c r="G236" i="27"/>
  <c r="E236" i="27"/>
  <c r="D236" i="27"/>
  <c r="C236" i="27"/>
  <c r="B236" i="27"/>
  <c r="I235" i="27"/>
  <c r="B235" i="27"/>
  <c r="B312" i="27"/>
  <c r="L311" i="27"/>
  <c r="L312" i="27" s="1"/>
  <c r="K311" i="27"/>
  <c r="K312" i="27" s="1"/>
  <c r="J311" i="27"/>
  <c r="J312" i="27" s="1"/>
  <c r="H311" i="27"/>
  <c r="H312" i="27" s="1"/>
  <c r="I312" i="27" s="1"/>
  <c r="E311" i="27"/>
  <c r="E312" i="27" s="1"/>
  <c r="D311" i="27"/>
  <c r="D312" i="27" s="1"/>
  <c r="C311" i="27"/>
  <c r="C312" i="27" s="1"/>
  <c r="B311" i="27"/>
  <c r="I310" i="27"/>
  <c r="B310" i="27"/>
  <c r="B308" i="27"/>
  <c r="L307" i="27"/>
  <c r="L308" i="27" s="1"/>
  <c r="K307" i="27"/>
  <c r="K308" i="27" s="1"/>
  <c r="J307" i="27"/>
  <c r="J308" i="27" s="1"/>
  <c r="H307" i="27"/>
  <c r="H308" i="27" s="1"/>
  <c r="I308" i="27" s="1"/>
  <c r="E307" i="27"/>
  <c r="E308" i="27" s="1"/>
  <c r="D307" i="27"/>
  <c r="D308" i="27" s="1"/>
  <c r="C307" i="27"/>
  <c r="C308" i="27" s="1"/>
  <c r="B307" i="27"/>
  <c r="I306" i="27"/>
  <c r="B306" i="27"/>
  <c r="B304" i="27"/>
  <c r="L303" i="27"/>
  <c r="L304" i="27" s="1"/>
  <c r="K303" i="27"/>
  <c r="K304" i="27" s="1"/>
  <c r="J303" i="27"/>
  <c r="J304" i="27" s="1"/>
  <c r="H303" i="27"/>
  <c r="I303" i="27" s="1"/>
  <c r="E303" i="27"/>
  <c r="E304" i="27" s="1"/>
  <c r="D303" i="27"/>
  <c r="D304" i="27" s="1"/>
  <c r="C303" i="27"/>
  <c r="C304" i="27" s="1"/>
  <c r="B303" i="27"/>
  <c r="I302" i="27"/>
  <c r="B302" i="27"/>
  <c r="G259" i="27"/>
  <c r="G261" i="27"/>
  <c r="H97" i="26"/>
  <c r="H107" i="26"/>
  <c r="H518" i="27" l="1"/>
  <c r="G518" i="27"/>
  <c r="I518" i="27" s="1"/>
  <c r="I463" i="27"/>
  <c r="I236" i="27"/>
  <c r="H460" i="27"/>
  <c r="I460" i="27" s="1"/>
  <c r="I455" i="27"/>
  <c r="I448" i="27"/>
  <c r="I444" i="27"/>
  <c r="I440" i="27"/>
  <c r="H431" i="27"/>
  <c r="I431" i="27" s="1"/>
  <c r="I426" i="27"/>
  <c r="I422" i="27"/>
  <c r="I418" i="27"/>
  <c r="I339" i="27"/>
  <c r="I335" i="27"/>
  <c r="H332" i="27"/>
  <c r="I332" i="27" s="1"/>
  <c r="I324" i="27"/>
  <c r="I311" i="27"/>
  <c r="I307" i="27"/>
  <c r="H304" i="27"/>
  <c r="I304" i="27" s="1"/>
  <c r="B233" i="27" l="1"/>
  <c r="L232" i="27"/>
  <c r="L233" i="27" s="1"/>
  <c r="K232" i="27"/>
  <c r="K233" i="27" s="1"/>
  <c r="J232" i="27"/>
  <c r="J233" i="27" s="1"/>
  <c r="H232" i="27"/>
  <c r="H233" i="27" s="1"/>
  <c r="I233" i="27" s="1"/>
  <c r="E232" i="27"/>
  <c r="E233" i="27" s="1"/>
  <c r="D232" i="27"/>
  <c r="D233" i="27" s="1"/>
  <c r="C232" i="27"/>
  <c r="C233" i="27" s="1"/>
  <c r="B232" i="27"/>
  <c r="I231" i="27"/>
  <c r="B231" i="27"/>
  <c r="B229" i="27"/>
  <c r="L228" i="27"/>
  <c r="L229" i="27" s="1"/>
  <c r="K228" i="27"/>
  <c r="K229" i="27" s="1"/>
  <c r="J228" i="27"/>
  <c r="J229" i="27" s="1"/>
  <c r="H228" i="27"/>
  <c r="I228" i="27" s="1"/>
  <c r="E228" i="27"/>
  <c r="E229" i="27" s="1"/>
  <c r="D228" i="27"/>
  <c r="D229" i="27" s="1"/>
  <c r="C228" i="27"/>
  <c r="C229" i="27" s="1"/>
  <c r="B228" i="27"/>
  <c r="I227" i="27"/>
  <c r="B227" i="27"/>
  <c r="B225" i="27"/>
  <c r="L224" i="27"/>
  <c r="L225" i="27" s="1"/>
  <c r="K224" i="27"/>
  <c r="K225" i="27" s="1"/>
  <c r="J224" i="27"/>
  <c r="J225" i="27" s="1"/>
  <c r="H224" i="27"/>
  <c r="H225" i="27" s="1"/>
  <c r="I225" i="27" s="1"/>
  <c r="E224" i="27"/>
  <c r="E225" i="27" s="1"/>
  <c r="D224" i="27"/>
  <c r="D225" i="27" s="1"/>
  <c r="C224" i="27"/>
  <c r="C225" i="27" s="1"/>
  <c r="B224" i="27"/>
  <c r="I223" i="27"/>
  <c r="B223" i="27"/>
  <c r="B221" i="27"/>
  <c r="L220" i="27"/>
  <c r="L221" i="27" s="1"/>
  <c r="K220" i="27"/>
  <c r="K221" i="27" s="1"/>
  <c r="J220" i="27"/>
  <c r="J221" i="27" s="1"/>
  <c r="H220" i="27"/>
  <c r="H221" i="27" s="1"/>
  <c r="I221" i="27" s="1"/>
  <c r="E220" i="27"/>
  <c r="E221" i="27" s="1"/>
  <c r="D220" i="27"/>
  <c r="D221" i="27" s="1"/>
  <c r="C220" i="27"/>
  <c r="C221" i="27" s="1"/>
  <c r="B220" i="27"/>
  <c r="I219" i="27"/>
  <c r="B219" i="27"/>
  <c r="L217" i="27"/>
  <c r="K217" i="27"/>
  <c r="J217" i="27"/>
  <c r="H217" i="27"/>
  <c r="G217" i="27"/>
  <c r="I217" i="27" s="1"/>
  <c r="E217" i="27"/>
  <c r="D217" i="27"/>
  <c r="C217" i="27"/>
  <c r="B217" i="27"/>
  <c r="I216" i="27"/>
  <c r="B216" i="27"/>
  <c r="H213" i="27"/>
  <c r="I213" i="27" s="1"/>
  <c r="B214" i="27"/>
  <c r="L213" i="27"/>
  <c r="L214" i="27" s="1"/>
  <c r="K213" i="27"/>
  <c r="K214" i="27" s="1"/>
  <c r="J213" i="27"/>
  <c r="J214" i="27" s="1"/>
  <c r="E213" i="27"/>
  <c r="E214" i="27" s="1"/>
  <c r="D213" i="27"/>
  <c r="D214" i="27" s="1"/>
  <c r="C213" i="27"/>
  <c r="C214" i="27" s="1"/>
  <c r="B213" i="27"/>
  <c r="I212" i="27"/>
  <c r="B212" i="27"/>
  <c r="H214" i="27" l="1"/>
  <c r="I214" i="27" s="1"/>
  <c r="I232" i="27"/>
  <c r="H229" i="27"/>
  <c r="I229" i="27" s="1"/>
  <c r="I224" i="27"/>
  <c r="I220" i="27"/>
  <c r="B210" i="27" l="1"/>
  <c r="L209" i="27"/>
  <c r="L210" i="27" s="1"/>
  <c r="K209" i="27"/>
  <c r="K210" i="27" s="1"/>
  <c r="J209" i="27"/>
  <c r="J210" i="27" s="1"/>
  <c r="H210" i="27"/>
  <c r="I210" i="27" s="1"/>
  <c r="E209" i="27"/>
  <c r="E210" i="27" s="1"/>
  <c r="D209" i="27"/>
  <c r="D210" i="27" s="1"/>
  <c r="C209" i="27"/>
  <c r="C210" i="27" s="1"/>
  <c r="B209" i="27"/>
  <c r="I208" i="27"/>
  <c r="B208" i="27"/>
  <c r="I209" i="27" l="1"/>
  <c r="L158" i="27" l="1"/>
  <c r="K158" i="27"/>
  <c r="J158" i="27"/>
  <c r="H158" i="27"/>
  <c r="G158" i="27"/>
  <c r="E158" i="27"/>
  <c r="D158" i="27"/>
  <c r="C158" i="27"/>
  <c r="B158" i="27"/>
  <c r="I157" i="27"/>
  <c r="B157" i="27"/>
  <c r="H155" i="27"/>
  <c r="I155" i="27" s="1"/>
  <c r="B155" i="27"/>
  <c r="K154" i="27"/>
  <c r="K155" i="27" s="1"/>
  <c r="J154" i="27"/>
  <c r="G154" i="27"/>
  <c r="I154" i="27" s="1"/>
  <c r="E154" i="27"/>
  <c r="E155" i="27" s="1"/>
  <c r="D154" i="27"/>
  <c r="D155" i="27" s="1"/>
  <c r="C154" i="27"/>
  <c r="C155" i="27" s="1"/>
  <c r="B154" i="27"/>
  <c r="I153" i="27"/>
  <c r="B153" i="27"/>
  <c r="H151" i="27"/>
  <c r="I151" i="27" s="1"/>
  <c r="B151" i="27"/>
  <c r="K150" i="27"/>
  <c r="K151" i="27" s="1"/>
  <c r="J150" i="27"/>
  <c r="G150" i="27"/>
  <c r="I150" i="27" s="1"/>
  <c r="E150" i="27"/>
  <c r="E151" i="27" s="1"/>
  <c r="D150" i="27"/>
  <c r="D151" i="27" s="1"/>
  <c r="C150" i="27"/>
  <c r="C151" i="27" s="1"/>
  <c r="B150" i="27"/>
  <c r="I149" i="27"/>
  <c r="B149" i="27"/>
  <c r="H147" i="27"/>
  <c r="I147" i="27" s="1"/>
  <c r="B147" i="27"/>
  <c r="K146" i="27"/>
  <c r="K147" i="27" s="1"/>
  <c r="J146" i="27"/>
  <c r="G146" i="27"/>
  <c r="I146" i="27" s="1"/>
  <c r="E146" i="27"/>
  <c r="E147" i="27" s="1"/>
  <c r="D146" i="27"/>
  <c r="D147" i="27" s="1"/>
  <c r="C146" i="27"/>
  <c r="C147" i="27" s="1"/>
  <c r="B146" i="27"/>
  <c r="I145" i="27"/>
  <c r="B145" i="27"/>
  <c r="B143" i="27"/>
  <c r="K142" i="27"/>
  <c r="J142" i="27"/>
  <c r="H142" i="27"/>
  <c r="G142" i="27"/>
  <c r="E142" i="27"/>
  <c r="E143" i="27" s="1"/>
  <c r="D142" i="27"/>
  <c r="D143" i="27" s="1"/>
  <c r="C142" i="27"/>
  <c r="C143" i="27" s="1"/>
  <c r="B142" i="27"/>
  <c r="G141" i="27"/>
  <c r="B141" i="27"/>
  <c r="B139" i="27"/>
  <c r="K138" i="27"/>
  <c r="K139" i="27" s="1"/>
  <c r="J138" i="27"/>
  <c r="H138" i="27"/>
  <c r="G138" i="27"/>
  <c r="E138" i="27"/>
  <c r="E139" i="27" s="1"/>
  <c r="D138" i="27"/>
  <c r="D139" i="27" s="1"/>
  <c r="C138" i="27"/>
  <c r="C139" i="27" s="1"/>
  <c r="B138" i="27"/>
  <c r="G137" i="27"/>
  <c r="I137" i="27" s="1"/>
  <c r="B137" i="27"/>
  <c r="L135" i="27"/>
  <c r="K135" i="27"/>
  <c r="J135" i="27"/>
  <c r="H135" i="27"/>
  <c r="G135" i="27"/>
  <c r="E135" i="27"/>
  <c r="D135" i="27"/>
  <c r="C135" i="27"/>
  <c r="B135" i="27"/>
  <c r="I134" i="27"/>
  <c r="B134" i="27"/>
  <c r="B132" i="27"/>
  <c r="L131" i="27"/>
  <c r="L132" i="27" s="1"/>
  <c r="K131" i="27"/>
  <c r="K132" i="27" s="1"/>
  <c r="J131" i="27"/>
  <c r="J132" i="27" s="1"/>
  <c r="H131" i="27"/>
  <c r="H132" i="27" s="1"/>
  <c r="I132" i="27" s="1"/>
  <c r="E131" i="27"/>
  <c r="E132" i="27" s="1"/>
  <c r="D131" i="27"/>
  <c r="D132" i="27" s="1"/>
  <c r="C131" i="27"/>
  <c r="C132" i="27" s="1"/>
  <c r="B131" i="27"/>
  <c r="I130" i="27"/>
  <c r="B130" i="27"/>
  <c r="B128" i="27"/>
  <c r="L127" i="27"/>
  <c r="L128" i="27" s="1"/>
  <c r="K127" i="27"/>
  <c r="K128" i="27" s="1"/>
  <c r="J127" i="27"/>
  <c r="J128" i="27" s="1"/>
  <c r="H127" i="27"/>
  <c r="H128" i="27" s="1"/>
  <c r="I128" i="27" s="1"/>
  <c r="E127" i="27"/>
  <c r="E128" i="27" s="1"/>
  <c r="D127" i="27"/>
  <c r="D128" i="27" s="1"/>
  <c r="C127" i="27"/>
  <c r="C128" i="27" s="1"/>
  <c r="B127" i="27"/>
  <c r="I126" i="27"/>
  <c r="B126" i="27"/>
  <c r="B124" i="27"/>
  <c r="L123" i="27"/>
  <c r="L124" i="27" s="1"/>
  <c r="K123" i="27"/>
  <c r="K124" i="27" s="1"/>
  <c r="J123" i="27"/>
  <c r="J124" i="27" s="1"/>
  <c r="H123" i="27"/>
  <c r="H124" i="27" s="1"/>
  <c r="I124" i="27" s="1"/>
  <c r="E123" i="27"/>
  <c r="E124" i="27" s="1"/>
  <c r="D123" i="27"/>
  <c r="D124" i="27" s="1"/>
  <c r="C123" i="27"/>
  <c r="C124" i="27" s="1"/>
  <c r="B123" i="27"/>
  <c r="I122" i="27"/>
  <c r="B122" i="27"/>
  <c r="B120" i="27"/>
  <c r="L119" i="27"/>
  <c r="L120" i="27" s="1"/>
  <c r="K119" i="27"/>
  <c r="K120" i="27" s="1"/>
  <c r="J119" i="27"/>
  <c r="J120" i="27" s="1"/>
  <c r="H119" i="27"/>
  <c r="H120" i="27" s="1"/>
  <c r="I120" i="27" s="1"/>
  <c r="E119" i="27"/>
  <c r="E120" i="27" s="1"/>
  <c r="D119" i="27"/>
  <c r="D120" i="27" s="1"/>
  <c r="C119" i="27"/>
  <c r="C120" i="27" s="1"/>
  <c r="B119" i="27"/>
  <c r="I118" i="27"/>
  <c r="B118" i="27"/>
  <c r="L116" i="27"/>
  <c r="K116" i="27"/>
  <c r="J116" i="27"/>
  <c r="H116" i="27"/>
  <c r="G116" i="27"/>
  <c r="I116" i="27" s="1"/>
  <c r="E116" i="27"/>
  <c r="D116" i="27"/>
  <c r="C116" i="27"/>
  <c r="B116" i="27"/>
  <c r="I115" i="27"/>
  <c r="B115" i="27"/>
  <c r="D112" i="27"/>
  <c r="D113" i="27" s="1"/>
  <c r="B113" i="27"/>
  <c r="L112" i="27"/>
  <c r="L113" i="27" s="1"/>
  <c r="K112" i="27"/>
  <c r="K113" i="27" s="1"/>
  <c r="J112" i="27"/>
  <c r="J113" i="27" s="1"/>
  <c r="H112" i="27"/>
  <c r="H113" i="27" s="1"/>
  <c r="I113" i="27" s="1"/>
  <c r="E112" i="27"/>
  <c r="E113" i="27" s="1"/>
  <c r="C112" i="27"/>
  <c r="C113" i="27" s="1"/>
  <c r="B112" i="27"/>
  <c r="I111" i="27"/>
  <c r="B111" i="27"/>
  <c r="B109" i="27"/>
  <c r="L108" i="27"/>
  <c r="L109" i="27" s="1"/>
  <c r="K108" i="27"/>
  <c r="K109" i="27" s="1"/>
  <c r="J108" i="27"/>
  <c r="J109" i="27" s="1"/>
  <c r="H108" i="27"/>
  <c r="I108" i="27" s="1"/>
  <c r="E108" i="27"/>
  <c r="E109" i="27" s="1"/>
  <c r="D108" i="27"/>
  <c r="D109" i="27" s="1"/>
  <c r="C108" i="27"/>
  <c r="C109" i="27" s="1"/>
  <c r="B108" i="27"/>
  <c r="I107" i="27"/>
  <c r="B107" i="27"/>
  <c r="D104" i="27"/>
  <c r="D105" i="27" s="1"/>
  <c r="B105" i="27"/>
  <c r="L104" i="27"/>
  <c r="L105" i="27" s="1"/>
  <c r="K104" i="27"/>
  <c r="K105" i="27" s="1"/>
  <c r="J104" i="27"/>
  <c r="J105" i="27" s="1"/>
  <c r="H104" i="27"/>
  <c r="H105" i="27" s="1"/>
  <c r="I105" i="27" s="1"/>
  <c r="E104" i="27"/>
  <c r="E105" i="27" s="1"/>
  <c r="C104" i="27"/>
  <c r="C105" i="27" s="1"/>
  <c r="B104" i="27"/>
  <c r="I103" i="27"/>
  <c r="B103" i="27"/>
  <c r="B101" i="27"/>
  <c r="L100" i="27"/>
  <c r="L101" i="27" s="1"/>
  <c r="K100" i="27"/>
  <c r="K101" i="27" s="1"/>
  <c r="J100" i="27"/>
  <c r="J101" i="27" s="1"/>
  <c r="H100" i="27"/>
  <c r="H101" i="27" s="1"/>
  <c r="I101" i="27" s="1"/>
  <c r="E100" i="27"/>
  <c r="E101" i="27" s="1"/>
  <c r="D100" i="27"/>
  <c r="D101" i="27" s="1"/>
  <c r="C100" i="27"/>
  <c r="C101" i="27" s="1"/>
  <c r="B100" i="27"/>
  <c r="I99" i="27"/>
  <c r="B99" i="27"/>
  <c r="L97" i="27"/>
  <c r="K97" i="27"/>
  <c r="J97" i="27"/>
  <c r="H97" i="27"/>
  <c r="G97" i="27"/>
  <c r="I97" i="27" s="1"/>
  <c r="E97" i="27"/>
  <c r="D97" i="27"/>
  <c r="C97" i="27"/>
  <c r="B97" i="27"/>
  <c r="I96" i="27"/>
  <c r="B96" i="27"/>
  <c r="L94" i="27"/>
  <c r="K94" i="27"/>
  <c r="J94" i="27"/>
  <c r="H94" i="27"/>
  <c r="G94" i="27"/>
  <c r="I94" i="27" s="1"/>
  <c r="E94" i="27"/>
  <c r="D94" i="27"/>
  <c r="C94" i="27"/>
  <c r="B94" i="27"/>
  <c r="I93" i="27"/>
  <c r="B93" i="27"/>
  <c r="H91" i="27"/>
  <c r="I91" i="27" s="1"/>
  <c r="B91" i="27"/>
  <c r="L90" i="27"/>
  <c r="L91" i="27" s="1"/>
  <c r="K90" i="27"/>
  <c r="K91" i="27" s="1"/>
  <c r="J90" i="27"/>
  <c r="J91" i="27" s="1"/>
  <c r="I90" i="27"/>
  <c r="E90" i="27"/>
  <c r="E91" i="27" s="1"/>
  <c r="D90" i="27"/>
  <c r="D91" i="27" s="1"/>
  <c r="C90" i="27"/>
  <c r="C91" i="27" s="1"/>
  <c r="B90" i="27"/>
  <c r="I89" i="27"/>
  <c r="B89" i="27"/>
  <c r="B86" i="27"/>
  <c r="L87" i="27"/>
  <c r="K87" i="27"/>
  <c r="J87" i="27"/>
  <c r="H87" i="27"/>
  <c r="G87" i="27"/>
  <c r="I87" i="27" s="1"/>
  <c r="E87" i="27"/>
  <c r="D87" i="27"/>
  <c r="C87" i="27"/>
  <c r="B87" i="27"/>
  <c r="I86" i="27"/>
  <c r="B84" i="27"/>
  <c r="L83" i="27"/>
  <c r="L84" i="27" s="1"/>
  <c r="K83" i="27"/>
  <c r="K84" i="27" s="1"/>
  <c r="J83" i="27"/>
  <c r="J84" i="27" s="1"/>
  <c r="H84" i="27"/>
  <c r="I84" i="27" s="1"/>
  <c r="E83" i="27"/>
  <c r="E84" i="27" s="1"/>
  <c r="D83" i="27"/>
  <c r="D84" i="27" s="1"/>
  <c r="C83" i="27"/>
  <c r="C84" i="27" s="1"/>
  <c r="B83" i="27"/>
  <c r="I82" i="27"/>
  <c r="B82" i="27"/>
  <c r="B80" i="27"/>
  <c r="L79" i="27"/>
  <c r="L80" i="27" s="1"/>
  <c r="K79" i="27"/>
  <c r="K80" i="27" s="1"/>
  <c r="J79" i="27"/>
  <c r="J80" i="27" s="1"/>
  <c r="H79" i="27"/>
  <c r="H80" i="27" s="1"/>
  <c r="I80" i="27" s="1"/>
  <c r="E79" i="27"/>
  <c r="E80" i="27" s="1"/>
  <c r="D79" i="27"/>
  <c r="D80" i="27" s="1"/>
  <c r="C79" i="27"/>
  <c r="C80" i="27" s="1"/>
  <c r="B79" i="27"/>
  <c r="I78" i="27"/>
  <c r="B78" i="27"/>
  <c r="I158" i="27" l="1"/>
  <c r="I142" i="27"/>
  <c r="I138" i="27"/>
  <c r="I135" i="27"/>
  <c r="H139" i="27"/>
  <c r="I139" i="27" s="1"/>
  <c r="H143" i="27"/>
  <c r="I143" i="27" s="1"/>
  <c r="I141" i="27"/>
  <c r="I131" i="27"/>
  <c r="I127" i="27"/>
  <c r="I123" i="27"/>
  <c r="I119" i="27"/>
  <c r="I112" i="27"/>
  <c r="H109" i="27"/>
  <c r="I109" i="27" s="1"/>
  <c r="I104" i="27"/>
  <c r="I100" i="27"/>
  <c r="I83" i="27"/>
  <c r="I79" i="27"/>
  <c r="B473" i="27" l="1"/>
  <c r="H475" i="27"/>
  <c r="I475" i="27" s="1"/>
  <c r="B475" i="27"/>
  <c r="K474" i="27"/>
  <c r="K475" i="27" s="1"/>
  <c r="J474" i="27"/>
  <c r="G474" i="27"/>
  <c r="I474" i="27" s="1"/>
  <c r="E474" i="27"/>
  <c r="E475" i="27" s="1"/>
  <c r="D474" i="27"/>
  <c r="D475" i="27" s="1"/>
  <c r="C474" i="27"/>
  <c r="C475" i="27" s="1"/>
  <c r="B474" i="27"/>
  <c r="I473" i="27"/>
  <c r="H379" i="27"/>
  <c r="B349" i="27"/>
  <c r="H351" i="27"/>
  <c r="I351" i="27" s="1"/>
  <c r="B351" i="27"/>
  <c r="K350" i="27"/>
  <c r="K351" i="27" s="1"/>
  <c r="J350" i="27"/>
  <c r="G350" i="27"/>
  <c r="I350" i="27" s="1"/>
  <c r="E350" i="27"/>
  <c r="E351" i="27" s="1"/>
  <c r="D350" i="27"/>
  <c r="D351" i="27" s="1"/>
  <c r="C350" i="27"/>
  <c r="C351" i="27" s="1"/>
  <c r="B350" i="27"/>
  <c r="I349" i="27"/>
  <c r="H273" i="27"/>
  <c r="H247" i="27"/>
  <c r="I247" i="27" s="1"/>
  <c r="B247" i="27"/>
  <c r="K246" i="27"/>
  <c r="K247" i="27" s="1"/>
  <c r="J246" i="27"/>
  <c r="G246" i="27"/>
  <c r="I246" i="27" s="1"/>
  <c r="E246" i="27"/>
  <c r="E247" i="27" s="1"/>
  <c r="D246" i="27"/>
  <c r="D247" i="27" s="1"/>
  <c r="C246" i="27"/>
  <c r="C247" i="27" s="1"/>
  <c r="B246" i="27"/>
  <c r="I245" i="27"/>
  <c r="B245" i="27"/>
  <c r="H56" i="27"/>
  <c r="H19" i="27"/>
  <c r="B471" i="27"/>
  <c r="K470" i="27"/>
  <c r="K471" i="27" s="1"/>
  <c r="J470" i="27"/>
  <c r="H470" i="27"/>
  <c r="G470" i="27"/>
  <c r="E470" i="27"/>
  <c r="E471" i="27" s="1"/>
  <c r="D470" i="27"/>
  <c r="D471" i="27" s="1"/>
  <c r="C470" i="27"/>
  <c r="C471" i="27" s="1"/>
  <c r="B470" i="27"/>
  <c r="G469" i="27"/>
  <c r="B469" i="27"/>
  <c r="G404" i="27"/>
  <c r="B347" i="27"/>
  <c r="K346" i="27"/>
  <c r="K347" i="27" s="1"/>
  <c r="J346" i="27"/>
  <c r="H346" i="27"/>
  <c r="G346" i="27"/>
  <c r="I346" i="27" s="1"/>
  <c r="E346" i="27"/>
  <c r="E347" i="27" s="1"/>
  <c r="D346" i="27"/>
  <c r="D347" i="27" s="1"/>
  <c r="C346" i="27"/>
  <c r="C347" i="27" s="1"/>
  <c r="B346" i="27"/>
  <c r="G345" i="27"/>
  <c r="B345" i="27"/>
  <c r="G289" i="27"/>
  <c r="G186" i="27"/>
  <c r="B243" i="27"/>
  <c r="K242" i="27"/>
  <c r="K243" i="27" s="1"/>
  <c r="J242" i="27"/>
  <c r="H242" i="27"/>
  <c r="G242" i="27"/>
  <c r="E242" i="27"/>
  <c r="E243" i="27" s="1"/>
  <c r="D242" i="27"/>
  <c r="D243" i="27" s="1"/>
  <c r="C242" i="27"/>
  <c r="C243" i="27" s="1"/>
  <c r="B242" i="27"/>
  <c r="G241" i="27"/>
  <c r="B241" i="27"/>
  <c r="H68" i="27"/>
  <c r="H65" i="27"/>
  <c r="H62" i="27"/>
  <c r="H59" i="27"/>
  <c r="G46" i="27"/>
  <c r="G6" i="27"/>
  <c r="I470" i="27" l="1"/>
  <c r="H471" i="27"/>
  <c r="I471" i="27" s="1"/>
  <c r="I242" i="27"/>
  <c r="I469" i="27"/>
  <c r="H347" i="27"/>
  <c r="I347" i="27" s="1"/>
  <c r="I345" i="27"/>
  <c r="H243" i="27"/>
  <c r="I243" i="27" s="1"/>
  <c r="I241" i="27"/>
  <c r="L478" i="27" l="1"/>
  <c r="K478" i="27"/>
  <c r="J478" i="27"/>
  <c r="H478" i="27"/>
  <c r="G478" i="27"/>
  <c r="E478" i="27"/>
  <c r="D478" i="27"/>
  <c r="C478" i="27"/>
  <c r="B478" i="27"/>
  <c r="I477" i="27"/>
  <c r="B477" i="27"/>
  <c r="L467" i="27"/>
  <c r="K467" i="27"/>
  <c r="J467" i="27"/>
  <c r="H467" i="27"/>
  <c r="G467" i="27"/>
  <c r="E467" i="27"/>
  <c r="D467" i="27"/>
  <c r="C467" i="27"/>
  <c r="B467" i="27"/>
  <c r="I466" i="27"/>
  <c r="B466" i="27"/>
  <c r="I415" i="27"/>
  <c r="E415" i="27"/>
  <c r="D415" i="27"/>
  <c r="C415" i="27"/>
  <c r="B415" i="27"/>
  <c r="I414" i="27"/>
  <c r="B414" i="27"/>
  <c r="I412" i="27"/>
  <c r="B412" i="27"/>
  <c r="I411" i="27"/>
  <c r="B411" i="27"/>
  <c r="I410" i="27"/>
  <c r="E410" i="27"/>
  <c r="E411" i="27" s="1"/>
  <c r="E412" i="27" s="1"/>
  <c r="D410" i="27"/>
  <c r="D411" i="27" s="1"/>
  <c r="D412" i="27" s="1"/>
  <c r="C410" i="27"/>
  <c r="C411" i="27" s="1"/>
  <c r="C412" i="27" s="1"/>
  <c r="B410" i="27"/>
  <c r="J409" i="27"/>
  <c r="J410" i="27" s="1"/>
  <c r="J411" i="27" s="1"/>
  <c r="J412" i="27" s="1"/>
  <c r="B409" i="27"/>
  <c r="L407" i="27"/>
  <c r="G407" i="27"/>
  <c r="I407" i="27" s="1"/>
  <c r="E407" i="27"/>
  <c r="D407" i="27"/>
  <c r="C407" i="27"/>
  <c r="B407" i="27"/>
  <c r="I406" i="27"/>
  <c r="B406" i="27"/>
  <c r="L404" i="27"/>
  <c r="I404" i="27"/>
  <c r="E404" i="27"/>
  <c r="D404" i="27"/>
  <c r="C404" i="27"/>
  <c r="B404" i="27"/>
  <c r="I403" i="27"/>
  <c r="B403" i="27"/>
  <c r="H401" i="27"/>
  <c r="L401" i="27"/>
  <c r="K401" i="27"/>
  <c r="J401" i="27"/>
  <c r="G401" i="27"/>
  <c r="E401" i="27"/>
  <c r="D401" i="27"/>
  <c r="C401" i="27"/>
  <c r="B401" i="27"/>
  <c r="I400" i="27"/>
  <c r="B400" i="27"/>
  <c r="L398" i="27"/>
  <c r="K398" i="27"/>
  <c r="J398" i="27"/>
  <c r="G398" i="27"/>
  <c r="I398" i="27" s="1"/>
  <c r="E398" i="27"/>
  <c r="D398" i="27"/>
  <c r="C398" i="27"/>
  <c r="B398" i="27"/>
  <c r="I397" i="27"/>
  <c r="B397" i="27"/>
  <c r="L395" i="27"/>
  <c r="K395" i="27"/>
  <c r="J395" i="27"/>
  <c r="G395" i="27"/>
  <c r="I395" i="27" s="1"/>
  <c r="E395" i="27"/>
  <c r="D395" i="27"/>
  <c r="C395" i="27"/>
  <c r="B395" i="27"/>
  <c r="I394" i="27"/>
  <c r="B394" i="27"/>
  <c r="L392" i="27"/>
  <c r="K392" i="27"/>
  <c r="J392" i="27"/>
  <c r="G392" i="27"/>
  <c r="I392" i="27" s="1"/>
  <c r="E392" i="27"/>
  <c r="D392" i="27"/>
  <c r="C392" i="27"/>
  <c r="B392" i="27"/>
  <c r="I391" i="27"/>
  <c r="B391" i="27"/>
  <c r="H409" i="27" l="1"/>
  <c r="I478" i="27"/>
  <c r="I467" i="27"/>
  <c r="I401" i="27"/>
  <c r="G409" i="27"/>
  <c r="I409" i="27" s="1"/>
  <c r="K409" i="27" s="1"/>
  <c r="L409" i="27" l="1"/>
  <c r="K410" i="27"/>
  <c r="K411" i="27" s="1"/>
  <c r="K412" i="27" s="1"/>
  <c r="B389" i="27" l="1"/>
  <c r="G388" i="27"/>
  <c r="I388" i="27" s="1"/>
  <c r="B388" i="27"/>
  <c r="L387" i="27"/>
  <c r="L388" i="27" s="1"/>
  <c r="I387" i="27"/>
  <c r="B387" i="27"/>
  <c r="I386" i="27"/>
  <c r="B386" i="27"/>
  <c r="L385" i="27"/>
  <c r="K385" i="27"/>
  <c r="K386" i="27" s="1"/>
  <c r="K387" i="27" s="1"/>
  <c r="K388" i="27" s="1"/>
  <c r="K389" i="27" s="1"/>
  <c r="J385" i="27"/>
  <c r="J386" i="27" s="1"/>
  <c r="J387" i="27" s="1"/>
  <c r="J388" i="27" s="1"/>
  <c r="J389" i="27" s="1"/>
  <c r="I385" i="27"/>
  <c r="E385" i="27"/>
  <c r="E386" i="27" s="1"/>
  <c r="E387" i="27" s="1"/>
  <c r="E388" i="27" s="1"/>
  <c r="E389" i="27" s="1"/>
  <c r="D385" i="27"/>
  <c r="D386" i="27" s="1"/>
  <c r="D387" i="27" s="1"/>
  <c r="D388" i="27" s="1"/>
  <c r="D389" i="27" s="1"/>
  <c r="C385" i="27"/>
  <c r="C386" i="27" s="1"/>
  <c r="C387" i="27" s="1"/>
  <c r="C388" i="27" s="1"/>
  <c r="C389" i="27" s="1"/>
  <c r="B385" i="27"/>
  <c r="I384" i="27"/>
  <c r="B384" i="27"/>
  <c r="L382" i="27"/>
  <c r="K382" i="27"/>
  <c r="J382" i="27"/>
  <c r="G382" i="27"/>
  <c r="I382" i="27" s="1"/>
  <c r="E382" i="27"/>
  <c r="D382" i="27"/>
  <c r="C382" i="27"/>
  <c r="B382" i="27"/>
  <c r="I381" i="27"/>
  <c r="B381" i="27"/>
  <c r="L379" i="27"/>
  <c r="K379" i="27"/>
  <c r="I379" i="27"/>
  <c r="E379" i="27"/>
  <c r="D379" i="27"/>
  <c r="C379" i="27"/>
  <c r="B379" i="27"/>
  <c r="I378" i="27"/>
  <c r="B378" i="27"/>
  <c r="L376" i="27"/>
  <c r="K376" i="27"/>
  <c r="J376" i="27"/>
  <c r="H376" i="27"/>
  <c r="G376" i="27"/>
  <c r="I376" i="27" s="1"/>
  <c r="E376" i="27"/>
  <c r="D376" i="27"/>
  <c r="C376" i="27"/>
  <c r="B376" i="27"/>
  <c r="I375" i="27"/>
  <c r="B375" i="27"/>
  <c r="L373" i="27"/>
  <c r="K373" i="27"/>
  <c r="J373" i="27"/>
  <c r="G373" i="27"/>
  <c r="I373" i="27" s="1"/>
  <c r="E373" i="27"/>
  <c r="D373" i="27"/>
  <c r="C373" i="27"/>
  <c r="B373" i="27"/>
  <c r="I372" i="27"/>
  <c r="B372" i="27"/>
  <c r="H370" i="27"/>
  <c r="I370" i="27" s="1"/>
  <c r="B370" i="27"/>
  <c r="L369" i="27"/>
  <c r="L370" i="27" s="1"/>
  <c r="K369" i="27"/>
  <c r="K370" i="27" s="1"/>
  <c r="J369" i="27"/>
  <c r="J370" i="27" s="1"/>
  <c r="I369" i="27"/>
  <c r="E369" i="27"/>
  <c r="E370" i="27" s="1"/>
  <c r="D369" i="27"/>
  <c r="D370" i="27" s="1"/>
  <c r="C369" i="27"/>
  <c r="C370" i="27" s="1"/>
  <c r="B369" i="27"/>
  <c r="I368" i="27"/>
  <c r="B368" i="27"/>
  <c r="L366" i="27"/>
  <c r="K366" i="27"/>
  <c r="J366" i="27"/>
  <c r="G366" i="27"/>
  <c r="I366" i="27" s="1"/>
  <c r="E366" i="27"/>
  <c r="D366" i="27"/>
  <c r="C366" i="27"/>
  <c r="B366" i="27"/>
  <c r="I365" i="27"/>
  <c r="B365" i="27"/>
  <c r="L363" i="27"/>
  <c r="K363" i="27"/>
  <c r="J363" i="27"/>
  <c r="H363" i="27"/>
  <c r="G363" i="27"/>
  <c r="E363" i="27"/>
  <c r="D363" i="27"/>
  <c r="C363" i="27"/>
  <c r="B363" i="27"/>
  <c r="I362" i="27"/>
  <c r="B362" i="27"/>
  <c r="L360" i="27"/>
  <c r="K360" i="27"/>
  <c r="J360" i="27"/>
  <c r="G360" i="27"/>
  <c r="I360" i="27" s="1"/>
  <c r="E360" i="27"/>
  <c r="D360" i="27"/>
  <c r="C360" i="27"/>
  <c r="B360" i="27"/>
  <c r="I359" i="27"/>
  <c r="B359" i="27"/>
  <c r="L354" i="27"/>
  <c r="K354" i="27"/>
  <c r="J354" i="27"/>
  <c r="H354" i="27"/>
  <c r="G354" i="27"/>
  <c r="E354" i="27"/>
  <c r="D354" i="27"/>
  <c r="C354" i="27"/>
  <c r="B354" i="27"/>
  <c r="I353" i="27"/>
  <c r="B353" i="27"/>
  <c r="I354" i="27" l="1"/>
  <c r="I363" i="27"/>
  <c r="Y45" i="1"/>
  <c r="Y31" i="1"/>
  <c r="Y17" i="1"/>
  <c r="Z44" i="1"/>
  <c r="Z30" i="1"/>
  <c r="Z16" i="1"/>
  <c r="Y42" i="1"/>
  <c r="Z26" i="1"/>
  <c r="Y40" i="1"/>
  <c r="Z39" i="1"/>
  <c r="Y25" i="1"/>
  <c r="Z24" i="1"/>
  <c r="Y61" i="1"/>
  <c r="Y60" i="1"/>
  <c r="Y47" i="1"/>
  <c r="Z67" i="1"/>
  <c r="Z62" i="1"/>
  <c r="Y11" i="1"/>
  <c r="Z61" i="1"/>
  <c r="Z23" i="1"/>
  <c r="Y34" i="1"/>
  <c r="Y19" i="1"/>
  <c r="Y46" i="1"/>
  <c r="Y67" i="1"/>
  <c r="Y44" i="1"/>
  <c r="Y30" i="1"/>
  <c r="Y16" i="1"/>
  <c r="Z43" i="1"/>
  <c r="Z29" i="1"/>
  <c r="Z15" i="1"/>
  <c r="Y65" i="1"/>
  <c r="Z12" i="1"/>
  <c r="Y63" i="1"/>
  <c r="Y39" i="1"/>
  <c r="Z38" i="1"/>
  <c r="Y10" i="1"/>
  <c r="Z60" i="1"/>
  <c r="Y37" i="1"/>
  <c r="Z20" i="1"/>
  <c r="Y20" i="1"/>
  <c r="Z19" i="1"/>
  <c r="Y33" i="1"/>
  <c r="Z32" i="1"/>
  <c r="Y18" i="1"/>
  <c r="Z31" i="1"/>
  <c r="Y24" i="1"/>
  <c r="Z37" i="1"/>
  <c r="Y9" i="1"/>
  <c r="Z34" i="1"/>
  <c r="Z47" i="1"/>
  <c r="Z46" i="1"/>
  <c r="Z17" i="1"/>
  <c r="Y66" i="1"/>
  <c r="Y43" i="1"/>
  <c r="Y29" i="1"/>
  <c r="Y15" i="1"/>
  <c r="Z65" i="1"/>
  <c r="Z42" i="1"/>
  <c r="Z28" i="1"/>
  <c r="Z14" i="1"/>
  <c r="Y28" i="1"/>
  <c r="Y14" i="1"/>
  <c r="Z40" i="1"/>
  <c r="Y26" i="1"/>
  <c r="Z11" i="1"/>
  <c r="Y62" i="1"/>
  <c r="Z10" i="1"/>
  <c r="Y38" i="1"/>
  <c r="Z9" i="1"/>
  <c r="Y23" i="1"/>
  <c r="Z33" i="1"/>
  <c r="Z18" i="1"/>
  <c r="Z45" i="1"/>
  <c r="Z64" i="1"/>
  <c r="Z41" i="1"/>
  <c r="Z27" i="1"/>
  <c r="Z13" i="1"/>
  <c r="Y64" i="1"/>
  <c r="Y41" i="1"/>
  <c r="Y27" i="1"/>
  <c r="Y13" i="1"/>
  <c r="Z63" i="1"/>
  <c r="Y12" i="1"/>
  <c r="Z25" i="1"/>
  <c r="Z59" i="1"/>
  <c r="Z36" i="1"/>
  <c r="Z22" i="1"/>
  <c r="Z8" i="1"/>
  <c r="Y59" i="1"/>
  <c r="Y36" i="1"/>
  <c r="Y22" i="1"/>
  <c r="Y8" i="1"/>
  <c r="Z58" i="1"/>
  <c r="Z35" i="1"/>
  <c r="Z21" i="1"/>
  <c r="Z7" i="1"/>
  <c r="Y58" i="1"/>
  <c r="Y35" i="1"/>
  <c r="Y21" i="1"/>
  <c r="Y7" i="1"/>
  <c r="Z48" i="1"/>
  <c r="Y48" i="1"/>
  <c r="Y32" i="1"/>
  <c r="H389" i="27"/>
  <c r="Z66" i="1" s="1"/>
  <c r="G389" i="27"/>
  <c r="I389" i="27" s="1"/>
  <c r="L343" i="27" l="1"/>
  <c r="K343" i="27"/>
  <c r="J343" i="27"/>
  <c r="H343" i="27"/>
  <c r="G343" i="27"/>
  <c r="E343" i="27"/>
  <c r="D343" i="27"/>
  <c r="C343" i="27"/>
  <c r="B343" i="27"/>
  <c r="I342" i="27"/>
  <c r="B342" i="27"/>
  <c r="I300" i="27"/>
  <c r="E300" i="27"/>
  <c r="D300" i="27"/>
  <c r="C300" i="27"/>
  <c r="B300" i="27"/>
  <c r="I299" i="27"/>
  <c r="B299" i="27"/>
  <c r="I297" i="27"/>
  <c r="B297" i="27"/>
  <c r="I296" i="27"/>
  <c r="B296" i="27"/>
  <c r="I295" i="27"/>
  <c r="E295" i="27"/>
  <c r="E296" i="27" s="1"/>
  <c r="E297" i="27" s="1"/>
  <c r="D295" i="27"/>
  <c r="D296" i="27" s="1"/>
  <c r="D297" i="27" s="1"/>
  <c r="C295" i="27"/>
  <c r="C296" i="27" s="1"/>
  <c r="C297" i="27" s="1"/>
  <c r="B295" i="27"/>
  <c r="J294" i="27"/>
  <c r="J295" i="27" s="1"/>
  <c r="J296" i="27" s="1"/>
  <c r="J297" i="27" s="1"/>
  <c r="B294" i="27"/>
  <c r="L292" i="27"/>
  <c r="G292" i="27"/>
  <c r="I292" i="27" s="1"/>
  <c r="E292" i="27"/>
  <c r="D292" i="27"/>
  <c r="C292" i="27"/>
  <c r="B292" i="27"/>
  <c r="I291" i="27"/>
  <c r="B291" i="27"/>
  <c r="L289" i="27"/>
  <c r="I289" i="27"/>
  <c r="E289" i="27"/>
  <c r="D289" i="27"/>
  <c r="C289" i="27"/>
  <c r="B289" i="27"/>
  <c r="I288" i="27"/>
  <c r="B288" i="27"/>
  <c r="L286" i="27"/>
  <c r="K286" i="27"/>
  <c r="J286" i="27"/>
  <c r="H286" i="27"/>
  <c r="G286" i="27"/>
  <c r="E286" i="27"/>
  <c r="D286" i="27"/>
  <c r="C286" i="27"/>
  <c r="B286" i="27"/>
  <c r="I285" i="27"/>
  <c r="B285" i="27"/>
  <c r="I343" i="27" l="1"/>
  <c r="H294" i="27"/>
  <c r="G294" i="27"/>
  <c r="I286" i="27"/>
  <c r="I294" i="27" l="1"/>
  <c r="K294" i="27" s="1"/>
  <c r="L294" i="27" s="1"/>
  <c r="K295" i="27" l="1"/>
  <c r="K296" i="27" s="1"/>
  <c r="K297" i="27" s="1"/>
  <c r="B283" i="27"/>
  <c r="G282" i="27"/>
  <c r="I282" i="27" s="1"/>
  <c r="B282" i="27"/>
  <c r="L281" i="27"/>
  <c r="L282" i="27" s="1"/>
  <c r="I281" i="27"/>
  <c r="B281" i="27"/>
  <c r="I280" i="27"/>
  <c r="B280" i="27"/>
  <c r="L279" i="27"/>
  <c r="K279" i="27"/>
  <c r="K280" i="27" s="1"/>
  <c r="K281" i="27" s="1"/>
  <c r="K282" i="27" s="1"/>
  <c r="K283" i="27" s="1"/>
  <c r="J279" i="27"/>
  <c r="J280" i="27" s="1"/>
  <c r="J281" i="27" s="1"/>
  <c r="J282" i="27" s="1"/>
  <c r="J283" i="27" s="1"/>
  <c r="I279" i="27"/>
  <c r="E279" i="27"/>
  <c r="E280" i="27" s="1"/>
  <c r="E281" i="27" s="1"/>
  <c r="E282" i="27" s="1"/>
  <c r="E283" i="27" s="1"/>
  <c r="D279" i="27"/>
  <c r="D280" i="27" s="1"/>
  <c r="D281" i="27" s="1"/>
  <c r="D282" i="27" s="1"/>
  <c r="D283" i="27" s="1"/>
  <c r="C279" i="27"/>
  <c r="C280" i="27" s="1"/>
  <c r="C281" i="27" s="1"/>
  <c r="C282" i="27" s="1"/>
  <c r="C283" i="27" s="1"/>
  <c r="B279" i="27"/>
  <c r="I278" i="27"/>
  <c r="B278" i="27"/>
  <c r="L276" i="27"/>
  <c r="K276" i="27"/>
  <c r="J276" i="27"/>
  <c r="G276" i="27"/>
  <c r="I276" i="27" s="1"/>
  <c r="E276" i="27"/>
  <c r="D276" i="27"/>
  <c r="C276" i="27"/>
  <c r="B276" i="27"/>
  <c r="I275" i="27"/>
  <c r="B275" i="27"/>
  <c r="L273" i="27"/>
  <c r="K273" i="27"/>
  <c r="I273" i="27"/>
  <c r="E273" i="27"/>
  <c r="D273" i="27"/>
  <c r="C273" i="27"/>
  <c r="B273" i="27"/>
  <c r="I272" i="27"/>
  <c r="B272" i="27"/>
  <c r="L270" i="27"/>
  <c r="G270" i="27"/>
  <c r="I270" i="27" s="1"/>
  <c r="E270" i="27"/>
  <c r="D270" i="27"/>
  <c r="C270" i="27"/>
  <c r="B270" i="27"/>
  <c r="I269" i="27"/>
  <c r="B269" i="27"/>
  <c r="L267" i="27"/>
  <c r="K267" i="27"/>
  <c r="J267" i="27"/>
  <c r="H267" i="27"/>
  <c r="G267" i="27"/>
  <c r="I267" i="27" s="1"/>
  <c r="E267" i="27"/>
  <c r="D267" i="27"/>
  <c r="C267" i="27"/>
  <c r="B267" i="27"/>
  <c r="I266" i="27"/>
  <c r="B266" i="27"/>
  <c r="H283" i="27" l="1"/>
  <c r="G283" i="27"/>
  <c r="I283" i="27" s="1"/>
  <c r="L264" i="27"/>
  <c r="K264" i="27"/>
  <c r="J264" i="27"/>
  <c r="H264" i="27"/>
  <c r="G264" i="27"/>
  <c r="I264" i="27" s="1"/>
  <c r="E264" i="27"/>
  <c r="D264" i="27"/>
  <c r="C264" i="27"/>
  <c r="B264" i="27"/>
  <c r="I263" i="27"/>
  <c r="B263" i="27"/>
  <c r="L261" i="27"/>
  <c r="I261" i="27"/>
  <c r="B261" i="27"/>
  <c r="L260" i="27"/>
  <c r="I260" i="27"/>
  <c r="B260" i="27"/>
  <c r="K259" i="27"/>
  <c r="K260" i="27" s="1"/>
  <c r="K261" i="27" s="1"/>
  <c r="J259" i="27"/>
  <c r="J260" i="27" s="1"/>
  <c r="J261" i="27" s="1"/>
  <c r="I259" i="27"/>
  <c r="E259" i="27"/>
  <c r="E260" i="27" s="1"/>
  <c r="E261" i="27" s="1"/>
  <c r="D259" i="27"/>
  <c r="D260" i="27" s="1"/>
  <c r="D261" i="27" s="1"/>
  <c r="C259" i="27"/>
  <c r="C260" i="27" s="1"/>
  <c r="C261" i="27" s="1"/>
  <c r="B259" i="27"/>
  <c r="I258" i="27"/>
  <c r="B258" i="27"/>
  <c r="H256" i="27"/>
  <c r="L256" i="27"/>
  <c r="K256" i="27"/>
  <c r="J256" i="27"/>
  <c r="G256" i="27"/>
  <c r="E256" i="27"/>
  <c r="D256" i="27"/>
  <c r="C256" i="27"/>
  <c r="B256" i="27"/>
  <c r="I255" i="27"/>
  <c r="B255" i="27"/>
  <c r="T64" i="1" l="1"/>
  <c r="T41" i="1"/>
  <c r="T27" i="1"/>
  <c r="T13" i="1"/>
  <c r="U63" i="1"/>
  <c r="U40" i="1"/>
  <c r="U26" i="1"/>
  <c r="U12" i="1"/>
  <c r="T38" i="1"/>
  <c r="U22" i="1"/>
  <c r="T22" i="1"/>
  <c r="U35" i="1"/>
  <c r="T35" i="1"/>
  <c r="U47" i="1"/>
  <c r="U30" i="1"/>
  <c r="T67" i="1"/>
  <c r="U15" i="1"/>
  <c r="U28" i="1"/>
  <c r="T65" i="1"/>
  <c r="U27" i="1"/>
  <c r="T34" i="1"/>
  <c r="T47" i="1"/>
  <c r="U67" i="1"/>
  <c r="U66" i="1"/>
  <c r="U42" i="1"/>
  <c r="U64" i="1"/>
  <c r="T63" i="1"/>
  <c r="T40" i="1"/>
  <c r="T26" i="1"/>
  <c r="T12" i="1"/>
  <c r="U62" i="1"/>
  <c r="U39" i="1"/>
  <c r="U25" i="1"/>
  <c r="U11" i="1"/>
  <c r="T10" i="1"/>
  <c r="U36" i="1"/>
  <c r="T36" i="1"/>
  <c r="U58" i="1"/>
  <c r="U7" i="1"/>
  <c r="T21" i="1"/>
  <c r="T19" i="1"/>
  <c r="U48" i="1"/>
  <c r="T20" i="1"/>
  <c r="T44" i="1"/>
  <c r="T29" i="1"/>
  <c r="T28" i="1"/>
  <c r="T62" i="1"/>
  <c r="T39" i="1"/>
  <c r="T25" i="1"/>
  <c r="T11" i="1"/>
  <c r="U61" i="1"/>
  <c r="U38" i="1"/>
  <c r="U24" i="1"/>
  <c r="U10" i="1"/>
  <c r="T61" i="1"/>
  <c r="T24" i="1"/>
  <c r="U59" i="1"/>
  <c r="U8" i="1"/>
  <c r="T59" i="1"/>
  <c r="T8" i="1"/>
  <c r="U21" i="1"/>
  <c r="T7" i="1"/>
  <c r="U20" i="1"/>
  <c r="U19" i="1"/>
  <c r="U44" i="1"/>
  <c r="T30" i="1"/>
  <c r="T43" i="1"/>
  <c r="T42" i="1"/>
  <c r="U60" i="1"/>
  <c r="U37" i="1"/>
  <c r="U23" i="1"/>
  <c r="U9" i="1"/>
  <c r="T60" i="1"/>
  <c r="T37" i="1"/>
  <c r="T23" i="1"/>
  <c r="T9" i="1"/>
  <c r="T58" i="1"/>
  <c r="U34" i="1"/>
  <c r="T48" i="1"/>
  <c r="U33" i="1"/>
  <c r="T33" i="1"/>
  <c r="U16" i="1"/>
  <c r="T16" i="1"/>
  <c r="U29" i="1"/>
  <c r="T15" i="1"/>
  <c r="U14" i="1"/>
  <c r="T14" i="1"/>
  <c r="U13" i="1"/>
  <c r="U46" i="1"/>
  <c r="U32" i="1"/>
  <c r="U18" i="1"/>
  <c r="T46" i="1"/>
  <c r="T32" i="1"/>
  <c r="T18" i="1"/>
  <c r="U45" i="1"/>
  <c r="U31" i="1"/>
  <c r="U17" i="1"/>
  <c r="T45" i="1"/>
  <c r="T31" i="1"/>
  <c r="T17" i="1"/>
  <c r="U43" i="1"/>
  <c r="T66" i="1"/>
  <c r="U65" i="1"/>
  <c r="U41" i="1"/>
  <c r="I256" i="27"/>
  <c r="L250" i="27" l="1"/>
  <c r="K250" i="27"/>
  <c r="J250" i="27"/>
  <c r="H250" i="27"/>
  <c r="G250" i="27"/>
  <c r="E250" i="27"/>
  <c r="D250" i="27"/>
  <c r="C250" i="27"/>
  <c r="B250" i="27"/>
  <c r="I249" i="27"/>
  <c r="B249" i="27"/>
  <c r="L239" i="27"/>
  <c r="K239" i="27"/>
  <c r="J239" i="27"/>
  <c r="H239" i="27"/>
  <c r="G239" i="27"/>
  <c r="E239" i="27"/>
  <c r="D239" i="27"/>
  <c r="C239" i="27"/>
  <c r="B239" i="27"/>
  <c r="I238" i="27"/>
  <c r="B238" i="27"/>
  <c r="I206" i="27"/>
  <c r="E206" i="27"/>
  <c r="D206" i="27"/>
  <c r="C206" i="27"/>
  <c r="B206" i="27"/>
  <c r="I205" i="27"/>
  <c r="B205" i="27"/>
  <c r="I203" i="27"/>
  <c r="B203" i="27"/>
  <c r="I202" i="27"/>
  <c r="B202" i="27"/>
  <c r="I201" i="27"/>
  <c r="E201" i="27"/>
  <c r="E202" i="27" s="1"/>
  <c r="E203" i="27" s="1"/>
  <c r="D201" i="27"/>
  <c r="D202" i="27" s="1"/>
  <c r="D203" i="27" s="1"/>
  <c r="C201" i="27"/>
  <c r="C202" i="27" s="1"/>
  <c r="C203" i="27" s="1"/>
  <c r="B201" i="27"/>
  <c r="J200" i="27"/>
  <c r="J201" i="27" s="1"/>
  <c r="J202" i="27" s="1"/>
  <c r="J203" i="27" s="1"/>
  <c r="B200" i="27"/>
  <c r="L198" i="27"/>
  <c r="K198" i="27"/>
  <c r="J198" i="27"/>
  <c r="G198" i="27"/>
  <c r="I198" i="27" s="1"/>
  <c r="E198" i="27"/>
  <c r="D198" i="27"/>
  <c r="C198" i="27"/>
  <c r="B198" i="27"/>
  <c r="I197" i="27"/>
  <c r="B197" i="27"/>
  <c r="B195" i="27"/>
  <c r="B194" i="27"/>
  <c r="L195" i="27"/>
  <c r="K195" i="27"/>
  <c r="J195" i="27"/>
  <c r="H195" i="27"/>
  <c r="G195" i="27"/>
  <c r="I195" i="27" s="1"/>
  <c r="E195" i="27"/>
  <c r="D195" i="27"/>
  <c r="C195" i="27"/>
  <c r="I194" i="27"/>
  <c r="L192" i="27"/>
  <c r="K192" i="27"/>
  <c r="J192" i="27"/>
  <c r="G192" i="27"/>
  <c r="I192" i="27" s="1"/>
  <c r="E192" i="27"/>
  <c r="D192" i="27"/>
  <c r="C192" i="27"/>
  <c r="B192" i="27"/>
  <c r="I191" i="27"/>
  <c r="B191" i="27"/>
  <c r="L189" i="27"/>
  <c r="G189" i="27"/>
  <c r="I189" i="27" s="1"/>
  <c r="E189" i="27"/>
  <c r="D189" i="27"/>
  <c r="C189" i="27"/>
  <c r="B189" i="27"/>
  <c r="I188" i="27"/>
  <c r="B188" i="27"/>
  <c r="L186" i="27"/>
  <c r="I186" i="27"/>
  <c r="E186" i="27"/>
  <c r="D186" i="27"/>
  <c r="C186" i="27"/>
  <c r="B186" i="27"/>
  <c r="I185" i="27"/>
  <c r="B185" i="27"/>
  <c r="I180" i="27"/>
  <c r="B180" i="27"/>
  <c r="I239" i="27" l="1"/>
  <c r="H200" i="27"/>
  <c r="I250" i="27"/>
  <c r="G200" i="27"/>
  <c r="I200" i="27" s="1"/>
  <c r="K200" i="27" s="1"/>
  <c r="K201" i="27" l="1"/>
  <c r="K202" i="27" s="1"/>
  <c r="K203" i="27" s="1"/>
  <c r="L200" i="27"/>
  <c r="B183" i="27" l="1"/>
  <c r="G182" i="27"/>
  <c r="I182" i="27" s="1"/>
  <c r="B182" i="27"/>
  <c r="L181" i="27"/>
  <c r="L182" i="27" s="1"/>
  <c r="I181" i="27"/>
  <c r="B181" i="27"/>
  <c r="I179" i="27"/>
  <c r="B179" i="27"/>
  <c r="L178" i="27"/>
  <c r="K178" i="27"/>
  <c r="K179" i="27" s="1"/>
  <c r="K180" i="27" s="1"/>
  <c r="K181" i="27" s="1"/>
  <c r="K182" i="27" s="1"/>
  <c r="K183" i="27" s="1"/>
  <c r="J178" i="27"/>
  <c r="J179" i="27" s="1"/>
  <c r="J180" i="27" s="1"/>
  <c r="J181" i="27" s="1"/>
  <c r="J182" i="27" s="1"/>
  <c r="J183" i="27" s="1"/>
  <c r="I178" i="27"/>
  <c r="E178" i="27"/>
  <c r="E179" i="27" s="1"/>
  <c r="E180" i="27" s="1"/>
  <c r="E181" i="27" s="1"/>
  <c r="E182" i="27" s="1"/>
  <c r="E183" i="27" s="1"/>
  <c r="D178" i="27"/>
  <c r="D179" i="27" s="1"/>
  <c r="D180" i="27" s="1"/>
  <c r="D181" i="27" s="1"/>
  <c r="D182" i="27" s="1"/>
  <c r="D183" i="27" s="1"/>
  <c r="C178" i="27"/>
  <c r="C179" i="27" s="1"/>
  <c r="C180" i="27" s="1"/>
  <c r="C181" i="27" s="1"/>
  <c r="C182" i="27" s="1"/>
  <c r="C183" i="27" s="1"/>
  <c r="B178" i="27"/>
  <c r="I177" i="27"/>
  <c r="B177" i="27"/>
  <c r="I175" i="27"/>
  <c r="B175" i="27"/>
  <c r="L174" i="27"/>
  <c r="K174" i="27"/>
  <c r="K175" i="27" s="1"/>
  <c r="J174" i="27"/>
  <c r="J175" i="27" s="1"/>
  <c r="I174" i="27"/>
  <c r="E174" i="27"/>
  <c r="E175" i="27" s="1"/>
  <c r="D174" i="27"/>
  <c r="D175" i="27" s="1"/>
  <c r="C174" i="27"/>
  <c r="C175" i="27" s="1"/>
  <c r="B174" i="27"/>
  <c r="I173" i="27"/>
  <c r="B173" i="27"/>
  <c r="L171" i="27"/>
  <c r="K171" i="27"/>
  <c r="J171" i="27"/>
  <c r="G171" i="27"/>
  <c r="I171" i="27" s="1"/>
  <c r="E171" i="27"/>
  <c r="D171" i="27"/>
  <c r="C171" i="27"/>
  <c r="B171" i="27"/>
  <c r="I170" i="27"/>
  <c r="B170" i="27"/>
  <c r="L168" i="27"/>
  <c r="K168" i="27"/>
  <c r="J168" i="27"/>
  <c r="H168" i="27"/>
  <c r="G168" i="27"/>
  <c r="I168" i="27" s="1"/>
  <c r="E168" i="27"/>
  <c r="D168" i="27"/>
  <c r="C168" i="27"/>
  <c r="B168" i="27"/>
  <c r="I167" i="27"/>
  <c r="B167" i="27"/>
  <c r="H165" i="27"/>
  <c r="I165" i="27" s="1"/>
  <c r="B165" i="27"/>
  <c r="L164" i="27"/>
  <c r="L165" i="27" s="1"/>
  <c r="K164" i="27"/>
  <c r="K165" i="27" s="1"/>
  <c r="J164" i="27"/>
  <c r="J165" i="27" s="1"/>
  <c r="I164" i="27"/>
  <c r="E164" i="27"/>
  <c r="E165" i="27" s="1"/>
  <c r="D164" i="27"/>
  <c r="D165" i="27" s="1"/>
  <c r="C164" i="27"/>
  <c r="C165" i="27" s="1"/>
  <c r="B164" i="27"/>
  <c r="I163" i="27"/>
  <c r="B163" i="27"/>
  <c r="O60" i="1" l="1"/>
  <c r="O37" i="1"/>
  <c r="O23" i="1"/>
  <c r="O9" i="1"/>
  <c r="P59" i="1"/>
  <c r="P36" i="1"/>
  <c r="P8" i="1"/>
  <c r="O48" i="1"/>
  <c r="P18" i="1"/>
  <c r="O32" i="1"/>
  <c r="P45" i="1"/>
  <c r="O31" i="1"/>
  <c r="P16" i="1"/>
  <c r="O26" i="1"/>
  <c r="P22" i="1"/>
  <c r="O17" i="1"/>
  <c r="P44" i="1"/>
  <c r="O44" i="1"/>
  <c r="P43" i="1"/>
  <c r="O29" i="1"/>
  <c r="O12" i="1"/>
  <c r="P25" i="1"/>
  <c r="P38" i="1"/>
  <c r="O38" i="1"/>
  <c r="P37" i="1"/>
  <c r="O59" i="1"/>
  <c r="O36" i="1"/>
  <c r="O22" i="1"/>
  <c r="O8" i="1"/>
  <c r="P58" i="1"/>
  <c r="P35" i="1"/>
  <c r="P21" i="1"/>
  <c r="P7" i="1"/>
  <c r="O20" i="1"/>
  <c r="P32" i="1"/>
  <c r="O67" i="1"/>
  <c r="P29" i="1"/>
  <c r="P12" i="1"/>
  <c r="O40" i="1"/>
  <c r="P62" i="1"/>
  <c r="O62" i="1"/>
  <c r="P24" i="1"/>
  <c r="O24" i="1"/>
  <c r="P23" i="1"/>
  <c r="O45" i="1"/>
  <c r="P67" i="1"/>
  <c r="O16" i="1"/>
  <c r="O15" i="1"/>
  <c r="P40" i="1"/>
  <c r="O11" i="1"/>
  <c r="P9" i="1"/>
  <c r="O58" i="1"/>
  <c r="O35" i="1"/>
  <c r="O21" i="1"/>
  <c r="O7" i="1"/>
  <c r="P48" i="1"/>
  <c r="P34" i="1"/>
  <c r="P20" i="1"/>
  <c r="O34" i="1"/>
  <c r="O18" i="1"/>
  <c r="P17" i="1"/>
  <c r="P30" i="1"/>
  <c r="O30" i="1"/>
  <c r="P15" i="1"/>
  <c r="O43" i="1"/>
  <c r="P26" i="1"/>
  <c r="P11" i="1"/>
  <c r="O39" i="1"/>
  <c r="P10" i="1"/>
  <c r="O10" i="1"/>
  <c r="P47" i="1"/>
  <c r="P33" i="1"/>
  <c r="P19" i="1"/>
  <c r="O47" i="1"/>
  <c r="O33" i="1"/>
  <c r="O19" i="1"/>
  <c r="P46" i="1"/>
  <c r="O46" i="1"/>
  <c r="P31" i="1"/>
  <c r="P65" i="1"/>
  <c r="P42" i="1"/>
  <c r="P28" i="1"/>
  <c r="P14" i="1"/>
  <c r="O65" i="1"/>
  <c r="O42" i="1"/>
  <c r="O28" i="1"/>
  <c r="O14" i="1"/>
  <c r="P64" i="1"/>
  <c r="P41" i="1"/>
  <c r="P27" i="1"/>
  <c r="P13" i="1"/>
  <c r="O64" i="1"/>
  <c r="O41" i="1"/>
  <c r="O27" i="1"/>
  <c r="O13" i="1"/>
  <c r="P63" i="1"/>
  <c r="O63" i="1"/>
  <c r="P39" i="1"/>
  <c r="O25" i="1"/>
  <c r="P61" i="1"/>
  <c r="O61" i="1"/>
  <c r="P60" i="1"/>
  <c r="H183" i="27"/>
  <c r="P66" i="1" s="1"/>
  <c r="G183" i="27"/>
  <c r="I183" i="27" s="1"/>
  <c r="B76" i="27"/>
  <c r="B75" i="27"/>
  <c r="B73" i="27"/>
  <c r="B72" i="27"/>
  <c r="B71" i="27"/>
  <c r="B70" i="27"/>
  <c r="I76" i="27"/>
  <c r="E76" i="27"/>
  <c r="D76" i="27"/>
  <c r="C76" i="27"/>
  <c r="I75" i="27"/>
  <c r="I73" i="27"/>
  <c r="I72" i="27"/>
  <c r="I71" i="27"/>
  <c r="E71" i="27"/>
  <c r="E72" i="27" s="1"/>
  <c r="E73" i="27" s="1"/>
  <c r="D71" i="27"/>
  <c r="D72" i="27" s="1"/>
  <c r="D73" i="27" s="1"/>
  <c r="C71" i="27"/>
  <c r="C72" i="27" s="1"/>
  <c r="C73" i="27" s="1"/>
  <c r="J70" i="27"/>
  <c r="J71" i="27" s="1"/>
  <c r="J72" i="27" s="1"/>
  <c r="J73" i="27" s="1"/>
  <c r="BN67" i="1"/>
  <c r="BM67" i="1"/>
  <c r="BI67" i="1"/>
  <c r="BH67" i="1"/>
  <c r="BD67" i="1"/>
  <c r="BC67" i="1"/>
  <c r="AY67" i="1"/>
  <c r="AX67" i="1"/>
  <c r="BN66" i="1"/>
  <c r="BM66" i="1"/>
  <c r="BI66" i="1"/>
  <c r="BH66" i="1"/>
  <c r="BD66" i="1"/>
  <c r="BC66" i="1"/>
  <c r="V23" i="9" s="1"/>
  <c r="AY66" i="1"/>
  <c r="AX66" i="1"/>
  <c r="T23" i="9" s="1"/>
  <c r="BN65" i="1"/>
  <c r="BM65" i="1"/>
  <c r="BI65" i="1"/>
  <c r="BH65" i="1"/>
  <c r="BD65" i="1"/>
  <c r="BC65" i="1"/>
  <c r="AY65" i="1"/>
  <c r="AX65" i="1"/>
  <c r="BN64" i="1"/>
  <c r="BM64" i="1"/>
  <c r="BI64" i="1"/>
  <c r="BH64" i="1"/>
  <c r="BD64" i="1"/>
  <c r="BC64" i="1"/>
  <c r="AY64" i="1"/>
  <c r="AX64" i="1"/>
  <c r="J18" i="9"/>
  <c r="BN63" i="1"/>
  <c r="BM63" i="1"/>
  <c r="BI63" i="1"/>
  <c r="BH63" i="1"/>
  <c r="X14" i="9" s="1"/>
  <c r="BD63" i="1"/>
  <c r="BC63" i="1"/>
  <c r="V14" i="9" s="1"/>
  <c r="AY63" i="1"/>
  <c r="AX63" i="1"/>
  <c r="BN62" i="1"/>
  <c r="BM62" i="1"/>
  <c r="Z13" i="9" s="1"/>
  <c r="BI62" i="1"/>
  <c r="BH62" i="1"/>
  <c r="BD62" i="1"/>
  <c r="BC62" i="1"/>
  <c r="AY62" i="1"/>
  <c r="AX62" i="1"/>
  <c r="BN61" i="1"/>
  <c r="BM61" i="1"/>
  <c r="BI61" i="1"/>
  <c r="BH61" i="1"/>
  <c r="BD61" i="1"/>
  <c r="BC61" i="1"/>
  <c r="AY61" i="1"/>
  <c r="AX61" i="1"/>
  <c r="BN60" i="1"/>
  <c r="BM60" i="1"/>
  <c r="BI60" i="1"/>
  <c r="BH60" i="1"/>
  <c r="BD60" i="1"/>
  <c r="BC60" i="1"/>
  <c r="AY60" i="1"/>
  <c r="AX60" i="1"/>
  <c r="BN59" i="1"/>
  <c r="BM59" i="1"/>
  <c r="BI59" i="1"/>
  <c r="BH59" i="1"/>
  <c r="BD59" i="1"/>
  <c r="BC59" i="1"/>
  <c r="AY59" i="1"/>
  <c r="AX59" i="1"/>
  <c r="BN58" i="1"/>
  <c r="BM58" i="1"/>
  <c r="BI58" i="1"/>
  <c r="BH58" i="1"/>
  <c r="BD58" i="1"/>
  <c r="BC58" i="1"/>
  <c r="AY58" i="1"/>
  <c r="AX58" i="1"/>
  <c r="BN48" i="1"/>
  <c r="BM48" i="1"/>
  <c r="BI48" i="1"/>
  <c r="BH48" i="1"/>
  <c r="BD48" i="1"/>
  <c r="BC48" i="1"/>
  <c r="AY48" i="1"/>
  <c r="AX48" i="1"/>
  <c r="BN47" i="1"/>
  <c r="BM47" i="1"/>
  <c r="BI47" i="1"/>
  <c r="BH47" i="1"/>
  <c r="BD47" i="1"/>
  <c r="BC47" i="1"/>
  <c r="AY47" i="1"/>
  <c r="AX47" i="1"/>
  <c r="BN46" i="1"/>
  <c r="BM46" i="1"/>
  <c r="BI46" i="1"/>
  <c r="BH46" i="1"/>
  <c r="BD46" i="1"/>
  <c r="BC46" i="1"/>
  <c r="AY46" i="1"/>
  <c r="AX46" i="1"/>
  <c r="BN45" i="1"/>
  <c r="BM45" i="1"/>
  <c r="BI45" i="1"/>
  <c r="BH45" i="1"/>
  <c r="BD45" i="1"/>
  <c r="BC45" i="1"/>
  <c r="AY45" i="1"/>
  <c r="AX45" i="1"/>
  <c r="BN44" i="1"/>
  <c r="BM44" i="1"/>
  <c r="BI44" i="1"/>
  <c r="BH44" i="1"/>
  <c r="BD44" i="1"/>
  <c r="BC44" i="1"/>
  <c r="AY44" i="1"/>
  <c r="AX44" i="1"/>
  <c r="BN43" i="1"/>
  <c r="BM43" i="1"/>
  <c r="BI43" i="1"/>
  <c r="BH43" i="1"/>
  <c r="BD43" i="1"/>
  <c r="BC43" i="1"/>
  <c r="AY43" i="1"/>
  <c r="AX43" i="1"/>
  <c r="BN42" i="1"/>
  <c r="BM42" i="1"/>
  <c r="BI42" i="1"/>
  <c r="BH42" i="1"/>
  <c r="BD42" i="1"/>
  <c r="BC42" i="1"/>
  <c r="AY42" i="1"/>
  <c r="AX42" i="1"/>
  <c r="BN41" i="1"/>
  <c r="BM41" i="1"/>
  <c r="BI41" i="1"/>
  <c r="BH41" i="1"/>
  <c r="BD41" i="1"/>
  <c r="BC41" i="1"/>
  <c r="AY41" i="1"/>
  <c r="AX41" i="1"/>
  <c r="BN40" i="1"/>
  <c r="BM40" i="1"/>
  <c r="BI40" i="1"/>
  <c r="BH40" i="1"/>
  <c r="BD40" i="1"/>
  <c r="BC40" i="1"/>
  <c r="AY40" i="1"/>
  <c r="AX40" i="1"/>
  <c r="BN39" i="1"/>
  <c r="BM39" i="1"/>
  <c r="BI39" i="1"/>
  <c r="BH39" i="1"/>
  <c r="BD39" i="1"/>
  <c r="BC39" i="1"/>
  <c r="AY39" i="1"/>
  <c r="AX39" i="1"/>
  <c r="BN38" i="1"/>
  <c r="BM38" i="1"/>
  <c r="BI38" i="1"/>
  <c r="BH38" i="1"/>
  <c r="BD38" i="1"/>
  <c r="BC38" i="1"/>
  <c r="AY38" i="1"/>
  <c r="AX38" i="1"/>
  <c r="BN37" i="1"/>
  <c r="BM37" i="1"/>
  <c r="BI37" i="1"/>
  <c r="BH37" i="1"/>
  <c r="BD37" i="1"/>
  <c r="BC37" i="1"/>
  <c r="AY37" i="1"/>
  <c r="AX37" i="1"/>
  <c r="BN36" i="1"/>
  <c r="BM36" i="1"/>
  <c r="BI36" i="1"/>
  <c r="BH36" i="1"/>
  <c r="BD36" i="1"/>
  <c r="BC36" i="1"/>
  <c r="AY36" i="1"/>
  <c r="AX36" i="1"/>
  <c r="BN35" i="1"/>
  <c r="BM35" i="1"/>
  <c r="BI35" i="1"/>
  <c r="BH35" i="1"/>
  <c r="BD35" i="1"/>
  <c r="BC35" i="1"/>
  <c r="AY35" i="1"/>
  <c r="AX35" i="1"/>
  <c r="BN34" i="1"/>
  <c r="BM34" i="1"/>
  <c r="BI34" i="1"/>
  <c r="BH34" i="1"/>
  <c r="BD34" i="1"/>
  <c r="BC34" i="1"/>
  <c r="AY34" i="1"/>
  <c r="AX34" i="1"/>
  <c r="BN33" i="1"/>
  <c r="BM33" i="1"/>
  <c r="BI33" i="1"/>
  <c r="BH33" i="1"/>
  <c r="BD33" i="1"/>
  <c r="BC33" i="1"/>
  <c r="AY33" i="1"/>
  <c r="AX33" i="1"/>
  <c r="BN32" i="1"/>
  <c r="BM32" i="1"/>
  <c r="BI32" i="1"/>
  <c r="BH32" i="1"/>
  <c r="BD32" i="1"/>
  <c r="BC32" i="1"/>
  <c r="AY32" i="1"/>
  <c r="AX32" i="1"/>
  <c r="BN31" i="1"/>
  <c r="BM31" i="1"/>
  <c r="BI31" i="1"/>
  <c r="BH31" i="1"/>
  <c r="BD31" i="1"/>
  <c r="BC31" i="1"/>
  <c r="AY31" i="1"/>
  <c r="AX31" i="1"/>
  <c r="BN30" i="1"/>
  <c r="BM30" i="1"/>
  <c r="BI30" i="1"/>
  <c r="BH30" i="1"/>
  <c r="BD30" i="1"/>
  <c r="BC30" i="1"/>
  <c r="AY30" i="1"/>
  <c r="AX30" i="1"/>
  <c r="BN29" i="1"/>
  <c r="BM29" i="1"/>
  <c r="BI29" i="1"/>
  <c r="BH29" i="1"/>
  <c r="BD29" i="1"/>
  <c r="BC29" i="1"/>
  <c r="AY29" i="1"/>
  <c r="AX29" i="1"/>
  <c r="BN28" i="1"/>
  <c r="BM28" i="1"/>
  <c r="BI28" i="1"/>
  <c r="BH28" i="1"/>
  <c r="BD28" i="1"/>
  <c r="BC28" i="1"/>
  <c r="AY28" i="1"/>
  <c r="AX28" i="1"/>
  <c r="BN27" i="1"/>
  <c r="BM27" i="1"/>
  <c r="BI27" i="1"/>
  <c r="BH27" i="1"/>
  <c r="BD27" i="1"/>
  <c r="BC27" i="1"/>
  <c r="AY27" i="1"/>
  <c r="AX27" i="1"/>
  <c r="BN26" i="1"/>
  <c r="BM26" i="1"/>
  <c r="BI26" i="1"/>
  <c r="BH26" i="1"/>
  <c r="BD26" i="1"/>
  <c r="BC26" i="1"/>
  <c r="AY26" i="1"/>
  <c r="AX26" i="1"/>
  <c r="BN25" i="1"/>
  <c r="BM25" i="1"/>
  <c r="BI25" i="1"/>
  <c r="BH25" i="1"/>
  <c r="BD25" i="1"/>
  <c r="BC25" i="1"/>
  <c r="AY25" i="1"/>
  <c r="AX25" i="1"/>
  <c r="BN24" i="1"/>
  <c r="BM24" i="1"/>
  <c r="BI24" i="1"/>
  <c r="BH24" i="1"/>
  <c r="BD24" i="1"/>
  <c r="BC24" i="1"/>
  <c r="AY24" i="1"/>
  <c r="AX24" i="1"/>
  <c r="BN23" i="1"/>
  <c r="BM23" i="1"/>
  <c r="BI23" i="1"/>
  <c r="BH23" i="1"/>
  <c r="BD23" i="1"/>
  <c r="BC23" i="1"/>
  <c r="AY23" i="1"/>
  <c r="AX23" i="1"/>
  <c r="BN22" i="1"/>
  <c r="BM22" i="1"/>
  <c r="BI22" i="1"/>
  <c r="BH22" i="1"/>
  <c r="BD22" i="1"/>
  <c r="BC22" i="1"/>
  <c r="AY22" i="1"/>
  <c r="AX22" i="1"/>
  <c r="BN21" i="1"/>
  <c r="BM21" i="1"/>
  <c r="BI21" i="1"/>
  <c r="BH21" i="1"/>
  <c r="BD21" i="1"/>
  <c r="BC21" i="1"/>
  <c r="AY21" i="1"/>
  <c r="AX21" i="1"/>
  <c r="BN20" i="1"/>
  <c r="BM20" i="1"/>
  <c r="BI20" i="1"/>
  <c r="BH20" i="1"/>
  <c r="BD20" i="1"/>
  <c r="BC20" i="1"/>
  <c r="AY20" i="1"/>
  <c r="AX20" i="1"/>
  <c r="BN19" i="1"/>
  <c r="BM19" i="1"/>
  <c r="BI19" i="1"/>
  <c r="BH19" i="1"/>
  <c r="BD19" i="1"/>
  <c r="BC19" i="1"/>
  <c r="AY19" i="1"/>
  <c r="AX19" i="1"/>
  <c r="BN18" i="1"/>
  <c r="BM18" i="1"/>
  <c r="BI18" i="1"/>
  <c r="BH18" i="1"/>
  <c r="BD18" i="1"/>
  <c r="BC18" i="1"/>
  <c r="AY18" i="1"/>
  <c r="AX18" i="1"/>
  <c r="BN17" i="1"/>
  <c r="BM17" i="1"/>
  <c r="BI17" i="1"/>
  <c r="BH17" i="1"/>
  <c r="BD17" i="1"/>
  <c r="BC17" i="1"/>
  <c r="AY17" i="1"/>
  <c r="AX17" i="1"/>
  <c r="BN16" i="1"/>
  <c r="BM16" i="1"/>
  <c r="BI16" i="1"/>
  <c r="BH16" i="1"/>
  <c r="BD16" i="1"/>
  <c r="BC16" i="1"/>
  <c r="AY16" i="1"/>
  <c r="AX16" i="1"/>
  <c r="BN15" i="1"/>
  <c r="BM15" i="1"/>
  <c r="BI15" i="1"/>
  <c r="BH15" i="1"/>
  <c r="BD15" i="1"/>
  <c r="BC15" i="1"/>
  <c r="AY15" i="1"/>
  <c r="AX15" i="1"/>
  <c r="BN14" i="1"/>
  <c r="BM14" i="1"/>
  <c r="BI14" i="1"/>
  <c r="BH14" i="1"/>
  <c r="BD14" i="1"/>
  <c r="BC14" i="1"/>
  <c r="AY14" i="1"/>
  <c r="AX14" i="1"/>
  <c r="BN13" i="1"/>
  <c r="BM13" i="1"/>
  <c r="BI13" i="1"/>
  <c r="BH13" i="1"/>
  <c r="BD13" i="1"/>
  <c r="BC13" i="1"/>
  <c r="AY13" i="1"/>
  <c r="AX13" i="1"/>
  <c r="BN12" i="1"/>
  <c r="BM12" i="1"/>
  <c r="BI12" i="1"/>
  <c r="BH12" i="1"/>
  <c r="BD12" i="1"/>
  <c r="BC12" i="1"/>
  <c r="AY12" i="1"/>
  <c r="AX12" i="1"/>
  <c r="BN11" i="1"/>
  <c r="BM11" i="1"/>
  <c r="BI11" i="1"/>
  <c r="BH11" i="1"/>
  <c r="BD11" i="1"/>
  <c r="BC11" i="1"/>
  <c r="AY11" i="1"/>
  <c r="AX11" i="1"/>
  <c r="BN10" i="1"/>
  <c r="BM10" i="1"/>
  <c r="BI10" i="1"/>
  <c r="BH10" i="1"/>
  <c r="BD10" i="1"/>
  <c r="BC10" i="1"/>
  <c r="AY10" i="1"/>
  <c r="AX10" i="1"/>
  <c r="BN9" i="1"/>
  <c r="BM9" i="1"/>
  <c r="BI9" i="1"/>
  <c r="BH9" i="1"/>
  <c r="BD9" i="1"/>
  <c r="BC9" i="1"/>
  <c r="AY9" i="1"/>
  <c r="AX9" i="1"/>
  <c r="BN8" i="1"/>
  <c r="BM8" i="1"/>
  <c r="BI8" i="1"/>
  <c r="BH8" i="1"/>
  <c r="BD8" i="1"/>
  <c r="BC8" i="1"/>
  <c r="AY8" i="1"/>
  <c r="AX8" i="1"/>
  <c r="BN7" i="1"/>
  <c r="BM7" i="1"/>
  <c r="BI7" i="1"/>
  <c r="BH7" i="1"/>
  <c r="BD7" i="1"/>
  <c r="BC7" i="1"/>
  <c r="AY7" i="1"/>
  <c r="AX7" i="1"/>
  <c r="CA67" i="1"/>
  <c r="BU67" i="1"/>
  <c r="BT67" i="1"/>
  <c r="BP67" i="1"/>
  <c r="BK67" i="1"/>
  <c r="BF67" i="1"/>
  <c r="BA67" i="1"/>
  <c r="AV67" i="1"/>
  <c r="AQ67" i="1"/>
  <c r="AL67" i="1"/>
  <c r="AG67" i="1"/>
  <c r="AB67" i="1"/>
  <c r="W67" i="1"/>
  <c r="R67" i="1"/>
  <c r="M67" i="1"/>
  <c r="CA66" i="1"/>
  <c r="BU66" i="1"/>
  <c r="BT66" i="1"/>
  <c r="BP66" i="1"/>
  <c r="BK66" i="1"/>
  <c r="BF66" i="1"/>
  <c r="BA66" i="1"/>
  <c r="AV66" i="1"/>
  <c r="AQ66" i="1"/>
  <c r="AL66" i="1"/>
  <c r="AG66" i="1"/>
  <c r="AB66" i="1"/>
  <c r="W66" i="1"/>
  <c r="R66" i="1"/>
  <c r="M66" i="1"/>
  <c r="BZ65" i="1"/>
  <c r="BU65" i="1"/>
  <c r="BT65" i="1"/>
  <c r="BO65" i="1"/>
  <c r="BJ65" i="1"/>
  <c r="BE65" i="1"/>
  <c r="AZ65" i="1"/>
  <c r="AU65" i="1"/>
  <c r="AP65" i="1"/>
  <c r="AK65" i="1"/>
  <c r="AF65" i="1"/>
  <c r="AA65" i="1"/>
  <c r="V65" i="1"/>
  <c r="Q65" i="1"/>
  <c r="L65" i="1"/>
  <c r="CA64" i="1"/>
  <c r="BU64" i="1"/>
  <c r="BT64" i="1"/>
  <c r="BP64" i="1"/>
  <c r="BK64" i="1"/>
  <c r="BF64" i="1"/>
  <c r="BA64" i="1"/>
  <c r="AV64" i="1"/>
  <c r="AQ64" i="1"/>
  <c r="AL64" i="1"/>
  <c r="AG64" i="1"/>
  <c r="AB64" i="1"/>
  <c r="W64" i="1"/>
  <c r="R64" i="1"/>
  <c r="M64" i="1"/>
  <c r="CA63" i="1"/>
  <c r="BU63" i="1"/>
  <c r="BT63" i="1"/>
  <c r="BP63" i="1"/>
  <c r="BK63" i="1"/>
  <c r="BF63" i="1"/>
  <c r="BA63" i="1"/>
  <c r="AV63" i="1"/>
  <c r="AQ63" i="1"/>
  <c r="AL63" i="1"/>
  <c r="AG63" i="1"/>
  <c r="AB63" i="1"/>
  <c r="W63" i="1"/>
  <c r="R63" i="1"/>
  <c r="M63" i="1"/>
  <c r="CA62" i="1"/>
  <c r="BU62" i="1"/>
  <c r="BT62" i="1"/>
  <c r="BP62" i="1"/>
  <c r="BK62" i="1"/>
  <c r="BF62" i="1"/>
  <c r="BA62" i="1"/>
  <c r="AV62" i="1"/>
  <c r="AQ62" i="1"/>
  <c r="AL62" i="1"/>
  <c r="AG62" i="1"/>
  <c r="AB62" i="1"/>
  <c r="W62" i="1"/>
  <c r="R62" i="1"/>
  <c r="M62" i="1"/>
  <c r="CA61" i="1"/>
  <c r="BU61" i="1"/>
  <c r="BT61" i="1"/>
  <c r="BP61" i="1"/>
  <c r="BK61" i="1"/>
  <c r="BF61" i="1"/>
  <c r="BA61" i="1"/>
  <c r="AV61" i="1"/>
  <c r="AQ61" i="1"/>
  <c r="AL61" i="1"/>
  <c r="AG61" i="1"/>
  <c r="AB61" i="1"/>
  <c r="W61" i="1"/>
  <c r="R61" i="1"/>
  <c r="M61" i="1"/>
  <c r="BZ60" i="1"/>
  <c r="BU60" i="1"/>
  <c r="BT60" i="1"/>
  <c r="BO60" i="1"/>
  <c r="BJ60" i="1"/>
  <c r="BE60" i="1"/>
  <c r="AZ60" i="1"/>
  <c r="AU60" i="1"/>
  <c r="AP60" i="1"/>
  <c r="AK60" i="1"/>
  <c r="AF60" i="1"/>
  <c r="AA60" i="1"/>
  <c r="V60" i="1"/>
  <c r="Q60" i="1"/>
  <c r="L60" i="1"/>
  <c r="BZ59" i="1"/>
  <c r="BU59" i="1"/>
  <c r="BT59" i="1"/>
  <c r="BO59" i="1"/>
  <c r="BJ59" i="1"/>
  <c r="BE59" i="1"/>
  <c r="AZ59" i="1"/>
  <c r="AU59" i="1"/>
  <c r="AP59" i="1"/>
  <c r="AK59" i="1"/>
  <c r="AF59" i="1"/>
  <c r="AA59" i="1"/>
  <c r="V59" i="1"/>
  <c r="Q59" i="1"/>
  <c r="L59" i="1"/>
  <c r="BZ58" i="1"/>
  <c r="BU58" i="1"/>
  <c r="BT58" i="1"/>
  <c r="BO58" i="1"/>
  <c r="BJ58" i="1"/>
  <c r="BE58" i="1"/>
  <c r="AZ58" i="1"/>
  <c r="AU58" i="1"/>
  <c r="AP58" i="1"/>
  <c r="AK58" i="1"/>
  <c r="AF58" i="1"/>
  <c r="AA58" i="1"/>
  <c r="V58" i="1"/>
  <c r="Q58" i="1"/>
  <c r="L58" i="1"/>
  <c r="BZ56" i="1"/>
  <c r="BW56" i="1"/>
  <c r="BT56" i="1"/>
  <c r="BO56" i="1"/>
  <c r="BM56" i="1"/>
  <c r="BJ56" i="1"/>
  <c r="BH56" i="1"/>
  <c r="BE56" i="1"/>
  <c r="BC56" i="1"/>
  <c r="AZ56" i="1"/>
  <c r="AX56" i="1"/>
  <c r="AU56" i="1"/>
  <c r="AS56" i="1"/>
  <c r="AP56" i="1"/>
  <c r="AN56" i="1"/>
  <c r="AK56" i="1"/>
  <c r="AI56" i="1"/>
  <c r="AF56" i="1"/>
  <c r="AD56" i="1"/>
  <c r="AA56" i="1"/>
  <c r="Y56" i="1"/>
  <c r="V56" i="1"/>
  <c r="T56" i="1"/>
  <c r="Q56" i="1"/>
  <c r="O56" i="1"/>
  <c r="L56" i="1"/>
  <c r="J56" i="1"/>
  <c r="BZ48" i="1"/>
  <c r="BU48" i="1"/>
  <c r="BT48" i="1"/>
  <c r="BO48" i="1"/>
  <c r="BJ48" i="1"/>
  <c r="BE48" i="1"/>
  <c r="AZ48" i="1"/>
  <c r="AU48" i="1"/>
  <c r="AP48" i="1"/>
  <c r="AK48" i="1"/>
  <c r="AF48" i="1"/>
  <c r="AA48" i="1"/>
  <c r="V48" i="1"/>
  <c r="Q48" i="1"/>
  <c r="L48" i="1"/>
  <c r="BZ47" i="1"/>
  <c r="BU47" i="1"/>
  <c r="BT47" i="1"/>
  <c r="BO47" i="1"/>
  <c r="BJ47" i="1"/>
  <c r="BE47" i="1"/>
  <c r="AZ47" i="1"/>
  <c r="AU47" i="1"/>
  <c r="AP47" i="1"/>
  <c r="AK47" i="1"/>
  <c r="AF47" i="1"/>
  <c r="AA47" i="1"/>
  <c r="V47" i="1"/>
  <c r="Q47" i="1"/>
  <c r="L47" i="1"/>
  <c r="BZ46" i="1"/>
  <c r="BU46" i="1"/>
  <c r="BT46" i="1"/>
  <c r="BO46" i="1"/>
  <c r="BJ46" i="1"/>
  <c r="BE46" i="1"/>
  <c r="AZ46" i="1"/>
  <c r="AU46" i="1"/>
  <c r="AP46" i="1"/>
  <c r="AK46" i="1"/>
  <c r="AF46" i="1"/>
  <c r="AA46" i="1"/>
  <c r="V46" i="1"/>
  <c r="Q46" i="1"/>
  <c r="L46" i="1"/>
  <c r="BZ45" i="1"/>
  <c r="BU45" i="1"/>
  <c r="BT45" i="1"/>
  <c r="BO45" i="1"/>
  <c r="BJ45" i="1"/>
  <c r="BE45" i="1"/>
  <c r="AZ45" i="1"/>
  <c r="AU45" i="1"/>
  <c r="AP45" i="1"/>
  <c r="AK45" i="1"/>
  <c r="AF45" i="1"/>
  <c r="AA45" i="1"/>
  <c r="V45" i="1"/>
  <c r="Q45" i="1"/>
  <c r="L45" i="1"/>
  <c r="BZ44" i="1"/>
  <c r="BU44" i="1"/>
  <c r="BT44" i="1"/>
  <c r="BO44" i="1"/>
  <c r="BJ44" i="1"/>
  <c r="BE44" i="1"/>
  <c r="AZ44" i="1"/>
  <c r="AU44" i="1"/>
  <c r="AP44" i="1"/>
  <c r="AK44" i="1"/>
  <c r="AF44" i="1"/>
  <c r="AA44" i="1"/>
  <c r="V44" i="1"/>
  <c r="Q44" i="1"/>
  <c r="L44" i="1"/>
  <c r="BZ43" i="1"/>
  <c r="BU43" i="1"/>
  <c r="BT43" i="1"/>
  <c r="BO43" i="1"/>
  <c r="BJ43" i="1"/>
  <c r="BE43" i="1"/>
  <c r="AZ43" i="1"/>
  <c r="AU43" i="1"/>
  <c r="AP43" i="1"/>
  <c r="AK43" i="1"/>
  <c r="AF43" i="1"/>
  <c r="AA43" i="1"/>
  <c r="V43" i="1"/>
  <c r="Q43" i="1"/>
  <c r="L43" i="1"/>
  <c r="BZ42" i="1"/>
  <c r="BU42" i="1"/>
  <c r="BT42" i="1"/>
  <c r="BO42" i="1"/>
  <c r="BJ42" i="1"/>
  <c r="BE42" i="1"/>
  <c r="AZ42" i="1"/>
  <c r="AU42" i="1"/>
  <c r="AP42" i="1"/>
  <c r="AK42" i="1"/>
  <c r="AF42" i="1"/>
  <c r="AA42" i="1"/>
  <c r="V42" i="1"/>
  <c r="Q42" i="1"/>
  <c r="L42" i="1"/>
  <c r="BZ41" i="1"/>
  <c r="BU41" i="1"/>
  <c r="BT41" i="1"/>
  <c r="BO41" i="1"/>
  <c r="BJ41" i="1"/>
  <c r="BE41" i="1"/>
  <c r="AZ41" i="1"/>
  <c r="AU41" i="1"/>
  <c r="AP41" i="1"/>
  <c r="AK41" i="1"/>
  <c r="AF41" i="1"/>
  <c r="AA41" i="1"/>
  <c r="V41" i="1"/>
  <c r="Q41" i="1"/>
  <c r="L41" i="1"/>
  <c r="BZ40" i="1"/>
  <c r="BU40" i="1"/>
  <c r="BT40" i="1"/>
  <c r="BO40" i="1"/>
  <c r="BJ40" i="1"/>
  <c r="BE40" i="1"/>
  <c r="AZ40" i="1"/>
  <c r="AU40" i="1"/>
  <c r="AP40" i="1"/>
  <c r="AK40" i="1"/>
  <c r="AF40" i="1"/>
  <c r="AA40" i="1"/>
  <c r="V40" i="1"/>
  <c r="Q40" i="1"/>
  <c r="L40" i="1"/>
  <c r="BZ39" i="1"/>
  <c r="BU39" i="1"/>
  <c r="BT39" i="1"/>
  <c r="BO39" i="1"/>
  <c r="BJ39" i="1"/>
  <c r="BE39" i="1"/>
  <c r="AZ39" i="1"/>
  <c r="AU39" i="1"/>
  <c r="AP39" i="1"/>
  <c r="AK39" i="1"/>
  <c r="AF39" i="1"/>
  <c r="AA39" i="1"/>
  <c r="V39" i="1"/>
  <c r="Q39" i="1"/>
  <c r="L39" i="1"/>
  <c r="BZ38" i="1"/>
  <c r="BU38" i="1"/>
  <c r="BT38" i="1"/>
  <c r="BO38" i="1"/>
  <c r="BJ38" i="1"/>
  <c r="BE38" i="1"/>
  <c r="AZ38" i="1"/>
  <c r="AU38" i="1"/>
  <c r="AP38" i="1"/>
  <c r="AK38" i="1"/>
  <c r="AF38" i="1"/>
  <c r="AA38" i="1"/>
  <c r="V38" i="1"/>
  <c r="Q38" i="1"/>
  <c r="L38" i="1"/>
  <c r="BZ37" i="1"/>
  <c r="BU37" i="1"/>
  <c r="BT37" i="1"/>
  <c r="BO37" i="1"/>
  <c r="BJ37" i="1"/>
  <c r="BE37" i="1"/>
  <c r="AZ37" i="1"/>
  <c r="AU37" i="1"/>
  <c r="AP37" i="1"/>
  <c r="AK37" i="1"/>
  <c r="AF37" i="1"/>
  <c r="AA37" i="1"/>
  <c r="V37" i="1"/>
  <c r="Q37" i="1"/>
  <c r="L37" i="1"/>
  <c r="BZ36" i="1"/>
  <c r="BU36" i="1"/>
  <c r="BT36" i="1"/>
  <c r="BO36" i="1"/>
  <c r="BJ36" i="1"/>
  <c r="BE36" i="1"/>
  <c r="AZ36" i="1"/>
  <c r="AU36" i="1"/>
  <c r="AP36" i="1"/>
  <c r="AK36" i="1"/>
  <c r="AF36" i="1"/>
  <c r="AA36" i="1"/>
  <c r="V36" i="1"/>
  <c r="Q36" i="1"/>
  <c r="L36" i="1"/>
  <c r="BZ35" i="1"/>
  <c r="BU35" i="1"/>
  <c r="BT35" i="1"/>
  <c r="BO35" i="1"/>
  <c r="BJ35" i="1"/>
  <c r="BE35" i="1"/>
  <c r="AZ35" i="1"/>
  <c r="AU35" i="1"/>
  <c r="AP35" i="1"/>
  <c r="AK35" i="1"/>
  <c r="AF35" i="1"/>
  <c r="AA35" i="1"/>
  <c r="V35" i="1"/>
  <c r="Q35" i="1"/>
  <c r="L35" i="1"/>
  <c r="BZ34" i="1"/>
  <c r="BU34" i="1"/>
  <c r="BT34" i="1"/>
  <c r="BO34" i="1"/>
  <c r="BJ34" i="1"/>
  <c r="BE34" i="1"/>
  <c r="AZ34" i="1"/>
  <c r="AU34" i="1"/>
  <c r="AP34" i="1"/>
  <c r="AK34" i="1"/>
  <c r="AF34" i="1"/>
  <c r="AA34" i="1"/>
  <c r="V34" i="1"/>
  <c r="Q34" i="1"/>
  <c r="L34" i="1"/>
  <c r="BZ33" i="1"/>
  <c r="BU33" i="1"/>
  <c r="BT33" i="1"/>
  <c r="BO33" i="1"/>
  <c r="BJ33" i="1"/>
  <c r="BE33" i="1"/>
  <c r="AZ33" i="1"/>
  <c r="AU33" i="1"/>
  <c r="AP33" i="1"/>
  <c r="AK33" i="1"/>
  <c r="AF33" i="1"/>
  <c r="AA33" i="1"/>
  <c r="V33" i="1"/>
  <c r="Q33" i="1"/>
  <c r="L33" i="1"/>
  <c r="BZ32" i="1"/>
  <c r="BU32" i="1"/>
  <c r="BT32" i="1"/>
  <c r="BO32" i="1"/>
  <c r="BJ32" i="1"/>
  <c r="BE32" i="1"/>
  <c r="AZ32" i="1"/>
  <c r="AU32" i="1"/>
  <c r="AP32" i="1"/>
  <c r="AK32" i="1"/>
  <c r="AF32" i="1"/>
  <c r="AA32" i="1"/>
  <c r="V32" i="1"/>
  <c r="Q32" i="1"/>
  <c r="L32" i="1"/>
  <c r="BZ31" i="1"/>
  <c r="BU31" i="1"/>
  <c r="BT31" i="1"/>
  <c r="BO31" i="1"/>
  <c r="BJ31" i="1"/>
  <c r="BE31" i="1"/>
  <c r="AZ31" i="1"/>
  <c r="AU31" i="1"/>
  <c r="AP31" i="1"/>
  <c r="AK31" i="1"/>
  <c r="AF31" i="1"/>
  <c r="AA31" i="1"/>
  <c r="V31" i="1"/>
  <c r="Q31" i="1"/>
  <c r="L31" i="1"/>
  <c r="BZ30" i="1"/>
  <c r="BU30" i="1"/>
  <c r="BT30" i="1"/>
  <c r="BO30" i="1"/>
  <c r="BJ30" i="1"/>
  <c r="BE30" i="1"/>
  <c r="AZ30" i="1"/>
  <c r="AU30" i="1"/>
  <c r="AP30" i="1"/>
  <c r="AK30" i="1"/>
  <c r="AF30" i="1"/>
  <c r="AA30" i="1"/>
  <c r="V30" i="1"/>
  <c r="Q30" i="1"/>
  <c r="L30" i="1"/>
  <c r="CA29" i="1"/>
  <c r="BU29" i="1"/>
  <c r="BT29" i="1"/>
  <c r="BP29" i="1"/>
  <c r="BK29" i="1"/>
  <c r="BF29" i="1"/>
  <c r="BA29" i="1"/>
  <c r="AV29" i="1"/>
  <c r="AQ29" i="1"/>
  <c r="AL29" i="1"/>
  <c r="AG29" i="1"/>
  <c r="AB29" i="1"/>
  <c r="W29" i="1"/>
  <c r="R29" i="1"/>
  <c r="M29" i="1"/>
  <c r="BZ28" i="1"/>
  <c r="BU28" i="1"/>
  <c r="BT28" i="1"/>
  <c r="BO28" i="1"/>
  <c r="BJ28" i="1"/>
  <c r="BE28" i="1"/>
  <c r="AZ28" i="1"/>
  <c r="AU28" i="1"/>
  <c r="AP28" i="1"/>
  <c r="AK28" i="1"/>
  <c r="AF28" i="1"/>
  <c r="AA28" i="1"/>
  <c r="V28" i="1"/>
  <c r="Q28" i="1"/>
  <c r="L28" i="1"/>
  <c r="CA27" i="1"/>
  <c r="H34" i="8" s="1"/>
  <c r="BU27" i="1"/>
  <c r="BT27" i="1"/>
  <c r="BP27" i="1"/>
  <c r="BK27" i="1"/>
  <c r="BF27" i="1"/>
  <c r="BA27" i="1"/>
  <c r="AV27" i="1"/>
  <c r="AQ27" i="1"/>
  <c r="AL27" i="1"/>
  <c r="AG27" i="1"/>
  <c r="AB27" i="1"/>
  <c r="W27" i="1"/>
  <c r="R27" i="1"/>
  <c r="M27" i="1"/>
  <c r="BZ26" i="1"/>
  <c r="BU26" i="1"/>
  <c r="BT26" i="1"/>
  <c r="BO26" i="1"/>
  <c r="BJ26" i="1"/>
  <c r="BE26" i="1"/>
  <c r="AZ26" i="1"/>
  <c r="AU26" i="1"/>
  <c r="AP26" i="1"/>
  <c r="AK26" i="1"/>
  <c r="AF26" i="1"/>
  <c r="AA26" i="1"/>
  <c r="V26" i="1"/>
  <c r="Q26" i="1"/>
  <c r="L26" i="1"/>
  <c r="BZ25" i="1"/>
  <c r="BU25" i="1"/>
  <c r="BT25" i="1"/>
  <c r="BO25" i="1"/>
  <c r="BJ25" i="1"/>
  <c r="BE25" i="1"/>
  <c r="AZ25" i="1"/>
  <c r="AU25" i="1"/>
  <c r="AP25" i="1"/>
  <c r="AK25" i="1"/>
  <c r="AF25" i="1"/>
  <c r="AA25" i="1"/>
  <c r="V25" i="1"/>
  <c r="Q25" i="1"/>
  <c r="L25" i="1"/>
  <c r="CA24" i="1"/>
  <c r="BU24" i="1"/>
  <c r="BT24" i="1"/>
  <c r="BP24" i="1"/>
  <c r="BK24" i="1"/>
  <c r="BF24" i="1"/>
  <c r="BA24" i="1"/>
  <c r="AV24" i="1"/>
  <c r="AQ24" i="1"/>
  <c r="AL24" i="1"/>
  <c r="AG24" i="1"/>
  <c r="AB24" i="1"/>
  <c r="W24" i="1"/>
  <c r="R24" i="1"/>
  <c r="M24" i="1"/>
  <c r="CA23" i="1"/>
  <c r="BU23" i="1"/>
  <c r="BT23" i="1"/>
  <c r="BP23" i="1"/>
  <c r="BK23" i="1"/>
  <c r="BF23" i="1"/>
  <c r="BA23" i="1"/>
  <c r="AV23" i="1"/>
  <c r="AQ23" i="1"/>
  <c r="AL23" i="1"/>
  <c r="AG23" i="1"/>
  <c r="AB23" i="1"/>
  <c r="W23" i="1"/>
  <c r="R23" i="1"/>
  <c r="M23" i="1"/>
  <c r="CA22" i="1"/>
  <c r="BU22" i="1"/>
  <c r="BT22" i="1"/>
  <c r="BP22" i="1"/>
  <c r="BK22" i="1"/>
  <c r="BF22" i="1"/>
  <c r="BA22" i="1"/>
  <c r="AV22" i="1"/>
  <c r="AQ22" i="1"/>
  <c r="AL22" i="1"/>
  <c r="AG22" i="1"/>
  <c r="AB22" i="1"/>
  <c r="W22" i="1"/>
  <c r="R22" i="1"/>
  <c r="M22" i="1"/>
  <c r="CA21" i="1"/>
  <c r="BU21" i="1"/>
  <c r="BT21" i="1"/>
  <c r="BP21" i="1"/>
  <c r="BK21" i="1"/>
  <c r="BF21" i="1"/>
  <c r="BA21" i="1"/>
  <c r="AV21" i="1"/>
  <c r="AQ21" i="1"/>
  <c r="AL21" i="1"/>
  <c r="AG21" i="1"/>
  <c r="AB21" i="1"/>
  <c r="W21" i="1"/>
  <c r="R21" i="1"/>
  <c r="M21" i="1"/>
  <c r="CA20" i="1"/>
  <c r="BU20" i="1"/>
  <c r="BT20" i="1"/>
  <c r="BP20" i="1"/>
  <c r="BK20" i="1"/>
  <c r="BF20" i="1"/>
  <c r="BA20" i="1"/>
  <c r="AV20" i="1"/>
  <c r="AQ20" i="1"/>
  <c r="AL20" i="1"/>
  <c r="AG20" i="1"/>
  <c r="AB20" i="1"/>
  <c r="W20" i="1"/>
  <c r="R20" i="1"/>
  <c r="M20" i="1"/>
  <c r="CA19" i="1"/>
  <c r="BU19" i="1"/>
  <c r="BT19" i="1"/>
  <c r="BP19" i="1"/>
  <c r="BK19" i="1"/>
  <c r="BF19" i="1"/>
  <c r="BA19" i="1"/>
  <c r="AV19" i="1"/>
  <c r="AQ19" i="1"/>
  <c r="AL19" i="1"/>
  <c r="AG19" i="1"/>
  <c r="AB19" i="1"/>
  <c r="W19" i="1"/>
  <c r="R19" i="1"/>
  <c r="M19" i="1"/>
  <c r="CA18" i="1"/>
  <c r="BU18" i="1"/>
  <c r="BT18" i="1"/>
  <c r="BP18" i="1"/>
  <c r="BK18" i="1"/>
  <c r="BF18" i="1"/>
  <c r="BA18" i="1"/>
  <c r="AV18" i="1"/>
  <c r="AQ18" i="1"/>
  <c r="AL18" i="1"/>
  <c r="AG18" i="1"/>
  <c r="AB18" i="1"/>
  <c r="W18" i="1"/>
  <c r="R18" i="1"/>
  <c r="M18" i="1"/>
  <c r="CA17" i="1"/>
  <c r="BU17" i="1"/>
  <c r="BT17" i="1"/>
  <c r="BP17" i="1"/>
  <c r="BK17" i="1"/>
  <c r="BF17" i="1"/>
  <c r="BA17" i="1"/>
  <c r="AV17" i="1"/>
  <c r="AQ17" i="1"/>
  <c r="AL17" i="1"/>
  <c r="AG17" i="1"/>
  <c r="AB17" i="1"/>
  <c r="W17" i="1"/>
  <c r="R17" i="1"/>
  <c r="M17" i="1"/>
  <c r="CA16" i="1"/>
  <c r="BU16" i="1"/>
  <c r="BT16" i="1"/>
  <c r="BP16" i="1"/>
  <c r="BK16" i="1"/>
  <c r="BF16" i="1"/>
  <c r="BA16" i="1"/>
  <c r="AV16" i="1"/>
  <c r="AQ16" i="1"/>
  <c r="AL16" i="1"/>
  <c r="AG16" i="1"/>
  <c r="AB16" i="1"/>
  <c r="W16" i="1"/>
  <c r="R16" i="1"/>
  <c r="M16" i="1"/>
  <c r="CA15" i="1"/>
  <c r="BU15" i="1"/>
  <c r="BT15" i="1"/>
  <c r="BP15" i="1"/>
  <c r="BK15" i="1"/>
  <c r="BF15" i="1"/>
  <c r="BA15" i="1"/>
  <c r="AV15" i="1"/>
  <c r="AQ15" i="1"/>
  <c r="AL15" i="1"/>
  <c r="AG15" i="1"/>
  <c r="AB15" i="1"/>
  <c r="W15" i="1"/>
  <c r="R15" i="1"/>
  <c r="M15" i="1"/>
  <c r="CA14" i="1"/>
  <c r="BU14" i="1"/>
  <c r="BT14" i="1"/>
  <c r="BP14" i="1"/>
  <c r="BK14" i="1"/>
  <c r="BF14" i="1"/>
  <c r="BA14" i="1"/>
  <c r="AV14" i="1"/>
  <c r="AQ14" i="1"/>
  <c r="AL14" i="1"/>
  <c r="AG14" i="1"/>
  <c r="AB14" i="1"/>
  <c r="W14" i="1"/>
  <c r="R14" i="1"/>
  <c r="M14" i="1"/>
  <c r="CA13" i="1"/>
  <c r="BU13" i="1"/>
  <c r="BT13" i="1"/>
  <c r="BP13" i="1"/>
  <c r="BK13" i="1"/>
  <c r="BF13" i="1"/>
  <c r="BA13" i="1"/>
  <c r="AV13" i="1"/>
  <c r="AQ13" i="1"/>
  <c r="AL13" i="1"/>
  <c r="AG13" i="1"/>
  <c r="AB13" i="1"/>
  <c r="W13" i="1"/>
  <c r="R13" i="1"/>
  <c r="M13" i="1"/>
  <c r="BZ12" i="1"/>
  <c r="BU12" i="1"/>
  <c r="BT12" i="1"/>
  <c r="BO12" i="1"/>
  <c r="BJ12" i="1"/>
  <c r="BE12" i="1"/>
  <c r="AZ12" i="1"/>
  <c r="AU12" i="1"/>
  <c r="AP12" i="1"/>
  <c r="AK12" i="1"/>
  <c r="AF12" i="1"/>
  <c r="AA12" i="1"/>
  <c r="V12" i="1"/>
  <c r="Q12" i="1"/>
  <c r="L12" i="1"/>
  <c r="CA11" i="1"/>
  <c r="BU11" i="1"/>
  <c r="BT11" i="1"/>
  <c r="BP11" i="1"/>
  <c r="BK11" i="1"/>
  <c r="BF11" i="1"/>
  <c r="BA11" i="1"/>
  <c r="AV11" i="1"/>
  <c r="AQ11" i="1"/>
  <c r="AL11" i="1"/>
  <c r="AG11" i="1"/>
  <c r="AB11" i="1"/>
  <c r="W11" i="1"/>
  <c r="R11" i="1"/>
  <c r="M11" i="1"/>
  <c r="CA10" i="1"/>
  <c r="BU10" i="1"/>
  <c r="BT10" i="1"/>
  <c r="BP10" i="1"/>
  <c r="BK10" i="1"/>
  <c r="BF10" i="1"/>
  <c r="BA10" i="1"/>
  <c r="AV10" i="1"/>
  <c r="AQ10" i="1"/>
  <c r="AL10" i="1"/>
  <c r="AG10" i="1"/>
  <c r="AB10" i="1"/>
  <c r="W10" i="1"/>
  <c r="R10" i="1"/>
  <c r="M10" i="1"/>
  <c r="CA9" i="1"/>
  <c r="H11" i="8" s="1"/>
  <c r="BU9" i="1"/>
  <c r="BT9" i="1"/>
  <c r="BP9" i="1"/>
  <c r="BK9" i="1"/>
  <c r="BF9" i="1"/>
  <c r="BA9" i="1"/>
  <c r="AV9" i="1"/>
  <c r="AQ9" i="1"/>
  <c r="AL9" i="1"/>
  <c r="AG9" i="1"/>
  <c r="AB9" i="1"/>
  <c r="W9" i="1"/>
  <c r="R9" i="1"/>
  <c r="M9" i="1"/>
  <c r="CA8" i="1"/>
  <c r="BU8" i="1"/>
  <c r="BT8" i="1"/>
  <c r="BP8" i="1"/>
  <c r="BK8" i="1"/>
  <c r="BF8" i="1"/>
  <c r="BA8" i="1"/>
  <c r="AV8" i="1"/>
  <c r="AQ8" i="1"/>
  <c r="AL8" i="1"/>
  <c r="AG8" i="1"/>
  <c r="AB8" i="1"/>
  <c r="W8" i="1"/>
  <c r="R8" i="1"/>
  <c r="M8" i="1"/>
  <c r="CA7" i="1"/>
  <c r="BU7" i="1"/>
  <c r="BT7" i="1"/>
  <c r="BP7" i="1"/>
  <c r="BK7" i="1"/>
  <c r="BF7" i="1"/>
  <c r="BA7" i="1"/>
  <c r="AV7" i="1"/>
  <c r="AQ7" i="1"/>
  <c r="AL7" i="1"/>
  <c r="AG7" i="1"/>
  <c r="AB7" i="1"/>
  <c r="W7" i="1"/>
  <c r="R7" i="1"/>
  <c r="M7" i="1"/>
  <c r="L68" i="27"/>
  <c r="K68" i="27"/>
  <c r="J68" i="27"/>
  <c r="G68" i="27"/>
  <c r="E68" i="27"/>
  <c r="D68" i="27"/>
  <c r="C68" i="27"/>
  <c r="B68" i="27"/>
  <c r="I67" i="27"/>
  <c r="B67" i="27"/>
  <c r="L65" i="27"/>
  <c r="K65" i="27"/>
  <c r="J65" i="27"/>
  <c r="G65" i="27"/>
  <c r="E65" i="27"/>
  <c r="D65" i="27"/>
  <c r="C65" i="27"/>
  <c r="B65" i="27"/>
  <c r="I64" i="27"/>
  <c r="B64" i="27"/>
  <c r="L62" i="27"/>
  <c r="K62" i="27"/>
  <c r="J62" i="27"/>
  <c r="G62" i="27"/>
  <c r="E62" i="27"/>
  <c r="D62" i="27"/>
  <c r="C62" i="27"/>
  <c r="B62" i="27"/>
  <c r="I61" i="27"/>
  <c r="B61" i="27"/>
  <c r="Z26" i="9" l="1"/>
  <c r="T26" i="9"/>
  <c r="V12" i="9"/>
  <c r="Z14" i="9"/>
  <c r="X23" i="9"/>
  <c r="X26" i="9"/>
  <c r="T12" i="9"/>
  <c r="X11" i="9"/>
  <c r="T13" i="9"/>
  <c r="X13" i="9"/>
  <c r="T18" i="9"/>
  <c r="T19" i="9" s="1"/>
  <c r="V26" i="9"/>
  <c r="V13" i="9"/>
  <c r="O66" i="1"/>
  <c r="O69" i="1" s="1"/>
  <c r="N11" i="9"/>
  <c r="V18" i="9"/>
  <c r="V19" i="9" s="1"/>
  <c r="X18" i="9"/>
  <c r="X19" i="9" s="1"/>
  <c r="Z12" i="9"/>
  <c r="X12" i="9"/>
  <c r="T22" i="9"/>
  <c r="T24" i="9" s="1"/>
  <c r="Z23" i="9"/>
  <c r="X22" i="9"/>
  <c r="X24" i="9" s="1"/>
  <c r="V22" i="9"/>
  <c r="V24" i="9" s="1"/>
  <c r="X10" i="9"/>
  <c r="Z22" i="9"/>
  <c r="V11" i="9"/>
  <c r="T10" i="9"/>
  <c r="Z11" i="9"/>
  <c r="V10" i="9"/>
  <c r="T14" i="9"/>
  <c r="Z18" i="9"/>
  <c r="Z19" i="9" s="1"/>
  <c r="T11" i="9"/>
  <c r="T9" i="9"/>
  <c r="Z10" i="9"/>
  <c r="V9" i="9"/>
  <c r="X9" i="9"/>
  <c r="H70" i="27"/>
  <c r="I65" i="27"/>
  <c r="J12" i="9"/>
  <c r="P13" i="9"/>
  <c r="F22" i="9"/>
  <c r="L23" i="9"/>
  <c r="R26" i="9"/>
  <c r="P12" i="9"/>
  <c r="F18" i="9"/>
  <c r="F19" i="9" s="1"/>
  <c r="L22" i="9"/>
  <c r="R23" i="9"/>
  <c r="H14" i="9"/>
  <c r="N18" i="9"/>
  <c r="N19" i="9" s="1"/>
  <c r="H12" i="9"/>
  <c r="N13" i="9"/>
  <c r="J23" i="9"/>
  <c r="P26" i="9"/>
  <c r="J13" i="9"/>
  <c r="P14" i="9"/>
  <c r="L26" i="9"/>
  <c r="L12" i="9"/>
  <c r="R12" i="9"/>
  <c r="H18" i="9"/>
  <c r="H19" i="9" s="1"/>
  <c r="F14" i="9"/>
  <c r="L18" i="9"/>
  <c r="L19" i="9" s="1"/>
  <c r="BC69" i="1"/>
  <c r="BM50" i="1"/>
  <c r="BM69" i="1"/>
  <c r="AX50" i="1"/>
  <c r="AY50" i="1"/>
  <c r="BD69" i="1"/>
  <c r="BD71" i="1" s="1"/>
  <c r="BH69" i="1"/>
  <c r="BI69" i="1"/>
  <c r="BI71" i="1" s="1"/>
  <c r="BN69" i="1"/>
  <c r="BN71" i="1" s="1"/>
  <c r="Z9" i="9"/>
  <c r="P11" i="9"/>
  <c r="J14" i="9"/>
  <c r="P18" i="9"/>
  <c r="P19" i="9" s="1"/>
  <c r="F26" i="9"/>
  <c r="I68" i="27"/>
  <c r="F9" i="9"/>
  <c r="R11" i="9"/>
  <c r="R22" i="9"/>
  <c r="N22" i="9"/>
  <c r="P22" i="9"/>
  <c r="F12" i="9"/>
  <c r="L13" i="9"/>
  <c r="R14" i="9"/>
  <c r="H23" i="9"/>
  <c r="F11" i="9"/>
  <c r="L9" i="9"/>
  <c r="R10" i="9"/>
  <c r="N9" i="9"/>
  <c r="P9" i="9"/>
  <c r="R9" i="9"/>
  <c r="N12" i="9"/>
  <c r="P23" i="9"/>
  <c r="J9" i="9"/>
  <c r="P10" i="9"/>
  <c r="AJ50" i="1"/>
  <c r="H11" i="9"/>
  <c r="J22" i="9"/>
  <c r="J11" i="9"/>
  <c r="F10" i="9"/>
  <c r="L11" i="9"/>
  <c r="H10" i="9"/>
  <c r="J10" i="9"/>
  <c r="L10" i="9"/>
  <c r="T69" i="1"/>
  <c r="H9" i="9"/>
  <c r="N10" i="9"/>
  <c r="F13" i="9"/>
  <c r="L14" i="9"/>
  <c r="R18" i="9"/>
  <c r="R19" i="9" s="1"/>
  <c r="H26" i="9"/>
  <c r="P50" i="1"/>
  <c r="H13" i="9"/>
  <c r="N14" i="9"/>
  <c r="J26" i="9"/>
  <c r="R13" i="9"/>
  <c r="H22" i="9"/>
  <c r="N23" i="9"/>
  <c r="I62" i="27"/>
  <c r="O50" i="1"/>
  <c r="AI69" i="1"/>
  <c r="Y50" i="1"/>
  <c r="AJ69" i="1"/>
  <c r="AJ71" i="1" s="1"/>
  <c r="N26" i="9"/>
  <c r="G70" i="27"/>
  <c r="BU50" i="1"/>
  <c r="AN50" i="1"/>
  <c r="AO50" i="1"/>
  <c r="U69" i="1"/>
  <c r="U71" i="1" s="1"/>
  <c r="BT50" i="1"/>
  <c r="BU51" i="1" s="1"/>
  <c r="AD50" i="1"/>
  <c r="AE50" i="1"/>
  <c r="AN69" i="1"/>
  <c r="AO69" i="1"/>
  <c r="AO71" i="1" s="1"/>
  <c r="AS69" i="1"/>
  <c r="AT69" i="1"/>
  <c r="AT71" i="1" s="1"/>
  <c r="Y69" i="1"/>
  <c r="Z69" i="1"/>
  <c r="Z71" i="1" s="1"/>
  <c r="BU69" i="1"/>
  <c r="BT69" i="1"/>
  <c r="BD50" i="1"/>
  <c r="T50" i="1"/>
  <c r="AI50" i="1"/>
  <c r="U50" i="1"/>
  <c r="BH50" i="1"/>
  <c r="BI50" i="1"/>
  <c r="AS50" i="1"/>
  <c r="AD69" i="1"/>
  <c r="AT50" i="1"/>
  <c r="AE69" i="1"/>
  <c r="AE71" i="1" s="1"/>
  <c r="Z50" i="1"/>
  <c r="AX69" i="1"/>
  <c r="AY69" i="1"/>
  <c r="AY71" i="1" s="1"/>
  <c r="BN50" i="1"/>
  <c r="P69" i="1"/>
  <c r="P71" i="1" s="1"/>
  <c r="BC50" i="1"/>
  <c r="J19" i="9"/>
  <c r="T15" i="9" l="1"/>
  <c r="T20" i="9" s="1"/>
  <c r="T25" i="9" s="1"/>
  <c r="T27" i="9" s="1"/>
  <c r="Z24" i="9"/>
  <c r="F23" i="9"/>
  <c r="V15" i="9"/>
  <c r="V20" i="9" s="1"/>
  <c r="X15" i="9"/>
  <c r="X20" i="9" s="1"/>
  <c r="X25" i="9" s="1"/>
  <c r="X27" i="9" s="1"/>
  <c r="F24" i="9"/>
  <c r="AY51" i="1"/>
  <c r="AX70" i="1" s="1"/>
  <c r="AX71" i="1" s="1"/>
  <c r="AY72" i="1" s="1"/>
  <c r="V25" i="9"/>
  <c r="V27" i="9" s="1"/>
  <c r="Z15" i="9"/>
  <c r="Z20" i="9" s="1"/>
  <c r="Z25" i="9" s="1"/>
  <c r="Z27" i="9" s="1"/>
  <c r="L24" i="9"/>
  <c r="BN51" i="1"/>
  <c r="BM70" i="1" s="1"/>
  <c r="BM71" i="1" s="1"/>
  <c r="BN72" i="1" s="1"/>
  <c r="Z51" i="1"/>
  <c r="Y70" i="1" s="1"/>
  <c r="Y71" i="1" s="1"/>
  <c r="Z72" i="1" s="1"/>
  <c r="R24" i="9"/>
  <c r="J24" i="9"/>
  <c r="P15" i="9"/>
  <c r="P20" i="9" s="1"/>
  <c r="BI51" i="1"/>
  <c r="BH70" i="1" s="1"/>
  <c r="BH71" i="1" s="1"/>
  <c r="BI72" i="1" s="1"/>
  <c r="J15" i="9"/>
  <c r="J20" i="9" s="1"/>
  <c r="P24" i="9"/>
  <c r="H15" i="9"/>
  <c r="H20" i="9" s="1"/>
  <c r="N24" i="9"/>
  <c r="H24" i="9"/>
  <c r="N15" i="9"/>
  <c r="N20" i="9" s="1"/>
  <c r="L15" i="9"/>
  <c r="L20" i="9" s="1"/>
  <c r="F15" i="9"/>
  <c r="F20" i="9" s="1"/>
  <c r="AJ51" i="1"/>
  <c r="AI70" i="1" s="1"/>
  <c r="AI71" i="1" s="1"/>
  <c r="AJ72" i="1" s="1"/>
  <c r="R15" i="9"/>
  <c r="R20" i="9" s="1"/>
  <c r="P51" i="1"/>
  <c r="O70" i="1" s="1"/>
  <c r="O71" i="1" s="1"/>
  <c r="P72" i="1" s="1"/>
  <c r="I70" i="27"/>
  <c r="K70" i="27" s="1"/>
  <c r="AO51" i="1"/>
  <c r="AN70" i="1" s="1"/>
  <c r="AN71" i="1" s="1"/>
  <c r="AO72" i="1" s="1"/>
  <c r="BD51" i="1"/>
  <c r="BC70" i="1" s="1"/>
  <c r="BC71" i="1" s="1"/>
  <c r="BD72" i="1" s="1"/>
  <c r="AT51" i="1"/>
  <c r="AS70" i="1" s="1"/>
  <c r="AS71" i="1" s="1"/>
  <c r="AT72" i="1" s="1"/>
  <c r="U51" i="1"/>
  <c r="T70" i="1" s="1"/>
  <c r="T71" i="1" s="1"/>
  <c r="U72" i="1" s="1"/>
  <c r="BU71" i="1"/>
  <c r="BT70" i="1"/>
  <c r="BT71" i="1" s="1"/>
  <c r="AE51" i="1"/>
  <c r="AD70" i="1" s="1"/>
  <c r="AD71" i="1" s="1"/>
  <c r="AE72" i="1" s="1"/>
  <c r="F25" i="9" l="1"/>
  <c r="F27" i="9" s="1"/>
  <c r="R25" i="9"/>
  <c r="R27" i="9" s="1"/>
  <c r="L25" i="9"/>
  <c r="L27" i="9" s="1"/>
  <c r="J25" i="9"/>
  <c r="J27" i="9" s="1"/>
  <c r="N25" i="9"/>
  <c r="N27" i="9" s="1"/>
  <c r="P25" i="9"/>
  <c r="P27" i="9" s="1"/>
  <c r="H25" i="9"/>
  <c r="H27" i="9" s="1"/>
  <c r="L70" i="27"/>
  <c r="K71" i="27"/>
  <c r="K72" i="27" s="1"/>
  <c r="K73" i="27" s="1"/>
  <c r="L59" i="27" l="1"/>
  <c r="K59" i="27"/>
  <c r="J59" i="27"/>
  <c r="G59" i="27"/>
  <c r="E59" i="27"/>
  <c r="D59" i="27"/>
  <c r="C59" i="27"/>
  <c r="B59" i="27"/>
  <c r="I58" i="27"/>
  <c r="B58" i="27"/>
  <c r="L56" i="27"/>
  <c r="K56" i="27"/>
  <c r="I56" i="27"/>
  <c r="E56" i="27"/>
  <c r="D56" i="27"/>
  <c r="C56" i="27"/>
  <c r="B56" i="27"/>
  <c r="I55" i="27"/>
  <c r="B55" i="27"/>
  <c r="H53" i="27"/>
  <c r="I53" i="27" s="1"/>
  <c r="B53" i="27"/>
  <c r="L52" i="27"/>
  <c r="L53" i="27" s="1"/>
  <c r="K52" i="27"/>
  <c r="K53" i="27" s="1"/>
  <c r="J52" i="27"/>
  <c r="J53" i="27" s="1"/>
  <c r="I52" i="27"/>
  <c r="E52" i="27"/>
  <c r="E53" i="27" s="1"/>
  <c r="D52" i="27"/>
  <c r="D53" i="27" s="1"/>
  <c r="C52" i="27"/>
  <c r="C53" i="27" s="1"/>
  <c r="B52" i="27"/>
  <c r="I51" i="27"/>
  <c r="B51" i="27"/>
  <c r="L49" i="27"/>
  <c r="G49" i="27"/>
  <c r="I49" i="27" s="1"/>
  <c r="E49" i="27"/>
  <c r="D49" i="27"/>
  <c r="C49" i="27"/>
  <c r="B49" i="27"/>
  <c r="I48" i="27"/>
  <c r="B48" i="27"/>
  <c r="L46" i="27"/>
  <c r="I46" i="27"/>
  <c r="E46" i="27"/>
  <c r="D46" i="27"/>
  <c r="C46" i="27"/>
  <c r="B46" i="27"/>
  <c r="I45" i="27"/>
  <c r="B45" i="27"/>
  <c r="L43" i="27"/>
  <c r="K43" i="27"/>
  <c r="J43" i="27"/>
  <c r="G43" i="27"/>
  <c r="I43" i="27" s="1"/>
  <c r="E43" i="27"/>
  <c r="D43" i="27"/>
  <c r="C43" i="27"/>
  <c r="B43" i="27"/>
  <c r="I42" i="27"/>
  <c r="B42" i="27"/>
  <c r="I59" i="27" l="1"/>
  <c r="B40" i="27"/>
  <c r="B39" i="27"/>
  <c r="B38" i="27"/>
  <c r="B37" i="27"/>
  <c r="B36" i="27"/>
  <c r="B35" i="27"/>
  <c r="G39" i="27"/>
  <c r="I39" i="27" s="1"/>
  <c r="L38" i="27"/>
  <c r="L39" i="27" s="1"/>
  <c r="I38" i="27"/>
  <c r="I37" i="27"/>
  <c r="L36" i="27"/>
  <c r="K36" i="27"/>
  <c r="K37" i="27" s="1"/>
  <c r="K38" i="27" s="1"/>
  <c r="K39" i="27" s="1"/>
  <c r="K40" i="27" s="1"/>
  <c r="J36" i="27"/>
  <c r="J37" i="27" s="1"/>
  <c r="J38" i="27" s="1"/>
  <c r="J39" i="27" s="1"/>
  <c r="J40" i="27" s="1"/>
  <c r="I36" i="27"/>
  <c r="E36" i="27"/>
  <c r="E37" i="27" s="1"/>
  <c r="E38" i="27" s="1"/>
  <c r="E39" i="27" s="1"/>
  <c r="E40" i="27" s="1"/>
  <c r="D36" i="27"/>
  <c r="D37" i="27" s="1"/>
  <c r="D38" i="27" s="1"/>
  <c r="D39" i="27" s="1"/>
  <c r="D40" i="27" s="1"/>
  <c r="C36" i="27"/>
  <c r="C37" i="27" s="1"/>
  <c r="C38" i="27" s="1"/>
  <c r="C39" i="27" s="1"/>
  <c r="C40" i="27" s="1"/>
  <c r="I35" i="27"/>
  <c r="H33" i="27"/>
  <c r="I33" i="27" s="1"/>
  <c r="B33" i="27"/>
  <c r="L32" i="27"/>
  <c r="L33" i="27" s="1"/>
  <c r="K32" i="27"/>
  <c r="K33" i="27" s="1"/>
  <c r="J32" i="27"/>
  <c r="J33" i="27" s="1"/>
  <c r="I32" i="27"/>
  <c r="E32" i="27"/>
  <c r="E33" i="27" s="1"/>
  <c r="D32" i="27"/>
  <c r="D33" i="27" s="1"/>
  <c r="C32" i="27"/>
  <c r="C33" i="27" s="1"/>
  <c r="B32" i="27"/>
  <c r="I31" i="27"/>
  <c r="B31" i="27"/>
  <c r="H29" i="27"/>
  <c r="I29" i="27" s="1"/>
  <c r="B29" i="27"/>
  <c r="L28" i="27"/>
  <c r="L29" i="27" s="1"/>
  <c r="K28" i="27"/>
  <c r="K29" i="27" s="1"/>
  <c r="J28" i="27"/>
  <c r="J29" i="27" s="1"/>
  <c r="I28" i="27"/>
  <c r="E28" i="27"/>
  <c r="E29" i="27" s="1"/>
  <c r="D28" i="27"/>
  <c r="D29" i="27" s="1"/>
  <c r="C28" i="27"/>
  <c r="C29" i="27" s="1"/>
  <c r="B28" i="27"/>
  <c r="I27" i="27"/>
  <c r="B27" i="27"/>
  <c r="B25" i="27"/>
  <c r="B24" i="27"/>
  <c r="L25" i="27"/>
  <c r="K25" i="27"/>
  <c r="J25" i="27"/>
  <c r="H25" i="27"/>
  <c r="G25" i="27"/>
  <c r="I25" i="27" s="1"/>
  <c r="E25" i="27"/>
  <c r="D25" i="27"/>
  <c r="C25" i="27"/>
  <c r="I24" i="27"/>
  <c r="L22" i="27"/>
  <c r="K22" i="27"/>
  <c r="J22" i="27"/>
  <c r="G22" i="27"/>
  <c r="I22" i="27" s="1"/>
  <c r="E22" i="27"/>
  <c r="D22" i="27"/>
  <c r="C22" i="27"/>
  <c r="B22" i="27"/>
  <c r="I21" i="27"/>
  <c r="B21" i="27"/>
  <c r="B19" i="27"/>
  <c r="B18" i="27"/>
  <c r="L19" i="27"/>
  <c r="K19" i="27"/>
  <c r="I19" i="27"/>
  <c r="E19" i="27"/>
  <c r="D19" i="27"/>
  <c r="C19" i="27"/>
  <c r="I18" i="27"/>
  <c r="B16" i="27"/>
  <c r="B15" i="27"/>
  <c r="B14" i="27"/>
  <c r="H16" i="27"/>
  <c r="I16" i="27" s="1"/>
  <c r="L15" i="27"/>
  <c r="L16" i="27" s="1"/>
  <c r="K15" i="27"/>
  <c r="K16" i="27" s="1"/>
  <c r="J15" i="27"/>
  <c r="J16" i="27" s="1"/>
  <c r="I15" i="27"/>
  <c r="E15" i="27"/>
  <c r="E16" i="27" s="1"/>
  <c r="D15" i="27"/>
  <c r="D16" i="27" s="1"/>
  <c r="C15" i="27"/>
  <c r="C16" i="27" s="1"/>
  <c r="I14" i="27"/>
  <c r="B12" i="27"/>
  <c r="B11" i="27"/>
  <c r="L12" i="27"/>
  <c r="G12" i="27"/>
  <c r="I12" i="27" s="1"/>
  <c r="E12" i="27"/>
  <c r="D12" i="27"/>
  <c r="C12" i="27"/>
  <c r="I11" i="27"/>
  <c r="B9" i="27"/>
  <c r="B8" i="27"/>
  <c r="L9" i="27"/>
  <c r="K9" i="27"/>
  <c r="J9" i="27"/>
  <c r="G9" i="27"/>
  <c r="I9" i="27" s="1"/>
  <c r="E9" i="27"/>
  <c r="D9" i="27"/>
  <c r="C9" i="27"/>
  <c r="I8" i="27"/>
  <c r="B5" i="27"/>
  <c r="B6" i="27"/>
  <c r="L6" i="27"/>
  <c r="I6" i="27"/>
  <c r="E6" i="27"/>
  <c r="D6" i="27"/>
  <c r="C6" i="27"/>
  <c r="I5" i="27"/>
  <c r="N42" i="8"/>
  <c r="N43" i="8" s="1"/>
  <c r="N40" i="8"/>
  <c r="N31" i="8"/>
  <c r="N22" i="8"/>
  <c r="N37" i="8" s="1"/>
  <c r="N7" i="8"/>
  <c r="N6" i="8"/>
  <c r="G34" i="8"/>
  <c r="G28" i="8"/>
  <c r="G30" i="8" s="1"/>
  <c r="G19" i="8"/>
  <c r="J47" i="1" l="1"/>
  <c r="J33" i="1"/>
  <c r="J19" i="1"/>
  <c r="K46" i="1"/>
  <c r="BX46" i="1" s="1"/>
  <c r="K32" i="1"/>
  <c r="BX32" i="1" s="1"/>
  <c r="K18" i="1"/>
  <c r="BX18" i="1" s="1"/>
  <c r="J67" i="1"/>
  <c r="J16" i="1"/>
  <c r="K28" i="1"/>
  <c r="BX28" i="1" s="1"/>
  <c r="J42" i="1"/>
  <c r="K41" i="1"/>
  <c r="BX41" i="1" s="1"/>
  <c r="J13" i="1"/>
  <c r="J40" i="1"/>
  <c r="K62" i="1"/>
  <c r="BX62" i="1" s="1"/>
  <c r="J39" i="1"/>
  <c r="K22" i="1"/>
  <c r="BX22" i="1" s="1"/>
  <c r="J22" i="1"/>
  <c r="K58" i="1"/>
  <c r="J58" i="1"/>
  <c r="K34" i="1"/>
  <c r="BX34" i="1" s="1"/>
  <c r="J34" i="1"/>
  <c r="K33" i="1"/>
  <c r="BX33" i="1" s="1"/>
  <c r="K27" i="1"/>
  <c r="BX27" i="1" s="1"/>
  <c r="J26" i="1"/>
  <c r="K39" i="1"/>
  <c r="BX39" i="1" s="1"/>
  <c r="J11" i="1"/>
  <c r="K59" i="1"/>
  <c r="J35" i="1"/>
  <c r="J46" i="1"/>
  <c r="J32" i="1"/>
  <c r="J18" i="1"/>
  <c r="K45" i="1"/>
  <c r="BX45" i="1" s="1"/>
  <c r="K17" i="1"/>
  <c r="BX17" i="1" s="1"/>
  <c r="J30" i="1"/>
  <c r="K42" i="1"/>
  <c r="BX42" i="1" s="1"/>
  <c r="J65" i="1"/>
  <c r="J14" i="1"/>
  <c r="K64" i="1"/>
  <c r="BX64" i="1" s="1"/>
  <c r="J64" i="1"/>
  <c r="K63" i="1"/>
  <c r="BX63" i="1" s="1"/>
  <c r="J63" i="1"/>
  <c r="J62" i="1"/>
  <c r="K31" i="1"/>
  <c r="BX31" i="1" s="1"/>
  <c r="K40" i="1"/>
  <c r="BX40" i="1" s="1"/>
  <c r="K25" i="1"/>
  <c r="BX25" i="1" s="1"/>
  <c r="J36" i="1"/>
  <c r="K35" i="1"/>
  <c r="BX35" i="1" s="1"/>
  <c r="K48" i="1"/>
  <c r="BX48" i="1" s="1"/>
  <c r="J48" i="1"/>
  <c r="J45" i="1"/>
  <c r="J31" i="1"/>
  <c r="J17" i="1"/>
  <c r="K67" i="1"/>
  <c r="BX67" i="1" s="1"/>
  <c r="K44" i="1"/>
  <c r="BX44" i="1" s="1"/>
  <c r="K30" i="1"/>
  <c r="BX30" i="1" s="1"/>
  <c r="K16" i="1"/>
  <c r="BX16" i="1" s="1"/>
  <c r="J44" i="1"/>
  <c r="K65" i="1"/>
  <c r="K14" i="1"/>
  <c r="BX14" i="1" s="1"/>
  <c r="J28" i="1"/>
  <c r="K13" i="1"/>
  <c r="BX13" i="1" s="1"/>
  <c r="J41" i="1"/>
  <c r="K26" i="1"/>
  <c r="BX26" i="1" s="1"/>
  <c r="K11" i="1"/>
  <c r="BX11" i="1" s="1"/>
  <c r="J25" i="1"/>
  <c r="K8" i="1"/>
  <c r="BX8" i="1" s="1"/>
  <c r="J59" i="1"/>
  <c r="J21" i="1"/>
  <c r="BW21" i="1" s="1"/>
  <c r="K47" i="1"/>
  <c r="BX47" i="1" s="1"/>
  <c r="K43" i="1"/>
  <c r="BX43" i="1" s="1"/>
  <c r="K29" i="1"/>
  <c r="BX29" i="1" s="1"/>
  <c r="K15" i="1"/>
  <c r="BX15" i="1" s="1"/>
  <c r="J43" i="1"/>
  <c r="J29" i="1"/>
  <c r="J15" i="1"/>
  <c r="J27" i="1"/>
  <c r="K12" i="1"/>
  <c r="BX12" i="1" s="1"/>
  <c r="J12" i="1"/>
  <c r="K7" i="1"/>
  <c r="K61" i="1"/>
  <c r="BX61" i="1" s="1"/>
  <c r="K38" i="1"/>
  <c r="BX38" i="1" s="1"/>
  <c r="K24" i="1"/>
  <c r="BX24" i="1" s="1"/>
  <c r="K10" i="1"/>
  <c r="BX10" i="1" s="1"/>
  <c r="J61" i="1"/>
  <c r="J38" i="1"/>
  <c r="J24" i="1"/>
  <c r="J10" i="1"/>
  <c r="K60" i="1"/>
  <c r="K37" i="1"/>
  <c r="BX37" i="1" s="1"/>
  <c r="K23" i="1"/>
  <c r="BX23" i="1" s="1"/>
  <c r="K9" i="1"/>
  <c r="BX9" i="1" s="1"/>
  <c r="J60" i="1"/>
  <c r="J37" i="1"/>
  <c r="J23" i="1"/>
  <c r="J9" i="1"/>
  <c r="K36" i="1"/>
  <c r="BX36" i="1" s="1"/>
  <c r="J8" i="1"/>
  <c r="K21" i="1"/>
  <c r="J7" i="1"/>
  <c r="K20" i="1"/>
  <c r="BX20" i="1" s="1"/>
  <c r="J20" i="1"/>
  <c r="K19" i="1"/>
  <c r="BX19" i="1" s="1"/>
  <c r="H40" i="27"/>
  <c r="K66" i="1" s="1"/>
  <c r="G40" i="27"/>
  <c r="I40" i="27" s="1"/>
  <c r="G37" i="8"/>
  <c r="N39" i="8" s="1"/>
  <c r="J66" i="1" l="1"/>
  <c r="BX60" i="1"/>
  <c r="D11" i="9"/>
  <c r="BW35" i="1"/>
  <c r="CA35" i="1" s="1"/>
  <c r="O17" i="8" s="1"/>
  <c r="M35" i="1"/>
  <c r="R35" i="1" s="1"/>
  <c r="W35" i="1" s="1"/>
  <c r="AB35" i="1" s="1"/>
  <c r="AG35" i="1" s="1"/>
  <c r="AL35" i="1" s="1"/>
  <c r="AQ35" i="1" s="1"/>
  <c r="AV35" i="1" s="1"/>
  <c r="BA35" i="1" s="1"/>
  <c r="BF35" i="1" s="1"/>
  <c r="BK35" i="1" s="1"/>
  <c r="BP35" i="1" s="1"/>
  <c r="BW61" i="1"/>
  <c r="BZ61" i="1" s="1"/>
  <c r="D12" i="9"/>
  <c r="L61" i="1"/>
  <c r="L19" i="1"/>
  <c r="Q19" i="1" s="1"/>
  <c r="V19" i="1" s="1"/>
  <c r="AA19" i="1" s="1"/>
  <c r="AF19" i="1" s="1"/>
  <c r="AK19" i="1" s="1"/>
  <c r="AP19" i="1" s="1"/>
  <c r="AU19" i="1" s="1"/>
  <c r="AZ19" i="1" s="1"/>
  <c r="BE19" i="1" s="1"/>
  <c r="BJ19" i="1" s="1"/>
  <c r="BO19" i="1" s="1"/>
  <c r="BW19" i="1"/>
  <c r="BZ19" i="1" s="1"/>
  <c r="L8" i="1"/>
  <c r="Q8" i="1" s="1"/>
  <c r="V8" i="1" s="1"/>
  <c r="AA8" i="1" s="1"/>
  <c r="AF8" i="1" s="1"/>
  <c r="AK8" i="1" s="1"/>
  <c r="AP8" i="1" s="1"/>
  <c r="AU8" i="1" s="1"/>
  <c r="AZ8" i="1" s="1"/>
  <c r="BE8" i="1" s="1"/>
  <c r="BJ8" i="1" s="1"/>
  <c r="BO8" i="1" s="1"/>
  <c r="BW8" i="1"/>
  <c r="BZ8" i="1" s="1"/>
  <c r="H10" i="8" s="1"/>
  <c r="BW30" i="1"/>
  <c r="CA30" i="1" s="1"/>
  <c r="M30" i="1"/>
  <c r="BW23" i="1"/>
  <c r="BZ23" i="1" s="1"/>
  <c r="L23" i="1"/>
  <c r="Q23" i="1" s="1"/>
  <c r="V23" i="1" s="1"/>
  <c r="AA23" i="1" s="1"/>
  <c r="AF23" i="1" s="1"/>
  <c r="AK23" i="1" s="1"/>
  <c r="AP23" i="1" s="1"/>
  <c r="AU23" i="1" s="1"/>
  <c r="AZ23" i="1" s="1"/>
  <c r="BE23" i="1" s="1"/>
  <c r="BJ23" i="1" s="1"/>
  <c r="BO23" i="1" s="1"/>
  <c r="BW28" i="1"/>
  <c r="CA28" i="1" s="1"/>
  <c r="M28" i="1"/>
  <c r="R28" i="1" s="1"/>
  <c r="W28" i="1" s="1"/>
  <c r="AB28" i="1" s="1"/>
  <c r="AG28" i="1" s="1"/>
  <c r="AL28" i="1" s="1"/>
  <c r="AQ28" i="1" s="1"/>
  <c r="AV28" i="1" s="1"/>
  <c r="BA28" i="1" s="1"/>
  <c r="BF28" i="1" s="1"/>
  <c r="BK28" i="1" s="1"/>
  <c r="BP28" i="1" s="1"/>
  <c r="M46" i="1"/>
  <c r="R46" i="1" s="1"/>
  <c r="W46" i="1" s="1"/>
  <c r="AB46" i="1" s="1"/>
  <c r="AG46" i="1" s="1"/>
  <c r="AL46" i="1" s="1"/>
  <c r="AQ46" i="1" s="1"/>
  <c r="AV46" i="1" s="1"/>
  <c r="BA46" i="1" s="1"/>
  <c r="BF46" i="1" s="1"/>
  <c r="BK46" i="1" s="1"/>
  <c r="BP46" i="1" s="1"/>
  <c r="BW46" i="1"/>
  <c r="CA46" i="1" s="1"/>
  <c r="O27" i="8" s="1"/>
  <c r="BW67" i="1"/>
  <c r="BZ67" i="1" s="1"/>
  <c r="D26" i="9"/>
  <c r="L67" i="1"/>
  <c r="Q67" i="1" s="1"/>
  <c r="V67" i="1" s="1"/>
  <c r="AA67" i="1" s="1"/>
  <c r="AF67" i="1" s="1"/>
  <c r="AK67" i="1" s="1"/>
  <c r="AP67" i="1" s="1"/>
  <c r="AU67" i="1" s="1"/>
  <c r="AZ67" i="1" s="1"/>
  <c r="BE67" i="1" s="1"/>
  <c r="BJ67" i="1" s="1"/>
  <c r="BO67" i="1" s="1"/>
  <c r="BX65" i="1"/>
  <c r="D22" i="9"/>
  <c r="M38" i="1"/>
  <c r="R38" i="1" s="1"/>
  <c r="W38" i="1" s="1"/>
  <c r="AB38" i="1" s="1"/>
  <c r="AG38" i="1" s="1"/>
  <c r="AL38" i="1" s="1"/>
  <c r="AQ38" i="1" s="1"/>
  <c r="AV38" i="1" s="1"/>
  <c r="BA38" i="1" s="1"/>
  <c r="BF38" i="1" s="1"/>
  <c r="BK38" i="1" s="1"/>
  <c r="BP38" i="1" s="1"/>
  <c r="BW38" i="1"/>
  <c r="CA38" i="1" s="1"/>
  <c r="BW37" i="1"/>
  <c r="CA37" i="1" s="1"/>
  <c r="O18" i="8" s="1"/>
  <c r="M37" i="1"/>
  <c r="R37" i="1" s="1"/>
  <c r="W37" i="1" s="1"/>
  <c r="AB37" i="1" s="1"/>
  <c r="AG37" i="1" s="1"/>
  <c r="AL37" i="1" s="1"/>
  <c r="AQ37" i="1" s="1"/>
  <c r="AV37" i="1" s="1"/>
  <c r="BA37" i="1" s="1"/>
  <c r="BF37" i="1" s="1"/>
  <c r="BK37" i="1" s="1"/>
  <c r="BP37" i="1" s="1"/>
  <c r="BW44" i="1"/>
  <c r="CA44" i="1" s="1"/>
  <c r="O25" i="8" s="1"/>
  <c r="M44" i="1"/>
  <c r="R44" i="1" s="1"/>
  <c r="W44" i="1" s="1"/>
  <c r="AB44" i="1" s="1"/>
  <c r="AG44" i="1" s="1"/>
  <c r="AL44" i="1" s="1"/>
  <c r="AQ44" i="1" s="1"/>
  <c r="AV44" i="1" s="1"/>
  <c r="BA44" i="1" s="1"/>
  <c r="BF44" i="1" s="1"/>
  <c r="BK44" i="1" s="1"/>
  <c r="BP44" i="1" s="1"/>
  <c r="BX66" i="1"/>
  <c r="L17" i="1"/>
  <c r="Q17" i="1" s="1"/>
  <c r="V17" i="1" s="1"/>
  <c r="AA17" i="1" s="1"/>
  <c r="AF17" i="1" s="1"/>
  <c r="AK17" i="1" s="1"/>
  <c r="AP17" i="1" s="1"/>
  <c r="AU17" i="1" s="1"/>
  <c r="AZ17" i="1" s="1"/>
  <c r="BE17" i="1" s="1"/>
  <c r="BJ17" i="1" s="1"/>
  <c r="BO17" i="1" s="1"/>
  <c r="BW17" i="1"/>
  <c r="BZ17" i="1" s="1"/>
  <c r="BX59" i="1"/>
  <c r="D10" i="9"/>
  <c r="BW24" i="1"/>
  <c r="BZ24" i="1" s="1"/>
  <c r="L24" i="1"/>
  <c r="Q24" i="1" s="1"/>
  <c r="V24" i="1" s="1"/>
  <c r="AA24" i="1" s="1"/>
  <c r="AF24" i="1" s="1"/>
  <c r="AK24" i="1" s="1"/>
  <c r="AP24" i="1" s="1"/>
  <c r="AU24" i="1" s="1"/>
  <c r="AZ24" i="1" s="1"/>
  <c r="BE24" i="1" s="1"/>
  <c r="BJ24" i="1" s="1"/>
  <c r="BO24" i="1" s="1"/>
  <c r="BW34" i="1"/>
  <c r="CA34" i="1" s="1"/>
  <c r="M34" i="1"/>
  <c r="R34" i="1" s="1"/>
  <c r="W34" i="1" s="1"/>
  <c r="AB34" i="1" s="1"/>
  <c r="AG34" i="1" s="1"/>
  <c r="AL34" i="1" s="1"/>
  <c r="AQ34" i="1" s="1"/>
  <c r="AV34" i="1" s="1"/>
  <c r="BA34" i="1" s="1"/>
  <c r="BF34" i="1" s="1"/>
  <c r="BK34" i="1" s="1"/>
  <c r="BP34" i="1" s="1"/>
  <c r="BW41" i="1"/>
  <c r="CA41" i="1" s="1"/>
  <c r="M41" i="1"/>
  <c r="R41" i="1" s="1"/>
  <c r="W41" i="1" s="1"/>
  <c r="AB41" i="1" s="1"/>
  <c r="AG41" i="1" s="1"/>
  <c r="AL41" i="1" s="1"/>
  <c r="AQ41" i="1" s="1"/>
  <c r="AV41" i="1" s="1"/>
  <c r="BA41" i="1" s="1"/>
  <c r="BF41" i="1" s="1"/>
  <c r="BK41" i="1" s="1"/>
  <c r="BP41" i="1" s="1"/>
  <c r="L64" i="1"/>
  <c r="Q64" i="1" s="1"/>
  <c r="V64" i="1" s="1"/>
  <c r="AA64" i="1" s="1"/>
  <c r="AF64" i="1" s="1"/>
  <c r="AK64" i="1" s="1"/>
  <c r="AP64" i="1" s="1"/>
  <c r="AU64" i="1" s="1"/>
  <c r="AZ64" i="1" s="1"/>
  <c r="BE64" i="1" s="1"/>
  <c r="BJ64" i="1" s="1"/>
  <c r="BO64" i="1" s="1"/>
  <c r="D18" i="9"/>
  <c r="BW64" i="1"/>
  <c r="BZ64" i="1" s="1"/>
  <c r="BW31" i="1"/>
  <c r="CA31" i="1" s="1"/>
  <c r="O12" i="8" s="1"/>
  <c r="M31" i="1"/>
  <c r="R31" i="1" s="1"/>
  <c r="W31" i="1" s="1"/>
  <c r="AB31" i="1" s="1"/>
  <c r="AG31" i="1" s="1"/>
  <c r="AL31" i="1" s="1"/>
  <c r="AQ31" i="1" s="1"/>
  <c r="AV31" i="1" s="1"/>
  <c r="BA31" i="1" s="1"/>
  <c r="BF31" i="1" s="1"/>
  <c r="BK31" i="1" s="1"/>
  <c r="BP31" i="1" s="1"/>
  <c r="L18" i="1"/>
  <c r="Q18" i="1" s="1"/>
  <c r="V18" i="1" s="1"/>
  <c r="AA18" i="1" s="1"/>
  <c r="AF18" i="1" s="1"/>
  <c r="AK18" i="1" s="1"/>
  <c r="AP18" i="1" s="1"/>
  <c r="AU18" i="1" s="1"/>
  <c r="AZ18" i="1" s="1"/>
  <c r="BE18" i="1" s="1"/>
  <c r="BJ18" i="1" s="1"/>
  <c r="BO18" i="1" s="1"/>
  <c r="BW18" i="1"/>
  <c r="BZ18" i="1" s="1"/>
  <c r="L16" i="1"/>
  <c r="Q16" i="1" s="1"/>
  <c r="V16" i="1" s="1"/>
  <c r="AA16" i="1" s="1"/>
  <c r="AF16" i="1" s="1"/>
  <c r="AK16" i="1" s="1"/>
  <c r="AP16" i="1" s="1"/>
  <c r="AU16" i="1" s="1"/>
  <c r="AZ16" i="1" s="1"/>
  <c r="BE16" i="1" s="1"/>
  <c r="BJ16" i="1" s="1"/>
  <c r="BO16" i="1" s="1"/>
  <c r="BW16" i="1"/>
  <c r="BZ16" i="1" s="1"/>
  <c r="BW7" i="1"/>
  <c r="L7" i="1"/>
  <c r="J50" i="1"/>
  <c r="BW33" i="1"/>
  <c r="CA33" i="1" s="1"/>
  <c r="M33" i="1"/>
  <c r="R33" i="1" s="1"/>
  <c r="W33" i="1" s="1"/>
  <c r="AB33" i="1" s="1"/>
  <c r="AG33" i="1" s="1"/>
  <c r="AL33" i="1" s="1"/>
  <c r="AQ33" i="1" s="1"/>
  <c r="AV33" i="1" s="1"/>
  <c r="BA33" i="1" s="1"/>
  <c r="BF33" i="1" s="1"/>
  <c r="BK33" i="1" s="1"/>
  <c r="BP33" i="1" s="1"/>
  <c r="BW58" i="1"/>
  <c r="M58" i="1"/>
  <c r="BW12" i="1"/>
  <c r="CA12" i="1" s="1"/>
  <c r="H14" i="8" s="1"/>
  <c r="M12" i="1"/>
  <c r="R12" i="1" s="1"/>
  <c r="W12" i="1" s="1"/>
  <c r="AB12" i="1" s="1"/>
  <c r="AG12" i="1" s="1"/>
  <c r="AL12" i="1" s="1"/>
  <c r="AQ12" i="1" s="1"/>
  <c r="AV12" i="1" s="1"/>
  <c r="BA12" i="1" s="1"/>
  <c r="BF12" i="1" s="1"/>
  <c r="BK12" i="1" s="1"/>
  <c r="BP12" i="1" s="1"/>
  <c r="L27" i="1"/>
  <c r="Q27" i="1" s="1"/>
  <c r="V27" i="1" s="1"/>
  <c r="AA27" i="1" s="1"/>
  <c r="AF27" i="1" s="1"/>
  <c r="AK27" i="1" s="1"/>
  <c r="AP27" i="1" s="1"/>
  <c r="AU27" i="1" s="1"/>
  <c r="AZ27" i="1" s="1"/>
  <c r="BE27" i="1" s="1"/>
  <c r="BJ27" i="1" s="1"/>
  <c r="BO27" i="1" s="1"/>
  <c r="BW27" i="1"/>
  <c r="BZ27" i="1" s="1"/>
  <c r="BW20" i="1"/>
  <c r="BZ20" i="1" s="1"/>
  <c r="L20" i="1"/>
  <c r="Q20" i="1" s="1"/>
  <c r="V20" i="1" s="1"/>
  <c r="AA20" i="1" s="1"/>
  <c r="AF20" i="1" s="1"/>
  <c r="AK20" i="1" s="1"/>
  <c r="AP20" i="1" s="1"/>
  <c r="AU20" i="1" s="1"/>
  <c r="AZ20" i="1" s="1"/>
  <c r="BE20" i="1" s="1"/>
  <c r="BJ20" i="1" s="1"/>
  <c r="BO20" i="1" s="1"/>
  <c r="M39" i="1"/>
  <c r="R39" i="1" s="1"/>
  <c r="W39" i="1" s="1"/>
  <c r="AB39" i="1" s="1"/>
  <c r="AG39" i="1" s="1"/>
  <c r="AL39" i="1" s="1"/>
  <c r="AQ39" i="1" s="1"/>
  <c r="AV39" i="1" s="1"/>
  <c r="BA39" i="1" s="1"/>
  <c r="BF39" i="1" s="1"/>
  <c r="BK39" i="1" s="1"/>
  <c r="BP39" i="1" s="1"/>
  <c r="BW39" i="1"/>
  <c r="CA39" i="1" s="1"/>
  <c r="M32" i="1"/>
  <c r="R32" i="1" s="1"/>
  <c r="W32" i="1" s="1"/>
  <c r="AB32" i="1" s="1"/>
  <c r="AG32" i="1" s="1"/>
  <c r="AL32" i="1" s="1"/>
  <c r="AQ32" i="1" s="1"/>
  <c r="AV32" i="1" s="1"/>
  <c r="BA32" i="1" s="1"/>
  <c r="BF32" i="1" s="1"/>
  <c r="BK32" i="1" s="1"/>
  <c r="BP32" i="1" s="1"/>
  <c r="BW32" i="1"/>
  <c r="CA32" i="1" s="1"/>
  <c r="BW15" i="1"/>
  <c r="BZ15" i="1" s="1"/>
  <c r="L15" i="1"/>
  <c r="Q15" i="1" s="1"/>
  <c r="V15" i="1" s="1"/>
  <c r="AA15" i="1" s="1"/>
  <c r="AF15" i="1" s="1"/>
  <c r="AK15" i="1" s="1"/>
  <c r="AP15" i="1" s="1"/>
  <c r="AU15" i="1" s="1"/>
  <c r="AZ15" i="1" s="1"/>
  <c r="BE15" i="1" s="1"/>
  <c r="BJ15" i="1" s="1"/>
  <c r="BO15" i="1" s="1"/>
  <c r="M65" i="1"/>
  <c r="R65" i="1" s="1"/>
  <c r="W65" i="1" s="1"/>
  <c r="AB65" i="1" s="1"/>
  <c r="AG65" i="1" s="1"/>
  <c r="AL65" i="1" s="1"/>
  <c r="AQ65" i="1" s="1"/>
  <c r="AV65" i="1" s="1"/>
  <c r="BA65" i="1" s="1"/>
  <c r="BF65" i="1" s="1"/>
  <c r="BK65" i="1" s="1"/>
  <c r="BP65" i="1" s="1"/>
  <c r="BW65" i="1"/>
  <c r="BW13" i="1"/>
  <c r="BZ13" i="1" s="1"/>
  <c r="L13" i="1"/>
  <c r="Q13" i="1" s="1"/>
  <c r="V13" i="1" s="1"/>
  <c r="AA13" i="1" s="1"/>
  <c r="AF13" i="1" s="1"/>
  <c r="AK13" i="1" s="1"/>
  <c r="AP13" i="1" s="1"/>
  <c r="AU13" i="1" s="1"/>
  <c r="AZ13" i="1" s="1"/>
  <c r="BE13" i="1" s="1"/>
  <c r="BJ13" i="1" s="1"/>
  <c r="BO13" i="1" s="1"/>
  <c r="M25" i="1"/>
  <c r="R25" i="1" s="1"/>
  <c r="W25" i="1" s="1"/>
  <c r="AB25" i="1" s="1"/>
  <c r="AG25" i="1" s="1"/>
  <c r="AL25" i="1" s="1"/>
  <c r="AQ25" i="1" s="1"/>
  <c r="AV25" i="1" s="1"/>
  <c r="BA25" i="1" s="1"/>
  <c r="BF25" i="1" s="1"/>
  <c r="BK25" i="1" s="1"/>
  <c r="BP25" i="1" s="1"/>
  <c r="BW25" i="1"/>
  <c r="CA25" i="1" s="1"/>
  <c r="H28" i="8" s="1"/>
  <c r="H30" i="8" s="1"/>
  <c r="BW42" i="1"/>
  <c r="CA42" i="1" s="1"/>
  <c r="M42" i="1"/>
  <c r="R42" i="1" s="1"/>
  <c r="W42" i="1" s="1"/>
  <c r="AB42" i="1" s="1"/>
  <c r="AG42" i="1" s="1"/>
  <c r="AL42" i="1" s="1"/>
  <c r="AQ42" i="1" s="1"/>
  <c r="AV42" i="1" s="1"/>
  <c r="BA42" i="1" s="1"/>
  <c r="BF42" i="1" s="1"/>
  <c r="BK42" i="1" s="1"/>
  <c r="BP42" i="1" s="1"/>
  <c r="K69" i="1"/>
  <c r="K71" i="1" s="1"/>
  <c r="D9" i="9"/>
  <c r="BX58" i="1"/>
  <c r="BW48" i="1"/>
  <c r="CA48" i="1" s="1"/>
  <c r="M48" i="1"/>
  <c r="R48" i="1" s="1"/>
  <c r="W48" i="1" s="1"/>
  <c r="AB48" i="1" s="1"/>
  <c r="AG48" i="1" s="1"/>
  <c r="AL48" i="1" s="1"/>
  <c r="AQ48" i="1" s="1"/>
  <c r="AV48" i="1" s="1"/>
  <c r="BA48" i="1" s="1"/>
  <c r="BF48" i="1" s="1"/>
  <c r="BK48" i="1" s="1"/>
  <c r="BP48" i="1" s="1"/>
  <c r="D13" i="9"/>
  <c r="L62" i="1"/>
  <c r="Q62" i="1" s="1"/>
  <c r="V62" i="1" s="1"/>
  <c r="AA62" i="1" s="1"/>
  <c r="AF62" i="1" s="1"/>
  <c r="AK62" i="1" s="1"/>
  <c r="AP62" i="1" s="1"/>
  <c r="AU62" i="1" s="1"/>
  <c r="AZ62" i="1" s="1"/>
  <c r="BE62" i="1" s="1"/>
  <c r="BJ62" i="1" s="1"/>
  <c r="BO62" i="1" s="1"/>
  <c r="BW62" i="1"/>
  <c r="BZ62" i="1" s="1"/>
  <c r="BW59" i="1"/>
  <c r="M59" i="1"/>
  <c r="R59" i="1" s="1"/>
  <c r="W59" i="1" s="1"/>
  <c r="AB59" i="1" s="1"/>
  <c r="AG59" i="1" s="1"/>
  <c r="AL59" i="1" s="1"/>
  <c r="AQ59" i="1" s="1"/>
  <c r="AV59" i="1" s="1"/>
  <c r="BA59" i="1" s="1"/>
  <c r="BF59" i="1" s="1"/>
  <c r="BK59" i="1" s="1"/>
  <c r="BP59" i="1" s="1"/>
  <c r="BW36" i="1"/>
  <c r="CA36" i="1" s="1"/>
  <c r="O14" i="8" s="1"/>
  <c r="M36" i="1"/>
  <c r="R36" i="1" s="1"/>
  <c r="W36" i="1" s="1"/>
  <c r="AB36" i="1" s="1"/>
  <c r="AG36" i="1" s="1"/>
  <c r="AL36" i="1" s="1"/>
  <c r="AQ36" i="1" s="1"/>
  <c r="AV36" i="1" s="1"/>
  <c r="BA36" i="1" s="1"/>
  <c r="BF36" i="1" s="1"/>
  <c r="BK36" i="1" s="1"/>
  <c r="BP36" i="1" s="1"/>
  <c r="M43" i="1"/>
  <c r="R43" i="1" s="1"/>
  <c r="W43" i="1" s="1"/>
  <c r="AB43" i="1" s="1"/>
  <c r="AG43" i="1" s="1"/>
  <c r="AL43" i="1" s="1"/>
  <c r="AQ43" i="1" s="1"/>
  <c r="AV43" i="1" s="1"/>
  <c r="BA43" i="1" s="1"/>
  <c r="BF43" i="1" s="1"/>
  <c r="BK43" i="1" s="1"/>
  <c r="BP43" i="1" s="1"/>
  <c r="BW43" i="1"/>
  <c r="CA43" i="1" s="1"/>
  <c r="O24" i="8" s="1"/>
  <c r="M60" i="1"/>
  <c r="R60" i="1" s="1"/>
  <c r="W60" i="1" s="1"/>
  <c r="AB60" i="1" s="1"/>
  <c r="AG60" i="1" s="1"/>
  <c r="AL60" i="1" s="1"/>
  <c r="AQ60" i="1" s="1"/>
  <c r="AV60" i="1" s="1"/>
  <c r="BA60" i="1" s="1"/>
  <c r="BF60" i="1" s="1"/>
  <c r="BK60" i="1" s="1"/>
  <c r="BP60" i="1" s="1"/>
  <c r="BW60" i="1"/>
  <c r="L10" i="1"/>
  <c r="Q10" i="1" s="1"/>
  <c r="V10" i="1" s="1"/>
  <c r="AA10" i="1" s="1"/>
  <c r="AF10" i="1" s="1"/>
  <c r="AK10" i="1" s="1"/>
  <c r="AP10" i="1" s="1"/>
  <c r="AU10" i="1" s="1"/>
  <c r="AZ10" i="1" s="1"/>
  <c r="BE10" i="1" s="1"/>
  <c r="BJ10" i="1" s="1"/>
  <c r="BO10" i="1" s="1"/>
  <c r="BW10" i="1"/>
  <c r="BZ10" i="1" s="1"/>
  <c r="H12" i="8" s="1"/>
  <c r="M45" i="1"/>
  <c r="R45" i="1" s="1"/>
  <c r="W45" i="1" s="1"/>
  <c r="AB45" i="1" s="1"/>
  <c r="AG45" i="1" s="1"/>
  <c r="AL45" i="1" s="1"/>
  <c r="AQ45" i="1" s="1"/>
  <c r="AV45" i="1" s="1"/>
  <c r="BA45" i="1" s="1"/>
  <c r="BF45" i="1" s="1"/>
  <c r="BK45" i="1" s="1"/>
  <c r="BP45" i="1" s="1"/>
  <c r="BW45" i="1"/>
  <c r="CA45" i="1" s="1"/>
  <c r="L11" i="1"/>
  <c r="Q11" i="1" s="1"/>
  <c r="V11" i="1" s="1"/>
  <c r="AA11" i="1" s="1"/>
  <c r="AF11" i="1" s="1"/>
  <c r="AK11" i="1" s="1"/>
  <c r="AP11" i="1" s="1"/>
  <c r="AU11" i="1" s="1"/>
  <c r="AZ11" i="1" s="1"/>
  <c r="BE11" i="1" s="1"/>
  <c r="BJ11" i="1" s="1"/>
  <c r="BO11" i="1" s="1"/>
  <c r="BW11" i="1"/>
  <c r="BZ11" i="1" s="1"/>
  <c r="H13" i="8" s="1"/>
  <c r="BW29" i="1"/>
  <c r="BZ29" i="1" s="1"/>
  <c r="L29" i="1"/>
  <c r="Q29" i="1" s="1"/>
  <c r="V29" i="1" s="1"/>
  <c r="AA29" i="1" s="1"/>
  <c r="AF29" i="1" s="1"/>
  <c r="AK29" i="1" s="1"/>
  <c r="AP29" i="1" s="1"/>
  <c r="AU29" i="1" s="1"/>
  <c r="AZ29" i="1" s="1"/>
  <c r="BE29" i="1" s="1"/>
  <c r="BJ29" i="1" s="1"/>
  <c r="BO29" i="1" s="1"/>
  <c r="L21" i="1"/>
  <c r="Q21" i="1" s="1"/>
  <c r="V21" i="1" s="1"/>
  <c r="AA21" i="1" s="1"/>
  <c r="AF21" i="1" s="1"/>
  <c r="AK21" i="1" s="1"/>
  <c r="AP21" i="1" s="1"/>
  <c r="AU21" i="1" s="1"/>
  <c r="AZ21" i="1" s="1"/>
  <c r="BE21" i="1" s="1"/>
  <c r="BJ21" i="1" s="1"/>
  <c r="BO21" i="1" s="1"/>
  <c r="BX21" i="1"/>
  <c r="BZ21" i="1" s="1"/>
  <c r="BW63" i="1"/>
  <c r="BZ63" i="1" s="1"/>
  <c r="L63" i="1"/>
  <c r="Q63" i="1" s="1"/>
  <c r="V63" i="1" s="1"/>
  <c r="AA63" i="1" s="1"/>
  <c r="AF63" i="1" s="1"/>
  <c r="AK63" i="1" s="1"/>
  <c r="AP63" i="1" s="1"/>
  <c r="AU63" i="1" s="1"/>
  <c r="AZ63" i="1" s="1"/>
  <c r="BE63" i="1" s="1"/>
  <c r="BJ63" i="1" s="1"/>
  <c r="BO63" i="1" s="1"/>
  <c r="D14" i="9"/>
  <c r="BW22" i="1"/>
  <c r="BZ22" i="1" s="1"/>
  <c r="L22" i="1"/>
  <c r="Q22" i="1" s="1"/>
  <c r="V22" i="1" s="1"/>
  <c r="AA22" i="1" s="1"/>
  <c r="AF22" i="1" s="1"/>
  <c r="AK22" i="1" s="1"/>
  <c r="AP22" i="1" s="1"/>
  <c r="AU22" i="1" s="1"/>
  <c r="AZ22" i="1" s="1"/>
  <c r="BE22" i="1" s="1"/>
  <c r="BJ22" i="1" s="1"/>
  <c r="BO22" i="1" s="1"/>
  <c r="BW9" i="1"/>
  <c r="BZ9" i="1" s="1"/>
  <c r="L9" i="1"/>
  <c r="Q9" i="1" s="1"/>
  <c r="V9" i="1" s="1"/>
  <c r="AA9" i="1" s="1"/>
  <c r="AF9" i="1" s="1"/>
  <c r="AK9" i="1" s="1"/>
  <c r="AP9" i="1" s="1"/>
  <c r="AU9" i="1" s="1"/>
  <c r="AZ9" i="1" s="1"/>
  <c r="BE9" i="1" s="1"/>
  <c r="BJ9" i="1" s="1"/>
  <c r="BO9" i="1" s="1"/>
  <c r="BW47" i="1"/>
  <c r="CA47" i="1" s="1"/>
  <c r="O28" i="8" s="1"/>
  <c r="M47" i="1"/>
  <c r="R47" i="1" s="1"/>
  <c r="W47" i="1" s="1"/>
  <c r="AB47" i="1" s="1"/>
  <c r="AG47" i="1" s="1"/>
  <c r="AL47" i="1" s="1"/>
  <c r="AQ47" i="1" s="1"/>
  <c r="AV47" i="1" s="1"/>
  <c r="BA47" i="1" s="1"/>
  <c r="BF47" i="1" s="1"/>
  <c r="BK47" i="1" s="1"/>
  <c r="BP47" i="1" s="1"/>
  <c r="BW40" i="1"/>
  <c r="CA40" i="1" s="1"/>
  <c r="M40" i="1"/>
  <c r="R40" i="1" s="1"/>
  <c r="W40" i="1" s="1"/>
  <c r="AB40" i="1" s="1"/>
  <c r="AG40" i="1" s="1"/>
  <c r="AL40" i="1" s="1"/>
  <c r="AQ40" i="1" s="1"/>
  <c r="AV40" i="1" s="1"/>
  <c r="BA40" i="1" s="1"/>
  <c r="BF40" i="1" s="1"/>
  <c r="BK40" i="1" s="1"/>
  <c r="BP40" i="1" s="1"/>
  <c r="BW14" i="1"/>
  <c r="BZ14" i="1" s="1"/>
  <c r="L14" i="1"/>
  <c r="Q14" i="1" s="1"/>
  <c r="V14" i="1" s="1"/>
  <c r="AA14" i="1" s="1"/>
  <c r="AF14" i="1" s="1"/>
  <c r="AK14" i="1" s="1"/>
  <c r="AP14" i="1" s="1"/>
  <c r="AU14" i="1" s="1"/>
  <c r="AZ14" i="1" s="1"/>
  <c r="BE14" i="1" s="1"/>
  <c r="BJ14" i="1" s="1"/>
  <c r="BO14" i="1" s="1"/>
  <c r="M26" i="1"/>
  <c r="R26" i="1" s="1"/>
  <c r="W26" i="1" s="1"/>
  <c r="AB26" i="1" s="1"/>
  <c r="AG26" i="1" s="1"/>
  <c r="AL26" i="1" s="1"/>
  <c r="AQ26" i="1" s="1"/>
  <c r="AV26" i="1" s="1"/>
  <c r="BA26" i="1" s="1"/>
  <c r="BF26" i="1" s="1"/>
  <c r="BK26" i="1" s="1"/>
  <c r="BP26" i="1" s="1"/>
  <c r="BW26" i="1"/>
  <c r="CA26" i="1" s="1"/>
  <c r="K50" i="1"/>
  <c r="BX7" i="1"/>
  <c r="M40" i="8"/>
  <c r="L40" i="8"/>
  <c r="CA60" i="1" l="1"/>
  <c r="K51" i="1"/>
  <c r="J70" i="1" s="1"/>
  <c r="CA59" i="1"/>
  <c r="AC22" i="9"/>
  <c r="E22" i="9"/>
  <c r="BW66" i="1"/>
  <c r="BZ66" i="1" s="1"/>
  <c r="BZ69" i="1" s="1"/>
  <c r="L66" i="1"/>
  <c r="Q66" i="1" s="1"/>
  <c r="V66" i="1" s="1"/>
  <c r="AA66" i="1" s="1"/>
  <c r="AF66" i="1" s="1"/>
  <c r="AK66" i="1" s="1"/>
  <c r="AP66" i="1" s="1"/>
  <c r="AU66" i="1" s="1"/>
  <c r="AZ66" i="1" s="1"/>
  <c r="BE66" i="1" s="1"/>
  <c r="BJ66" i="1" s="1"/>
  <c r="BO66" i="1" s="1"/>
  <c r="Q61" i="1"/>
  <c r="BW50" i="1"/>
  <c r="AC12" i="9"/>
  <c r="E12" i="9"/>
  <c r="G12" i="9" s="1"/>
  <c r="I12" i="9" s="1"/>
  <c r="K12" i="9" s="1"/>
  <c r="M12" i="9" s="1"/>
  <c r="O12" i="9" s="1"/>
  <c r="Q12" i="9" s="1"/>
  <c r="S12" i="9" s="1"/>
  <c r="U12" i="9" s="1"/>
  <c r="W12" i="9" s="1"/>
  <c r="Y12" i="9" s="1"/>
  <c r="AA12" i="9" s="1"/>
  <c r="Q7" i="1"/>
  <c r="L50" i="1"/>
  <c r="CA58" i="1"/>
  <c r="BX69" i="1"/>
  <c r="BX71" i="1" s="1"/>
  <c r="BZ7" i="1"/>
  <c r="BX50" i="1"/>
  <c r="R30" i="1"/>
  <c r="M50" i="1"/>
  <c r="AC10" i="9"/>
  <c r="E10" i="9"/>
  <c r="G10" i="9" s="1"/>
  <c r="I10" i="9" s="1"/>
  <c r="K10" i="9" s="1"/>
  <c r="M10" i="9" s="1"/>
  <c r="O10" i="9" s="1"/>
  <c r="Q10" i="9" s="1"/>
  <c r="S10" i="9" s="1"/>
  <c r="U10" i="9" s="1"/>
  <c r="W10" i="9" s="1"/>
  <c r="Y10" i="9" s="1"/>
  <c r="AA10" i="9" s="1"/>
  <c r="J69" i="1"/>
  <c r="CA65" i="1"/>
  <c r="D19" i="9"/>
  <c r="AC18" i="9"/>
  <c r="AC19" i="9" s="1"/>
  <c r="E18" i="9"/>
  <c r="R58" i="1"/>
  <c r="M69" i="1"/>
  <c r="D23" i="9"/>
  <c r="D24" i="9" s="1"/>
  <c r="AC14" i="9"/>
  <c r="E14" i="9"/>
  <c r="G14" i="9" s="1"/>
  <c r="I14" i="9" s="1"/>
  <c r="K14" i="9" s="1"/>
  <c r="M14" i="9" s="1"/>
  <c r="O14" i="9" s="1"/>
  <c r="Q14" i="9" s="1"/>
  <c r="S14" i="9" s="1"/>
  <c r="U14" i="9" s="1"/>
  <c r="W14" i="9" s="1"/>
  <c r="Y14" i="9" s="1"/>
  <c r="AA14" i="9" s="1"/>
  <c r="E9" i="9"/>
  <c r="D15" i="9"/>
  <c r="AC9" i="9"/>
  <c r="CA50" i="1"/>
  <c r="E13" i="9"/>
  <c r="G13" i="9" s="1"/>
  <c r="I13" i="9" s="1"/>
  <c r="K13" i="9" s="1"/>
  <c r="M13" i="9" s="1"/>
  <c r="O13" i="9" s="1"/>
  <c r="Q13" i="9" s="1"/>
  <c r="S13" i="9" s="1"/>
  <c r="U13" i="9" s="1"/>
  <c r="W13" i="9" s="1"/>
  <c r="Y13" i="9" s="1"/>
  <c r="AA13" i="9" s="1"/>
  <c r="AC13" i="9"/>
  <c r="AC11" i="9"/>
  <c r="E11" i="9"/>
  <c r="G11" i="9" s="1"/>
  <c r="I11" i="9" s="1"/>
  <c r="K11" i="9" s="1"/>
  <c r="M11" i="9" s="1"/>
  <c r="O11" i="9" s="1"/>
  <c r="Q11" i="9" s="1"/>
  <c r="S11" i="9" s="1"/>
  <c r="U11" i="9" s="1"/>
  <c r="W11" i="9" s="1"/>
  <c r="Y11" i="9" s="1"/>
  <c r="AA11" i="9" s="1"/>
  <c r="AC26" i="9"/>
  <c r="E26" i="9"/>
  <c r="G26" i="9" s="1"/>
  <c r="I26" i="9" s="1"/>
  <c r="K26" i="9" s="1"/>
  <c r="M26" i="9" s="1"/>
  <c r="O26" i="9" s="1"/>
  <c r="Q26" i="9" s="1"/>
  <c r="S26" i="9" s="1"/>
  <c r="U26" i="9" s="1"/>
  <c r="W26" i="9" s="1"/>
  <c r="Y26" i="9" s="1"/>
  <c r="AA26" i="9" s="1"/>
  <c r="BW69" i="1" l="1"/>
  <c r="L69" i="1"/>
  <c r="L70" i="1" s="1"/>
  <c r="L71" i="1" s="1"/>
  <c r="BZ50" i="1"/>
  <c r="CA51" i="1" s="1"/>
  <c r="CA72" i="1" s="1"/>
  <c r="H9" i="8"/>
  <c r="H19" i="8" s="1"/>
  <c r="H37" i="8" s="1"/>
  <c r="AB10" i="9"/>
  <c r="AB12" i="9"/>
  <c r="AB26" i="9"/>
  <c r="AB11" i="9"/>
  <c r="J71" i="1"/>
  <c r="K72" i="1" s="1"/>
  <c r="AB14" i="9"/>
  <c r="AB13" i="9"/>
  <c r="W30" i="1"/>
  <c r="R50" i="1"/>
  <c r="D20" i="9"/>
  <c r="D25" i="9" s="1"/>
  <c r="D27" i="9" s="1"/>
  <c r="M51" i="1"/>
  <c r="M72" i="1" s="1"/>
  <c r="AC15" i="9"/>
  <c r="AC20" i="9" s="1"/>
  <c r="G9" i="9"/>
  <c r="E15" i="9"/>
  <c r="V61" i="1"/>
  <c r="Q69" i="1"/>
  <c r="G18" i="9"/>
  <c r="E19" i="9"/>
  <c r="M71" i="1"/>
  <c r="G22" i="9"/>
  <c r="CA69" i="1"/>
  <c r="V7" i="1"/>
  <c r="Q50" i="1"/>
  <c r="BX51" i="1"/>
  <c r="BW70" i="1" s="1"/>
  <c r="E23" i="9"/>
  <c r="G23" i="9" s="1"/>
  <c r="I23" i="9" s="1"/>
  <c r="K23" i="9" s="1"/>
  <c r="M23" i="9" s="1"/>
  <c r="O23" i="9" s="1"/>
  <c r="Q23" i="9" s="1"/>
  <c r="S23" i="9" s="1"/>
  <c r="U23" i="9" s="1"/>
  <c r="W23" i="9" s="1"/>
  <c r="Y23" i="9" s="1"/>
  <c r="AA23" i="9" s="1"/>
  <c r="AC23" i="9"/>
  <c r="AC24" i="9" s="1"/>
  <c r="W58" i="1"/>
  <c r="R69" i="1"/>
  <c r="M42" i="8"/>
  <c r="M43" i="8" s="1"/>
  <c r="M31" i="8"/>
  <c r="M22" i="8"/>
  <c r="M37" i="8" s="1"/>
  <c r="M7" i="8"/>
  <c r="M6" i="8"/>
  <c r="F34" i="8"/>
  <c r="F28" i="8"/>
  <c r="F30" i="8" s="1"/>
  <c r="F19" i="8"/>
  <c r="F37" i="8" s="1"/>
  <c r="BW71" i="1" l="1"/>
  <c r="BX72" i="1" s="1"/>
  <c r="R51" i="1"/>
  <c r="R72" i="1" s="1"/>
  <c r="L72" i="1"/>
  <c r="AB58" i="1"/>
  <c r="W69" i="1"/>
  <c r="AB23" i="9"/>
  <c r="AA7" i="1"/>
  <c r="V50" i="1"/>
  <c r="R71" i="1"/>
  <c r="Q70" i="1"/>
  <c r="Q71" i="1" s="1"/>
  <c r="E24" i="9"/>
  <c r="G19" i="9"/>
  <c r="I18" i="9"/>
  <c r="G15" i="9"/>
  <c r="I9" i="9"/>
  <c r="G24" i="9"/>
  <c r="I22" i="9"/>
  <c r="AC25" i="9"/>
  <c r="AC27" i="9" s="1"/>
  <c r="BZ70" i="1"/>
  <c r="CA71" i="1"/>
  <c r="AA61" i="1"/>
  <c r="V69" i="1"/>
  <c r="E20" i="9"/>
  <c r="AB30" i="1"/>
  <c r="W50" i="1"/>
  <c r="M39" i="8"/>
  <c r="BZ71" i="1" l="1"/>
  <c r="BZ72" i="1" s="1"/>
  <c r="O30" i="8"/>
  <c r="Q72" i="1"/>
  <c r="G20" i="9"/>
  <c r="G25" i="9" s="1"/>
  <c r="G27" i="9" s="1"/>
  <c r="E25" i="9"/>
  <c r="E27" i="9" s="1"/>
  <c r="AF61" i="1"/>
  <c r="AA69" i="1"/>
  <c r="I24" i="9"/>
  <c r="K22" i="9"/>
  <c r="K9" i="9"/>
  <c r="I15" i="9"/>
  <c r="I19" i="9"/>
  <c r="K18" i="9"/>
  <c r="AF7" i="1"/>
  <c r="AA50" i="1"/>
  <c r="AG30" i="1"/>
  <c r="AB50" i="1"/>
  <c r="W51" i="1"/>
  <c r="W72" i="1" s="1"/>
  <c r="V70" i="1"/>
  <c r="V71" i="1" s="1"/>
  <c r="W71" i="1"/>
  <c r="AG58" i="1"/>
  <c r="AB69" i="1"/>
  <c r="J97" i="26"/>
  <c r="J40" i="26"/>
  <c r="I143" i="26"/>
  <c r="I20" i="9" l="1"/>
  <c r="I25" i="9" s="1"/>
  <c r="I27" i="9" s="1"/>
  <c r="AL58" i="1"/>
  <c r="AG69" i="1"/>
  <c r="AB51" i="1"/>
  <c r="AB72" i="1" s="1"/>
  <c r="AB71" i="1"/>
  <c r="AA70" i="1"/>
  <c r="AA71" i="1" s="1"/>
  <c r="V72" i="1"/>
  <c r="AG50" i="1"/>
  <c r="AL30" i="1"/>
  <c r="K24" i="9"/>
  <c r="M22" i="9"/>
  <c r="AK7" i="1"/>
  <c r="AF50" i="1"/>
  <c r="M18" i="9"/>
  <c r="K19" i="9"/>
  <c r="K15" i="9"/>
  <c r="M9" i="9"/>
  <c r="AF69" i="1"/>
  <c r="AK61" i="1"/>
  <c r="I97" i="26"/>
  <c r="K97" i="26" s="1"/>
  <c r="L97" i="26" s="1"/>
  <c r="I40" i="26"/>
  <c r="K40" i="26" s="1"/>
  <c r="L40" i="26" s="1"/>
  <c r="AA72" i="1" l="1"/>
  <c r="K20" i="9"/>
  <c r="K25" i="9" s="1"/>
  <c r="K27" i="9" s="1"/>
  <c r="O9" i="9"/>
  <c r="M15" i="9"/>
  <c r="AP7" i="1"/>
  <c r="AK50" i="1"/>
  <c r="AK69" i="1"/>
  <c r="AP61" i="1"/>
  <c r="M19" i="9"/>
  <c r="O18" i="9"/>
  <c r="M24" i="9"/>
  <c r="O22" i="9"/>
  <c r="AQ30" i="1"/>
  <c r="AL50" i="1"/>
  <c r="AF70" i="1"/>
  <c r="AF71" i="1" s="1"/>
  <c r="AG71" i="1"/>
  <c r="AG51" i="1"/>
  <c r="AG72" i="1" s="1"/>
  <c r="AL69" i="1"/>
  <c r="AQ58" i="1"/>
  <c r="J143" i="26"/>
  <c r="K143" i="26" s="1"/>
  <c r="L143" i="26" s="1"/>
  <c r="Q22" i="9" l="1"/>
  <c r="O24" i="9"/>
  <c r="AV58" i="1"/>
  <c r="AQ69" i="1"/>
  <c r="AL71" i="1"/>
  <c r="AK70" i="1"/>
  <c r="AK71" i="1" s="1"/>
  <c r="AF72" i="1"/>
  <c r="AV30" i="1"/>
  <c r="AQ50" i="1"/>
  <c r="Q18" i="9"/>
  <c r="O19" i="9"/>
  <c r="AP69" i="1"/>
  <c r="AU61" i="1"/>
  <c r="AL51" i="1"/>
  <c r="AL72" i="1" s="1"/>
  <c r="AU7" i="1"/>
  <c r="AP50" i="1"/>
  <c r="M20" i="9"/>
  <c r="M25" i="9" s="1"/>
  <c r="M27" i="9" s="1"/>
  <c r="Q9" i="9"/>
  <c r="O15" i="9"/>
  <c r="I26" i="26"/>
  <c r="J152" i="26"/>
  <c r="I152" i="26"/>
  <c r="J151" i="26"/>
  <c r="I151" i="26"/>
  <c r="J150" i="26"/>
  <c r="I150" i="26"/>
  <c r="J149" i="26"/>
  <c r="I149" i="26"/>
  <c r="J148" i="26"/>
  <c r="I148" i="26"/>
  <c r="J147" i="26"/>
  <c r="I147" i="26"/>
  <c r="J146" i="26"/>
  <c r="I146" i="26"/>
  <c r="J145" i="26"/>
  <c r="I145" i="26"/>
  <c r="J144" i="26"/>
  <c r="I144" i="26"/>
  <c r="J142" i="26"/>
  <c r="I142" i="26"/>
  <c r="J141" i="26"/>
  <c r="I141" i="26"/>
  <c r="J140" i="26"/>
  <c r="I140" i="26"/>
  <c r="J139" i="26"/>
  <c r="I139" i="26"/>
  <c r="J138" i="26"/>
  <c r="I138" i="26"/>
  <c r="J137" i="26"/>
  <c r="I137" i="26"/>
  <c r="J136" i="26"/>
  <c r="I136" i="26"/>
  <c r="J135" i="26"/>
  <c r="I135" i="26"/>
  <c r="J134" i="26"/>
  <c r="I134" i="26"/>
  <c r="J133" i="26"/>
  <c r="I133" i="26"/>
  <c r="J132" i="26"/>
  <c r="I132" i="26"/>
  <c r="J131" i="26"/>
  <c r="I131" i="26"/>
  <c r="J130" i="26"/>
  <c r="I130" i="26"/>
  <c r="J129" i="26"/>
  <c r="I129" i="26"/>
  <c r="J128" i="26"/>
  <c r="I128" i="26"/>
  <c r="J127" i="26"/>
  <c r="I127" i="26"/>
  <c r="J126" i="26"/>
  <c r="I126" i="26"/>
  <c r="J125" i="26"/>
  <c r="I125" i="26"/>
  <c r="J124" i="26"/>
  <c r="I124" i="26"/>
  <c r="J123" i="26"/>
  <c r="I123" i="26"/>
  <c r="J122" i="26"/>
  <c r="I122" i="26"/>
  <c r="J121" i="26"/>
  <c r="I121" i="26"/>
  <c r="J120" i="26"/>
  <c r="I120" i="26"/>
  <c r="J119" i="26"/>
  <c r="I119" i="26"/>
  <c r="J118" i="26"/>
  <c r="I118" i="26"/>
  <c r="J117" i="26"/>
  <c r="I117" i="26"/>
  <c r="J116" i="26"/>
  <c r="I116" i="26"/>
  <c r="J115" i="26"/>
  <c r="I115" i="26"/>
  <c r="J114" i="26"/>
  <c r="I114" i="26"/>
  <c r="J113" i="26"/>
  <c r="I113" i="26"/>
  <c r="J112" i="26"/>
  <c r="I112" i="26"/>
  <c r="J111" i="26"/>
  <c r="I111" i="26"/>
  <c r="J110" i="26"/>
  <c r="I110" i="26"/>
  <c r="J109" i="26"/>
  <c r="I109" i="26"/>
  <c r="J108" i="26"/>
  <c r="I108" i="26"/>
  <c r="J107" i="26"/>
  <c r="I107" i="26"/>
  <c r="J106" i="26"/>
  <c r="I106" i="26"/>
  <c r="J105" i="26"/>
  <c r="I105" i="26"/>
  <c r="J104" i="26"/>
  <c r="I104" i="26"/>
  <c r="J103" i="26"/>
  <c r="I103" i="26"/>
  <c r="J102" i="26"/>
  <c r="I102" i="26"/>
  <c r="J101" i="26"/>
  <c r="I101" i="26"/>
  <c r="J100" i="26"/>
  <c r="I100" i="26"/>
  <c r="J99" i="26"/>
  <c r="I99" i="26"/>
  <c r="J98" i="26"/>
  <c r="I98" i="26"/>
  <c r="J96" i="26"/>
  <c r="I96" i="26"/>
  <c r="J95" i="26"/>
  <c r="I95" i="26"/>
  <c r="J94" i="26"/>
  <c r="I94" i="26"/>
  <c r="J93" i="26"/>
  <c r="I93" i="26"/>
  <c r="J92" i="26"/>
  <c r="I92" i="26"/>
  <c r="J91" i="26"/>
  <c r="I91" i="26"/>
  <c r="J90" i="26"/>
  <c r="I90" i="26"/>
  <c r="J89" i="26"/>
  <c r="I89" i="26"/>
  <c r="J88" i="26"/>
  <c r="I88" i="26"/>
  <c r="J87" i="26"/>
  <c r="I87" i="26"/>
  <c r="J86" i="26"/>
  <c r="I86" i="26"/>
  <c r="J85" i="26"/>
  <c r="I85" i="26"/>
  <c r="J84" i="26"/>
  <c r="I84" i="26"/>
  <c r="J83" i="26"/>
  <c r="I83" i="26"/>
  <c r="J82" i="26"/>
  <c r="I82" i="26"/>
  <c r="J81" i="26"/>
  <c r="I81" i="26"/>
  <c r="J80" i="26"/>
  <c r="I80" i="26"/>
  <c r="J79" i="26"/>
  <c r="I79" i="26"/>
  <c r="J78" i="26"/>
  <c r="I78" i="26"/>
  <c r="J77" i="26"/>
  <c r="I77" i="26"/>
  <c r="J76" i="26"/>
  <c r="I76" i="26"/>
  <c r="J75" i="26"/>
  <c r="I75" i="26"/>
  <c r="J74" i="26"/>
  <c r="I74" i="26"/>
  <c r="J73" i="26"/>
  <c r="I73" i="26"/>
  <c r="J72" i="26"/>
  <c r="I72" i="26"/>
  <c r="J71" i="26"/>
  <c r="I71" i="26"/>
  <c r="J70" i="26"/>
  <c r="I70" i="26"/>
  <c r="J69" i="26"/>
  <c r="I69" i="26"/>
  <c r="J68" i="26"/>
  <c r="I68" i="26"/>
  <c r="J67" i="26"/>
  <c r="I67" i="26"/>
  <c r="J66" i="26"/>
  <c r="I66" i="26"/>
  <c r="J65" i="26"/>
  <c r="I65" i="26"/>
  <c r="J64" i="26"/>
  <c r="I64" i="26"/>
  <c r="J63" i="26"/>
  <c r="I63" i="26"/>
  <c r="J62" i="26"/>
  <c r="I62" i="26"/>
  <c r="J61" i="26"/>
  <c r="I61" i="26"/>
  <c r="J60" i="26"/>
  <c r="I60" i="26"/>
  <c r="J59" i="26"/>
  <c r="I59" i="26"/>
  <c r="J58" i="26"/>
  <c r="I58" i="26"/>
  <c r="J57" i="26"/>
  <c r="I57" i="26"/>
  <c r="J56" i="26"/>
  <c r="I56" i="26"/>
  <c r="J55" i="26"/>
  <c r="I55" i="26"/>
  <c r="J54" i="26"/>
  <c r="I54" i="26"/>
  <c r="J53" i="26"/>
  <c r="I53" i="26"/>
  <c r="J52" i="26"/>
  <c r="I52" i="26"/>
  <c r="J51" i="26"/>
  <c r="I51" i="26"/>
  <c r="J50" i="26"/>
  <c r="I50" i="26"/>
  <c r="J49" i="26"/>
  <c r="I49" i="26"/>
  <c r="J48" i="26"/>
  <c r="I48" i="26"/>
  <c r="J47" i="26"/>
  <c r="I47" i="26"/>
  <c r="J46" i="26"/>
  <c r="I46" i="26"/>
  <c r="J45" i="26"/>
  <c r="I45" i="26"/>
  <c r="J44" i="26"/>
  <c r="I44" i="26"/>
  <c r="J43" i="26"/>
  <c r="I43" i="26"/>
  <c r="J42" i="26"/>
  <c r="I42" i="26"/>
  <c r="J41" i="26"/>
  <c r="I41" i="26"/>
  <c r="J39" i="26"/>
  <c r="I39" i="26"/>
  <c r="J38" i="26"/>
  <c r="I38" i="26"/>
  <c r="J37" i="26"/>
  <c r="I37" i="26"/>
  <c r="J36" i="26"/>
  <c r="I36" i="26"/>
  <c r="J35" i="26"/>
  <c r="I35" i="26"/>
  <c r="J34" i="26"/>
  <c r="I34" i="26"/>
  <c r="J33" i="26"/>
  <c r="I33" i="26"/>
  <c r="J32" i="26"/>
  <c r="I32" i="26"/>
  <c r="J31" i="26"/>
  <c r="I31" i="26"/>
  <c r="J29" i="26"/>
  <c r="I29" i="26"/>
  <c r="J28" i="26"/>
  <c r="I28" i="26"/>
  <c r="J27" i="26"/>
  <c r="I27" i="26"/>
  <c r="J26" i="26"/>
  <c r="J25" i="26"/>
  <c r="I25" i="26"/>
  <c r="J24" i="26"/>
  <c r="I24" i="26"/>
  <c r="J23" i="26"/>
  <c r="I23" i="26"/>
  <c r="J22" i="26"/>
  <c r="I22" i="26"/>
  <c r="J21" i="26"/>
  <c r="I21" i="26"/>
  <c r="J20" i="26"/>
  <c r="I20" i="26"/>
  <c r="J19" i="26"/>
  <c r="I19" i="26"/>
  <c r="J18" i="26"/>
  <c r="I18" i="26"/>
  <c r="J17" i="26"/>
  <c r="I17" i="26"/>
  <c r="J16" i="26"/>
  <c r="I16" i="26"/>
  <c r="J15" i="26"/>
  <c r="I15" i="26"/>
  <c r="J14" i="26"/>
  <c r="I14" i="26"/>
  <c r="J13" i="26"/>
  <c r="I13" i="26"/>
  <c r="I12" i="26"/>
  <c r="J11" i="26"/>
  <c r="I11" i="26"/>
  <c r="J9" i="26"/>
  <c r="I9" i="26"/>
  <c r="J8" i="26"/>
  <c r="I8" i="26"/>
  <c r="J10" i="26"/>
  <c r="AK72" i="1" l="1"/>
  <c r="O20" i="9"/>
  <c r="O25" i="9" s="1"/>
  <c r="O27" i="9" s="1"/>
  <c r="AQ51" i="1"/>
  <c r="AQ72" i="1" s="1"/>
  <c r="AZ61" i="1"/>
  <c r="AU69" i="1"/>
  <c r="Q19" i="9"/>
  <c r="S18" i="9"/>
  <c r="BA30" i="1"/>
  <c r="AV50" i="1"/>
  <c r="AZ7" i="1"/>
  <c r="AU50" i="1"/>
  <c r="AP70" i="1"/>
  <c r="AP71" i="1" s="1"/>
  <c r="AQ71" i="1"/>
  <c r="AV69" i="1"/>
  <c r="BA58" i="1"/>
  <c r="S9" i="9"/>
  <c r="Q15" i="9"/>
  <c r="Q24" i="9"/>
  <c r="S22" i="9"/>
  <c r="J30" i="26"/>
  <c r="J12" i="26"/>
  <c r="L42" i="8"/>
  <c r="L43" i="8" s="1"/>
  <c r="L31" i="8"/>
  <c r="L22" i="8"/>
  <c r="L7" i="8"/>
  <c r="L6" i="8"/>
  <c r="E34" i="8"/>
  <c r="E28" i="8"/>
  <c r="E30" i="8" s="1"/>
  <c r="E19" i="8"/>
  <c r="Q20" i="9" l="1"/>
  <c r="Q25" i="9" s="1"/>
  <c r="Q27" i="9" s="1"/>
  <c r="AV51" i="1"/>
  <c r="AV72" i="1" s="1"/>
  <c r="BE7" i="1"/>
  <c r="AZ50" i="1"/>
  <c r="U18" i="9"/>
  <c r="S19" i="9"/>
  <c r="S24" i="9"/>
  <c r="U22" i="9"/>
  <c r="S15" i="9"/>
  <c r="U9" i="9"/>
  <c r="BF58" i="1"/>
  <c r="BA69" i="1"/>
  <c r="AV71" i="1"/>
  <c r="AU70" i="1"/>
  <c r="AU71" i="1" s="1"/>
  <c r="AP72" i="1"/>
  <c r="BA50" i="1"/>
  <c r="BF30" i="1"/>
  <c r="BE61" i="1"/>
  <c r="AZ69" i="1"/>
  <c r="J5" i="26"/>
  <c r="I10" i="26"/>
  <c r="I30" i="26"/>
  <c r="L37" i="8"/>
  <c r="E37" i="8"/>
  <c r="S20" i="9" l="1"/>
  <c r="S25" i="9" s="1"/>
  <c r="S27" i="9" s="1"/>
  <c r="AU72" i="1"/>
  <c r="BE69" i="1"/>
  <c r="BJ61" i="1"/>
  <c r="BA71" i="1"/>
  <c r="AZ70" i="1"/>
  <c r="AZ71" i="1" s="1"/>
  <c r="W22" i="9"/>
  <c r="U24" i="9"/>
  <c r="BF69" i="1"/>
  <c r="BK58" i="1"/>
  <c r="W9" i="9"/>
  <c r="U15" i="9"/>
  <c r="W18" i="9"/>
  <c r="U19" i="9"/>
  <c r="BF50" i="1"/>
  <c r="BK30" i="1"/>
  <c r="BA51" i="1"/>
  <c r="BA72" i="1" s="1"/>
  <c r="BJ7" i="1"/>
  <c r="BE50" i="1"/>
  <c r="L39" i="8"/>
  <c r="I5" i="26"/>
  <c r="I1" i="27"/>
  <c r="BF51" i="1" l="1"/>
  <c r="BF72" i="1" s="1"/>
  <c r="AZ72" i="1"/>
  <c r="W19" i="9"/>
  <c r="Y18" i="9"/>
  <c r="Y9" i="9"/>
  <c r="W15" i="9"/>
  <c r="BF71" i="1"/>
  <c r="BE70" i="1"/>
  <c r="BE71" i="1" s="1"/>
  <c r="BO61" i="1"/>
  <c r="BO69" i="1" s="1"/>
  <c r="BJ69" i="1"/>
  <c r="BO7" i="1"/>
  <c r="BO50" i="1" s="1"/>
  <c r="BJ50" i="1"/>
  <c r="BK50" i="1"/>
  <c r="BP30" i="1"/>
  <c r="BP50" i="1" s="1"/>
  <c r="U20" i="9"/>
  <c r="U25" i="9" s="1"/>
  <c r="U27" i="9" s="1"/>
  <c r="BK69" i="1"/>
  <c r="BP58" i="1"/>
  <c r="BP69" i="1" s="1"/>
  <c r="Y22" i="9"/>
  <c r="W24" i="9"/>
  <c r="I2" i="27"/>
  <c r="H1" i="27" s="1"/>
  <c r="J1" i="27"/>
  <c r="K77" i="26"/>
  <c r="L77" i="26" s="1"/>
  <c r="W20" i="9" l="1"/>
  <c r="W25" i="9" s="1"/>
  <c r="W27" i="9" s="1"/>
  <c r="BE72" i="1"/>
  <c r="BK51" i="1"/>
  <c r="BK72" i="1" s="1"/>
  <c r="BK71" i="1"/>
  <c r="BJ70" i="1"/>
  <c r="BJ71" i="1" s="1"/>
  <c r="AA22" i="9"/>
  <c r="Y24" i="9"/>
  <c r="BP71" i="1"/>
  <c r="BO70" i="1"/>
  <c r="BO71" i="1" s="1"/>
  <c r="BP51" i="1"/>
  <c r="BP72" i="1" s="1"/>
  <c r="Y15" i="9"/>
  <c r="AA9" i="9"/>
  <c r="Y19" i="9"/>
  <c r="AA18" i="9"/>
  <c r="K32" i="26"/>
  <c r="L32" i="26" s="1"/>
  <c r="BJ72" i="1" l="1"/>
  <c r="AA19" i="9"/>
  <c r="AB18" i="9"/>
  <c r="AB9" i="9"/>
  <c r="AA15" i="9"/>
  <c r="Y20" i="9"/>
  <c r="Y25" i="9" s="1"/>
  <c r="Y27" i="9" s="1"/>
  <c r="BO72" i="1"/>
  <c r="AA24" i="9"/>
  <c r="AB22" i="9"/>
  <c r="K30" i="26"/>
  <c r="L30" i="26" s="1"/>
  <c r="AA20" i="9" l="1"/>
  <c r="AA25" i="9" s="1"/>
  <c r="AA27" i="9" s="1"/>
  <c r="K42" i="8"/>
  <c r="K43" i="8" s="1"/>
  <c r="K76" i="26" l="1"/>
  <c r="L76" i="26" s="1"/>
  <c r="K75" i="26"/>
  <c r="L75" i="26" s="1"/>
  <c r="K20" i="26"/>
  <c r="L20" i="26" s="1"/>
  <c r="K21" i="26"/>
  <c r="L21" i="26" s="1"/>
  <c r="K28" i="26"/>
  <c r="L28" i="26" s="1"/>
  <c r="K24" i="26"/>
  <c r="L24" i="26" s="1"/>
  <c r="K25" i="26"/>
  <c r="L25" i="26" s="1"/>
  <c r="K74" i="26" l="1"/>
  <c r="L74" i="26" s="1"/>
  <c r="K39" i="26" l="1"/>
  <c r="L39" i="26" s="1"/>
  <c r="K31" i="26" l="1"/>
  <c r="L31" i="26" s="1"/>
  <c r="K38" i="26"/>
  <c r="L38" i="26" s="1"/>
  <c r="K127" i="26" l="1"/>
  <c r="L127" i="26" s="1"/>
  <c r="K29" i="26" l="1"/>
  <c r="L29" i="26" s="1"/>
  <c r="M29" i="26" s="1"/>
  <c r="K37" i="26"/>
  <c r="L37" i="26" s="1"/>
  <c r="C54" i="1"/>
  <c r="H50" i="1"/>
  <c r="G50" i="1"/>
  <c r="K126" i="26" l="1"/>
  <c r="L126" i="26" s="1"/>
  <c r="K148" i="26"/>
  <c r="L148" i="26" l="1"/>
  <c r="K27" i="26" l="1"/>
  <c r="L27" i="26" s="1"/>
  <c r="K22" i="26"/>
  <c r="L22" i="26" s="1"/>
  <c r="N22" i="26" s="1"/>
  <c r="K95" i="26"/>
  <c r="L95" i="26" s="1"/>
  <c r="K26" i="26" l="1"/>
  <c r="L26" i="26" s="1"/>
  <c r="M26" i="26" s="1"/>
  <c r="K96" i="26"/>
  <c r="L96" i="26" s="1"/>
  <c r="K147" i="26"/>
  <c r="L147" i="26" s="1"/>
  <c r="K121" i="26"/>
  <c r="L121" i="26" s="1"/>
  <c r="K140" i="26"/>
  <c r="O140" i="26" s="1"/>
  <c r="L140" i="26" l="1"/>
  <c r="K142" i="26"/>
  <c r="K94" i="26"/>
  <c r="L94" i="26" s="1"/>
  <c r="M94" i="26" s="1"/>
  <c r="L142" i="26" l="1"/>
  <c r="O142" i="26"/>
  <c r="K104" i="26" l="1"/>
  <c r="L104" i="26" s="1"/>
  <c r="N104" i="26" s="1"/>
  <c r="K137" i="26"/>
  <c r="L137" i="26" s="1"/>
  <c r="K105" i="26"/>
  <c r="L105" i="26" s="1"/>
  <c r="K103" i="26"/>
  <c r="L103" i="26" s="1"/>
  <c r="N103" i="26" s="1"/>
  <c r="K124" i="26"/>
  <c r="L124" i="26" s="1"/>
  <c r="K138" i="26"/>
  <c r="L138" i="26" s="1"/>
  <c r="K139" i="26"/>
  <c r="O139" i="26" s="1"/>
  <c r="L139" i="26" l="1"/>
  <c r="K31" i="8"/>
  <c r="K22" i="8"/>
  <c r="H3" i="26" l="1"/>
  <c r="H2" i="26"/>
  <c r="I2" i="26" s="1"/>
  <c r="H1" i="26"/>
  <c r="I1" i="26" s="1"/>
  <c r="K152" i="26" l="1"/>
  <c r="L152" i="26" s="1"/>
  <c r="K151" i="26"/>
  <c r="L151" i="26" s="1"/>
  <c r="H5" i="26"/>
  <c r="H69" i="1"/>
  <c r="H71" i="1" s="1"/>
  <c r="G69" i="1"/>
  <c r="G56" i="1"/>
  <c r="F56" i="1"/>
  <c r="Z7" i="9"/>
  <c r="AA7" i="9" s="1"/>
  <c r="X7" i="9"/>
  <c r="Y7" i="9" s="1"/>
  <c r="V7" i="9"/>
  <c r="W7" i="9" s="1"/>
  <c r="T7" i="9"/>
  <c r="U7" i="9" s="1"/>
  <c r="R7" i="9"/>
  <c r="S7" i="9" s="1"/>
  <c r="P7" i="9"/>
  <c r="Q7" i="9" s="1"/>
  <c r="N7" i="9"/>
  <c r="O7" i="9" s="1"/>
  <c r="L7" i="9"/>
  <c r="M7" i="9" s="1"/>
  <c r="J7" i="9"/>
  <c r="K7" i="9" s="1"/>
  <c r="H7" i="9"/>
  <c r="I7" i="9" s="1"/>
  <c r="F7" i="9"/>
  <c r="G7" i="9" s="1"/>
  <c r="D7" i="9"/>
  <c r="E7" i="9" s="1"/>
  <c r="B4" i="9"/>
  <c r="O7" i="8"/>
  <c r="K7" i="8"/>
  <c r="O6" i="8"/>
  <c r="K6" i="8"/>
  <c r="D34" i="8" l="1"/>
  <c r="G70" i="1"/>
  <c r="G71" i="1" s="1"/>
  <c r="D28" i="8"/>
  <c r="H51" i="1"/>
  <c r="D19" i="8"/>
  <c r="K82" i="26"/>
  <c r="L82" i="26" s="1"/>
  <c r="K98" i="26"/>
  <c r="L98" i="26" s="1"/>
  <c r="K110" i="26"/>
  <c r="K146" i="26"/>
  <c r="L146" i="26" s="1"/>
  <c r="K101" i="26"/>
  <c r="L101" i="26" s="1"/>
  <c r="K128" i="26"/>
  <c r="K130" i="26"/>
  <c r="L130" i="26" s="1"/>
  <c r="K116" i="26"/>
  <c r="L116" i="26" s="1"/>
  <c r="K141" i="26"/>
  <c r="O141" i="26" s="1"/>
  <c r="K115" i="26"/>
  <c r="L115" i="26" s="1"/>
  <c r="K85" i="26"/>
  <c r="L85" i="26" s="1"/>
  <c r="K93" i="26"/>
  <c r="L93" i="26" s="1"/>
  <c r="K125" i="26"/>
  <c r="L125" i="26" s="1"/>
  <c r="K135" i="26"/>
  <c r="L135" i="26" s="1"/>
  <c r="K64" i="26"/>
  <c r="L64" i="26" s="1"/>
  <c r="K107" i="26"/>
  <c r="L107" i="26" s="1"/>
  <c r="G1" i="27" s="1"/>
  <c r="K112" i="26"/>
  <c r="K90" i="26"/>
  <c r="L90" i="26" s="1"/>
  <c r="K136" i="26"/>
  <c r="L136" i="26" s="1"/>
  <c r="K150" i="26"/>
  <c r="K41" i="26"/>
  <c r="L41" i="26" s="1"/>
  <c r="K44" i="26"/>
  <c r="L44" i="26" s="1"/>
  <c r="K48" i="26"/>
  <c r="L48" i="26" s="1"/>
  <c r="K52" i="26"/>
  <c r="L52" i="26" s="1"/>
  <c r="K56" i="26"/>
  <c r="L56" i="26" s="1"/>
  <c r="K84" i="26"/>
  <c r="L84" i="26" s="1"/>
  <c r="K129" i="26"/>
  <c r="L129" i="26" s="1"/>
  <c r="K133" i="26"/>
  <c r="L133" i="26" s="1"/>
  <c r="K144" i="26"/>
  <c r="L144" i="26" s="1"/>
  <c r="K9" i="26"/>
  <c r="L9" i="26" s="1"/>
  <c r="N9" i="26" s="1"/>
  <c r="K12" i="26"/>
  <c r="L12" i="26" s="1"/>
  <c r="N12" i="26" s="1"/>
  <c r="K13" i="26"/>
  <c r="L13" i="26" s="1"/>
  <c r="N13" i="26" s="1"/>
  <c r="K16" i="26"/>
  <c r="L16" i="26" s="1"/>
  <c r="K87" i="26"/>
  <c r="L87" i="26" s="1"/>
  <c r="K88" i="26"/>
  <c r="L88" i="26" s="1"/>
  <c r="K92" i="26"/>
  <c r="L92" i="26" s="1"/>
  <c r="K100" i="26"/>
  <c r="L100" i="26" s="1"/>
  <c r="K106" i="26"/>
  <c r="L106" i="26" s="1"/>
  <c r="K114" i="26"/>
  <c r="L114" i="26" s="1"/>
  <c r="K119" i="26"/>
  <c r="L119" i="26" s="1"/>
  <c r="K15" i="26"/>
  <c r="L15" i="26" s="1"/>
  <c r="K23" i="26"/>
  <c r="L23" i="26" s="1"/>
  <c r="K34" i="26"/>
  <c r="L34" i="26" s="1"/>
  <c r="K36" i="26"/>
  <c r="L36" i="26" s="1"/>
  <c r="K43" i="26"/>
  <c r="L43" i="26" s="1"/>
  <c r="K47" i="26"/>
  <c r="L47" i="26" s="1"/>
  <c r="K51" i="26"/>
  <c r="L51" i="26" s="1"/>
  <c r="K55" i="26"/>
  <c r="L55" i="26" s="1"/>
  <c r="K59" i="26"/>
  <c r="L59" i="26" s="1"/>
  <c r="K66" i="26"/>
  <c r="L66" i="26" s="1"/>
  <c r="K70" i="26"/>
  <c r="L70" i="26" s="1"/>
  <c r="K78" i="26"/>
  <c r="L78" i="26" s="1"/>
  <c r="K86" i="26"/>
  <c r="L86" i="26" s="1"/>
  <c r="K99" i="26"/>
  <c r="L99" i="26" s="1"/>
  <c r="K118" i="26"/>
  <c r="L118" i="26" s="1"/>
  <c r="K131" i="26"/>
  <c r="L131" i="26" s="1"/>
  <c r="K35" i="26"/>
  <c r="L35" i="26" s="1"/>
  <c r="K42" i="26"/>
  <c r="L42" i="26" s="1"/>
  <c r="K46" i="26"/>
  <c r="L46" i="26" s="1"/>
  <c r="K50" i="26"/>
  <c r="L50" i="26" s="1"/>
  <c r="K54" i="26"/>
  <c r="L54" i="26" s="1"/>
  <c r="K58" i="26"/>
  <c r="L58" i="26" s="1"/>
  <c r="K65" i="26"/>
  <c r="L65" i="26" s="1"/>
  <c r="K69" i="26"/>
  <c r="L69" i="26" s="1"/>
  <c r="K73" i="26"/>
  <c r="L73" i="26" s="1"/>
  <c r="K108" i="26"/>
  <c r="L108" i="26" s="1"/>
  <c r="K17" i="26"/>
  <c r="L17" i="26" s="1"/>
  <c r="K45" i="26"/>
  <c r="L45" i="26" s="1"/>
  <c r="K49" i="26"/>
  <c r="L49" i="26" s="1"/>
  <c r="K53" i="26"/>
  <c r="L53" i="26" s="1"/>
  <c r="K57" i="26"/>
  <c r="L57" i="26" s="1"/>
  <c r="K61" i="26"/>
  <c r="L61" i="26" s="1"/>
  <c r="K63" i="26"/>
  <c r="L63" i="26" s="1"/>
  <c r="K68" i="26"/>
  <c r="L68" i="26" s="1"/>
  <c r="K72" i="26"/>
  <c r="L72" i="26" s="1"/>
  <c r="K80" i="26"/>
  <c r="L80" i="26" s="1"/>
  <c r="K89" i="26"/>
  <c r="L89" i="26" s="1"/>
  <c r="K109" i="26"/>
  <c r="K113" i="26"/>
  <c r="L113" i="26" s="1"/>
  <c r="K117" i="26"/>
  <c r="K123" i="26"/>
  <c r="L123" i="26" s="1"/>
  <c r="K132" i="26"/>
  <c r="K122" i="26"/>
  <c r="L122" i="26" s="1"/>
  <c r="K134" i="26"/>
  <c r="O134" i="26" s="1"/>
  <c r="K145" i="26"/>
  <c r="L145" i="26" s="1"/>
  <c r="K60" i="26"/>
  <c r="L60" i="26" s="1"/>
  <c r="K62" i="26"/>
  <c r="L62" i="26" s="1"/>
  <c r="K67" i="26"/>
  <c r="L67" i="26" s="1"/>
  <c r="K71" i="26"/>
  <c r="L71" i="26" s="1"/>
  <c r="K79" i="26"/>
  <c r="L79" i="26" s="1"/>
  <c r="K8" i="26"/>
  <c r="L8" i="26" s="1"/>
  <c r="K10" i="26"/>
  <c r="L10" i="26" s="1"/>
  <c r="K11" i="26"/>
  <c r="L11" i="26" s="1"/>
  <c r="K14" i="26"/>
  <c r="L14" i="26" s="1"/>
  <c r="K18" i="26"/>
  <c r="L18" i="26" s="1"/>
  <c r="K33" i="26"/>
  <c r="L33" i="26" s="1"/>
  <c r="K81" i="26"/>
  <c r="L81" i="26" s="1"/>
  <c r="K83" i="26"/>
  <c r="L83" i="26" s="1"/>
  <c r="K91" i="26"/>
  <c r="L91" i="26" s="1"/>
  <c r="K102" i="26"/>
  <c r="L102" i="26" s="1"/>
  <c r="K111" i="26"/>
  <c r="K120" i="26"/>
  <c r="L120" i="26" s="1"/>
  <c r="M75" i="1" l="1"/>
  <c r="O4" i="26"/>
  <c r="L2" i="26"/>
  <c r="L132" i="26"/>
  <c r="L128" i="26"/>
  <c r="L150" i="26"/>
  <c r="L117" i="26"/>
  <c r="L109" i="26"/>
  <c r="M4" i="26"/>
  <c r="L110" i="26"/>
  <c r="L111" i="26"/>
  <c r="L134" i="26"/>
  <c r="L141" i="26"/>
  <c r="L112" i="26"/>
  <c r="D30" i="8"/>
  <c r="D37" i="8" s="1"/>
  <c r="K37" i="8"/>
  <c r="H4" i="26"/>
  <c r="R75" i="1" l="1"/>
  <c r="R76" i="1" s="1"/>
  <c r="M5" i="26"/>
  <c r="O22" i="8"/>
  <c r="K39" i="8"/>
  <c r="W75" i="1"/>
  <c r="W76" i="1" l="1"/>
  <c r="AB75" i="1"/>
  <c r="AB76" i="1" s="1"/>
  <c r="AG75" i="1" l="1"/>
  <c r="AG76" i="1" s="1"/>
  <c r="AL75" i="1" l="1"/>
  <c r="AL76" i="1" s="1"/>
  <c r="AQ75" i="1" l="1"/>
  <c r="AQ76" i="1" s="1"/>
  <c r="AV75" i="1" l="1"/>
  <c r="AV76" i="1" s="1"/>
  <c r="BF75" i="1" l="1"/>
  <c r="BA75" i="1"/>
  <c r="BA76" i="1" s="1"/>
  <c r="BK75" i="1"/>
  <c r="BK76" i="1" l="1"/>
  <c r="BF76" i="1"/>
  <c r="BP75" i="1" l="1"/>
  <c r="BP76" i="1" s="1"/>
  <c r="CF58" i="1" l="1"/>
  <c r="CE58" i="1"/>
  <c r="AE25" i="9" l="1"/>
  <c r="E29" i="9" l="1"/>
  <c r="G29" i="9"/>
  <c r="I29" i="9" l="1"/>
  <c r="K29" i="9" l="1"/>
  <c r="M29" i="9" l="1"/>
  <c r="O29" i="9" l="1"/>
  <c r="Q29" i="9" l="1"/>
  <c r="S29" i="9" l="1"/>
  <c r="U29" i="9" l="1"/>
  <c r="W29" i="9" l="1"/>
  <c r="Y29" i="9" l="1"/>
  <c r="AA29" i="9" l="1"/>
  <c r="K149" i="26"/>
  <c r="L149" i="26" l="1"/>
  <c r="L3" i="26" l="1"/>
  <c r="N2" i="26" s="1"/>
  <c r="K19" i="26" l="1"/>
  <c r="L19" i="26" l="1"/>
  <c r="K5" i="26"/>
  <c r="N19" i="26" l="1"/>
  <c r="L5" i="26"/>
  <c r="L1" i="26"/>
  <c r="K1" i="26" l="1"/>
  <c r="O40" i="8"/>
  <c r="L4" i="26"/>
  <c r="K3" i="26" l="1"/>
  <c r="O31" i="8"/>
  <c r="O37" i="8" s="1"/>
  <c r="K2" i="26" s="1"/>
  <c r="O42" i="8"/>
  <c r="O43" i="8" s="1"/>
  <c r="O39" i="8" l="1"/>
</calcChain>
</file>

<file path=xl/sharedStrings.xml><?xml version="1.0" encoding="utf-8"?>
<sst xmlns="http://schemas.openxmlformats.org/spreadsheetml/2006/main" count="2766" uniqueCount="985">
  <si>
    <t>ACCOUNT</t>
  </si>
  <si>
    <t>KODE</t>
  </si>
  <si>
    <t>DEBET</t>
  </si>
  <si>
    <t>KREDIT</t>
  </si>
  <si>
    <t>A01</t>
  </si>
  <si>
    <t>KAS</t>
  </si>
  <si>
    <t>D</t>
  </si>
  <si>
    <t>A02</t>
  </si>
  <si>
    <t>BANK</t>
  </si>
  <si>
    <t>A03</t>
  </si>
  <si>
    <t>A04</t>
  </si>
  <si>
    <t>A07</t>
  </si>
  <si>
    <t>K</t>
  </si>
  <si>
    <t>A06</t>
  </si>
  <si>
    <t>PIUTANG LAIN-LAIN</t>
  </si>
  <si>
    <t>A13</t>
  </si>
  <si>
    <t>UANG MUKA PEMBELIAN</t>
  </si>
  <si>
    <t>A14</t>
  </si>
  <si>
    <t>UANG MUKA PAJAK</t>
  </si>
  <si>
    <t>A16</t>
  </si>
  <si>
    <t>PENYERTAAN MODAL</t>
  </si>
  <si>
    <t>A15</t>
  </si>
  <si>
    <t>A05</t>
  </si>
  <si>
    <t>A08</t>
  </si>
  <si>
    <t>A09</t>
  </si>
  <si>
    <t>A10</t>
  </si>
  <si>
    <t>A11</t>
  </si>
  <si>
    <t>AKTIVA PAJAK TANGGUHAN</t>
  </si>
  <si>
    <t>A22</t>
  </si>
  <si>
    <t>AKTIVA DALAM PELAKSANAAN</t>
  </si>
  <si>
    <t>TANAH</t>
  </si>
  <si>
    <t>KENDARAAN</t>
  </si>
  <si>
    <t>INVENTARIS KANTOR</t>
  </si>
  <si>
    <t>A20</t>
  </si>
  <si>
    <t>AKM.PH ASET TETAP</t>
  </si>
  <si>
    <t>A19</t>
  </si>
  <si>
    <t>A21</t>
  </si>
  <si>
    <t>AKTIVA LAIN-LAIN</t>
  </si>
  <si>
    <t>P01</t>
  </si>
  <si>
    <t>P03</t>
  </si>
  <si>
    <t>P01A</t>
  </si>
  <si>
    <t>P01B</t>
  </si>
  <si>
    <t>P01C</t>
  </si>
  <si>
    <t>P04</t>
  </si>
  <si>
    <t>P02</t>
  </si>
  <si>
    <t>P06</t>
  </si>
  <si>
    <t>P05</t>
  </si>
  <si>
    <t>BIAYA YANG MASIH HARUS DIBAYAR</t>
  </si>
  <si>
    <t>P07</t>
  </si>
  <si>
    <t>P08</t>
  </si>
  <si>
    <t>P09</t>
  </si>
  <si>
    <t>P10</t>
  </si>
  <si>
    <t>P11</t>
  </si>
  <si>
    <t>P13</t>
  </si>
  <si>
    <t>P14</t>
  </si>
  <si>
    <t>P15</t>
  </si>
  <si>
    <t>LABA BELUM DICADANGKAN</t>
  </si>
  <si>
    <t xml:space="preserve">JUMLAH </t>
  </si>
  <si>
    <t>LABA (RUGI)</t>
  </si>
  <si>
    <t>LR01</t>
  </si>
  <si>
    <t>LR02</t>
  </si>
  <si>
    <t>LR05</t>
  </si>
  <si>
    <t>BIAYA UMUM DAN ADMINISTRASI</t>
  </si>
  <si>
    <t>LR06</t>
  </si>
  <si>
    <t>LR07</t>
  </si>
  <si>
    <t>PENDAPATAN DILUAR USAHA</t>
  </si>
  <si>
    <t>BIAYA DILUAR USAHA</t>
  </si>
  <si>
    <t>BEBAN PAJAK PENGHASILAN</t>
  </si>
  <si>
    <t>BALANCE</t>
  </si>
  <si>
    <t>Account</t>
  </si>
  <si>
    <t>Keterangan</t>
  </si>
  <si>
    <t>Report_NR</t>
  </si>
  <si>
    <t>Kas</t>
  </si>
  <si>
    <t>AKTIVA</t>
  </si>
  <si>
    <t>Bank</t>
  </si>
  <si>
    <t>Uang Muka Pembelian</t>
  </si>
  <si>
    <t>Uang Muka Pajak</t>
  </si>
  <si>
    <t>Penyertaan Modal</t>
  </si>
  <si>
    <t>Aktiva Pajak Tangguhan</t>
  </si>
  <si>
    <t>Tanah</t>
  </si>
  <si>
    <t>Kendaraan</t>
  </si>
  <si>
    <t>Inventaris Kantor</t>
  </si>
  <si>
    <t>PASIVA</t>
  </si>
  <si>
    <t>Uang Muka Penjualan</t>
  </si>
  <si>
    <t>Ekuitas</t>
  </si>
  <si>
    <t>Cadangan</t>
  </si>
  <si>
    <t>periode</t>
  </si>
  <si>
    <t>TANGGAL</t>
  </si>
  <si>
    <t>JMLDEB</t>
  </si>
  <si>
    <t>JMLKRED</t>
  </si>
  <si>
    <t>QTY</t>
  </si>
  <si>
    <t>SOURCE</t>
  </si>
  <si>
    <t>KETERANGAN</t>
  </si>
  <si>
    <t>Nama_Rekanan</t>
  </si>
  <si>
    <t>BIAYA MATERAI</t>
  </si>
  <si>
    <t>No</t>
  </si>
  <si>
    <t>Uraian</t>
  </si>
  <si>
    <t>I</t>
  </si>
  <si>
    <t>Aset Lancar</t>
  </si>
  <si>
    <t>VIII</t>
  </si>
  <si>
    <t>Liabilitas Jangka Pendek</t>
  </si>
  <si>
    <t>Biaya yg Dibayar Dimuka</t>
  </si>
  <si>
    <t>Total Aset Lancar :</t>
  </si>
  <si>
    <t>II</t>
  </si>
  <si>
    <t>III</t>
  </si>
  <si>
    <t>IV</t>
  </si>
  <si>
    <t>Aset Tetap Berwujud</t>
  </si>
  <si>
    <t>Bangunan dan Instalasi Listrik</t>
  </si>
  <si>
    <t>Grand Total Liabilitas</t>
  </si>
  <si>
    <t>Mesin dan Peralatan</t>
  </si>
  <si>
    <t>Nilai Perolehan</t>
  </si>
  <si>
    <t>Akumulasi Penyusutan Aktiva Tetap</t>
  </si>
  <si>
    <t>V</t>
  </si>
  <si>
    <t>Aset Tetap Tak Berwujud</t>
  </si>
  <si>
    <t>Laba Belum dicadangkan</t>
  </si>
  <si>
    <t>Software Komputer</t>
  </si>
  <si>
    <t>Laba Setelah Pajak</t>
  </si>
  <si>
    <t>Ak. Amrt. Software Komputer</t>
  </si>
  <si>
    <t>Total Ekuitas :</t>
  </si>
  <si>
    <t>Total Aset Tetap Tak Berwujud :</t>
  </si>
  <si>
    <t>VI</t>
  </si>
  <si>
    <t>VII</t>
  </si>
  <si>
    <t>Aset Lain-lain</t>
  </si>
  <si>
    <t>Grand Total Aset</t>
  </si>
  <si>
    <t>Grand Total Liabilitas dan Ekuitas</t>
  </si>
  <si>
    <t>NERACA</t>
  </si>
  <si>
    <t>PER</t>
  </si>
  <si>
    <t xml:space="preserve">Pendapatan </t>
  </si>
  <si>
    <t>Laba kotor</t>
  </si>
  <si>
    <t>Beban Usaha</t>
  </si>
  <si>
    <t>Beban Umum dan Administrasi</t>
  </si>
  <si>
    <t>Jumlah Beban Usaha :</t>
  </si>
  <si>
    <t>Laba usaha</t>
  </si>
  <si>
    <t>Pendapatan / (Beban) di luar usaha</t>
  </si>
  <si>
    <t>Jumlah Pendapatan/(Beban) di luar usaha:</t>
  </si>
  <si>
    <t>Laba Sebelum Pajak</t>
  </si>
  <si>
    <t>Beban Pajak</t>
  </si>
  <si>
    <t>LAPORAN LABA / (RUGI)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</si>
  <si>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</si>
  <si>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</si>
  <si>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</si>
  <si>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</si>
  <si>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</si>
  <si>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</si>
  <si>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</si>
  <si>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</si>
  <si>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</si>
  <si>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</si>
  <si>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</si>
  <si>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</si>
  <si>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AMOUNT</t>
  </si>
  <si>
    <t>Utang Pajak</t>
  </si>
  <si>
    <t>Utang Bank</t>
  </si>
  <si>
    <t>PENDAPATAN JASA GIRO</t>
  </si>
  <si>
    <t>Uang Muka Operasional</t>
  </si>
  <si>
    <t>31 Desember 2022</t>
  </si>
  <si>
    <t>A</t>
  </si>
  <si>
    <t>SALDO AWAL</t>
  </si>
  <si>
    <t>SALDO AKHIR</t>
  </si>
  <si>
    <t>MUTASI</t>
  </si>
  <si>
    <t>LR</t>
  </si>
  <si>
    <t>SUBTOTAL</t>
  </si>
  <si>
    <t>01.000.0000</t>
  </si>
  <si>
    <t>01.001.0000</t>
  </si>
  <si>
    <t>01.009.0000</t>
  </si>
  <si>
    <t>02.000.0000</t>
  </si>
  <si>
    <t>02.001.0000</t>
  </si>
  <si>
    <t>02.002.0000</t>
  </si>
  <si>
    <t>03.000.0000</t>
  </si>
  <si>
    <t>03.001.0000</t>
  </si>
  <si>
    <t>03.002.0000</t>
  </si>
  <si>
    <t>04.000.0000</t>
  </si>
  <si>
    <t>05.000.0000</t>
  </si>
  <si>
    <t>06.000.0000</t>
  </si>
  <si>
    <t>09.000.0000</t>
  </si>
  <si>
    <t>10.000.0000</t>
  </si>
  <si>
    <t>10.001.0000</t>
  </si>
  <si>
    <t>11.000.0000</t>
  </si>
  <si>
    <t>11.001.0000</t>
  </si>
  <si>
    <t>11.001.0001</t>
  </si>
  <si>
    <t>11.001.0002</t>
  </si>
  <si>
    <t>11.001.0003</t>
  </si>
  <si>
    <t>11.002.0000</t>
  </si>
  <si>
    <t>12.000.0000</t>
  </si>
  <si>
    <t>13.000.0000</t>
  </si>
  <si>
    <t>14.000.0000</t>
  </si>
  <si>
    <t>15.000.0000</t>
  </si>
  <si>
    <t>16.000.0000</t>
  </si>
  <si>
    <t>16.001.0000</t>
  </si>
  <si>
    <t>16.002.0000</t>
  </si>
  <si>
    <t>17.000.0000</t>
  </si>
  <si>
    <t>17.001.0000</t>
  </si>
  <si>
    <t>17.002.0000</t>
  </si>
  <si>
    <t>18.000.0000</t>
  </si>
  <si>
    <t>18.001.0000</t>
  </si>
  <si>
    <t>19.000.0000</t>
  </si>
  <si>
    <t>19.001.0000</t>
  </si>
  <si>
    <t>22.000.0000</t>
  </si>
  <si>
    <t>23.000.0000</t>
  </si>
  <si>
    <t>24.000.0000</t>
  </si>
  <si>
    <t>25.000.0000</t>
  </si>
  <si>
    <t>26.000.0000</t>
  </si>
  <si>
    <t>26.001.0000</t>
  </si>
  <si>
    <t>27.000.0000</t>
  </si>
  <si>
    <t>27.001.0000</t>
  </si>
  <si>
    <t>29.000.0000</t>
  </si>
  <si>
    <t>30.000.0000</t>
  </si>
  <si>
    <t>31.000.0000</t>
  </si>
  <si>
    <t>32.000.0000</t>
  </si>
  <si>
    <t>33.000.0000</t>
  </si>
  <si>
    <t>33.001.0000</t>
  </si>
  <si>
    <t>33.001.0001</t>
  </si>
  <si>
    <t>33.001.0002</t>
  </si>
  <si>
    <t>33.001.0003</t>
  </si>
  <si>
    <t>33.001.0004</t>
  </si>
  <si>
    <t>33.001.0005</t>
  </si>
  <si>
    <t>33.002.0000</t>
  </si>
  <si>
    <t>33.002.0001</t>
  </si>
  <si>
    <t>33.002.0002</t>
  </si>
  <si>
    <t>33.002.0003</t>
  </si>
  <si>
    <t>34.000.0000</t>
  </si>
  <si>
    <t>35.000.0000</t>
  </si>
  <si>
    <t>36.000.0000</t>
  </si>
  <si>
    <t>37.000.0000</t>
  </si>
  <si>
    <t>38.000.0000</t>
  </si>
  <si>
    <t>40.000.0000</t>
  </si>
  <si>
    <t>41.000.0000</t>
  </si>
  <si>
    <t>42.000.0000</t>
  </si>
  <si>
    <t>43.000.0000</t>
  </si>
  <si>
    <t>50.000.0000</t>
  </si>
  <si>
    <t>60.000.0000</t>
  </si>
  <si>
    <t>60.001.0000</t>
  </si>
  <si>
    <t>60.001.0100</t>
  </si>
  <si>
    <t>60.001.0200</t>
  </si>
  <si>
    <t>60.001.0300</t>
  </si>
  <si>
    <t>60.002.0000</t>
  </si>
  <si>
    <t>60.002.0100</t>
  </si>
  <si>
    <t>60.002.0200</t>
  </si>
  <si>
    <t>60.002.0300</t>
  </si>
  <si>
    <t>70.000.0000</t>
  </si>
  <si>
    <t>70.000.0100</t>
  </si>
  <si>
    <t>70.000.0200</t>
  </si>
  <si>
    <t>70.000.0300</t>
  </si>
  <si>
    <t>70.000.0400</t>
  </si>
  <si>
    <t>70.000.0900</t>
  </si>
  <si>
    <t>71.000.0000</t>
  </si>
  <si>
    <t>71.000.0100</t>
  </si>
  <si>
    <t>71.000.0200</t>
  </si>
  <si>
    <t>71.000.0300</t>
  </si>
  <si>
    <t>71.000.0900</t>
  </si>
  <si>
    <t>80.000.0000</t>
  </si>
  <si>
    <t>80.000.0001</t>
  </si>
  <si>
    <t>80.000.0002</t>
  </si>
  <si>
    <t>KAS INDUK</t>
  </si>
  <si>
    <t>AYAT SILANG KAS &amp; BANK</t>
  </si>
  <si>
    <t>SURAT BERHARGA</t>
  </si>
  <si>
    <t>DEPOSITO</t>
  </si>
  <si>
    <t>PIUTANG USAHA</t>
  </si>
  <si>
    <t>CADANGAN PENGHAPUSAN PIUTANG USAHA</t>
  </si>
  <si>
    <t>BIAYA DIBAYAR DIMUKA</t>
  </si>
  <si>
    <t>UANG MUKA KASBON BIAYA OPERASIONAL</t>
  </si>
  <si>
    <t>UANG MUKA PAJAK PENGHASILAN (PPH)</t>
  </si>
  <si>
    <t>PPH PASAL 22</t>
  </si>
  <si>
    <t>PPH PASAL 23</t>
  </si>
  <si>
    <t>PPH PASAL 25</t>
  </si>
  <si>
    <t>UANG MUKA PAJAK PERTAMBAHAN NILAI (PPN)</t>
  </si>
  <si>
    <t>BANGUNAN</t>
  </si>
  <si>
    <t>BANGUNAN PERMANEN</t>
  </si>
  <si>
    <t>BANGUNAN SEMI PERMANEN</t>
  </si>
  <si>
    <t>AKM.PH. BANGUNAN</t>
  </si>
  <si>
    <t>AKM.PH. BANGUNAN PERMANEN</t>
  </si>
  <si>
    <t>AKM.PH. BANGUNAN SEMI PERMANEN</t>
  </si>
  <si>
    <t>MESIN DAN PERALATAN PABRIK</t>
  </si>
  <si>
    <t>AKM.PH. MESIN DAN PERALATAN</t>
  </si>
  <si>
    <t>AKM.PH. KENDARAAN</t>
  </si>
  <si>
    <t>AKM.PH. INVENTARIS KANTOR</t>
  </si>
  <si>
    <t>AKTIVA TIDAK BERWUJUD</t>
  </si>
  <si>
    <t>AKM.AMRTS. AKTIVA TIDAK BERWUJUD</t>
  </si>
  <si>
    <t>PPH PASAL 4 (2)</t>
  </si>
  <si>
    <t>PPH PASAL 21</t>
  </si>
  <si>
    <t>PPH PASAL 25/29</t>
  </si>
  <si>
    <t>PPH FINAL</t>
  </si>
  <si>
    <t>PPN KELUARAN</t>
  </si>
  <si>
    <t>PPN MASUKAN</t>
  </si>
  <si>
    <t>PPN MASA KURANG BAYAR</t>
  </si>
  <si>
    <t>UANG MUKA PENJUALAN</t>
  </si>
  <si>
    <t>SAHAM YANG TELAH DISETOR</t>
  </si>
  <si>
    <t>LABA TELAH DICADANGKAN</t>
  </si>
  <si>
    <t>LABA / (RUGI) TAHUN BERJALAN</t>
  </si>
  <si>
    <t>BIAYA PEGAWAI</t>
  </si>
  <si>
    <t>BIAYA UMUM</t>
  </si>
  <si>
    <t>PENDAPATAN BUNGA DEPOSITO</t>
  </si>
  <si>
    <t>PENDAPATAN DILUAR USAHA LAINNYA</t>
  </si>
  <si>
    <t>BIAYA BUNGA</t>
  </si>
  <si>
    <t>BIAYA DILUAR USAHA LAINNYA</t>
  </si>
  <si>
    <t>BEBAN PAJAK TAHUN BERJALAN</t>
  </si>
  <si>
    <t>BEBAN PAJAK TANGGUHAN</t>
  </si>
  <si>
    <t>Debet</t>
  </si>
  <si>
    <t>Kredit</t>
  </si>
  <si>
    <t>P</t>
  </si>
  <si>
    <t>L</t>
  </si>
  <si>
    <t>LR08</t>
  </si>
  <si>
    <t>N.BUKTI</t>
  </si>
  <si>
    <t>31 Desember 2023</t>
  </si>
  <si>
    <t>BANK KELUAR</t>
  </si>
  <si>
    <t>BANK MASUK</t>
  </si>
  <si>
    <t>JURNAL MANUAL</t>
  </si>
  <si>
    <t>Surat Berharga</t>
  </si>
  <si>
    <t>Piutang Anggota</t>
  </si>
  <si>
    <t>Piutang Non Anggota</t>
  </si>
  <si>
    <t>Cad. Penyisihan</t>
  </si>
  <si>
    <t>Simpanan Sukarela I</t>
  </si>
  <si>
    <t>Simpanan Sukarela II</t>
  </si>
  <si>
    <t>Utang Anggota</t>
  </si>
  <si>
    <t>Utang Non Anggota</t>
  </si>
  <si>
    <t>Utang Bunga</t>
  </si>
  <si>
    <t>Utang Lain-Lain</t>
  </si>
  <si>
    <t>Simpanan Pokok</t>
  </si>
  <si>
    <t>Wajib</t>
  </si>
  <si>
    <t>Hibah</t>
  </si>
  <si>
    <t>SHU</t>
  </si>
  <si>
    <t>K K C S</t>
  </si>
  <si>
    <t>BANK MANDIRI</t>
  </si>
  <si>
    <t>BANK CENTRAL ASIA (BCA)</t>
  </si>
  <si>
    <t>SIMPANAN INVESTASI</t>
  </si>
  <si>
    <t>PIUTANG ANGGOTA</t>
  </si>
  <si>
    <t>04.001.0000</t>
  </si>
  <si>
    <t>04.002.0000</t>
  </si>
  <si>
    <t>PIUTANG NON ANGGOTA</t>
  </si>
  <si>
    <t>MESIN</t>
  </si>
  <si>
    <t>AKM.PH. MESIN</t>
  </si>
  <si>
    <t>SOFTWARE</t>
  </si>
  <si>
    <t>AKM.AMRTS. SOFTWARE</t>
  </si>
  <si>
    <t>UTANG  USAHA</t>
  </si>
  <si>
    <t>30.001.0000</t>
  </si>
  <si>
    <t>UTANG ANGGOTA</t>
  </si>
  <si>
    <t>30.002.0000</t>
  </si>
  <si>
    <t>UTANG NON ANGGOTA</t>
  </si>
  <si>
    <t>30.003.0000</t>
  </si>
  <si>
    <t>30.004.0000</t>
  </si>
  <si>
    <t>A04A</t>
  </si>
  <si>
    <t>A04B</t>
  </si>
  <si>
    <t>A12</t>
  </si>
  <si>
    <t>A17</t>
  </si>
  <si>
    <t>A18</t>
  </si>
  <si>
    <t>P01D</t>
  </si>
  <si>
    <t>UTANG BANK</t>
  </si>
  <si>
    <t>UTANG LAIN-LAIN</t>
  </si>
  <si>
    <t>UTANG PAJAK</t>
  </si>
  <si>
    <t>UTANG PAJAK PENGHASILAN (PPH)</t>
  </si>
  <si>
    <t>UTANG PAJAK PERTAMBAHAN NILAI (PPN)</t>
  </si>
  <si>
    <t>UTANG JANGKA PANJANG TELAH JATUH TEMPO</t>
  </si>
  <si>
    <t>UTANG PAJAK TANGGUHAN</t>
  </si>
  <si>
    <t>UTANG INVESTASI JANGKA PANJANG</t>
  </si>
  <si>
    <t>P12</t>
  </si>
  <si>
    <t>PENDAPATAN</t>
  </si>
  <si>
    <t>LR01A</t>
  </si>
  <si>
    <t>LR01B</t>
  </si>
  <si>
    <t>LR01C</t>
  </si>
  <si>
    <t>BIAYA POKOK</t>
  </si>
  <si>
    <t>LR02A</t>
  </si>
  <si>
    <t>PENDAPATAN PINJAMAN RUTIN</t>
  </si>
  <si>
    <t>PENDAPATAN PINJAMAN KHUSUS</t>
  </si>
  <si>
    <t>PENDAPATAN PINJAMAN LAIN-LAIN</t>
  </si>
  <si>
    <t>BIAYA POKOK PINJAMAN RUTIN</t>
  </si>
  <si>
    <t>BIAYA POKOK PINJAMAN KHUSUS</t>
  </si>
  <si>
    <t>BIAYA POKOK PINJAMAN LAIN-LAIN</t>
  </si>
  <si>
    <t>LR02B</t>
  </si>
  <si>
    <t>LR02C</t>
  </si>
  <si>
    <t>50.001.0000</t>
  </si>
  <si>
    <t>50.002.0000</t>
  </si>
  <si>
    <t>50.003.0000</t>
  </si>
  <si>
    <t>51.000.0000</t>
  </si>
  <si>
    <t>51.001.0000</t>
  </si>
  <si>
    <t>51.002.0000</t>
  </si>
  <si>
    <t>51.003.0000</t>
  </si>
  <si>
    <t>BIAYA GAJI</t>
  </si>
  <si>
    <t>BIAYA INSENTIF</t>
  </si>
  <si>
    <t>BIAYA OPERASIONAL</t>
  </si>
  <si>
    <t>BIAYA LEGALITAS</t>
  </si>
  <si>
    <t>60.003.0000</t>
  </si>
  <si>
    <t>60.003.0100</t>
  </si>
  <si>
    <t>BIAYA SOSIAL KEAGAMAAN</t>
  </si>
  <si>
    <t>BIAYA SOSIAL KESEHATAN</t>
  </si>
  <si>
    <t>BIAYA SOSIAL SUMBANGAN</t>
  </si>
  <si>
    <t>60.003.0200</t>
  </si>
  <si>
    <t>60.003.0300</t>
  </si>
  <si>
    <t>BIAYA ATK</t>
  </si>
  <si>
    <t>PENJUALAN BARANG BEKAS</t>
  </si>
  <si>
    <t>PENDAPATAN ADM SIMPANAN INVESTASI</t>
  </si>
  <si>
    <t>PENDAPATAN SIMPANAN INVESTASI</t>
  </si>
  <si>
    <t>70.000.0500</t>
  </si>
  <si>
    <t>70.000.0600</t>
  </si>
  <si>
    <t>PENJUALAN LELANG</t>
  </si>
  <si>
    <t>70.000.0700</t>
  </si>
  <si>
    <t>BIAYA LELANG</t>
  </si>
  <si>
    <t>SIMPANAN POKOK</t>
  </si>
  <si>
    <t>SIMPANAN WAJIB</t>
  </si>
  <si>
    <t>HIBAH</t>
  </si>
  <si>
    <t>P16</t>
  </si>
  <si>
    <t>44.000.0000</t>
  </si>
  <si>
    <t>45.000.0000</t>
  </si>
  <si>
    <t>46.000.0000</t>
  </si>
  <si>
    <t>70.000.0800</t>
  </si>
  <si>
    <t>PENDAPATAN SEWA FORKLIFT</t>
  </si>
  <si>
    <t>PENDAPATAN SEWA KENDARAAN</t>
  </si>
  <si>
    <t>BIAYA REPRESENTATIF</t>
  </si>
  <si>
    <t>CLEARING FEE</t>
  </si>
  <si>
    <t>BIAYA KLIRING, TRANSFER, ADM BANK</t>
  </si>
  <si>
    <t>BIAYA ADMIN GIRO</t>
  </si>
  <si>
    <t>PEND. BUNGA GIRO</t>
  </si>
  <si>
    <t>BIAYA PAJAK GIRO</t>
  </si>
  <si>
    <t>60.002.0400</t>
  </si>
  <si>
    <t>BIAYA PENAGIHAN</t>
  </si>
  <si>
    <t>KOPERASI KARYAWAN CIPTA SEJAHTERA</t>
  </si>
  <si>
    <t>PEMBEBANAN PENYISIHAN PIUTANG</t>
  </si>
  <si>
    <t>71.000.0400</t>
  </si>
  <si>
    <t>BIAYA PENYISIHAN PIUTANG</t>
  </si>
  <si>
    <t>SIMPANAN SUKARELA I</t>
  </si>
  <si>
    <t>SIMPANAN SUKARELA II</t>
  </si>
  <si>
    <t>Biaya YMHD</t>
  </si>
  <si>
    <t>Pendapatan Lain-lain</t>
  </si>
  <si>
    <t>Biaya Lain-lain</t>
  </si>
  <si>
    <t>Pinjaman Rutin</t>
  </si>
  <si>
    <t>Pinjaman Khusus</t>
  </si>
  <si>
    <t>Pinjaman Lain</t>
  </si>
  <si>
    <t>HPP Pinj. Rutin</t>
  </si>
  <si>
    <t>HPP Pinj. Khusus</t>
  </si>
  <si>
    <t>HPP Pinj. Lain</t>
  </si>
  <si>
    <t>60.002.0500</t>
  </si>
  <si>
    <t>BIAYA RAPAT</t>
  </si>
  <si>
    <t>j-k</t>
  </si>
  <si>
    <t>o-p</t>
  </si>
  <si>
    <t>l-m</t>
  </si>
  <si>
    <t>SELISIH LEBIH/KURANG TRANSFER</t>
  </si>
  <si>
    <t>34.000.0001</t>
  </si>
  <si>
    <t>BYMHD FORKLIFT</t>
  </si>
  <si>
    <t>34.000.0002</t>
  </si>
  <si>
    <t>BYMHD KSO</t>
  </si>
  <si>
    <t>34.000.0003</t>
  </si>
  <si>
    <t>BYMHD ORIX</t>
  </si>
  <si>
    <t>t-u</t>
  </si>
  <si>
    <t>y-z</t>
  </si>
  <si>
    <t>ad-ae</t>
  </si>
  <si>
    <t>ai-aj</t>
  </si>
  <si>
    <t>an-ao</t>
  </si>
  <si>
    <t>as-at</t>
  </si>
  <si>
    <t>ax-ay</t>
  </si>
  <si>
    <t>bc-bd</t>
  </si>
  <si>
    <t>bh-bi</t>
  </si>
  <si>
    <t>ag-ah</t>
  </si>
  <si>
    <t>ae-af</t>
  </si>
  <si>
    <t>ac-ad</t>
  </si>
  <si>
    <t>aa-ab</t>
  </si>
  <si>
    <t>w-x</t>
  </si>
  <si>
    <t>u-v</t>
  </si>
  <si>
    <t>s-t</t>
  </si>
  <si>
    <t>q-r</t>
  </si>
  <si>
    <t>bm-bn</t>
  </si>
  <si>
    <t>04.002.0001</t>
  </si>
  <si>
    <t>04.002.0002</t>
  </si>
  <si>
    <t>04.002.0003</t>
  </si>
  <si>
    <t>04.002.0004</t>
  </si>
  <si>
    <t>04.002.0005</t>
  </si>
  <si>
    <t>04.002.0006</t>
  </si>
  <si>
    <t>ABABYL</t>
  </si>
  <si>
    <t>BP. AGUNG</t>
  </si>
  <si>
    <t>SEWA FORKLIFT</t>
  </si>
  <si>
    <t>04.001.0001</t>
  </si>
  <si>
    <t>04.001.0002</t>
  </si>
  <si>
    <t>04.001.0003</t>
  </si>
  <si>
    <t>04.001.0004</t>
  </si>
  <si>
    <t>PINJAMAN RUTIN</t>
  </si>
  <si>
    <t>PUTB</t>
  </si>
  <si>
    <t>PINJAMAN KHUSUS</t>
  </si>
  <si>
    <t>PINJAMAN UMUM</t>
  </si>
  <si>
    <t>30.002.0001</t>
  </si>
  <si>
    <t>30.002.0002</t>
  </si>
  <si>
    <t>30.002.0003</t>
  </si>
  <si>
    <t>PETROMART GCS</t>
  </si>
  <si>
    <t>ORIX MOBIL BP YANTO</t>
  </si>
  <si>
    <t>10.000.0001</t>
  </si>
  <si>
    <t>10.000.0002</t>
  </si>
  <si>
    <t>PENGADAAN KALENDER</t>
  </si>
  <si>
    <t>10.000.0003</t>
  </si>
  <si>
    <t>KSO SI</t>
  </si>
  <si>
    <t>GCS - SIMPANAN INVESTASI</t>
  </si>
  <si>
    <t>GCS - SEWA MOBIL</t>
  </si>
  <si>
    <t>BP YANTO SEWA MOBIL</t>
  </si>
  <si>
    <t>GCS - SEWA FORKLIFT</t>
  </si>
  <si>
    <t>04.002.0007</t>
  </si>
  <si>
    <t>GCS - KSO SI</t>
  </si>
  <si>
    <t>GCS - PENGADAAN BARANG</t>
  </si>
  <si>
    <t>04.002.0008</t>
  </si>
  <si>
    <t>GCS - HAK TERAKHIR KOMPENSASI</t>
  </si>
  <si>
    <t>04.002.0009</t>
  </si>
  <si>
    <t>30.002.0004</t>
  </si>
  <si>
    <t>DENDA/KLAIM MOBIL BP YANTO</t>
  </si>
  <si>
    <t>31 Desember 2024</t>
  </si>
  <si>
    <t>BY REPRESENTATIF ADMIN KKCS FARID F</t>
  </si>
  <si>
    <t>PENERIMAAN SIMPANAN WAJIB ANGGOTA</t>
  </si>
  <si>
    <t>LABA/RUGI DARI PENDAPATAN SEWA KENDARAAN</t>
  </si>
  <si>
    <t>PEMINDAHAN DANA KE AKUN KAS</t>
  </si>
  <si>
    <t>PENDAPATAN PENGADAAN BARANG</t>
  </si>
  <si>
    <t>70.000.1000</t>
  </si>
  <si>
    <t>70.000.1001</t>
  </si>
  <si>
    <t>10.000.0010</t>
  </si>
  <si>
    <t>LAIN-LAIN</t>
  </si>
  <si>
    <t>34.000.1000</t>
  </si>
  <si>
    <t>KAS MASUK</t>
  </si>
  <si>
    <t>KAS KELUAR</t>
  </si>
  <si>
    <t>ANGSURAN PINJAMAN LAIN AN. BUKHORI</t>
  </si>
  <si>
    <t>ANGSURAN PINJAMAN LAIN AN. FADELAN</t>
  </si>
  <si>
    <t>PP</t>
  </si>
  <si>
    <t>BO</t>
  </si>
  <si>
    <t>BU</t>
  </si>
  <si>
    <t>PL</t>
  </si>
  <si>
    <t>BC</t>
  </si>
  <si>
    <t>PJ</t>
  </si>
  <si>
    <t>&lt;&lt;-- PPH (ga berlaku)</t>
  </si>
  <si>
    <t>31 Desember 2025</t>
  </si>
  <si>
    <t>PINJAMAN LAIN AN. SETYO H.</t>
  </si>
  <si>
    <t>ANGSURAN PINJAMAN LAIN AN. AGUS R.</t>
  </si>
  <si>
    <t>PEMBAGIAN SHU TB 2024 KEPADA ANGGOTA</t>
  </si>
  <si>
    <t>REKLAS 40% LABA TB 2024 UNTUK DICADANGKAN</t>
  </si>
  <si>
    <t>ANGSURAN PINJAMAN LAIN AN. ISFAK</t>
  </si>
  <si>
    <t>PINJAMAN LAIN AN. SOLICHIN</t>
  </si>
  <si>
    <t>ANGSURAN PINJAMAN LAIN AN. SOLICHIN</t>
  </si>
  <si>
    <t>ANGSURAN PINJAMAN LAIN AN. SETYO H.</t>
  </si>
  <si>
    <t>SUMBANGAN MUSHOLLA AL MAKMUR</t>
  </si>
  <si>
    <t>PELUNASAN PINJAMAN LAIN AN. BUKHORI</t>
  </si>
  <si>
    <t>PINJAMAN LAIN AN. BUKHORI</t>
  </si>
  <si>
    <t>PELUNASAN PINJAMAN LAIN AN. FADELAN</t>
  </si>
  <si>
    <t>ANGSURAN PINJAMAN LAIN AN. ARI WIBOWO</t>
  </si>
  <si>
    <t>ANGSURAN PINJAMAN LAIN AN. NANANG BUDI</t>
  </si>
  <si>
    <t>ANGSURAN PINJAMAN LAIN AN. SETYO H</t>
  </si>
  <si>
    <t>PELUNASAN PINJAMAN LAIN AN. FERDI ALISKA</t>
  </si>
  <si>
    <t>PINJAMAN RUTIN SYAMSUL HUDA, 48X</t>
  </si>
  <si>
    <t>TAHUN 2023 - 2026</t>
  </si>
  <si>
    <t>MDR-2601001</t>
  </si>
  <si>
    <t>PEMBAYARAN KE ORIX SEWA BULAN KE 42 (DES)</t>
  </si>
  <si>
    <t>MDR-2601002</t>
  </si>
  <si>
    <t>PINJAMAN RUTIN SAFI'I, 12X</t>
  </si>
  <si>
    <t>MDR-2601003</t>
  </si>
  <si>
    <t>TERIMA DARI GCS SEWA FORKLIFT PERIODE 202511</t>
  </si>
  <si>
    <t>MDR-2601004</t>
  </si>
  <si>
    <t>MDR-2601005</t>
  </si>
  <si>
    <t>PINJAMAN RUTIN JOKO P, 24X</t>
  </si>
  <si>
    <t>MDR-2601006</t>
  </si>
  <si>
    <t>PEMBAYARAN JASA FORKLIFT ACHMAD LUTHFIE PERIODE 202511</t>
  </si>
  <si>
    <t>MDR-2601007</t>
  </si>
  <si>
    <t>PINJAMAN RUTIN SOLICHIN, 36X, KOMPENSASI</t>
  </si>
  <si>
    <t>PINJAMAN RUTIN SUGENG H, 36X, KOMPENSASI</t>
  </si>
  <si>
    <t>MDR-2601008</t>
  </si>
  <si>
    <t>MDR-2601009</t>
  </si>
  <si>
    <t>PINJAMAN RUTIN WIDYA NS, 60X, KOMPENSASI</t>
  </si>
  <si>
    <t>TERIMA DARI GCS POTONGAN GAJI BULAN JANUARI 2026</t>
  </si>
  <si>
    <t>MDR-2601010</t>
  </si>
  <si>
    <t>MDR-2601011</t>
  </si>
  <si>
    <t>PINJAMAN RUTIN SUMARSONO, 24X</t>
  </si>
  <si>
    <t>MDR-2601012</t>
  </si>
  <si>
    <t>MDR-2601013</t>
  </si>
  <si>
    <t>PEMBAYARAN KE ORIX SEWA BULAN KE 43 (JAN)</t>
  </si>
  <si>
    <t>MDR-2601014</t>
  </si>
  <si>
    <t>PINJAMAN RUTIN DARWANTO, 60X, KOMPENSASI</t>
  </si>
  <si>
    <t>MDR-2601015</t>
  </si>
  <si>
    <t>TERIMA DARI GCS SEWA FORKLIFT PERIODE 202512</t>
  </si>
  <si>
    <t>MDR-2601016</t>
  </si>
  <si>
    <t>TERIMA SEWA KENDARAAN 1 UNIT MOBIL PERIODE BLN MEI 2025</t>
  </si>
  <si>
    <t>MDR-2601017</t>
  </si>
  <si>
    <t>MDR-2601018</t>
  </si>
  <si>
    <t>MDR-2601019</t>
  </si>
  <si>
    <t>TERIMA SEWA KENDARAAN 1 UNIT MOBIL PERIODE BLN JUNI 2025</t>
  </si>
  <si>
    <t>TERIMA SEWA KENDARAAN 1 UNIT MOBIL PERIODE BLN JULI 2025</t>
  </si>
  <si>
    <t>TERIMA SEWA KENDARAAN 1 UNIT MOBIL PERIODE BLN AGUSTUS 2025</t>
  </si>
  <si>
    <t>BALANCE SHEET, TAHUN 2026</t>
  </si>
  <si>
    <t>PROFIT AND LOSS, TAHUN 2026</t>
  </si>
  <si>
    <t>SALDO AWAL 2026</t>
  </si>
  <si>
    <t>MUTASI JANUARI 2026</t>
  </si>
  <si>
    <t>SALDO AKHIR JANUARI 2026</t>
  </si>
  <si>
    <t>MUTASI FEBRUARI 2026</t>
  </si>
  <si>
    <t>SALDO AKHIR FEBRUARI 2026</t>
  </si>
  <si>
    <t>MUTASI MARET 2026</t>
  </si>
  <si>
    <t>SALDO AKHIR MARET 2026</t>
  </si>
  <si>
    <t>MUTASI APRIL 2026</t>
  </si>
  <si>
    <t>SALDO AKHIR APRIL 2026</t>
  </si>
  <si>
    <t>MUTASI MEI 2026</t>
  </si>
  <si>
    <t>SALDO AKHIR MEI 2026</t>
  </si>
  <si>
    <t>MUTASI JUNI 2026</t>
  </si>
  <si>
    <t>SALDO AKHIR JUNI 2026</t>
  </si>
  <si>
    <t>MUTASI JULI 2026</t>
  </si>
  <si>
    <t>SALDO AKHIR JULI 2026</t>
  </si>
  <si>
    <t>MUTASI AGUSTUS 2026</t>
  </si>
  <si>
    <t>SALDO AKHIR AGUSTUS 2026</t>
  </si>
  <si>
    <t>MUTASI SEPTEMBER 2026</t>
  </si>
  <si>
    <t>SALDO AKHIR SEPTEMBER 2026</t>
  </si>
  <si>
    <t>MUTASI OKTOBER 2026</t>
  </si>
  <si>
    <t>SALDO AKHIR OKTOBER 2026</t>
  </si>
  <si>
    <t>MUTASI NOPEMBER 2026</t>
  </si>
  <si>
    <t>SALDO AKHIR NOPEMBER 2026</t>
  </si>
  <si>
    <t>MUTASI DESEMBER 2026</t>
  </si>
  <si>
    <t>SALDO AKHIR DESEMBER 2026</t>
  </si>
  <si>
    <t>MUTASI 2026</t>
  </si>
  <si>
    <t>SALDO AKHIR 2026</t>
  </si>
  <si>
    <t>MDR-2601020</t>
  </si>
  <si>
    <t>BCA-2601001</t>
  </si>
  <si>
    <t>JRM-2601001</t>
  </si>
  <si>
    <t>JRM-2601002</t>
  </si>
  <si>
    <t>PENYESUAIAN SELISIH PIUTANG RUTIN</t>
  </si>
  <si>
    <t>MDR-2602001</t>
  </si>
  <si>
    <t>PINJAMAN RUTIN BAMBANG S, 36X, KOMPENSASI</t>
  </si>
  <si>
    <t>MDR-2602002</t>
  </si>
  <si>
    <t>PEMBAYARAN JASA FORKLIFT ACHMAD LUTHFIE PERIODE 202512</t>
  </si>
  <si>
    <t>MDR-2602003</t>
  </si>
  <si>
    <t>PINJAMAN RUTIN HARI ES, 60X</t>
  </si>
  <si>
    <t>MDR-2602004</t>
  </si>
  <si>
    <t>PELUNASAN PINJAMAN RUTING JAFRINDA RE</t>
  </si>
  <si>
    <t>PENDAPATAN LAIN-LAIN</t>
  </si>
  <si>
    <t>MDR-2602005</t>
  </si>
  <si>
    <t>TERIMA DARI GCS POTONGAN GAJI BULAN FEBRUARI 2026</t>
  </si>
  <si>
    <t>PENERIMAAN SIMPANAN POKOK ANGGOTA</t>
  </si>
  <si>
    <t>MDR-2602006</t>
  </si>
  <si>
    <t>PEMBAYARAN KE ORIX SEWA BULAN KE 44 (FEB)</t>
  </si>
  <si>
    <t>MDR-2602007</t>
  </si>
  <si>
    <t>MDR-2602008</t>
  </si>
  <si>
    <t>PINJAMAN RUTIN JAFRINDA RE, 60X</t>
  </si>
  <si>
    <t>MDR-2602009</t>
  </si>
  <si>
    <t>MDR-2602010</t>
  </si>
  <si>
    <t>PINJAMAN RUTIN ADY P, 48X</t>
  </si>
  <si>
    <t>MDR-2602011</t>
  </si>
  <si>
    <t>BCA-2602001</t>
  </si>
  <si>
    <t>JRM-2602001</t>
  </si>
  <si>
    <t>JRM-2602002</t>
  </si>
  <si>
    <t>MDR-2603001</t>
  </si>
  <si>
    <t>PENGEMBALIAN LEBIH TRANSFER PIRUT, HARI ES</t>
  </si>
  <si>
    <t>MDR-2603002</t>
  </si>
  <si>
    <t>MDR-2603003</t>
  </si>
  <si>
    <t>SHU KKCS TB 2025, NUZULUL IMAMAH</t>
  </si>
  <si>
    <t>MDR-2603004</t>
  </si>
  <si>
    <t>PEMBAYARAN JASA FORKLIFT ACHMAD LUTHFIE PERIODE 202601</t>
  </si>
  <si>
    <t>MDR-2603005</t>
  </si>
  <si>
    <t>MDR-2603006</t>
  </si>
  <si>
    <t>TERIMA DARI GCS SEWA FORKLIFT PERIODE 202601</t>
  </si>
  <si>
    <t>MDR-2603007</t>
  </si>
  <si>
    <t>MDR-2603008</t>
  </si>
  <si>
    <t>TERIMA DARI GCS POTONGAN GAJI BULAN MARET 2026</t>
  </si>
  <si>
    <t>MDR-2603009</t>
  </si>
  <si>
    <t>PELUNASAN PIRUT, IWAN RK</t>
  </si>
  <si>
    <t>MDR-2603010</t>
  </si>
  <si>
    <t>MDR-2603011</t>
  </si>
  <si>
    <t>PEMBAYARAN KE ORIX SEWA BULAN KE 45 (MAR)</t>
  </si>
  <si>
    <t>JRM-2603002</t>
  </si>
  <si>
    <t>MDR-2603012</t>
  </si>
  <si>
    <t>BCA-2603001</t>
  </si>
  <si>
    <t>JRM-2603001</t>
  </si>
  <si>
    <t>MDR-2604001</t>
  </si>
  <si>
    <t>PINJAMAN RUTIN SOEYANTO, 12X</t>
  </si>
  <si>
    <t>MDR-2604009</t>
  </si>
  <si>
    <t>MDR-2604002</t>
  </si>
  <si>
    <t xml:space="preserve">PELUNASAN PIRUT DARI POT HAK PURNA, SUNACHI </t>
  </si>
  <si>
    <t>MDR-2604003</t>
  </si>
  <si>
    <t>PINJAMAN RUTIN LAKSANA MUS, 36X</t>
  </si>
  <si>
    <t>MDR-2604004</t>
  </si>
  <si>
    <t>PINJAMAN RUTIN TEGUH P, 60X, KOMPENSASI</t>
  </si>
  <si>
    <t>MDR-2604005</t>
  </si>
  <si>
    <t>MDR-2604006</t>
  </si>
  <si>
    <t>PEMBAYARAN JASA FORKLIFT ACHMAD LUTHFIE PERIODE 202602</t>
  </si>
  <si>
    <t>MDR-2604007</t>
  </si>
  <si>
    <t>TERIMA DARI GCS SEWA FORKLIFT PERIODE 202602</t>
  </si>
  <si>
    <t>MDR-2604008</t>
  </si>
  <si>
    <t>PINJAMAN SEMENTARA JOKO PURWANTO</t>
  </si>
  <si>
    <t>TERIMA DARI GCS POTONGAN GAJI BULAN APRIL 2026</t>
  </si>
  <si>
    <t>MDR-2604010</t>
  </si>
  <si>
    <t>PINJAMAN RUTIN SUBAGIO JUNAEDI, 12X</t>
  </si>
  <si>
    <t>PINJAMAN RUTIN SETYO HARYONO, 48X</t>
  </si>
  <si>
    <t>MDR-2604011</t>
  </si>
  <si>
    <t>MDR-2604012</t>
  </si>
  <si>
    <t>PINJAMAN RUTIN SLAMET RYADI, 36X</t>
  </si>
  <si>
    <t>MDR-2604013</t>
  </si>
  <si>
    <t>PENGEMBALIAN PINJAMAN SEMENTARA JOKO PURWANTO</t>
  </si>
  <si>
    <t>MDR-2604014</t>
  </si>
  <si>
    <t>MDR-2604015</t>
  </si>
  <si>
    <t>PEMBAYARAN KE ORIX SEWA BULAN KE 46 (APR)</t>
  </si>
  <si>
    <t>MDR-2604016</t>
  </si>
  <si>
    <t>BCA-2604001</t>
  </si>
  <si>
    <t>JRM-2604001</t>
  </si>
  <si>
    <t>JRM-2604002</t>
  </si>
  <si>
    <t>JRM-2604003</t>
  </si>
  <si>
    <t>JRM-2604004</t>
  </si>
  <si>
    <t>JASA SEWA KENDARAAN MASA DES 2025</t>
  </si>
  <si>
    <t>BIAYA SEWA KENDARAN MASA DES 2025</t>
  </si>
  <si>
    <t>JASA SEWA KENDARAAN MASA JAN 2026</t>
  </si>
  <si>
    <t>BIAYA SEWA KENDARAN MASA JAN 2026</t>
  </si>
  <si>
    <t>JRM-2601003</t>
  </si>
  <si>
    <t>JRM-2601004</t>
  </si>
  <si>
    <t>JRM-2602003</t>
  </si>
  <si>
    <t>JASA SEWA KENDARAAN MASA FEB 2026</t>
  </si>
  <si>
    <t>BIAYA SEWA KENDARAN MASA FEB 2026</t>
  </si>
  <si>
    <t>JRM-2603003</t>
  </si>
  <si>
    <t>JASA SEWA KENDARAAN MASA MAR 2026</t>
  </si>
  <si>
    <t>BIAYA SEWA KENDARAN MASA MAR 2026</t>
  </si>
  <si>
    <t>JASA SEWA KENDARAAN MASA APR 2026</t>
  </si>
  <si>
    <t>BIAYA SEWA KENDARAN MASA APR 2026</t>
  </si>
  <si>
    <t>JASA SEWA FORKLIFT MASA NOP 2025</t>
  </si>
  <si>
    <t>BIAYA SEWA FORKLIFT MASA NOP 2025</t>
  </si>
  <si>
    <t>JRM-2601005</t>
  </si>
  <si>
    <t>JASA SEWA FORKLIFT MASA DES 2025</t>
  </si>
  <si>
    <t>BIAYA SEWA FORKLIFT MASA DES 2025</t>
  </si>
  <si>
    <t>LABA/RUGI DARI PENDAPATAN SEWA FORKLIFT</t>
  </si>
  <si>
    <t>JASA SEWA FORKLIFT MASA JAN 2026</t>
  </si>
  <si>
    <t>BIAYA SEWA FORKLIFT MASA JAN 2026</t>
  </si>
  <si>
    <t>JRM-2601006</t>
  </si>
  <si>
    <t>JRM-2601007</t>
  </si>
  <si>
    <t>JASA SEWA FORKLIFT MASA FEB 2026</t>
  </si>
  <si>
    <t>BIAYA SEWA FORKLIFT MASA FEB 2026</t>
  </si>
  <si>
    <t>JRM-2602004</t>
  </si>
  <si>
    <t>JRM-2603004</t>
  </si>
  <si>
    <t>JASA SEWA FORKLIFT MASA MAR 2026</t>
  </si>
  <si>
    <t>BIAYA SEWA FORKLIFT MASA MAR 2026</t>
  </si>
  <si>
    <t>JASA SEWA FORKLIFT MASA APR 2026</t>
  </si>
  <si>
    <t>BIAYA SEWA FORKLIFT MASA APR 2026</t>
  </si>
  <si>
    <t>KAS-2601001</t>
  </si>
  <si>
    <t>KAS-2601002</t>
  </si>
  <si>
    <t>PELUNASAN PINJAMAN LAIN AN. ARI WIBOWO</t>
  </si>
  <si>
    <t>KAS-2601003</t>
  </si>
  <si>
    <t>PINJAMAN LAIN AN. ARI WIBOWO</t>
  </si>
  <si>
    <t>KAS-2601004</t>
  </si>
  <si>
    <t>PELUNASAN PINJAMAN LAIN AN. AGUS RIYANTO</t>
  </si>
  <si>
    <t>KAS-2601005</t>
  </si>
  <si>
    <t>ONGKIR BAJU PAK KOSA</t>
  </si>
  <si>
    <t>KAS-2601006</t>
  </si>
  <si>
    <t>KAS-2601007</t>
  </si>
  <si>
    <t>KAS-2601008</t>
  </si>
  <si>
    <t>KAS-2601009</t>
  </si>
  <si>
    <t>ANGSURAN PINJAMAN LAIN AN. HANDOKO TS</t>
  </si>
  <si>
    <t>KAS-2601010</t>
  </si>
  <si>
    <t>KAS-2601011</t>
  </si>
  <si>
    <t>PINJAMAN LAIN AN. AGUS R</t>
  </si>
  <si>
    <t>KAS-2601012</t>
  </si>
  <si>
    <t>ANGSURAN PINJAMAN LAIN AN. AGUS S</t>
  </si>
  <si>
    <t>KAS-2601013</t>
  </si>
  <si>
    <t>KAS-2601014</t>
  </si>
  <si>
    <t>KAS-2601015</t>
  </si>
  <si>
    <t>31 Januari 2026</t>
  </si>
  <si>
    <t>KAS-2602001</t>
  </si>
  <si>
    <t>KAS-2602002</t>
  </si>
  <si>
    <t>KAS-2602003</t>
  </si>
  <si>
    <t>KAS-2602004</t>
  </si>
  <si>
    <t>KAS-2602005</t>
  </si>
  <si>
    <t>KAS-2602006</t>
  </si>
  <si>
    <t>KAS-2602007</t>
  </si>
  <si>
    <t>KAS-2603001</t>
  </si>
  <si>
    <t>KAS-2603002</t>
  </si>
  <si>
    <t>KAS-2603003</t>
  </si>
  <si>
    <t>KAS-2602008</t>
  </si>
  <si>
    <t>PEMINDAHAN DARI REK MANDIRI KKCS</t>
  </si>
  <si>
    <t>KAS-2603004</t>
  </si>
  <si>
    <t>KAS-2603005</t>
  </si>
  <si>
    <t>BIAYA RAPAT PENGURUS PRA RAT</t>
  </si>
  <si>
    <t>KAS-2603006</t>
  </si>
  <si>
    <t>RAT TAHUN BUKU 2025</t>
  </si>
  <si>
    <t>KAS-2603007</t>
  </si>
  <si>
    <t>ANGSURAN PINJAMAN LAIN AN. HANDOKO</t>
  </si>
  <si>
    <t>KAS-2603008</t>
  </si>
  <si>
    <t>KAS-2603009</t>
  </si>
  <si>
    <t>KAS-2603010</t>
  </si>
  <si>
    <t>KAS-2603011</t>
  </si>
  <si>
    <t>PELUNASAN PINJAMAN LAIN AN. AGUS S</t>
  </si>
  <si>
    <t>KAS-2604001</t>
  </si>
  <si>
    <t>ANGSURAN PINJAMAN LAIN AN. AGUS R</t>
  </si>
  <si>
    <t>KAS-2604002</t>
  </si>
  <si>
    <t>KAS-2604003</t>
  </si>
  <si>
    <t>KAS-2604004</t>
  </si>
  <si>
    <t>KAS-2604005</t>
  </si>
  <si>
    <t>PINJAMAN LAIN AN. HANDOKO TS</t>
  </si>
  <si>
    <t>KAS-2604006</t>
  </si>
  <si>
    <t>KAS-2604007</t>
  </si>
  <si>
    <t>KAS-2604008</t>
  </si>
  <si>
    <t>KAS-2604009</t>
  </si>
  <si>
    <t>PELUNASANPINJAMAN LAIN AN. SOLICHIN</t>
  </si>
  <si>
    <t>KAS-2604010</t>
  </si>
  <si>
    <t>KAS-2604011</t>
  </si>
  <si>
    <t>KAS-2604012</t>
  </si>
  <si>
    <t>KAS-2604013</t>
  </si>
  <si>
    <t>PELUNASAN PINJAMAN LAIN AN. HANDOKO TS</t>
  </si>
  <si>
    <t>MDR-2605001</t>
  </si>
  <si>
    <t>MDR-2605002</t>
  </si>
  <si>
    <t>PINJAMAN RUTIN AGA F, 12X</t>
  </si>
  <si>
    <t>MDR-2605003</t>
  </si>
  <si>
    <t>PENGEMBALIAN SIMPANAN POKOK HENY ISTIANA</t>
  </si>
  <si>
    <t>PENGEMBALIAN SIMPANAN WAJIB HENY ISTIANA</t>
  </si>
  <si>
    <t>PENGEMBALIAN SIMPANAN HENY ISTIANA</t>
  </si>
  <si>
    <t>PENGEMBALIAN SIMPANAN SUNAKHI</t>
  </si>
  <si>
    <t>PENGEMBALIAN SIMPANAN POKOK SUNAKHI</t>
  </si>
  <si>
    <t>PENGEMBALIAN SIMPANAN WAJIB SUNAKHI</t>
  </si>
  <si>
    <t>MDR-2605004</t>
  </si>
  <si>
    <t>MDR-2605005</t>
  </si>
  <si>
    <t>PENGEMBALIAN SIMPANAN NASERUL</t>
  </si>
  <si>
    <t>PENGEMBALIAN SIMPANAN POKOK NASERUL</t>
  </si>
  <si>
    <t>PENGEMBALIAN SIMPANAN WAJIB NASERUL</t>
  </si>
  <si>
    <t>TERIMA DARI GCS SEWA FORKLIFT PERIODE 202603</t>
  </si>
  <si>
    <t>MDR-2605006</t>
  </si>
  <si>
    <t>UANG MUKA JAMINAN</t>
  </si>
  <si>
    <t>TERIMA DARI GCSI UNTUK HEWAN QURBAN</t>
  </si>
  <si>
    <t>MDR-2605007</t>
  </si>
  <si>
    <t>PEMBAYARAN JASA FORKLIFT ACHMAD LUTHFIE PERIODE 202603</t>
  </si>
  <si>
    <t>MDR-2605008</t>
  </si>
  <si>
    <t>PINJAMAN RUTIN DWI TEGUH, 48X</t>
  </si>
  <si>
    <t>MDR-2605009</t>
  </si>
  <si>
    <t>TERIMA DARI GCS POTONGAN GAJI BULAN MEI 2026</t>
  </si>
  <si>
    <t>MDR-2605010</t>
  </si>
  <si>
    <t>PEMBELIAN HEWAN QURBAN</t>
  </si>
  <si>
    <t>PEMBELIAN HEWAN ATAS NAMA GCSI</t>
  </si>
  <si>
    <t>PEMBELIAN HEWAN ATAS NAMA GCS</t>
  </si>
  <si>
    <t>MDR-2605011</t>
  </si>
  <si>
    <t>PEMBAYARAN KE ORIX SEWA BULAN KE 47 (MEI)</t>
  </si>
  <si>
    <t>MDR-2605012</t>
  </si>
  <si>
    <t>MDR-2605013</t>
  </si>
  <si>
    <t>PEMBAYARAN KE ORIX SEWA BULAN KE 47 (MEI) DOBEL</t>
  </si>
  <si>
    <t>MDR-2605014</t>
  </si>
  <si>
    <t>MDR-2605015</t>
  </si>
  <si>
    <t>MDR-2605016</t>
  </si>
  <si>
    <t>PINJAMAN RUTIN BAGUS A, 60X, KOMPENSASI</t>
  </si>
  <si>
    <t>MDR-2605017</t>
  </si>
  <si>
    <t>PINJAMAN RUTIN ARDHI Y, 60X, KOMPENSASI</t>
  </si>
  <si>
    <t>MDR-2605018</t>
  </si>
  <si>
    <t>PINJAMAN RUTIN IWAN R, 12X</t>
  </si>
  <si>
    <t>MDR-2605019</t>
  </si>
  <si>
    <t>MDR-2605020</t>
  </si>
  <si>
    <t>BCA-2605001</t>
  </si>
  <si>
    <t>KAS-2605001</t>
  </si>
  <si>
    <t>PELUNASAN PINJAMAN LAIN AN. FARID F.</t>
  </si>
  <si>
    <t>KAS-2605002</t>
  </si>
  <si>
    <t>PINJAMAN LAIN AN. FARID F.</t>
  </si>
  <si>
    <t>KAS-2605003</t>
  </si>
  <si>
    <t>KAS-2605004</t>
  </si>
  <si>
    <t>DP KAOS PANITIA QURBAN</t>
  </si>
  <si>
    <t>KAS-2605005</t>
  </si>
  <si>
    <t>KAS-2605006</t>
  </si>
  <si>
    <t>KAS-2605007</t>
  </si>
  <si>
    <t>TERIMA DARI UNIT BENGKEL</t>
  </si>
  <si>
    <t>KAS-2605008</t>
  </si>
  <si>
    <t>KAS-2605009</t>
  </si>
  <si>
    <t>TERIMA DARI UNIT LAMPUNG</t>
  </si>
  <si>
    <t>KAS-2605010</t>
  </si>
  <si>
    <t>PEMBAYARAN PAJAK 2025</t>
  </si>
  <si>
    <t>KAS-2605011</t>
  </si>
  <si>
    <t>PEMBAYARAN PAJAK 2026</t>
  </si>
  <si>
    <t>KAS-2605012</t>
  </si>
  <si>
    <t>KAS-2605013</t>
  </si>
  <si>
    <t>PELUNASAN KAOS PANITIA QURBAN</t>
  </si>
  <si>
    <t>KAS-2605014</t>
  </si>
  <si>
    <t>KONSUMSI PENGAMBILAN KAOS QURBAN</t>
  </si>
  <si>
    <t>KAS-2605015</t>
  </si>
  <si>
    <t>KAS-2605016</t>
  </si>
  <si>
    <t>KAS-2605017</t>
  </si>
  <si>
    <t>KAS-2605018</t>
  </si>
  <si>
    <t>PEMBAYARAN PPH BADAN TAHUN 2025</t>
  </si>
  <si>
    <t>PEMBAYARAN PPH MEI JUNI 2026</t>
  </si>
  <si>
    <t>KAS-2605019</t>
  </si>
  <si>
    <t>KAS-2605020</t>
  </si>
  <si>
    <t>ANGSURAN PINJAMAN LAIN AN. BAGUS A.</t>
  </si>
  <si>
    <t>KAS-2605021</t>
  </si>
  <si>
    <t>KAS-2605022</t>
  </si>
  <si>
    <t>KAS-2605023</t>
  </si>
  <si>
    <t>BIAYA QURBAN TAHUN 2026</t>
  </si>
  <si>
    <t>KAS-2605024</t>
  </si>
  <si>
    <t>JRM-2605001</t>
  </si>
  <si>
    <t>JRM-2605002</t>
  </si>
  <si>
    <t>JRM-2605003</t>
  </si>
  <si>
    <t>JRM-2605004</t>
  </si>
  <si>
    <t>JASA SEWA KENDARAAN MASA MEI 2026</t>
  </si>
  <si>
    <t>BIAYA SEWA KENDARAN MASA MEI 2026</t>
  </si>
  <si>
    <t>JASA SEWA FORKLIFT MASA MEI 2026</t>
  </si>
  <si>
    <t>BIAYA SEWA FORKLIFT MASA MEI 2026</t>
  </si>
  <si>
    <t>MDR-2606001</t>
  </si>
  <si>
    <t>TERIMA DARI GCS PEMBY. KEND. INNOVA</t>
  </si>
  <si>
    <t>MDR-2606002</t>
  </si>
  <si>
    <t>PEMBAYARAN INNOVA ORIX</t>
  </si>
  <si>
    <t>MDR-2606003</t>
  </si>
  <si>
    <t>MDR-2606004</t>
  </si>
  <si>
    <t>MDR-2606005</t>
  </si>
  <si>
    <t>TERIMA DARI GCS SEWA FORKLIFT PERIODE 202604</t>
  </si>
  <si>
    <t>MDR-2606006</t>
  </si>
  <si>
    <t>PEMBAYARAN JASA FORKLIFT ACHMAD LUTHFIE PERIODE 202604</t>
  </si>
  <si>
    <t>MDR-2606007</t>
  </si>
  <si>
    <t>TERIMA DARI GCS POTONGAN GAJI BULAN JUNI 2026</t>
  </si>
  <si>
    <t>MDR-2606008</t>
  </si>
  <si>
    <t>PINJAMAN RUTIN BAMBANG SYAMADJI, 36X</t>
  </si>
  <si>
    <t>MDR-2606009</t>
  </si>
  <si>
    <t>BCA-2606001</t>
  </si>
  <si>
    <t>KAS-2606001</t>
  </si>
  <si>
    <t>KAS-2606002</t>
  </si>
  <si>
    <t>PINJAMAN LAIN AN. ARDHI Y.</t>
  </si>
  <si>
    <t>KAS-2606003</t>
  </si>
  <si>
    <t>KAS-2606004</t>
  </si>
  <si>
    <t>KAS-2606005</t>
  </si>
  <si>
    <t>BY REPRESENTATIF PERPAJAKAN (AGA)</t>
  </si>
  <si>
    <t>KAS-2606006</t>
  </si>
  <si>
    <t>PINJAMAN LAIN AN. AGUS S.</t>
  </si>
  <si>
    <t>KAS-2606007</t>
  </si>
  <si>
    <t>KAS-2606008</t>
  </si>
  <si>
    <t>BY KHOTMIL QURAN</t>
  </si>
  <si>
    <t>KAS-2606009</t>
  </si>
  <si>
    <t>KAS-2606010</t>
  </si>
  <si>
    <t>KAS-2606011</t>
  </si>
  <si>
    <t>KAS-2606012</t>
  </si>
  <si>
    <t>PELUNASAN PINJAMAN LAIN AN. SETYO H.</t>
  </si>
  <si>
    <t>KAS-2606013</t>
  </si>
  <si>
    <t>JRM-2606001</t>
  </si>
  <si>
    <t>JRM-2606002</t>
  </si>
  <si>
    <t>JRM-2606003</t>
  </si>
  <si>
    <t>JASA SEWA FORKLIFT MASA JUNI 2026</t>
  </si>
  <si>
    <t>BIAYA SEWA FORKLIFT MASA JUNI 2026</t>
  </si>
  <si>
    <t>MDR-2607001</t>
  </si>
  <si>
    <t>MDR-2607002</t>
  </si>
  <si>
    <t>PINJAMAN RUTIN DEWA PUTU, 36X</t>
  </si>
  <si>
    <t>MDR-2607003</t>
  </si>
  <si>
    <t>MDR-2607004</t>
  </si>
  <si>
    <t>PINJAMAN RUTIN FARID F, 60X</t>
  </si>
  <si>
    <t>MDR-2607005</t>
  </si>
  <si>
    <t>TERIMA DARI GCS SEWA FORKLIFT PERIODE 202605</t>
  </si>
  <si>
    <t>MDR-2607006</t>
  </si>
  <si>
    <t>MDR-2607007</t>
  </si>
  <si>
    <t>PEMBAYARAN JASA FORKLIFT ACHMAD LUTHFIE PERIODE 202605</t>
  </si>
  <si>
    <t>MDR-2607008</t>
  </si>
  <si>
    <t>TERIMA DARI GCS SEWA FORKLIFT PERIODE 202606</t>
  </si>
  <si>
    <t>MDR-2607009</t>
  </si>
  <si>
    <t>TERIMA DARI GCS POTONGAN GAJI BULAN JULI 2026</t>
  </si>
  <si>
    <t>MDR-2607010</t>
  </si>
  <si>
    <t>PINJAMAN RUTIN JOKO P, 60X, KOMPENSASI</t>
  </si>
  <si>
    <t>MDR-2607011</t>
  </si>
  <si>
    <t>BCA-2607001</t>
  </si>
  <si>
    <t>KAS-2607001</t>
  </si>
  <si>
    <t>KAS-2607002</t>
  </si>
  <si>
    <t>BAJU JALAN SEHAT KOPERASI</t>
  </si>
  <si>
    <t>KAS-2607003</t>
  </si>
  <si>
    <t>KAS-2607004</t>
  </si>
  <si>
    <t>KAS-2607005</t>
  </si>
  <si>
    <t>KAS-2607006</t>
  </si>
  <si>
    <t>KAS-2607007</t>
  </si>
  <si>
    <t>KAS-2607008</t>
  </si>
  <si>
    <t>KAS-2607009</t>
  </si>
  <si>
    <t>KAS-2607010</t>
  </si>
  <si>
    <t>KAS-2607011</t>
  </si>
  <si>
    <t>KAS-2607012</t>
  </si>
  <si>
    <t>ANGSURAN PINJAMAN LAIN AN. ARDHI Y</t>
  </si>
  <si>
    <t>JRM-2607001</t>
  </si>
  <si>
    <t>JRM-2607003</t>
  </si>
  <si>
    <t>JRM-2607002</t>
  </si>
  <si>
    <t>JASA SEWA FORKLIFT MASA JULI 2026</t>
  </si>
  <si>
    <t>MDR-2608001</t>
  </si>
  <si>
    <t>MDR-2608002</t>
  </si>
  <si>
    <t>SUMBANGAN LOMBA ESPORT HUT RI X GCS</t>
  </si>
  <si>
    <t>MDR-2608003</t>
  </si>
  <si>
    <t>PEMBAYARAN JASA FORKLIFT ACHMAD LUTHFIE PERIODE 202606</t>
  </si>
  <si>
    <t>MDR-2608004</t>
  </si>
  <si>
    <t>TERIMA DARI GCS POTONGAN GAJI BULAN AGUSTUS 2026</t>
  </si>
  <si>
    <t>MDR-2608005</t>
  </si>
  <si>
    <t>PINJAMAN RUTIN CHOIRI, 60X, KOMPENSASI</t>
  </si>
  <si>
    <t>MDR-2608006</t>
  </si>
  <si>
    <t>BCA-2608001</t>
  </si>
  <si>
    <t>KAS-2608001</t>
  </si>
  <si>
    <t>PEMBAYARAN PAJAK</t>
  </si>
  <si>
    <t>KAS-2608002</t>
  </si>
  <si>
    <t>RAPAT DENGAN PEMERIKSA PAJAK</t>
  </si>
  <si>
    <t>KAS-2608003</t>
  </si>
  <si>
    <t>PELUNASAN PINJAMAN LAIN AN. NANANG BUDI</t>
  </si>
  <si>
    <t>KAS-2608004</t>
  </si>
  <si>
    <t>KAS-2608005</t>
  </si>
  <si>
    <t>KAS-2608006</t>
  </si>
  <si>
    <t>PEMBY. SPT (PERPAJAKAN KKCS)</t>
  </si>
  <si>
    <t>KAS-2608007</t>
  </si>
  <si>
    <t>KAS-2608008</t>
  </si>
  <si>
    <t>KAS-2608009</t>
  </si>
  <si>
    <t>KAS-2608010</t>
  </si>
  <si>
    <t>KAS-2608011</t>
  </si>
  <si>
    <t>PEMBY. SPT (ORIX)</t>
  </si>
  <si>
    <t>KAS-2608012</t>
  </si>
  <si>
    <t>KAS-2608013</t>
  </si>
  <si>
    <t>KAS-2608014</t>
  </si>
  <si>
    <t>KAS-2608015</t>
  </si>
  <si>
    <t>JRM-2608001</t>
  </si>
  <si>
    <t>JRM-2608002</t>
  </si>
  <si>
    <t>JASA SEWA FORKLIFT MASA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</si>
</sst>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_(* #,##0.0_);_(* \(#,##0.0\);_(* &quot;-&quot;_);_(@_)"/>
    <numFmt numFmtId="166" formatCode="_(* #,##0_);_(* \(#,##0\);_(* &quot;-&quot;??_);_(@_)"/>
    <numFmt numFmtId="168" formatCode="_(* #,##0.000000000000000000000000000_);_(* \(#,##0.000000000000000000000000000\);_(* &quot;-&quot;??_);_(@_)"/>
  </numFmts>
  <fonts count="4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0"/>
      <name val="Arial Narrow"/>
      <family val="2"/>
    </font>
    <font>
      <b/>
      <sz val="10"/>
      <color theme="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1"/>
      <color rgb="FFFF0000"/>
      <name val="Calibri"/>
      <family val="2"/>
      <scheme val="minor"/>
    </font>
    <font>
      <sz val="9"/>
      <color rgb="FFFF0000"/>
      <name val="Arial Narrow"/>
      <family val="2"/>
    </font>
    <font>
      <sz val="9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5"/>
      <name val="Times New Roman"/>
      <family val="1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charset val="1"/>
      <scheme val="minor"/>
    </font>
    <font>
      <b/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00B0F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33">
    <xf numFmtId="0" fontId="0" fillId="0" borderId="0" xfId="0"/>
    <xf numFmtId="0" fontId="3" fillId="0" borderId="0" xfId="3" applyFont="1"/>
    <xf numFmtId="1" fontId="3" fillId="0" borderId="0" xfId="3" applyNumberFormat="1" applyFont="1"/>
    <xf numFmtId="0" fontId="3" fillId="2" borderId="0" xfId="3" applyFont="1" applyFill="1"/>
    <xf numFmtId="1" fontId="3" fillId="2" borderId="0" xfId="3" applyNumberFormat="1" applyFont="1" applyFill="1"/>
    <xf numFmtId="164" fontId="3" fillId="0" borderId="0" xfId="1" applyNumberFormat="1" applyFont="1" applyFill="1"/>
    <xf numFmtId="0" fontId="4" fillId="0" borderId="0" xfId="3" applyFont="1"/>
    <xf numFmtId="165" fontId="3" fillId="0" borderId="0" xfId="1" applyNumberFormat="1" applyFont="1" applyFill="1"/>
    <xf numFmtId="0" fontId="5" fillId="2" borderId="0" xfId="3" applyFont="1" applyFill="1"/>
    <xf numFmtId="43" fontId="7" fillId="2" borderId="4" xfId="4" applyFont="1" applyFill="1" applyBorder="1" applyAlignment="1">
      <alignment horizontal="centerContinuous"/>
    </xf>
    <xf numFmtId="43" fontId="7" fillId="2" borderId="5" xfId="4" applyFont="1" applyFill="1" applyBorder="1" applyAlignment="1">
      <alignment horizontal="centerContinuous"/>
    </xf>
    <xf numFmtId="0" fontId="7" fillId="3" borderId="4" xfId="3" applyFont="1" applyFill="1" applyBorder="1" applyAlignment="1">
      <alignment horizontal="centerContinuous"/>
    </xf>
    <xf numFmtId="0" fontId="5" fillId="0" borderId="0" xfId="3" applyFont="1"/>
    <xf numFmtId="0" fontId="7" fillId="2" borderId="3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/>
    </xf>
    <xf numFmtId="1" fontId="8" fillId="0" borderId="9" xfId="3" applyNumberFormat="1" applyFont="1" applyBorder="1"/>
    <xf numFmtId="43" fontId="8" fillId="0" borderId="10" xfId="4" applyFont="1" applyFill="1" applyBorder="1"/>
    <xf numFmtId="1" fontId="8" fillId="0" borderId="10" xfId="3" applyNumberFormat="1" applyFont="1" applyBorder="1"/>
    <xf numFmtId="1" fontId="8" fillId="0" borderId="11" xfId="3" applyNumberFormat="1" applyFont="1" applyBorder="1"/>
    <xf numFmtId="43" fontId="8" fillId="0" borderId="11" xfId="4" applyFont="1" applyFill="1" applyBorder="1"/>
    <xf numFmtId="1" fontId="8" fillId="0" borderId="12" xfId="3" applyNumberFormat="1" applyFont="1" applyBorder="1"/>
    <xf numFmtId="43" fontId="8" fillId="0" borderId="12" xfId="4" applyFont="1" applyFill="1" applyBorder="1"/>
    <xf numFmtId="43" fontId="8" fillId="0" borderId="13" xfId="4" applyFont="1" applyFill="1" applyBorder="1"/>
    <xf numFmtId="1" fontId="8" fillId="0" borderId="14" xfId="3" applyNumberFormat="1" applyFont="1" applyBorder="1"/>
    <xf numFmtId="43" fontId="8" fillId="4" borderId="14" xfId="4" applyFont="1" applyFill="1" applyBorder="1"/>
    <xf numFmtId="43" fontId="8" fillId="0" borderId="14" xfId="4" applyFont="1" applyFill="1" applyBorder="1"/>
    <xf numFmtId="43" fontId="8" fillId="5" borderId="14" xfId="4" applyFont="1" applyFill="1" applyBorder="1"/>
    <xf numFmtId="43" fontId="8" fillId="6" borderId="14" xfId="4" applyFont="1" applyFill="1" applyBorder="1"/>
    <xf numFmtId="1" fontId="8" fillId="0" borderId="15" xfId="3" applyNumberFormat="1" applyFont="1" applyBorder="1"/>
    <xf numFmtId="43" fontId="8" fillId="0" borderId="15" xfId="4" applyFont="1" applyBorder="1"/>
    <xf numFmtId="43" fontId="8" fillId="0" borderId="15" xfId="3" applyNumberFormat="1" applyFont="1" applyBorder="1"/>
    <xf numFmtId="1" fontId="8" fillId="2" borderId="0" xfId="3" applyNumberFormat="1" applyFont="1" applyFill="1"/>
    <xf numFmtId="43" fontId="8" fillId="2" borderId="0" xfId="3" applyNumberFormat="1" applyFont="1" applyFill="1"/>
    <xf numFmtId="1" fontId="8" fillId="0" borderId="0" xfId="3" applyNumberFormat="1" applyFont="1"/>
    <xf numFmtId="164" fontId="8" fillId="0" borderId="0" xfId="1" applyNumberFormat="1" applyFont="1" applyBorder="1"/>
    <xf numFmtId="43" fontId="9" fillId="0" borderId="0" xfId="5" applyNumberFormat="1" applyFont="1" applyBorder="1"/>
    <xf numFmtId="10" fontId="9" fillId="0" borderId="0" xfId="5" applyNumberFormat="1" applyFont="1" applyBorder="1"/>
    <xf numFmtId="164" fontId="8" fillId="0" borderId="0" xfId="6" applyNumberFormat="1" applyFont="1" applyBorder="1"/>
    <xf numFmtId="0" fontId="4" fillId="0" borderId="6" xfId="3" applyFont="1" applyBorder="1"/>
    <xf numFmtId="1" fontId="8" fillId="0" borderId="6" xfId="3" applyNumberFormat="1" applyFont="1" applyBorder="1"/>
    <xf numFmtId="164" fontId="8" fillId="0" borderId="6" xfId="6" applyNumberFormat="1" applyFont="1" applyBorder="1"/>
    <xf numFmtId="43" fontId="8" fillId="0" borderId="6" xfId="3" applyNumberFormat="1" applyFont="1" applyBorder="1"/>
    <xf numFmtId="10" fontId="8" fillId="0" borderId="6" xfId="2" applyNumberFormat="1" applyFont="1" applyBorder="1"/>
    <xf numFmtId="164" fontId="9" fillId="0" borderId="6" xfId="6" applyNumberFormat="1" applyFont="1" applyBorder="1"/>
    <xf numFmtId="43" fontId="7" fillId="2" borderId="4" xfId="3" applyNumberFormat="1" applyFont="1" applyFill="1" applyBorder="1" applyAlignment="1">
      <alignment horizontal="centerContinuous"/>
    </xf>
    <xf numFmtId="0" fontId="7" fillId="2" borderId="4" xfId="3" applyFont="1" applyFill="1" applyBorder="1" applyAlignment="1">
      <alignment horizontal="centerContinuous"/>
    </xf>
    <xf numFmtId="0" fontId="7" fillId="2" borderId="17" xfId="3" applyFont="1" applyFill="1" applyBorder="1" applyAlignment="1">
      <alignment horizontal="center"/>
    </xf>
    <xf numFmtId="0" fontId="7" fillId="3" borderId="17" xfId="3" applyFont="1" applyFill="1" applyBorder="1" applyAlignment="1">
      <alignment horizontal="center"/>
    </xf>
    <xf numFmtId="1" fontId="9" fillId="0" borderId="11" xfId="3" applyNumberFormat="1" applyFont="1" applyBorder="1"/>
    <xf numFmtId="1" fontId="8" fillId="0" borderId="18" xfId="3" applyNumberFormat="1" applyFont="1" applyBorder="1"/>
    <xf numFmtId="1" fontId="9" fillId="0" borderId="18" xfId="3" applyNumberFormat="1" applyFont="1" applyBorder="1"/>
    <xf numFmtId="0" fontId="8" fillId="0" borderId="14" xfId="3" applyFont="1" applyBorder="1"/>
    <xf numFmtId="43" fontId="8" fillId="0" borderId="14" xfId="3" applyNumberFormat="1" applyFont="1" applyBorder="1"/>
    <xf numFmtId="0" fontId="10" fillId="2" borderId="0" xfId="3" applyFont="1" applyFill="1"/>
    <xf numFmtId="1" fontId="11" fillId="0" borderId="19" xfId="3" applyNumberFormat="1" applyFont="1" applyBorder="1"/>
    <xf numFmtId="0" fontId="11" fillId="0" borderId="19" xfId="3" applyFont="1" applyBorder="1"/>
    <xf numFmtId="43" fontId="11" fillId="0" borderId="19" xfId="3" applyNumberFormat="1" applyFont="1" applyBorder="1"/>
    <xf numFmtId="1" fontId="10" fillId="2" borderId="0" xfId="3" applyNumberFormat="1" applyFont="1" applyFill="1"/>
    <xf numFmtId="0" fontId="10" fillId="0" borderId="0" xfId="3" applyFont="1"/>
    <xf numFmtId="0" fontId="12" fillId="0" borderId="0" xfId="3" applyFont="1"/>
    <xf numFmtId="43" fontId="12" fillId="0" borderId="0" xfId="3" applyNumberFormat="1" applyFont="1"/>
    <xf numFmtId="0" fontId="12" fillId="2" borderId="0" xfId="3" applyFont="1" applyFill="1"/>
    <xf numFmtId="1" fontId="12" fillId="0" borderId="0" xfId="3" applyNumberFormat="1" applyFont="1"/>
    <xf numFmtId="41" fontId="0" fillId="0" borderId="0" xfId="7" applyFont="1"/>
    <xf numFmtId="41" fontId="15" fillId="0" borderId="9" xfId="7" applyFont="1" applyBorder="1" applyAlignment="1">
      <alignment horizontal="center"/>
    </xf>
    <xf numFmtId="41" fontId="15" fillId="0" borderId="9" xfId="7" applyFont="1" applyBorder="1"/>
    <xf numFmtId="41" fontId="15" fillId="0" borderId="11" xfId="7" applyFont="1" applyBorder="1" applyAlignment="1">
      <alignment horizontal="center"/>
    </xf>
    <xf numFmtId="41" fontId="0" fillId="0" borderId="11" xfId="7" applyFont="1" applyBorder="1"/>
    <xf numFmtId="41" fontId="15" fillId="0" borderId="12" xfId="7" applyFont="1" applyBorder="1"/>
    <xf numFmtId="41" fontId="15" fillId="0" borderId="11" xfId="7" applyFont="1" applyBorder="1"/>
    <xf numFmtId="41" fontId="0" fillId="0" borderId="13" xfId="7" applyFont="1" applyBorder="1"/>
    <xf numFmtId="41" fontId="17" fillId="0" borderId="11" xfId="7" applyFont="1" applyBorder="1"/>
    <xf numFmtId="41" fontId="21" fillId="0" borderId="9" xfId="7" applyFont="1" applyFill="1" applyBorder="1" applyAlignment="1">
      <alignment vertical="center"/>
    </xf>
    <xf numFmtId="41" fontId="20" fillId="0" borderId="23" xfId="7" applyFont="1" applyFill="1" applyBorder="1" applyAlignment="1">
      <alignment vertical="center"/>
    </xf>
    <xf numFmtId="41" fontId="21" fillId="0" borderId="12" xfId="7" applyFont="1" applyFill="1" applyBorder="1" applyAlignment="1">
      <alignment vertical="center"/>
    </xf>
    <xf numFmtId="41" fontId="22" fillId="0" borderId="23" xfId="7" applyFont="1" applyFill="1" applyBorder="1" applyAlignment="1">
      <alignment vertical="center"/>
    </xf>
    <xf numFmtId="41" fontId="23" fillId="0" borderId="23" xfId="7" applyFont="1" applyFill="1" applyBorder="1" applyAlignment="1">
      <alignment vertical="center"/>
    </xf>
    <xf numFmtId="41" fontId="21" fillId="0" borderId="23" xfId="7" applyFont="1" applyFill="1" applyBorder="1" applyAlignment="1">
      <alignment vertical="center"/>
    </xf>
    <xf numFmtId="41" fontId="21" fillId="0" borderId="13" xfId="7" applyFont="1" applyFill="1" applyBorder="1" applyAlignment="1">
      <alignment vertical="center"/>
    </xf>
    <xf numFmtId="41" fontId="18" fillId="0" borderId="0" xfId="7" applyFont="1" applyFill="1"/>
    <xf numFmtId="41" fontId="20" fillId="0" borderId="0" xfId="7" applyFont="1" applyFill="1" applyAlignment="1">
      <alignment horizontal="center" vertical="center"/>
    </xf>
    <xf numFmtId="41" fontId="20" fillId="0" borderId="0" xfId="7" applyFont="1" applyFill="1" applyAlignment="1">
      <alignment vertical="center"/>
    </xf>
    <xf numFmtId="41" fontId="20" fillId="0" borderId="22" xfId="7" applyFont="1" applyFill="1" applyBorder="1" applyAlignment="1">
      <alignment vertical="center"/>
    </xf>
    <xf numFmtId="41" fontId="21" fillId="0" borderId="0" xfId="7" applyFont="1" applyFill="1" applyBorder="1" applyAlignment="1">
      <alignment vertical="center"/>
    </xf>
    <xf numFmtId="41" fontId="20" fillId="0" borderId="0" xfId="7" applyFont="1" applyFill="1" applyBorder="1" applyAlignment="1">
      <alignment vertical="center"/>
    </xf>
    <xf numFmtId="41" fontId="21" fillId="0" borderId="22" xfId="7" applyFont="1" applyFill="1" applyBorder="1" applyAlignment="1">
      <alignment vertical="center"/>
    </xf>
    <xf numFmtId="41" fontId="21" fillId="0" borderId="0" xfId="7" applyFont="1" applyFill="1" applyBorder="1" applyAlignment="1">
      <alignment horizontal="left" vertical="center"/>
    </xf>
    <xf numFmtId="41" fontId="20" fillId="0" borderId="24" xfId="7" applyFont="1" applyFill="1" applyBorder="1" applyAlignment="1">
      <alignment vertical="center"/>
    </xf>
    <xf numFmtId="41" fontId="21" fillId="0" borderId="25" xfId="7" applyFont="1" applyFill="1" applyBorder="1" applyAlignment="1">
      <alignment horizontal="left" vertical="center"/>
    </xf>
    <xf numFmtId="0" fontId="21" fillId="0" borderId="12" xfId="7" quotePrefix="1" applyNumberFormat="1" applyFont="1" applyFill="1" applyBorder="1" applyAlignment="1">
      <alignment horizontal="center" vertical="center"/>
    </xf>
    <xf numFmtId="41" fontId="19" fillId="0" borderId="0" xfId="7" applyFont="1" applyFill="1" applyAlignment="1">
      <alignment vertical="center"/>
    </xf>
    <xf numFmtId="0" fontId="24" fillId="0" borderId="12" xfId="7" applyNumberFormat="1" applyFont="1" applyFill="1" applyBorder="1" applyAlignment="1">
      <alignment horizontal="center" vertical="center"/>
    </xf>
    <xf numFmtId="41" fontId="24" fillId="0" borderId="9" xfId="7" applyFont="1" applyFill="1" applyBorder="1" applyAlignment="1">
      <alignment vertical="center"/>
    </xf>
    <xf numFmtId="41" fontId="24" fillId="0" borderId="12" xfId="7" applyFont="1" applyFill="1" applyBorder="1" applyAlignment="1">
      <alignment vertical="center"/>
    </xf>
    <xf numFmtId="41" fontId="24" fillId="0" borderId="23" xfId="7" applyFont="1" applyFill="1" applyBorder="1" applyAlignment="1">
      <alignment vertical="center"/>
    </xf>
    <xf numFmtId="41" fontId="24" fillId="0" borderId="13" xfId="7" applyFont="1" applyFill="1" applyBorder="1" applyAlignment="1">
      <alignment vertical="center"/>
    </xf>
    <xf numFmtId="1" fontId="10" fillId="0" borderId="0" xfId="3" applyNumberFormat="1" applyFont="1"/>
    <xf numFmtId="0" fontId="25" fillId="0" borderId="6" xfId="3" applyFont="1" applyBorder="1"/>
    <xf numFmtId="164" fontId="12" fillId="0" borderId="0" xfId="1" applyNumberFormat="1" applyFont="1" applyFill="1"/>
    <xf numFmtId="1" fontId="8" fillId="0" borderId="9" xfId="3" quotePrefix="1" applyNumberFormat="1" applyFont="1" applyBorder="1"/>
    <xf numFmtId="41" fontId="15" fillId="0" borderId="23" xfId="7" applyFont="1" applyBorder="1" applyAlignment="1">
      <alignment horizontal="center"/>
    </xf>
    <xf numFmtId="41" fontId="3" fillId="0" borderId="0" xfId="1" applyFont="1" applyFill="1"/>
    <xf numFmtId="164" fontId="0" fillId="0" borderId="0" xfId="1" applyNumberFormat="1" applyFont="1"/>
    <xf numFmtId="164" fontId="18" fillId="0" borderId="0" xfId="1" applyNumberFormat="1" applyFont="1" applyFill="1"/>
    <xf numFmtId="164" fontId="20" fillId="0" borderId="0" xfId="1" applyNumberFormat="1" applyFont="1" applyFill="1" applyAlignment="1">
      <alignment vertical="center"/>
    </xf>
    <xf numFmtId="41" fontId="15" fillId="0" borderId="13" xfId="7" applyFont="1" applyBorder="1" applyAlignment="1">
      <alignment horizontal="center"/>
    </xf>
    <xf numFmtId="41" fontId="15" fillId="0" borderId="13" xfId="7" applyFont="1" applyBorder="1"/>
    <xf numFmtId="17" fontId="19" fillId="0" borderId="0" xfId="7" applyNumberFormat="1" applyFont="1" applyFill="1" applyAlignment="1">
      <alignment vertical="center"/>
    </xf>
    <xf numFmtId="41" fontId="21" fillId="0" borderId="11" xfId="7" applyFont="1" applyFill="1" applyBorder="1" applyAlignment="1">
      <alignment vertical="center"/>
    </xf>
    <xf numFmtId="41" fontId="24" fillId="0" borderId="11" xfId="7" applyFont="1" applyFill="1" applyBorder="1" applyAlignment="1">
      <alignment vertical="center"/>
    </xf>
    <xf numFmtId="43" fontId="3" fillId="0" borderId="0" xfId="3" applyNumberFormat="1" applyFont="1"/>
    <xf numFmtId="0" fontId="26" fillId="0" borderId="0" xfId="0" applyFont="1"/>
    <xf numFmtId="41" fontId="0" fillId="0" borderId="23" xfId="7" applyFont="1" applyBorder="1"/>
    <xf numFmtId="0" fontId="32" fillId="0" borderId="0" xfId="0" applyFont="1" applyAlignment="1">
      <alignment horizontal="center"/>
    </xf>
    <xf numFmtId="14" fontId="32" fillId="0" borderId="0" xfId="0" applyNumberFormat="1" applyFont="1" applyAlignment="1">
      <alignment horizontal="center"/>
    </xf>
    <xf numFmtId="9" fontId="18" fillId="0" borderId="0" xfId="2" applyFont="1" applyFill="1"/>
    <xf numFmtId="10" fontId="19" fillId="0" borderId="0" xfId="2" applyNumberFormat="1" applyFont="1" applyFill="1" applyAlignment="1">
      <alignment vertical="center"/>
    </xf>
    <xf numFmtId="0" fontId="34" fillId="0" borderId="0" xfId="0" applyFont="1" applyAlignment="1">
      <alignment horizontal="center"/>
    </xf>
    <xf numFmtId="164" fontId="34" fillId="0" borderId="0" xfId="1" applyNumberFormat="1" applyFont="1" applyAlignment="1">
      <alignment horizontal="center"/>
    </xf>
    <xf numFmtId="164" fontId="0" fillId="9" borderId="0" xfId="1" applyNumberFormat="1" applyFont="1" applyFill="1"/>
    <xf numFmtId="164" fontId="0" fillId="10" borderId="0" xfId="1" applyNumberFormat="1" applyFont="1" applyFill="1"/>
    <xf numFmtId="164" fontId="0" fillId="5" borderId="0" xfId="1" applyNumberFormat="1" applyFont="1" applyFill="1"/>
    <xf numFmtId="0" fontId="34" fillId="11" borderId="0" xfId="0" applyFont="1" applyFill="1"/>
    <xf numFmtId="0" fontId="34" fillId="7" borderId="0" xfId="0" applyFont="1" applyFill="1"/>
    <xf numFmtId="0" fontId="34" fillId="12" borderId="0" xfId="0" applyFont="1" applyFill="1"/>
    <xf numFmtId="164" fontId="34" fillId="11" borderId="0" xfId="1" applyNumberFormat="1" applyFont="1" applyFill="1"/>
    <xf numFmtId="164" fontId="34" fillId="7" borderId="0" xfId="1" applyNumberFormat="1" applyFont="1" applyFill="1"/>
    <xf numFmtId="164" fontId="34" fillId="12" borderId="0" xfId="1" applyNumberFormat="1" applyFont="1" applyFill="1"/>
    <xf numFmtId="164" fontId="29" fillId="0" borderId="0" xfId="1" applyNumberFormat="1" applyFont="1"/>
    <xf numFmtId="0" fontId="35" fillId="8" borderId="0" xfId="0" applyFont="1" applyFill="1"/>
    <xf numFmtId="164" fontId="35" fillId="8" borderId="0" xfId="1" applyNumberFormat="1" applyFont="1" applyFill="1"/>
    <xf numFmtId="0" fontId="30" fillId="0" borderId="0" xfId="0" applyFont="1"/>
    <xf numFmtId="0" fontId="36" fillId="0" borderId="0" xfId="0" applyFont="1"/>
    <xf numFmtId="0" fontId="33" fillId="0" borderId="0" xfId="0" applyFont="1"/>
    <xf numFmtId="0" fontId="26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43" fontId="4" fillId="0" borderId="0" xfId="9" applyFont="1" applyFill="1" applyAlignment="1"/>
    <xf numFmtId="1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43" fontId="3" fillId="0" borderId="0" xfId="9" applyFont="1" applyFill="1"/>
    <xf numFmtId="43" fontId="0" fillId="0" borderId="0" xfId="9" applyFont="1" applyFill="1"/>
    <xf numFmtId="43" fontId="34" fillId="0" borderId="0" xfId="9" applyFont="1" applyFill="1" applyAlignment="1">
      <alignment horizontal="center"/>
    </xf>
    <xf numFmtId="0" fontId="26" fillId="0" borderId="0" xfId="0" quotePrefix="1" applyFont="1" applyAlignment="1">
      <alignment horizontal="center"/>
    </xf>
    <xf numFmtId="43" fontId="27" fillId="0" borderId="0" xfId="9" applyFont="1" applyFill="1"/>
    <xf numFmtId="43" fontId="26" fillId="0" borderId="0" xfId="9" applyFont="1" applyFill="1"/>
    <xf numFmtId="43" fontId="28" fillId="0" borderId="0" xfId="9" applyFont="1" applyFill="1"/>
    <xf numFmtId="43" fontId="32" fillId="0" borderId="0" xfId="9" applyFont="1" applyFill="1" applyAlignment="1">
      <alignment horizontal="center"/>
    </xf>
    <xf numFmtId="43" fontId="12" fillId="0" borderId="0" xfId="9" applyFont="1" applyFill="1" applyAlignment="1">
      <alignment horizontal="center"/>
    </xf>
    <xf numFmtId="43" fontId="33" fillId="0" borderId="0" xfId="9" applyFont="1" applyFill="1"/>
    <xf numFmtId="0" fontId="26" fillId="0" borderId="0" xfId="0" applyFont="1" applyAlignment="1">
      <alignment horizontal="justify"/>
    </xf>
    <xf numFmtId="0" fontId="12" fillId="0" borderId="0" xfId="0" applyFont="1" applyAlignment="1">
      <alignment horizontal="justify"/>
    </xf>
    <xf numFmtId="0" fontId="33" fillId="0" borderId="0" xfId="0" applyFont="1" applyAlignment="1">
      <alignment horizontal="justify"/>
    </xf>
    <xf numFmtId="0" fontId="0" fillId="0" borderId="0" xfId="0" quotePrefix="1"/>
    <xf numFmtId="43" fontId="30" fillId="0" borderId="0" xfId="9" applyFont="1" applyFill="1"/>
    <xf numFmtId="43" fontId="16" fillId="0" borderId="9" xfId="9" applyFont="1" applyFill="1" applyBorder="1" applyAlignment="1">
      <alignment horizontal="center" vertical="center"/>
    </xf>
    <xf numFmtId="43" fontId="15" fillId="0" borderId="13" xfId="9" quotePrefix="1" applyFont="1" applyFill="1" applyBorder="1" applyAlignment="1">
      <alignment horizontal="center" vertical="center"/>
    </xf>
    <xf numFmtId="43" fontId="0" fillId="0" borderId="9" xfId="9" applyFont="1" applyFill="1" applyBorder="1"/>
    <xf numFmtId="43" fontId="0" fillId="0" borderId="11" xfId="9" applyFont="1" applyFill="1" applyBorder="1"/>
    <xf numFmtId="43" fontId="0" fillId="0" borderId="23" xfId="9" applyFont="1" applyFill="1" applyBorder="1"/>
    <xf numFmtId="43" fontId="15" fillId="0" borderId="12" xfId="9" applyFont="1" applyFill="1" applyBorder="1"/>
    <xf numFmtId="43" fontId="15" fillId="0" borderId="11" xfId="9" applyFont="1" applyFill="1" applyBorder="1"/>
    <xf numFmtId="43" fontId="0" fillId="0" borderId="13" xfId="9" applyFont="1" applyFill="1" applyBorder="1"/>
    <xf numFmtId="43" fontId="15" fillId="0" borderId="13" xfId="9" applyFont="1" applyFill="1" applyBorder="1"/>
    <xf numFmtId="43" fontId="0" fillId="0" borderId="0" xfId="9" applyFont="1"/>
    <xf numFmtId="43" fontId="15" fillId="0" borderId="9" xfId="9" applyFont="1" applyFill="1" applyBorder="1" applyAlignment="1">
      <alignment horizontal="center" vertical="center"/>
    </xf>
    <xf numFmtId="43" fontId="15" fillId="0" borderId="13" xfId="9" applyFont="1" applyFill="1" applyBorder="1" applyAlignment="1">
      <alignment horizontal="center" vertical="center"/>
    </xf>
    <xf numFmtId="43" fontId="3" fillId="0" borderId="11" xfId="9" applyFont="1" applyFill="1" applyBorder="1"/>
    <xf numFmtId="43" fontId="3" fillId="0" borderId="23" xfId="9" applyFont="1" applyFill="1" applyBorder="1"/>
    <xf numFmtId="43" fontId="0" fillId="0" borderId="9" xfId="9" applyFont="1" applyBorder="1"/>
    <xf numFmtId="43" fontId="0" fillId="0" borderId="23" xfId="9" applyFont="1" applyBorder="1"/>
    <xf numFmtId="0" fontId="33" fillId="8" borderId="0" xfId="0" applyFont="1" applyFill="1"/>
    <xf numFmtId="0" fontId="31" fillId="8" borderId="0" xfId="0" applyFont="1" applyFill="1" applyAlignment="1">
      <alignment horizontal="left"/>
    </xf>
    <xf numFmtId="0" fontId="12" fillId="8" borderId="0" xfId="0" applyFont="1" applyFill="1" applyAlignment="1">
      <alignment horizontal="center"/>
    </xf>
    <xf numFmtId="0" fontId="26" fillId="8" borderId="0" xfId="0" applyFont="1" applyFill="1" applyAlignment="1">
      <alignment horizontal="center"/>
    </xf>
    <xf numFmtId="14" fontId="33" fillId="8" borderId="0" xfId="0" applyNumberFormat="1" applyFont="1" applyFill="1" applyAlignment="1">
      <alignment horizontal="center"/>
    </xf>
    <xf numFmtId="43" fontId="0" fillId="0" borderId="0" xfId="0" applyNumberFormat="1"/>
    <xf numFmtId="11" fontId="0" fillId="0" borderId="0" xfId="7" applyNumberFormat="1" applyFont="1"/>
    <xf numFmtId="0" fontId="37" fillId="0" borderId="0" xfId="0" applyFont="1" applyAlignment="1">
      <alignment horizontal="center"/>
    </xf>
    <xf numFmtId="0" fontId="26" fillId="8" borderId="0" xfId="0" quotePrefix="1" applyFont="1" applyFill="1" applyAlignment="1">
      <alignment horizontal="center"/>
    </xf>
    <xf numFmtId="43" fontId="26" fillId="8" borderId="0" xfId="9" applyFont="1" applyFill="1"/>
    <xf numFmtId="43" fontId="12" fillId="8" borderId="0" xfId="9" applyFont="1" applyFill="1" applyAlignment="1">
      <alignment horizontal="center"/>
    </xf>
    <xf numFmtId="0" fontId="26" fillId="8" borderId="0" xfId="0" applyFont="1" applyFill="1"/>
    <xf numFmtId="0" fontId="26" fillId="8" borderId="0" xfId="0" applyFont="1" applyFill="1" applyAlignment="1">
      <alignment horizontal="justify"/>
    </xf>
    <xf numFmtId="168" fontId="3" fillId="0" borderId="0" xfId="9" applyNumberFormat="1" applyFont="1" applyFill="1"/>
    <xf numFmtId="14" fontId="12" fillId="0" borderId="0" xfId="0" applyNumberFormat="1" applyFont="1" applyAlignment="1">
      <alignment horizontal="center"/>
    </xf>
    <xf numFmtId="43" fontId="34" fillId="13" borderId="0" xfId="9" applyFont="1" applyFill="1"/>
    <xf numFmtId="43" fontId="36" fillId="0" borderId="0" xfId="9" applyFont="1"/>
    <xf numFmtId="43" fontId="31" fillId="0" borderId="0" xfId="9" applyFont="1" applyFill="1" applyAlignment="1">
      <alignment horizontal="center"/>
    </xf>
    <xf numFmtId="43" fontId="34" fillId="0" borderId="0" xfId="9" applyFont="1"/>
    <xf numFmtId="43" fontId="38" fillId="0" borderId="0" xfId="9" applyFont="1" applyFill="1" applyAlignment="1">
      <alignment horizontal="center"/>
    </xf>
    <xf numFmtId="43" fontId="3" fillId="0" borderId="0" xfId="9" applyFont="1"/>
    <xf numFmtId="164" fontId="35" fillId="14" borderId="0" xfId="1" applyNumberFormat="1" applyFont="1" applyFill="1"/>
    <xf numFmtId="43" fontId="26" fillId="0" borderId="0" xfId="9" applyFont="1"/>
    <xf numFmtId="43" fontId="26" fillId="0" borderId="0" xfId="9" applyFont="1" applyAlignment="1">
      <alignment horizontal="justify"/>
    </xf>
    <xf numFmtId="12" fontId="15" fillId="7" borderId="13" xfId="9" quotePrefix="1" applyNumberFormat="1" applyFont="1" applyFill="1" applyBorder="1" applyAlignment="1">
      <alignment horizontal="center" vertical="center"/>
    </xf>
    <xf numFmtId="43" fontId="33" fillId="0" borderId="0" xfId="9" applyFont="1" applyFill="1" applyAlignment="1">
      <alignment horizontal="center"/>
    </xf>
    <xf numFmtId="43" fontId="39" fillId="0" borderId="0" xfId="9" applyFont="1" applyFill="1" applyAlignment="1">
      <alignment horizontal="center"/>
    </xf>
    <xf numFmtId="0" fontId="33" fillId="7" borderId="0" xfId="0" applyFont="1" applyFill="1"/>
    <xf numFmtId="0" fontId="31" fillId="7" borderId="0" xfId="0" applyFont="1" applyFill="1" applyAlignment="1">
      <alignment horizontal="left"/>
    </xf>
    <xf numFmtId="0" fontId="12" fillId="7" borderId="0" xfId="0" applyFont="1" applyFill="1" applyAlignment="1">
      <alignment horizontal="center"/>
    </xf>
    <xf numFmtId="0" fontId="26" fillId="7" borderId="0" xfId="0" applyFont="1" applyFill="1" applyAlignment="1">
      <alignment horizontal="center"/>
    </xf>
    <xf numFmtId="14" fontId="33" fillId="7" borderId="0" xfId="0" applyNumberFormat="1" applyFont="1" applyFill="1" applyAlignment="1">
      <alignment horizontal="center"/>
    </xf>
    <xf numFmtId="0" fontId="26" fillId="7" borderId="0" xfId="0" quotePrefix="1" applyFont="1" applyFill="1" applyAlignment="1">
      <alignment horizontal="center"/>
    </xf>
    <xf numFmtId="43" fontId="26" fillId="7" borderId="0" xfId="9" applyFont="1" applyFill="1"/>
    <xf numFmtId="43" fontId="12" fillId="7" borderId="0" xfId="9" applyFont="1" applyFill="1" applyAlignment="1">
      <alignment horizontal="center"/>
    </xf>
    <xf numFmtId="0" fontId="26" fillId="7" borderId="0" xfId="0" applyFont="1" applyFill="1"/>
    <xf numFmtId="0" fontId="26" fillId="7" borderId="0" xfId="0" applyFont="1" applyFill="1" applyAlignment="1">
      <alignment horizontal="justify"/>
    </xf>
    <xf numFmtId="0" fontId="12" fillId="7" borderId="0" xfId="0" applyFont="1" applyFill="1" applyAlignment="1">
      <alignment horizontal="justify"/>
    </xf>
    <xf numFmtId="166" fontId="0" fillId="0" borderId="0" xfId="9" applyNumberFormat="1" applyFont="1" applyFill="1"/>
    <xf numFmtId="43" fontId="38" fillId="7" borderId="0" xfId="9" applyFont="1" applyFill="1" applyAlignment="1">
      <alignment horizontal="center"/>
    </xf>
    <xf numFmtId="41" fontId="14" fillId="0" borderId="0" xfId="7" applyFont="1" applyAlignment="1">
      <alignment horizontal="center" vertical="center"/>
    </xf>
    <xf numFmtId="17" fontId="14" fillId="0" borderId="0" xfId="7" quotePrefix="1" applyNumberFormat="1" applyFont="1" applyFill="1" applyAlignment="1">
      <alignment horizontal="center" vertical="center"/>
    </xf>
    <xf numFmtId="41" fontId="15" fillId="0" borderId="20" xfId="7" applyFont="1" applyBorder="1" applyAlignment="1">
      <alignment horizontal="center"/>
    </xf>
    <xf numFmtId="41" fontId="15" fillId="0" borderId="21" xfId="7" applyFont="1" applyBorder="1" applyAlignment="1">
      <alignment horizontal="center"/>
    </xf>
    <xf numFmtId="41" fontId="15" fillId="0" borderId="12" xfId="7" applyFont="1" applyBorder="1" applyAlignment="1">
      <alignment horizontal="center" vertical="center"/>
    </xf>
    <xf numFmtId="41" fontId="15" fillId="0" borderId="9" xfId="7" applyFont="1" applyBorder="1" applyAlignment="1">
      <alignment horizontal="center" vertical="center"/>
    </xf>
    <xf numFmtId="41" fontId="15" fillId="0" borderId="13" xfId="7" applyFont="1" applyBorder="1" applyAlignment="1">
      <alignment horizontal="center" vertical="center"/>
    </xf>
    <xf numFmtId="41" fontId="21" fillId="0" borderId="12" xfId="7" applyFont="1" applyFill="1" applyBorder="1" applyAlignment="1">
      <alignment horizontal="center" vertical="center"/>
    </xf>
    <xf numFmtId="41" fontId="14" fillId="0" borderId="20" xfId="7" applyFont="1" applyFill="1" applyBorder="1" applyAlignment="1">
      <alignment horizontal="center" vertical="center"/>
    </xf>
    <xf numFmtId="41" fontId="14" fillId="0" borderId="21" xfId="7" applyFont="1" applyFill="1" applyBorder="1" applyAlignment="1">
      <alignment horizontal="center" vertical="center"/>
    </xf>
    <xf numFmtId="0" fontId="14" fillId="0" borderId="9" xfId="7" applyNumberFormat="1" applyFont="1" applyFill="1" applyBorder="1" applyAlignment="1">
      <alignment horizontal="center" vertical="center"/>
    </xf>
    <xf numFmtId="0" fontId="14" fillId="0" borderId="13" xfId="7" applyNumberFormat="1" applyFont="1" applyFill="1" applyBorder="1" applyAlignment="1">
      <alignment horizontal="center" vertical="center"/>
    </xf>
    <xf numFmtId="0" fontId="4" fillId="0" borderId="0" xfId="3" applyFont="1" applyAlignment="1">
      <alignment horizontal="left"/>
    </xf>
    <xf numFmtId="1" fontId="6" fillId="2" borderId="1" xfId="3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1" fontId="7" fillId="2" borderId="3" xfId="3" applyNumberFormat="1" applyFont="1" applyFill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1" fontId="7" fillId="2" borderId="16" xfId="3" applyNumberFormat="1" applyFont="1" applyFill="1" applyBorder="1" applyAlignment="1">
      <alignment horizontal="center" vertical="center" wrapText="1"/>
    </xf>
  </cellXfs>
  <cellStyles count="10">
    <cellStyle name="Comma" xfId="9" builtinId="3"/>
    <cellStyle name="Comma [0]" xfId="1" builtinId="6"/>
    <cellStyle name="Comma [0] 2" xfId="6" xr:uid="{00000000-0005-0000-0000-000001000000}"/>
    <cellStyle name="Comma [0] 3" xfId="7" xr:uid="{00000000-0005-0000-0000-000002000000}"/>
    <cellStyle name="Comma 2" xfId="4" xr:uid="{00000000-0005-0000-0000-000003000000}"/>
    <cellStyle name="Normal" xfId="0" builtinId="0"/>
    <cellStyle name="Normal 2" xfId="3" xr:uid="{00000000-0005-0000-0000-000005000000}"/>
    <cellStyle name="Normal 3" xfId="8" xr:uid="{151CDC17-565D-405A-84F7-BFA89E98F302}"/>
    <cellStyle name="Percent" xfId="2" builtinId="5"/>
    <cellStyle name="Percent 2" xfId="5" xr:uid="{00000000-0005-0000-0000-000007000000}"/>
  </cellStyles>
  <dxfs count="60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9-10-2017\---2017---\00.%20URGENT\01.%20Order%20P.%20Joko\Persiapan%20Month%20End%202017\Laporan%20WORKSHEET%202017_per%20Apr%20(Month%20En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 TAHUNAN"/>
      <sheetName val="WORKING  BULANAN"/>
      <sheetName val="1 (ada yg brbh)"/>
      <sheetName val="2 (ada + jur hut)"/>
      <sheetName val="3"/>
      <sheetName val="4 (ada yg brbh)"/>
      <sheetName val="5"/>
      <sheetName val="AKUNLI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110101</v>
          </cell>
          <cell r="B2" t="str">
            <v>Kas IDR Gresik</v>
          </cell>
          <cell r="C2" t="str">
            <v>A01</v>
          </cell>
        </row>
        <row r="3">
          <cell r="A3" t="str">
            <v>110102</v>
          </cell>
          <cell r="B3" t="str">
            <v>Kas IDR Medan</v>
          </cell>
          <cell r="C3" t="str">
            <v>A01</v>
          </cell>
        </row>
        <row r="4">
          <cell r="A4" t="str">
            <v>110103</v>
          </cell>
          <cell r="B4" t="str">
            <v>Kas IDR Makassar</v>
          </cell>
          <cell r="C4" t="str">
            <v>A01</v>
          </cell>
        </row>
        <row r="5">
          <cell r="A5" t="str">
            <v>110104</v>
          </cell>
          <cell r="B5" t="str">
            <v>Kas IDR Lampung</v>
          </cell>
          <cell r="C5" t="str">
            <v>A01</v>
          </cell>
        </row>
        <row r="6">
          <cell r="A6" t="str">
            <v>110110</v>
          </cell>
          <cell r="B6" t="str">
            <v>Kas USD</v>
          </cell>
          <cell r="C6" t="str">
            <v>A01</v>
          </cell>
        </row>
        <row r="7">
          <cell r="A7" t="str">
            <v>110120</v>
          </cell>
          <cell r="B7" t="str">
            <v>Kas Kecil IDR KIG</v>
          </cell>
          <cell r="C7" t="str">
            <v>A01</v>
          </cell>
        </row>
        <row r="8">
          <cell r="A8" t="str">
            <v>110201</v>
          </cell>
          <cell r="B8" t="str">
            <v>Giro Mandiri Gresik</v>
          </cell>
          <cell r="C8" t="str">
            <v>A02</v>
          </cell>
        </row>
        <row r="9">
          <cell r="A9" t="str">
            <v>110202</v>
          </cell>
          <cell r="B9" t="str">
            <v xml:space="preserve">Giro BNI'46 Gresik                                          </v>
          </cell>
          <cell r="C9" t="str">
            <v>A02</v>
          </cell>
        </row>
        <row r="10">
          <cell r="A10" t="str">
            <v>110203</v>
          </cell>
          <cell r="B10" t="str">
            <v>Giro Lippo Gresik</v>
          </cell>
          <cell r="C10" t="str">
            <v>A02</v>
          </cell>
        </row>
        <row r="11">
          <cell r="A11" t="str">
            <v>110204</v>
          </cell>
          <cell r="B11" t="str">
            <v>Giro Niaga Gresik</v>
          </cell>
          <cell r="C11" t="str">
            <v>A02</v>
          </cell>
        </row>
        <row r="12">
          <cell r="A12" t="str">
            <v>110205</v>
          </cell>
          <cell r="B12" t="str">
            <v>Giro BRI I Gresik</v>
          </cell>
          <cell r="C12" t="str">
            <v>A02</v>
          </cell>
        </row>
        <row r="13">
          <cell r="A13" t="str">
            <v>110206</v>
          </cell>
          <cell r="B13" t="str">
            <v>Giro Agro Gresik</v>
          </cell>
          <cell r="C13" t="str">
            <v>A02</v>
          </cell>
        </row>
        <row r="14">
          <cell r="A14" t="str">
            <v>110207</v>
          </cell>
          <cell r="B14" t="str">
            <v>Giro BCA Gresik</v>
          </cell>
          <cell r="C14" t="str">
            <v>A02</v>
          </cell>
        </row>
        <row r="15">
          <cell r="A15" t="str">
            <v>110208</v>
          </cell>
          <cell r="B15" t="str">
            <v>Giro Bank Jatim Gresik</v>
          </cell>
          <cell r="C15" t="str">
            <v>A02</v>
          </cell>
        </row>
        <row r="16">
          <cell r="A16" t="str">
            <v>110209</v>
          </cell>
          <cell r="B16" t="str">
            <v>Giro Dollar Mandiri Gresik</v>
          </cell>
          <cell r="C16" t="str">
            <v>A02</v>
          </cell>
        </row>
        <row r="17">
          <cell r="A17" t="str">
            <v>110210</v>
          </cell>
          <cell r="B17" t="str">
            <v>Giro Dollar CIMB Niaga Gresik</v>
          </cell>
          <cell r="C17" t="str">
            <v>A02</v>
          </cell>
        </row>
        <row r="18">
          <cell r="A18" t="str">
            <v>110211</v>
          </cell>
          <cell r="B18" t="str">
            <v>Giro Bank Jatim Surabaya</v>
          </cell>
          <cell r="C18" t="str">
            <v>A02</v>
          </cell>
        </row>
        <row r="19">
          <cell r="A19" t="str">
            <v>110212</v>
          </cell>
          <cell r="B19" t="str">
            <v>Giro Dollar Panin Surabaya</v>
          </cell>
          <cell r="C19" t="str">
            <v>A02</v>
          </cell>
        </row>
        <row r="20">
          <cell r="A20" t="str">
            <v>110213</v>
          </cell>
          <cell r="B20" t="str">
            <v>Giro Mandiri Medan</v>
          </cell>
          <cell r="C20" t="str">
            <v>A02</v>
          </cell>
        </row>
        <row r="21">
          <cell r="A21" t="str">
            <v>110214</v>
          </cell>
          <cell r="B21" t="str">
            <v xml:space="preserve">Giro BNI'46 Medan                                           </v>
          </cell>
          <cell r="C21" t="str">
            <v>A02</v>
          </cell>
        </row>
        <row r="22">
          <cell r="A22" t="str">
            <v>110215</v>
          </cell>
          <cell r="B22" t="str">
            <v>Giro BRI Medan</v>
          </cell>
          <cell r="C22" t="str">
            <v>A02</v>
          </cell>
        </row>
        <row r="23">
          <cell r="A23" t="str">
            <v>110216</v>
          </cell>
          <cell r="B23" t="str">
            <v xml:space="preserve">Giro BNI'46 Makassar                                        </v>
          </cell>
          <cell r="C23" t="str">
            <v>A02</v>
          </cell>
        </row>
        <row r="24">
          <cell r="A24" t="str">
            <v>110217</v>
          </cell>
          <cell r="B24" t="str">
            <v>Giro Bukopin Makassar</v>
          </cell>
          <cell r="C24" t="str">
            <v>A02</v>
          </cell>
        </row>
        <row r="25">
          <cell r="A25" t="str">
            <v>110218</v>
          </cell>
          <cell r="B25" t="str">
            <v>Giro BRI Sidrap Makassar</v>
          </cell>
          <cell r="C25" t="str">
            <v>A02</v>
          </cell>
        </row>
        <row r="26">
          <cell r="A26" t="str">
            <v>110219</v>
          </cell>
          <cell r="B26" t="str">
            <v>Giro Mandiri Makassar</v>
          </cell>
          <cell r="C26" t="str">
            <v>A02</v>
          </cell>
        </row>
        <row r="27">
          <cell r="A27" t="str">
            <v>110220</v>
          </cell>
          <cell r="B27" t="str">
            <v>Giro BRI Makassar</v>
          </cell>
          <cell r="C27" t="str">
            <v>A02</v>
          </cell>
        </row>
        <row r="28">
          <cell r="A28" t="str">
            <v>110221</v>
          </cell>
          <cell r="B28" t="str">
            <v>Giro Mandiri Lampung</v>
          </cell>
          <cell r="C28" t="str">
            <v>A02</v>
          </cell>
        </row>
        <row r="29">
          <cell r="A29" t="str">
            <v>110222</v>
          </cell>
          <cell r="B29" t="str">
            <v>Giro BRI Lampung</v>
          </cell>
          <cell r="C29" t="str">
            <v>A02</v>
          </cell>
        </row>
        <row r="30">
          <cell r="A30" t="str">
            <v>110223</v>
          </cell>
          <cell r="B30" t="str">
            <v>Giro BRI II Gresik</v>
          </cell>
          <cell r="C30" t="str">
            <v>A02</v>
          </cell>
        </row>
        <row r="31">
          <cell r="A31" t="str">
            <v>110224</v>
          </cell>
          <cell r="B31" t="str">
            <v>Giro Bank DBS Surabaya</v>
          </cell>
          <cell r="C31" t="str">
            <v>A02</v>
          </cell>
        </row>
        <row r="32">
          <cell r="A32" t="str">
            <v>110225</v>
          </cell>
          <cell r="B32" t="str">
            <v>Giro Bank DBS Dolar Surabaya</v>
          </cell>
          <cell r="C32" t="str">
            <v>A02</v>
          </cell>
        </row>
        <row r="33">
          <cell r="A33" t="str">
            <v>110226</v>
          </cell>
          <cell r="B33" t="str">
            <v>KMK Bank Mandiri</v>
          </cell>
          <cell r="C33" t="str">
            <v>P08</v>
          </cell>
        </row>
        <row r="34">
          <cell r="A34" t="str">
            <v>110227</v>
          </cell>
          <cell r="B34" t="str">
            <v>KMK CIMB Niaga</v>
          </cell>
          <cell r="C34" t="str">
            <v>P08</v>
          </cell>
        </row>
        <row r="35">
          <cell r="A35" t="str">
            <v>110228</v>
          </cell>
          <cell r="B35" t="str">
            <v>KMK CIMB Niaga Dolar</v>
          </cell>
          <cell r="C35" t="str">
            <v>P01A</v>
          </cell>
        </row>
        <row r="36">
          <cell r="A36" t="str">
            <v>110229</v>
          </cell>
          <cell r="B36" t="str">
            <v>Giro BRI Rajawali Surabaya</v>
          </cell>
          <cell r="C36" t="str">
            <v>A02</v>
          </cell>
        </row>
        <row r="37">
          <cell r="A37" t="str">
            <v>110230</v>
          </cell>
          <cell r="B37" t="str">
            <v>Giro BRI III Gresik</v>
          </cell>
          <cell r="C37" t="str">
            <v>A02</v>
          </cell>
        </row>
        <row r="38">
          <cell r="A38" t="str">
            <v>110231</v>
          </cell>
          <cell r="B38" t="str">
            <v>Giro Mandiri Gresik 2</v>
          </cell>
          <cell r="C38" t="str">
            <v>A02</v>
          </cell>
        </row>
        <row r="39">
          <cell r="A39" t="str">
            <v>110232</v>
          </cell>
          <cell r="B39" t="str">
            <v>Giro BRI III Escrow</v>
          </cell>
          <cell r="C39" t="str">
            <v>A02</v>
          </cell>
        </row>
        <row r="40">
          <cell r="A40" t="str">
            <v>110251</v>
          </cell>
          <cell r="B40" t="str">
            <v>Giro Mandiri Gresik - (Bank Perantara)</v>
          </cell>
          <cell r="C40" t="str">
            <v>A02</v>
          </cell>
        </row>
        <row r="41">
          <cell r="A41" t="str">
            <v>110252</v>
          </cell>
          <cell r="B41" t="str">
            <v xml:space="preserve">Giro BNI'46 Gresik - (Bank Perantara)                       </v>
          </cell>
          <cell r="C41" t="str">
            <v>A02</v>
          </cell>
        </row>
        <row r="42">
          <cell r="A42" t="str">
            <v>110253</v>
          </cell>
          <cell r="B42" t="str">
            <v>Giro Lippo Gresik - (Bank Perantara)</v>
          </cell>
          <cell r="C42" t="str">
            <v>A02</v>
          </cell>
        </row>
        <row r="43">
          <cell r="A43" t="str">
            <v>110254</v>
          </cell>
          <cell r="B43" t="str">
            <v>Giro Niaga Gresik - (Bank Perantara)</v>
          </cell>
          <cell r="C43" t="str">
            <v>A02</v>
          </cell>
        </row>
        <row r="44">
          <cell r="A44" t="str">
            <v>110255</v>
          </cell>
          <cell r="B44" t="str">
            <v>Giro BRI Gresik - (Bank Perantara)</v>
          </cell>
          <cell r="C44" t="str">
            <v>A02</v>
          </cell>
        </row>
        <row r="45">
          <cell r="A45" t="str">
            <v>110256</v>
          </cell>
          <cell r="B45" t="str">
            <v>Giro Agro Gresik - (Bank Perantara)</v>
          </cell>
          <cell r="C45" t="str">
            <v>A02</v>
          </cell>
        </row>
        <row r="46">
          <cell r="A46" t="str">
            <v>110257</v>
          </cell>
          <cell r="B46" t="str">
            <v>Giro BCA Gresik - (Bank Perantara)</v>
          </cell>
          <cell r="C46" t="str">
            <v>A02</v>
          </cell>
        </row>
        <row r="47">
          <cell r="A47" t="str">
            <v>110258</v>
          </cell>
          <cell r="B47" t="str">
            <v>Giro Bank Jatim Gresik - (Bank Perantara)</v>
          </cell>
          <cell r="C47" t="str">
            <v>A02</v>
          </cell>
        </row>
        <row r="48">
          <cell r="A48" t="str">
            <v>110259</v>
          </cell>
          <cell r="B48" t="str">
            <v>Giro Dollar Mandiri Gresik - (Bank Perantara)</v>
          </cell>
          <cell r="C48" t="str">
            <v>A02</v>
          </cell>
        </row>
        <row r="49">
          <cell r="A49" t="str">
            <v>110260</v>
          </cell>
          <cell r="B49" t="str">
            <v>Giro Dollar CIMB Niaga Gresik - (Bank Perantara)</v>
          </cell>
          <cell r="C49" t="str">
            <v>A02</v>
          </cell>
        </row>
        <row r="50">
          <cell r="A50" t="str">
            <v>110261</v>
          </cell>
          <cell r="B50" t="str">
            <v>Giro Bank Jatim Surabaya - (Bank Perantara)</v>
          </cell>
          <cell r="C50" t="str">
            <v>A02</v>
          </cell>
        </row>
        <row r="51">
          <cell r="A51" t="str">
            <v>110262</v>
          </cell>
          <cell r="B51" t="str">
            <v>Giro Dollar Panin Surabaya - (Bank Perantara)</v>
          </cell>
          <cell r="C51" t="str">
            <v>A02</v>
          </cell>
        </row>
        <row r="52">
          <cell r="A52" t="str">
            <v>110263</v>
          </cell>
          <cell r="B52" t="str">
            <v>Giro Mandiri Medan - (Bank Perantara)</v>
          </cell>
          <cell r="C52" t="str">
            <v>A02</v>
          </cell>
        </row>
        <row r="53">
          <cell r="A53" t="str">
            <v>110264</v>
          </cell>
          <cell r="B53" t="str">
            <v xml:space="preserve">Giro BNI'46 Medan - (Bank Perantara)                        </v>
          </cell>
          <cell r="C53" t="str">
            <v>A02</v>
          </cell>
        </row>
        <row r="54">
          <cell r="A54" t="str">
            <v>110265</v>
          </cell>
          <cell r="B54" t="str">
            <v>Giro BRI Medan - (Bank Perantara)</v>
          </cell>
          <cell r="C54" t="str">
            <v>A02</v>
          </cell>
        </row>
        <row r="55">
          <cell r="A55" t="str">
            <v>110266</v>
          </cell>
          <cell r="B55" t="str">
            <v xml:space="preserve">Giro BNI'46 Makassar - (Bank Perantara)                     </v>
          </cell>
          <cell r="C55" t="str">
            <v>A02</v>
          </cell>
        </row>
        <row r="56">
          <cell r="A56" t="str">
            <v>110267</v>
          </cell>
          <cell r="B56" t="str">
            <v>Giro Bukopin Makassar - (Bank Perantara)</v>
          </cell>
          <cell r="C56" t="str">
            <v>A02</v>
          </cell>
        </row>
        <row r="57">
          <cell r="A57" t="str">
            <v>110268</v>
          </cell>
          <cell r="B57" t="str">
            <v>Giro BRI Sidrap Makassar - (Bank Perantara)</v>
          </cell>
          <cell r="C57" t="str">
            <v>A02</v>
          </cell>
        </row>
        <row r="58">
          <cell r="A58" t="str">
            <v>110269</v>
          </cell>
          <cell r="B58" t="str">
            <v>Giro Mandiri Makassar - (Bank Perantara)</v>
          </cell>
          <cell r="C58" t="str">
            <v>A02</v>
          </cell>
        </row>
        <row r="59">
          <cell r="A59" t="str">
            <v>110270</v>
          </cell>
          <cell r="B59" t="str">
            <v>Giro BRI Makassar - (Bank Perantara)</v>
          </cell>
          <cell r="C59" t="str">
            <v>A02</v>
          </cell>
        </row>
        <row r="60">
          <cell r="A60" t="str">
            <v>110271</v>
          </cell>
          <cell r="B60" t="str">
            <v>Giro Mandiri Lampung - (Bank Perantara)</v>
          </cell>
          <cell r="C60" t="str">
            <v>A02</v>
          </cell>
        </row>
        <row r="61">
          <cell r="A61" t="str">
            <v>110272</v>
          </cell>
          <cell r="B61" t="str">
            <v>KMK Mandiri Gresik - (Bank Perantara)</v>
          </cell>
          <cell r="C61" t="str">
            <v>A02</v>
          </cell>
        </row>
        <row r="62">
          <cell r="A62" t="str">
            <v>110273</v>
          </cell>
          <cell r="B62" t="str">
            <v>KMK Bank BRI</v>
          </cell>
          <cell r="C62" t="str">
            <v>P08</v>
          </cell>
        </row>
        <row r="63">
          <cell r="A63" t="str">
            <v>110274</v>
          </cell>
          <cell r="B63" t="str">
            <v>KMK BCA Syariah Gresik</v>
          </cell>
          <cell r="C63" t="str">
            <v>A02</v>
          </cell>
        </row>
        <row r="64">
          <cell r="A64" t="str">
            <v>110275</v>
          </cell>
          <cell r="B64" t="str">
            <v>Giro BCA Syariah Gresik</v>
          </cell>
          <cell r="C64" t="str">
            <v>A02</v>
          </cell>
        </row>
        <row r="65">
          <cell r="A65" t="str">
            <v>110276</v>
          </cell>
          <cell r="B65" t="str">
            <v>KMK TR Mandiri</v>
          </cell>
          <cell r="C65" t="str">
            <v>A02</v>
          </cell>
        </row>
        <row r="66">
          <cell r="A66" t="str">
            <v>110277</v>
          </cell>
          <cell r="B66" t="str">
            <v>KMK Loan DF Mandiri</v>
          </cell>
          <cell r="C66" t="str">
            <v>A02</v>
          </cell>
        </row>
        <row r="67">
          <cell r="A67" t="str">
            <v>110278</v>
          </cell>
          <cell r="B67" t="str">
            <v>Giro Bank Lampung Cab. Metro</v>
          </cell>
          <cell r="C67" t="str">
            <v>A02</v>
          </cell>
        </row>
        <row r="68">
          <cell r="A68" t="str">
            <v>110279</v>
          </cell>
          <cell r="B68" t="str">
            <v>Giro Bank Lampung Cab. Lampung Tengah</v>
          </cell>
          <cell r="C68" t="str">
            <v>A02</v>
          </cell>
        </row>
        <row r="69">
          <cell r="A69" t="str">
            <v>110301</v>
          </cell>
          <cell r="B69" t="str">
            <v>Bank Garansi Gresik</v>
          </cell>
          <cell r="C69" t="str">
            <v>A03</v>
          </cell>
        </row>
        <row r="70">
          <cell r="A70" t="str">
            <v>110302</v>
          </cell>
          <cell r="B70" t="str">
            <v>Deposito Berjangka Gresik</v>
          </cell>
          <cell r="C70" t="str">
            <v>A03</v>
          </cell>
        </row>
        <row r="71">
          <cell r="A71" t="str">
            <v>110303</v>
          </cell>
          <cell r="B71" t="str">
            <v>DOC Gresik</v>
          </cell>
          <cell r="C71" t="str">
            <v>A03</v>
          </cell>
        </row>
        <row r="72">
          <cell r="A72" t="str">
            <v>110304</v>
          </cell>
          <cell r="B72" t="str">
            <v>Deposito Dollar Gresik</v>
          </cell>
          <cell r="C72" t="str">
            <v>A03</v>
          </cell>
        </row>
        <row r="73">
          <cell r="A73" t="str">
            <v>110305</v>
          </cell>
          <cell r="B73" t="str">
            <v>Setor Jaminan Skbdn</v>
          </cell>
          <cell r="C73" t="str">
            <v>A03</v>
          </cell>
        </row>
        <row r="74">
          <cell r="A74" t="str">
            <v>110306</v>
          </cell>
          <cell r="B74" t="str">
            <v>Surat-Surat Berharga</v>
          </cell>
          <cell r="C74" t="str">
            <v>A03</v>
          </cell>
        </row>
        <row r="75">
          <cell r="A75" t="str">
            <v>110307</v>
          </cell>
          <cell r="B75" t="str">
            <v>Saham</v>
          </cell>
          <cell r="C75" t="str">
            <v>A03</v>
          </cell>
        </row>
        <row r="76">
          <cell r="A76" t="str">
            <v>110308</v>
          </cell>
          <cell r="B76" t="str">
            <v>Bank Garansi Medan</v>
          </cell>
          <cell r="C76" t="str">
            <v>A03</v>
          </cell>
        </row>
        <row r="77">
          <cell r="A77" t="str">
            <v>110309</v>
          </cell>
          <cell r="B77" t="str">
            <v>Deposito Berjangka Medan</v>
          </cell>
          <cell r="C77" t="str">
            <v>A03</v>
          </cell>
        </row>
        <row r="78">
          <cell r="A78" t="str">
            <v>110310</v>
          </cell>
          <cell r="B78" t="str">
            <v>DOC Medan</v>
          </cell>
          <cell r="C78" t="str">
            <v>A03</v>
          </cell>
        </row>
        <row r="79">
          <cell r="A79" t="str">
            <v>110401</v>
          </cell>
          <cell r="B79" t="str">
            <v>Piutang Usaha</v>
          </cell>
          <cell r="C79" t="str">
            <v>A04</v>
          </cell>
        </row>
        <row r="80">
          <cell r="A80" t="str">
            <v>110402</v>
          </cell>
          <cell r="B80" t="str">
            <v>Piutang Affiliasi</v>
          </cell>
          <cell r="C80" t="str">
            <v>A05</v>
          </cell>
        </row>
        <row r="81">
          <cell r="A81" t="str">
            <v>110403</v>
          </cell>
          <cell r="B81" t="str">
            <v>Piutang Lain - lain</v>
          </cell>
          <cell r="C81" t="str">
            <v>A06</v>
          </cell>
        </row>
        <row r="82">
          <cell r="A82" t="str">
            <v>110501</v>
          </cell>
          <cell r="B82" t="str">
            <v>Cad. PH Piutang Usaha</v>
          </cell>
          <cell r="C82" t="str">
            <v>A07</v>
          </cell>
        </row>
        <row r="83">
          <cell r="A83" t="str">
            <v>110502</v>
          </cell>
          <cell r="B83" t="str">
            <v>Cad. PH Piutang Lain - lain</v>
          </cell>
          <cell r="C83" t="str">
            <v>A07</v>
          </cell>
        </row>
        <row r="84">
          <cell r="A84" t="str">
            <v>110600</v>
          </cell>
          <cell r="B84" t="str">
            <v>Persediaan Barang Jadi</v>
          </cell>
          <cell r="C84" t="str">
            <v>A08</v>
          </cell>
        </row>
        <row r="85">
          <cell r="A85" t="str">
            <v>110601</v>
          </cell>
          <cell r="B85" t="str">
            <v>Pupuk Subsidi</v>
          </cell>
          <cell r="C85" t="str">
            <v>A08</v>
          </cell>
        </row>
        <row r="86">
          <cell r="A86" t="str">
            <v>110602</v>
          </cell>
          <cell r="B86" t="str">
            <v>Pupuk Non Subsidi</v>
          </cell>
          <cell r="C86" t="str">
            <v>A08</v>
          </cell>
        </row>
        <row r="87">
          <cell r="A87" t="str">
            <v>110603</v>
          </cell>
          <cell r="B87" t="str">
            <v>Pupuk Non Subsidi Ritail</v>
          </cell>
          <cell r="C87" t="str">
            <v>A08</v>
          </cell>
        </row>
        <row r="88">
          <cell r="A88" t="str">
            <v>110604</v>
          </cell>
          <cell r="B88" t="str">
            <v>Pupuk Indrustri</v>
          </cell>
          <cell r="C88" t="str">
            <v>A08</v>
          </cell>
        </row>
        <row r="89">
          <cell r="A89" t="str">
            <v>110605</v>
          </cell>
          <cell r="B89" t="str">
            <v>Pestisida</v>
          </cell>
          <cell r="C89" t="str">
            <v>A08</v>
          </cell>
        </row>
        <row r="90">
          <cell r="A90" t="str">
            <v>110606</v>
          </cell>
          <cell r="B90" t="str">
            <v>Bahan Kimia</v>
          </cell>
          <cell r="C90" t="str">
            <v>A08</v>
          </cell>
        </row>
        <row r="91">
          <cell r="A91" t="str">
            <v>110607</v>
          </cell>
          <cell r="B91" t="str">
            <v>Kesuplieran Bahan Teknik</v>
          </cell>
          <cell r="C91" t="str">
            <v>A08</v>
          </cell>
        </row>
        <row r="92">
          <cell r="A92" t="str">
            <v>110608</v>
          </cell>
          <cell r="B92" t="str">
            <v>Kesuplieran Bahan Kimia</v>
          </cell>
          <cell r="C92" t="str">
            <v>A08</v>
          </cell>
        </row>
        <row r="93">
          <cell r="A93" t="str">
            <v>110609</v>
          </cell>
          <cell r="B93" t="str">
            <v>Bibit Benih</v>
          </cell>
          <cell r="C93" t="str">
            <v>A08</v>
          </cell>
        </row>
        <row r="94">
          <cell r="A94" t="str">
            <v>110610</v>
          </cell>
          <cell r="B94" t="str">
            <v>Benih</v>
          </cell>
          <cell r="C94" t="str">
            <v>A08</v>
          </cell>
        </row>
        <row r="95">
          <cell r="A95" t="str">
            <v>110611</v>
          </cell>
          <cell r="B95" t="str">
            <v>Jasa Angkutan Pupuk</v>
          </cell>
          <cell r="C95" t="str">
            <v>A08</v>
          </cell>
        </row>
        <row r="96">
          <cell r="A96" t="str">
            <v>110612</v>
          </cell>
          <cell r="B96" t="str">
            <v>Jasa Angkutan Non Pupuk</v>
          </cell>
          <cell r="C96" t="str">
            <v>A08</v>
          </cell>
        </row>
        <row r="97">
          <cell r="A97" t="str">
            <v>110613</v>
          </cell>
          <cell r="B97" t="str">
            <v>Hasil Produksi Petroganik</v>
          </cell>
          <cell r="C97" t="str">
            <v>A08</v>
          </cell>
        </row>
        <row r="98">
          <cell r="A98" t="str">
            <v>110701</v>
          </cell>
          <cell r="B98" t="str">
            <v>Persediaan Barang Dalam Proses</v>
          </cell>
          <cell r="C98" t="str">
            <v>A09</v>
          </cell>
        </row>
        <row r="99">
          <cell r="A99" t="str">
            <v>110801</v>
          </cell>
          <cell r="B99" t="str">
            <v>Bahan Baku Produksi</v>
          </cell>
          <cell r="C99" t="str">
            <v>A10</v>
          </cell>
        </row>
        <row r="100">
          <cell r="A100" t="str">
            <v>110802</v>
          </cell>
          <cell r="B100" t="str">
            <v>Bahan Penolong Produksi</v>
          </cell>
          <cell r="C100" t="str">
            <v>A10</v>
          </cell>
        </row>
        <row r="101">
          <cell r="A101" t="str">
            <v>110803</v>
          </cell>
          <cell r="B101" t="str">
            <v>Peralatan Keselamat Kerja</v>
          </cell>
          <cell r="C101" t="str">
            <v>A10</v>
          </cell>
        </row>
        <row r="102">
          <cell r="A102" t="str">
            <v>110804</v>
          </cell>
          <cell r="B102" t="str">
            <v>Hasil Produksi Petroganik</v>
          </cell>
          <cell r="C102" t="str">
            <v>A10</v>
          </cell>
        </row>
        <row r="103">
          <cell r="A103" t="str">
            <v>110805</v>
          </cell>
          <cell r="B103" t="str">
            <v>Hasil Panen Padi</v>
          </cell>
          <cell r="C103" t="str">
            <v>A10</v>
          </cell>
        </row>
        <row r="104">
          <cell r="A104" t="str">
            <v>110901</v>
          </cell>
          <cell r="B104" t="str">
            <v>Bahan Penolong Petroganik</v>
          </cell>
          <cell r="C104" t="str">
            <v>A11</v>
          </cell>
        </row>
        <row r="105">
          <cell r="A105" t="str">
            <v>110902</v>
          </cell>
          <cell r="B105" t="str">
            <v>Peralatan Keselamat Kerja</v>
          </cell>
          <cell r="C105" t="str">
            <v>A11</v>
          </cell>
        </row>
        <row r="106">
          <cell r="A106" t="str">
            <v>111001</v>
          </cell>
          <cell r="B106" t="str">
            <v>Uang Muka Pembelian</v>
          </cell>
          <cell r="C106" t="str">
            <v>A13</v>
          </cell>
        </row>
        <row r="107">
          <cell r="A107" t="str">
            <v>111002</v>
          </cell>
          <cell r="B107" t="str">
            <v>Uang Muka Pajak</v>
          </cell>
          <cell r="C107" t="str">
            <v>A14</v>
          </cell>
        </row>
        <row r="108">
          <cell r="A108" t="str">
            <v>111003</v>
          </cell>
          <cell r="B108" t="str">
            <v>Uang Muka Lain - Lain</v>
          </cell>
          <cell r="C108" t="str">
            <v>A15</v>
          </cell>
        </row>
        <row r="109">
          <cell r="A109" t="str">
            <v>111100</v>
          </cell>
          <cell r="B109" t="str">
            <v>Biaya Yang Dibayar Dimuka</v>
          </cell>
          <cell r="C109" t="str">
            <v>A15</v>
          </cell>
        </row>
        <row r="110">
          <cell r="A110" t="str">
            <v>111101</v>
          </cell>
          <cell r="B110" t="str">
            <v>BYDD Asuransi</v>
          </cell>
          <cell r="C110" t="str">
            <v>A15</v>
          </cell>
        </row>
        <row r="111">
          <cell r="A111" t="str">
            <v>111102</v>
          </cell>
          <cell r="B111" t="str">
            <v>BYDD Pajak</v>
          </cell>
          <cell r="C111" t="str">
            <v>A15</v>
          </cell>
        </row>
        <row r="112">
          <cell r="A112" t="str">
            <v>111103</v>
          </cell>
          <cell r="B112" t="str">
            <v>BYDD Sewa</v>
          </cell>
          <cell r="C112" t="str">
            <v>A15</v>
          </cell>
        </row>
        <row r="113">
          <cell r="A113" t="str">
            <v>111104</v>
          </cell>
          <cell r="B113" t="str">
            <v>BYDD Transportasi</v>
          </cell>
          <cell r="C113" t="str">
            <v>A15</v>
          </cell>
        </row>
        <row r="114">
          <cell r="A114" t="str">
            <v>111105</v>
          </cell>
          <cell r="B114" t="str">
            <v>BYDD Lain -lain</v>
          </cell>
          <cell r="C114" t="str">
            <v>A15</v>
          </cell>
        </row>
        <row r="115">
          <cell r="A115" t="str">
            <v>111200</v>
          </cell>
          <cell r="B115" t="str">
            <v>Persediaan Barang Habis Pakai</v>
          </cell>
          <cell r="C115" t="str">
            <v>A112</v>
          </cell>
        </row>
        <row r="116">
          <cell r="A116" t="str">
            <v>120101</v>
          </cell>
          <cell r="B116" t="str">
            <v>Sumber Alam Organik Sejahtera, PT</v>
          </cell>
          <cell r="C116" t="str">
            <v>A16</v>
          </cell>
        </row>
        <row r="117">
          <cell r="A117" t="str">
            <v>120102</v>
          </cell>
          <cell r="B117" t="str">
            <v>Sumekar Abdi Sejahtera, PT</v>
          </cell>
          <cell r="C117" t="str">
            <v>A16</v>
          </cell>
        </row>
        <row r="118">
          <cell r="A118" t="str">
            <v>121002</v>
          </cell>
          <cell r="B118" t="str">
            <v>KOSONG</v>
          </cell>
          <cell r="C118" t="str">
            <v>A16</v>
          </cell>
        </row>
        <row r="119">
          <cell r="A119" t="str">
            <v>130101</v>
          </cell>
          <cell r="B119" t="str">
            <v>Aktiva Pajak Tangguhan</v>
          </cell>
          <cell r="C119" t="str">
            <v>A17A</v>
          </cell>
        </row>
        <row r="120">
          <cell r="A120" t="str">
            <v>140101</v>
          </cell>
          <cell r="B120" t="str">
            <v>Aktiva Imbalan Pasca Kerja</v>
          </cell>
          <cell r="C120" t="str">
            <v>A17</v>
          </cell>
        </row>
        <row r="121">
          <cell r="A121" t="str">
            <v>150101</v>
          </cell>
          <cell r="B121" t="str">
            <v>Tanah</v>
          </cell>
          <cell r="C121" t="str">
            <v>A18A</v>
          </cell>
        </row>
        <row r="122">
          <cell r="A122" t="str">
            <v>150102</v>
          </cell>
          <cell r="B122" t="str">
            <v>Gedung Dan Instalasi Listrik</v>
          </cell>
          <cell r="C122" t="str">
            <v>A18B</v>
          </cell>
        </row>
        <row r="123">
          <cell r="A123" t="str">
            <v>150103</v>
          </cell>
          <cell r="B123" t="str">
            <v>Kendaraan</v>
          </cell>
          <cell r="C123" t="str">
            <v>A18C</v>
          </cell>
        </row>
        <row r="124">
          <cell r="A124" t="str">
            <v>150104</v>
          </cell>
          <cell r="B124" t="str">
            <v>Mesin &amp; Peralatan Pabrik</v>
          </cell>
          <cell r="C124" t="str">
            <v>A18D</v>
          </cell>
        </row>
        <row r="125">
          <cell r="A125" t="str">
            <v>150105</v>
          </cell>
          <cell r="B125" t="str">
            <v>Inventaris Kantor</v>
          </cell>
          <cell r="C125" t="str">
            <v>A18E</v>
          </cell>
        </row>
        <row r="126">
          <cell r="A126" t="str">
            <v>150200</v>
          </cell>
          <cell r="B126" t="str">
            <v>Aktiva Tetap Tak Berwujud</v>
          </cell>
          <cell r="C126" t="str">
            <v>A19</v>
          </cell>
        </row>
        <row r="127">
          <cell r="A127" t="str">
            <v>150201</v>
          </cell>
          <cell r="B127" t="str">
            <v>Aktiva Tetap Tak Berwujud</v>
          </cell>
          <cell r="C127" t="str">
            <v>A19</v>
          </cell>
        </row>
        <row r="128">
          <cell r="A128" t="str">
            <v>160102</v>
          </cell>
          <cell r="B128" t="str">
            <v>Akm.PH Gedung &amp; Instalasi Listrik</v>
          </cell>
          <cell r="C128" t="str">
            <v>A20</v>
          </cell>
        </row>
        <row r="129">
          <cell r="A129" t="str">
            <v>160103</v>
          </cell>
          <cell r="B129" t="str">
            <v>Akm.PH Kendaraan</v>
          </cell>
          <cell r="C129" t="str">
            <v>A20</v>
          </cell>
        </row>
        <row r="130">
          <cell r="A130" t="str">
            <v>160104</v>
          </cell>
          <cell r="B130" t="str">
            <v>Akm.PH Mesin &amp; Peralatan Pabrik</v>
          </cell>
          <cell r="C130" t="str">
            <v>A20</v>
          </cell>
        </row>
        <row r="131">
          <cell r="A131" t="str">
            <v>160105</v>
          </cell>
          <cell r="B131" t="str">
            <v>Akm.PH Inventaris Kantor</v>
          </cell>
          <cell r="C131" t="str">
            <v>A20</v>
          </cell>
        </row>
        <row r="132">
          <cell r="A132" t="str">
            <v>160200</v>
          </cell>
          <cell r="B132" t="str">
            <v>Akm.PH Aktiva Tetap Tak Berwujud</v>
          </cell>
          <cell r="C132" t="str">
            <v>A21</v>
          </cell>
        </row>
        <row r="133">
          <cell r="A133" t="str">
            <v>170000</v>
          </cell>
          <cell r="B133" t="str">
            <v>Aktiva Dalam Pelaksanaan</v>
          </cell>
          <cell r="C133" t="str">
            <v>A22</v>
          </cell>
        </row>
        <row r="134">
          <cell r="A134" t="str">
            <v>170100</v>
          </cell>
          <cell r="B134" t="str">
            <v>Pengembangan Software Sistem Informasi</v>
          </cell>
          <cell r="C134" t="str">
            <v>A22</v>
          </cell>
        </row>
        <row r="135">
          <cell r="A135" t="str">
            <v>170200</v>
          </cell>
          <cell r="B135" t="str">
            <v>Kendaraan</v>
          </cell>
          <cell r="C135" t="str">
            <v>A22</v>
          </cell>
        </row>
        <row r="136">
          <cell r="A136" t="str">
            <v>170300</v>
          </cell>
          <cell r="B136" t="str">
            <v>Produksi / Pabrik</v>
          </cell>
          <cell r="C136" t="str">
            <v>A22</v>
          </cell>
        </row>
        <row r="137">
          <cell r="A137" t="str">
            <v>170400</v>
          </cell>
          <cell r="B137" t="str">
            <v>Bangunan</v>
          </cell>
          <cell r="C137" t="str">
            <v>A22</v>
          </cell>
        </row>
        <row r="138">
          <cell r="A138" t="str">
            <v>180000</v>
          </cell>
          <cell r="B138" t="str">
            <v>Aktiva Lain-2</v>
          </cell>
          <cell r="C138" t="str">
            <v>A23</v>
          </cell>
        </row>
        <row r="139">
          <cell r="A139" t="str">
            <v>180100</v>
          </cell>
          <cell r="B139" t="str">
            <v>Piutang Dalam Perkara</v>
          </cell>
          <cell r="C139" t="str">
            <v>A23</v>
          </cell>
        </row>
        <row r="140">
          <cell r="A140" t="str">
            <v>180200</v>
          </cell>
          <cell r="B140" t="str">
            <v>Penyisihan Piutang Perkara</v>
          </cell>
          <cell r="C140" t="str">
            <v>A23</v>
          </cell>
        </row>
        <row r="141">
          <cell r="A141" t="str">
            <v>180300</v>
          </cell>
          <cell r="B141" t="str">
            <v>Aset Sitaan</v>
          </cell>
          <cell r="C141" t="str">
            <v>A23</v>
          </cell>
        </row>
        <row r="142">
          <cell r="A142" t="str">
            <v>180400</v>
          </cell>
          <cell r="B142" t="str">
            <v>Aset Pabrik Petroganik Ex PT SAOS</v>
          </cell>
          <cell r="C142" t="str">
            <v>A23</v>
          </cell>
        </row>
        <row r="143">
          <cell r="A143" t="str">
            <v>180500</v>
          </cell>
          <cell r="B143" t="str">
            <v>Konsorsium MBU</v>
          </cell>
          <cell r="C143" t="str">
            <v>A23</v>
          </cell>
        </row>
        <row r="144">
          <cell r="A144" t="str">
            <v>180600</v>
          </cell>
          <cell r="B144" t="str">
            <v>Jaminan Botol</v>
          </cell>
          <cell r="C144" t="str">
            <v>A23</v>
          </cell>
        </row>
        <row r="145">
          <cell r="A145" t="str">
            <v>180700</v>
          </cell>
          <cell r="B145" t="str">
            <v>Aktiva Dalam Proses Jual</v>
          </cell>
          <cell r="C145" t="str">
            <v>A23</v>
          </cell>
        </row>
        <row r="146">
          <cell r="A146" t="str">
            <v>210100</v>
          </cell>
          <cell r="B146" t="str">
            <v>Hutang Dagang</v>
          </cell>
          <cell r="C146" t="str">
            <v>P01</v>
          </cell>
        </row>
        <row r="147">
          <cell r="A147" t="str">
            <v>210200</v>
          </cell>
          <cell r="B147" t="str">
            <v>Hutang Bank</v>
          </cell>
          <cell r="C147" t="str">
            <v>P01A</v>
          </cell>
        </row>
        <row r="148">
          <cell r="A148" t="str">
            <v>210300</v>
          </cell>
          <cell r="B148" t="str">
            <v>Hutang Affiliasi</v>
          </cell>
          <cell r="C148" t="str">
            <v>P02</v>
          </cell>
        </row>
        <row r="149">
          <cell r="A149" t="str">
            <v>210400</v>
          </cell>
          <cell r="B149" t="str">
            <v>Hutang Pajak</v>
          </cell>
          <cell r="C149" t="str">
            <v>P03</v>
          </cell>
        </row>
        <row r="150">
          <cell r="A150" t="str">
            <v>210500</v>
          </cell>
          <cell r="B150" t="str">
            <v>Hutang Lain-Lain</v>
          </cell>
          <cell r="C150" t="str">
            <v>P04</v>
          </cell>
        </row>
        <row r="151">
          <cell r="A151" t="str">
            <v>210600</v>
          </cell>
          <cell r="B151" t="str">
            <v>Biaya Yang Masih Harus Dibayar</v>
          </cell>
          <cell r="C151" t="str">
            <v>P05</v>
          </cell>
        </row>
        <row r="152">
          <cell r="A152" t="str">
            <v>---210602</v>
          </cell>
          <cell r="B152" t="str">
            <v>Biaya Yang Masih Harus Dibayar</v>
          </cell>
          <cell r="C152" t="str">
            <v>P05</v>
          </cell>
        </row>
        <row r="153">
          <cell r="A153" t="str">
            <v>---210603</v>
          </cell>
          <cell r="B153" t="str">
            <v>Biaya Yang Masih Harus Dibayar</v>
          </cell>
          <cell r="C153" t="str">
            <v>P05</v>
          </cell>
        </row>
        <row r="154">
          <cell r="A154" t="str">
            <v>210700</v>
          </cell>
          <cell r="B154" t="str">
            <v>UM Penjualan - Pupuk Subsidi</v>
          </cell>
          <cell r="C154" t="str">
            <v>P06</v>
          </cell>
        </row>
        <row r="155">
          <cell r="A155" t="str">
            <v>210701</v>
          </cell>
          <cell r="B155" t="str">
            <v>UM Penjualan - Pupuk Subsidi</v>
          </cell>
          <cell r="C155" t="str">
            <v>P06</v>
          </cell>
        </row>
        <row r="156">
          <cell r="A156" t="str">
            <v>210702</v>
          </cell>
          <cell r="B156" t="str">
            <v>UM Penjualan - Pupuk Non Subsidi</v>
          </cell>
          <cell r="C156" t="str">
            <v>P06</v>
          </cell>
        </row>
        <row r="157">
          <cell r="A157" t="str">
            <v>210703</v>
          </cell>
          <cell r="B157" t="str">
            <v>UM Penjualan - Pupuk Non Subsidi Ritail</v>
          </cell>
          <cell r="C157" t="str">
            <v>P06</v>
          </cell>
        </row>
        <row r="158">
          <cell r="A158" t="str">
            <v>210704</v>
          </cell>
          <cell r="B158" t="str">
            <v>UM Penjualan - Pupuk Indrustri</v>
          </cell>
          <cell r="C158" t="str">
            <v>P06</v>
          </cell>
        </row>
        <row r="159">
          <cell r="A159" t="str">
            <v>210705</v>
          </cell>
          <cell r="B159" t="str">
            <v>UM Penjualan - Pestisida</v>
          </cell>
          <cell r="C159" t="str">
            <v>P06</v>
          </cell>
        </row>
        <row r="160">
          <cell r="A160" t="str">
            <v>210706</v>
          </cell>
          <cell r="B160" t="str">
            <v>UM Penjualan - Bahan Kimia</v>
          </cell>
          <cell r="C160" t="str">
            <v>P06</v>
          </cell>
        </row>
        <row r="161">
          <cell r="A161" t="str">
            <v>210707</v>
          </cell>
          <cell r="B161" t="str">
            <v>UM Penjualan - Kesuplieran Bahan Teknik</v>
          </cell>
          <cell r="C161" t="str">
            <v>P06</v>
          </cell>
        </row>
        <row r="162">
          <cell r="A162" t="str">
            <v>210708</v>
          </cell>
          <cell r="B162" t="str">
            <v>UM Penjualan - Kesuplieran Bahan Kimia</v>
          </cell>
          <cell r="C162" t="str">
            <v>P06</v>
          </cell>
        </row>
        <row r="163">
          <cell r="A163" t="str">
            <v>210709</v>
          </cell>
          <cell r="B163" t="str">
            <v>UM Penjualan - Bibit Benih</v>
          </cell>
          <cell r="C163" t="str">
            <v>P06</v>
          </cell>
        </row>
        <row r="164">
          <cell r="A164" t="str">
            <v>210710</v>
          </cell>
          <cell r="B164" t="str">
            <v>UM Penjualan - Benih</v>
          </cell>
          <cell r="C164" t="str">
            <v>P06</v>
          </cell>
        </row>
        <row r="165">
          <cell r="A165" t="str">
            <v>210711</v>
          </cell>
          <cell r="B165" t="str">
            <v>UM Penjualan - Jasa Angkutan Pupuk</v>
          </cell>
          <cell r="C165" t="str">
            <v>P06</v>
          </cell>
        </row>
        <row r="166">
          <cell r="A166" t="str">
            <v>210712</v>
          </cell>
          <cell r="B166" t="str">
            <v>UM Penjualan - Jasa Angkutan Non Pupuk</v>
          </cell>
          <cell r="C166" t="str">
            <v>P06</v>
          </cell>
        </row>
        <row r="167">
          <cell r="A167" t="str">
            <v>210713</v>
          </cell>
          <cell r="B167" t="str">
            <v>UM Penjualan - Jasa Pengelolaan Gudang</v>
          </cell>
          <cell r="C167" t="str">
            <v>P06</v>
          </cell>
        </row>
        <row r="168">
          <cell r="A168" t="str">
            <v>210714</v>
          </cell>
          <cell r="B168" t="str">
            <v>UM Penjualan - Hasil Produksi Petroganik</v>
          </cell>
          <cell r="C168" t="str">
            <v>P06</v>
          </cell>
        </row>
        <row r="169">
          <cell r="A169" t="str">
            <v>210800</v>
          </cell>
          <cell r="B169" t="str">
            <v>Hutang Jangka Panjang</v>
          </cell>
          <cell r="C169" t="str">
            <v>P07</v>
          </cell>
        </row>
        <row r="170">
          <cell r="A170" t="str">
            <v>210801</v>
          </cell>
          <cell r="B170" t="str">
            <v>Hutang Jangka Panjang jatuh Tempo</v>
          </cell>
          <cell r="C170" t="str">
            <v>P07</v>
          </cell>
        </row>
        <row r="171">
          <cell r="A171" t="str">
            <v>220100</v>
          </cell>
          <cell r="B171" t="str">
            <v>Hutang Bank Jangka Panjang</v>
          </cell>
          <cell r="C171" t="str">
            <v>P08</v>
          </cell>
        </row>
        <row r="172">
          <cell r="A172" t="str">
            <v>220200</v>
          </cell>
          <cell r="B172" t="str">
            <v>Hutang Investasi</v>
          </cell>
          <cell r="C172" t="str">
            <v>P09</v>
          </cell>
        </row>
        <row r="173">
          <cell r="A173" t="str">
            <v>220300</v>
          </cell>
          <cell r="B173" t="str">
            <v>Kewajiban Imbalan Pasca Kerja</v>
          </cell>
          <cell r="C173" t="str">
            <v>P10</v>
          </cell>
        </row>
        <row r="174">
          <cell r="A174" t="str">
            <v>220400</v>
          </cell>
          <cell r="B174" t="str">
            <v>Hutang Jangka Panjang Lainnya</v>
          </cell>
          <cell r="C174" t="str">
            <v>P11</v>
          </cell>
        </row>
        <row r="175">
          <cell r="A175" t="str">
            <v>230101</v>
          </cell>
          <cell r="B175" t="str">
            <v>Kewajiban Pajak Tangguhan</v>
          </cell>
          <cell r="C175" t="str">
            <v>P12</v>
          </cell>
        </row>
        <row r="176">
          <cell r="A176" t="str">
            <v>240101</v>
          </cell>
          <cell r="B176" t="str">
            <v>Saham Statutair</v>
          </cell>
          <cell r="C176" t="str">
            <v>P14</v>
          </cell>
        </row>
        <row r="177">
          <cell r="A177" t="str">
            <v>240102</v>
          </cell>
          <cell r="B177" t="str">
            <v>Saham Belum Ditempatkan</v>
          </cell>
          <cell r="C177" t="str">
            <v>P15</v>
          </cell>
        </row>
        <row r="178">
          <cell r="A178" t="str">
            <v>240103</v>
          </cell>
          <cell r="B178" t="str">
            <v>Saham Yang Telah Disetor</v>
          </cell>
          <cell r="C178" t="str">
            <v>P16</v>
          </cell>
        </row>
        <row r="179">
          <cell r="A179" t="str">
            <v>240200</v>
          </cell>
          <cell r="B179" t="str">
            <v>Laba yang dicadangkan</v>
          </cell>
          <cell r="C179" t="str">
            <v>P19</v>
          </cell>
        </row>
        <row r="180">
          <cell r="A180" t="str">
            <v>240201</v>
          </cell>
          <cell r="B180" t="str">
            <v>Laba yang dicadangkan</v>
          </cell>
          <cell r="C180" t="str">
            <v>P19A</v>
          </cell>
        </row>
        <row r="181">
          <cell r="A181" t="str">
            <v>240301</v>
          </cell>
          <cell r="B181" t="str">
            <v>Laba/(Rugi) Tahun Berjalan</v>
          </cell>
          <cell r="C181" t="str">
            <v>P18</v>
          </cell>
        </row>
        <row r="182">
          <cell r="A182" t="str">
            <v>240302</v>
          </cell>
          <cell r="B182" t="str">
            <v>Laba/(Rugi)Belum Dicadangkan</v>
          </cell>
          <cell r="C182" t="str">
            <v>P19</v>
          </cell>
        </row>
        <row r="183">
          <cell r="A183" t="str">
            <v>240400</v>
          </cell>
          <cell r="B183" t="str">
            <v>Ayat Silang Antar Cabang</v>
          </cell>
          <cell r="C183" t="str">
            <v>P14</v>
          </cell>
        </row>
        <row r="184">
          <cell r="A184" t="str">
            <v>240401</v>
          </cell>
          <cell r="B184" t="str">
            <v>Ayat Silang Antar Cabang Gresik</v>
          </cell>
          <cell r="C184" t="str">
            <v>A02</v>
          </cell>
        </row>
        <row r="185">
          <cell r="A185" t="str">
            <v>240402</v>
          </cell>
          <cell r="B185" t="str">
            <v>Ayat Silang Antar Cabang Medan</v>
          </cell>
          <cell r="C185" t="str">
            <v>A02</v>
          </cell>
        </row>
        <row r="186">
          <cell r="A186" t="str">
            <v>240403</v>
          </cell>
          <cell r="B186" t="str">
            <v>Ayat Silang Antar Cabang Makassar</v>
          </cell>
          <cell r="C186" t="str">
            <v>A02</v>
          </cell>
        </row>
        <row r="187">
          <cell r="A187" t="str">
            <v>240404</v>
          </cell>
          <cell r="B187" t="str">
            <v>Ayat Silang Antar Cabang Lampung</v>
          </cell>
          <cell r="C187" t="str">
            <v>A02</v>
          </cell>
        </row>
        <row r="188">
          <cell r="A188" t="str">
            <v>240500</v>
          </cell>
          <cell r="B188" t="str">
            <v>KOSONG</v>
          </cell>
          <cell r="C188" t="str">
            <v>P14</v>
          </cell>
        </row>
        <row r="189">
          <cell r="A189" t="str">
            <v>250100</v>
          </cell>
          <cell r="B189" t="str">
            <v>Penjualan Pupuk</v>
          </cell>
          <cell r="C189" t="str">
            <v>LR01</v>
          </cell>
        </row>
        <row r="190">
          <cell r="A190" t="str">
            <v>250101</v>
          </cell>
          <cell r="B190" t="str">
            <v>Pupuk Subsidi</v>
          </cell>
          <cell r="C190" t="str">
            <v>LR01</v>
          </cell>
        </row>
        <row r="191">
          <cell r="A191" t="str">
            <v>250102</v>
          </cell>
          <cell r="B191" t="str">
            <v>Pupuk Non Subsidi</v>
          </cell>
          <cell r="C191" t="str">
            <v>LR01</v>
          </cell>
        </row>
        <row r="192">
          <cell r="A192" t="str">
            <v>250103</v>
          </cell>
          <cell r="B192" t="str">
            <v>Pupuk Non Subsidi Ritail</v>
          </cell>
          <cell r="C192" t="str">
            <v>LR01</v>
          </cell>
        </row>
        <row r="193">
          <cell r="A193" t="str">
            <v>250104</v>
          </cell>
          <cell r="B193" t="str">
            <v>Pupuk Indrustri</v>
          </cell>
          <cell r="C193" t="str">
            <v>LR01</v>
          </cell>
        </row>
        <row r="194">
          <cell r="A194" t="str">
            <v>250105</v>
          </cell>
          <cell r="B194" t="str">
            <v>Pestisida</v>
          </cell>
          <cell r="C194" t="str">
            <v>LR01</v>
          </cell>
        </row>
        <row r="195">
          <cell r="A195" t="str">
            <v>250106</v>
          </cell>
          <cell r="B195" t="str">
            <v>Bahan Kimia</v>
          </cell>
          <cell r="C195" t="str">
            <v>LR01</v>
          </cell>
        </row>
        <row r="196">
          <cell r="A196" t="str">
            <v>250107</v>
          </cell>
          <cell r="B196" t="str">
            <v>Kesuplieran Bahan Teknik</v>
          </cell>
          <cell r="C196" t="str">
            <v>LR01</v>
          </cell>
        </row>
        <row r="197">
          <cell r="A197" t="str">
            <v>250108</v>
          </cell>
          <cell r="B197" t="str">
            <v>Kesuplieran Bahan Kimia</v>
          </cell>
          <cell r="C197" t="str">
            <v>LR01</v>
          </cell>
        </row>
        <row r="198">
          <cell r="A198" t="str">
            <v>250109</v>
          </cell>
          <cell r="B198" t="str">
            <v>Bibit Benih</v>
          </cell>
          <cell r="C198" t="str">
            <v>LR01</v>
          </cell>
        </row>
        <row r="199">
          <cell r="A199" t="str">
            <v>250110</v>
          </cell>
          <cell r="B199" t="str">
            <v>Benih</v>
          </cell>
          <cell r="C199" t="str">
            <v>LR01</v>
          </cell>
        </row>
        <row r="200">
          <cell r="A200" t="str">
            <v>250111</v>
          </cell>
          <cell r="B200" t="str">
            <v>Jasa Angkutan Pupuk</v>
          </cell>
          <cell r="C200" t="str">
            <v>LR01</v>
          </cell>
        </row>
        <row r="201">
          <cell r="A201" t="str">
            <v>250112</v>
          </cell>
          <cell r="B201" t="str">
            <v>Jasa Angkutan Non Pupuk</v>
          </cell>
          <cell r="C201" t="str">
            <v>LR01</v>
          </cell>
        </row>
        <row r="202">
          <cell r="A202" t="str">
            <v>250113</v>
          </cell>
          <cell r="B202" t="str">
            <v>Jasa Pengelolaan Gudang</v>
          </cell>
          <cell r="C202" t="str">
            <v>LR01</v>
          </cell>
        </row>
        <row r="203">
          <cell r="A203" t="str">
            <v>250114</v>
          </cell>
          <cell r="B203" t="str">
            <v>Hasil Produksi Petroganik</v>
          </cell>
          <cell r="C203" t="str">
            <v>LR01</v>
          </cell>
        </row>
        <row r="204">
          <cell r="A204" t="str">
            <v>250200</v>
          </cell>
          <cell r="B204" t="str">
            <v>Diskon Penjualan Pupuk</v>
          </cell>
          <cell r="C204" t="str">
            <v>LR03</v>
          </cell>
        </row>
        <row r="205">
          <cell r="A205" t="str">
            <v>250201</v>
          </cell>
          <cell r="B205" t="str">
            <v>Pupuk Subsidi</v>
          </cell>
          <cell r="C205" t="str">
            <v>LR03</v>
          </cell>
        </row>
        <row r="206">
          <cell r="A206" t="str">
            <v>250202</v>
          </cell>
          <cell r="B206" t="str">
            <v>Pupuk Non Subsidi</v>
          </cell>
          <cell r="C206" t="str">
            <v>LR03</v>
          </cell>
        </row>
        <row r="207">
          <cell r="A207" t="str">
            <v>250203</v>
          </cell>
          <cell r="B207" t="str">
            <v>Pupuk Non Subsidi Ritail</v>
          </cell>
          <cell r="C207" t="str">
            <v>LR03</v>
          </cell>
        </row>
        <row r="208">
          <cell r="A208" t="str">
            <v>250204</v>
          </cell>
          <cell r="B208" t="str">
            <v>Pupuk Indrustri</v>
          </cell>
          <cell r="C208" t="str">
            <v>LR03</v>
          </cell>
        </row>
        <row r="209">
          <cell r="A209" t="str">
            <v>250205</v>
          </cell>
          <cell r="B209" t="str">
            <v>Pestisida</v>
          </cell>
          <cell r="C209" t="str">
            <v>LR03</v>
          </cell>
        </row>
        <row r="210">
          <cell r="A210" t="str">
            <v>250206</v>
          </cell>
          <cell r="B210" t="str">
            <v>Bahan Kimia</v>
          </cell>
          <cell r="C210" t="str">
            <v>LR03</v>
          </cell>
        </row>
        <row r="211">
          <cell r="A211" t="str">
            <v>250207</v>
          </cell>
          <cell r="B211" t="str">
            <v>Kesuplieran Bahan Teknik</v>
          </cell>
          <cell r="C211" t="str">
            <v>LR03</v>
          </cell>
        </row>
        <row r="212">
          <cell r="A212" t="str">
            <v>250208</v>
          </cell>
          <cell r="B212" t="str">
            <v>Kesuplieran Bahan Kimia</v>
          </cell>
          <cell r="C212" t="str">
            <v>LR03</v>
          </cell>
        </row>
        <row r="213">
          <cell r="A213" t="str">
            <v>250209</v>
          </cell>
          <cell r="B213" t="str">
            <v>Bibit Benih</v>
          </cell>
          <cell r="C213" t="str">
            <v>LR03</v>
          </cell>
        </row>
        <row r="214">
          <cell r="A214" t="str">
            <v>250210</v>
          </cell>
          <cell r="B214" t="str">
            <v>Benih</v>
          </cell>
          <cell r="C214" t="str">
            <v>LR03</v>
          </cell>
        </row>
        <row r="215">
          <cell r="A215" t="str">
            <v>250211</v>
          </cell>
          <cell r="B215" t="str">
            <v>Jasa Angkutan Pupuk</v>
          </cell>
          <cell r="C215" t="str">
            <v>LR03</v>
          </cell>
        </row>
        <row r="216">
          <cell r="A216" t="str">
            <v>250212</v>
          </cell>
          <cell r="B216" t="str">
            <v>Jasa Angkutan Non Pupuk</v>
          </cell>
          <cell r="C216" t="str">
            <v>LR03</v>
          </cell>
        </row>
        <row r="217">
          <cell r="A217" t="str">
            <v>250213</v>
          </cell>
          <cell r="B217" t="str">
            <v>Jasa Pengelolaan Gudang</v>
          </cell>
          <cell r="C217" t="str">
            <v>LR03</v>
          </cell>
        </row>
        <row r="218">
          <cell r="A218" t="str">
            <v>250214</v>
          </cell>
          <cell r="B218" t="str">
            <v>Hasil Produksi Petroganik</v>
          </cell>
          <cell r="C218" t="str">
            <v>LR03</v>
          </cell>
        </row>
        <row r="219">
          <cell r="A219" t="str">
            <v>250301</v>
          </cell>
          <cell r="B219" t="str">
            <v>Pupuk Subsidi</v>
          </cell>
          <cell r="C219" t="str">
            <v>LR04</v>
          </cell>
        </row>
        <row r="220">
          <cell r="A220" t="str">
            <v>250302</v>
          </cell>
          <cell r="B220" t="str">
            <v>Pupuk Non Subsidi</v>
          </cell>
          <cell r="C220" t="str">
            <v>LR04</v>
          </cell>
        </row>
        <row r="221">
          <cell r="A221" t="str">
            <v>250303</v>
          </cell>
          <cell r="B221" t="str">
            <v>Pupuk Non Subsidi Ritail</v>
          </cell>
          <cell r="C221" t="str">
            <v>LR04</v>
          </cell>
        </row>
        <row r="222">
          <cell r="A222" t="str">
            <v>250304</v>
          </cell>
          <cell r="B222" t="str">
            <v>Pupuk Indrustri</v>
          </cell>
          <cell r="C222" t="str">
            <v>LR04</v>
          </cell>
        </row>
        <row r="223">
          <cell r="A223" t="str">
            <v>250305</v>
          </cell>
          <cell r="B223" t="str">
            <v>Pestisida</v>
          </cell>
          <cell r="C223" t="str">
            <v>LR04</v>
          </cell>
        </row>
        <row r="224">
          <cell r="A224" t="str">
            <v>250306</v>
          </cell>
          <cell r="B224" t="str">
            <v>Bahan Kimia</v>
          </cell>
          <cell r="C224" t="str">
            <v>LR04</v>
          </cell>
        </row>
        <row r="225">
          <cell r="A225" t="str">
            <v>250307</v>
          </cell>
          <cell r="B225" t="str">
            <v>Kesuplieran Bahan Teknik</v>
          </cell>
          <cell r="C225" t="str">
            <v>LR04</v>
          </cell>
        </row>
        <row r="226">
          <cell r="A226" t="str">
            <v>250308</v>
          </cell>
          <cell r="B226" t="str">
            <v>Kesuplieran Bahan Kimia</v>
          </cell>
          <cell r="C226" t="str">
            <v>LR04</v>
          </cell>
        </row>
        <row r="227">
          <cell r="A227" t="str">
            <v>250309</v>
          </cell>
          <cell r="B227" t="str">
            <v>Bibit Benih</v>
          </cell>
          <cell r="C227" t="str">
            <v>LR04</v>
          </cell>
        </row>
        <row r="228">
          <cell r="A228" t="str">
            <v>250310</v>
          </cell>
          <cell r="B228" t="str">
            <v>Benih</v>
          </cell>
          <cell r="C228" t="str">
            <v>LR04</v>
          </cell>
        </row>
        <row r="229">
          <cell r="A229" t="str">
            <v>250311</v>
          </cell>
          <cell r="B229" t="str">
            <v>Jasa Angkutan Pupuk</v>
          </cell>
          <cell r="C229" t="str">
            <v>LR04</v>
          </cell>
        </row>
        <row r="230">
          <cell r="A230" t="str">
            <v>250312</v>
          </cell>
          <cell r="B230" t="str">
            <v>Jasa Angkutan Non Pupuk</v>
          </cell>
          <cell r="C230" t="str">
            <v>LR04</v>
          </cell>
        </row>
        <row r="231">
          <cell r="A231" t="str">
            <v>250313</v>
          </cell>
          <cell r="B231" t="str">
            <v>Jasa Pengelolaan Gudang</v>
          </cell>
          <cell r="C231" t="str">
            <v>LR04</v>
          </cell>
        </row>
        <row r="232">
          <cell r="A232" t="str">
            <v>250314</v>
          </cell>
          <cell r="B232" t="str">
            <v>Hasil Produksi Petroganik</v>
          </cell>
          <cell r="C232" t="str">
            <v>LR04</v>
          </cell>
        </row>
        <row r="233">
          <cell r="A233" t="str">
            <v>250400</v>
          </cell>
          <cell r="B233" t="str">
            <v>Harga Pokok Penjualan</v>
          </cell>
          <cell r="C233" t="str">
            <v>LR02</v>
          </cell>
        </row>
        <row r="234">
          <cell r="A234" t="str">
            <v>250401</v>
          </cell>
          <cell r="B234" t="str">
            <v>Harga Bahan Pokok Barang</v>
          </cell>
          <cell r="C234" t="str">
            <v>LR02</v>
          </cell>
        </row>
        <row r="235">
          <cell r="A235" t="str">
            <v>250402</v>
          </cell>
          <cell r="B235" t="str">
            <v>Kesusutan Barang</v>
          </cell>
          <cell r="C235" t="str">
            <v>LR02</v>
          </cell>
        </row>
        <row r="236">
          <cell r="A236" t="str">
            <v>250403</v>
          </cell>
          <cell r="B236" t="str">
            <v>Harga Bahan Baku Produksi</v>
          </cell>
          <cell r="C236" t="str">
            <v>LR02</v>
          </cell>
        </row>
        <row r="237">
          <cell r="A237" t="str">
            <v>250404</v>
          </cell>
          <cell r="B237" t="str">
            <v>Harga Bahan Pokok Produksi (Adj)</v>
          </cell>
          <cell r="C237" t="str">
            <v>LR02</v>
          </cell>
        </row>
        <row r="238">
          <cell r="A238" t="str">
            <v>250405</v>
          </cell>
          <cell r="B238" t="str">
            <v>Harga Bahan Penolong Produksi</v>
          </cell>
          <cell r="C238" t="str">
            <v>LR02</v>
          </cell>
        </row>
        <row r="239">
          <cell r="A239" t="str">
            <v>250406</v>
          </cell>
          <cell r="B239" t="str">
            <v>Biaya Diperhitungkan ke HPP</v>
          </cell>
          <cell r="C239" t="str">
            <v>LR02</v>
          </cell>
        </row>
        <row r="240">
          <cell r="A240" t="str">
            <v>260100</v>
          </cell>
          <cell r="B240" t="str">
            <v>Biaya Umum Dan Administrasi</v>
          </cell>
          <cell r="C240" t="str">
            <v>LR05</v>
          </cell>
        </row>
        <row r="241">
          <cell r="A241" t="str">
            <v>260101</v>
          </cell>
          <cell r="B241" t="str">
            <v>Biaya Gaji, Upah Dan Honorarium</v>
          </cell>
          <cell r="C241" t="str">
            <v>LR05</v>
          </cell>
        </row>
        <row r="242">
          <cell r="A242" t="str">
            <v>260102</v>
          </cell>
          <cell r="B242" t="str">
            <v>Biaya Gaji Karyawan Dbp</v>
          </cell>
          <cell r="C242" t="str">
            <v>LR05</v>
          </cell>
        </row>
        <row r="243">
          <cell r="A243" t="str">
            <v>260103</v>
          </cell>
          <cell r="B243" t="str">
            <v>Biaya Natura Dan Uang Makan</v>
          </cell>
          <cell r="C243" t="str">
            <v>LR05</v>
          </cell>
        </row>
        <row r="244">
          <cell r="A244" t="str">
            <v>260104</v>
          </cell>
          <cell r="B244" t="str">
            <v>Biaya Perawatan Dan Pengobatan</v>
          </cell>
          <cell r="C244" t="str">
            <v>LR05</v>
          </cell>
        </row>
        <row r="245">
          <cell r="A245" t="str">
            <v>260105</v>
          </cell>
          <cell r="B245" t="str">
            <v xml:space="preserve">Biaya Kesejahteraan Karyawan </v>
          </cell>
          <cell r="C245" t="str">
            <v>LR05</v>
          </cell>
        </row>
        <row r="246">
          <cell r="A246" t="str">
            <v>260106</v>
          </cell>
          <cell r="B246" t="str">
            <v>Biaya Asuransi Karyawan</v>
          </cell>
          <cell r="C246" t="str">
            <v>LR05</v>
          </cell>
        </row>
        <row r="247">
          <cell r="A247" t="str">
            <v>260107</v>
          </cell>
          <cell r="B247" t="str">
            <v>Biaya Bbc</v>
          </cell>
          <cell r="C247" t="str">
            <v>LR05</v>
          </cell>
        </row>
        <row r="248">
          <cell r="A248" t="str">
            <v>260108</v>
          </cell>
          <cell r="B248" t="str">
            <v>Biaya Keagamaan</v>
          </cell>
          <cell r="C248" t="str">
            <v>LR05</v>
          </cell>
        </row>
        <row r="249">
          <cell r="A249" t="str">
            <v>260109</v>
          </cell>
          <cell r="B249" t="str">
            <v>Biaya Insentif</v>
          </cell>
          <cell r="C249" t="str">
            <v>LR05</v>
          </cell>
        </row>
        <row r="250">
          <cell r="A250" t="str">
            <v>260110</v>
          </cell>
          <cell r="B250" t="str">
            <v>Biaya Jasa Operasional</v>
          </cell>
          <cell r="C250" t="str">
            <v>LR05</v>
          </cell>
        </row>
        <row r="251">
          <cell r="A251" t="str">
            <v>260111</v>
          </cell>
          <cell r="B251" t="str">
            <v>Biaya Diklat &amp; Seminar</v>
          </cell>
          <cell r="C251" t="str">
            <v>LR05</v>
          </cell>
        </row>
        <row r="252">
          <cell r="A252" t="str">
            <v>260112</v>
          </cell>
          <cell r="B252" t="str">
            <v>Biaya Perjalanan Dinas</v>
          </cell>
          <cell r="C252" t="str">
            <v>LR05</v>
          </cell>
        </row>
        <row r="253">
          <cell r="A253" t="str">
            <v>260113</v>
          </cell>
          <cell r="B253" t="str">
            <v>Biaya Alat Tulis, Cetak &amp; Foto Copy</v>
          </cell>
          <cell r="C253" t="str">
            <v>LR05</v>
          </cell>
        </row>
        <row r="254">
          <cell r="A254" t="str">
            <v>260114</v>
          </cell>
          <cell r="B254" t="str">
            <v>Biaya Pos, Telepon &amp; Telegram</v>
          </cell>
          <cell r="C254" t="str">
            <v>LR05</v>
          </cell>
        </row>
        <row r="255">
          <cell r="A255" t="str">
            <v>260115</v>
          </cell>
          <cell r="B255" t="str">
            <v>Biaya Materai</v>
          </cell>
          <cell r="C255" t="str">
            <v>LR05</v>
          </cell>
        </row>
        <row r="256">
          <cell r="A256" t="str">
            <v>260116</v>
          </cell>
          <cell r="B256" t="str">
            <v>Biaya Surat Kabar</v>
          </cell>
          <cell r="C256" t="str">
            <v>LR05</v>
          </cell>
        </row>
        <row r="257">
          <cell r="A257" t="str">
            <v>260117</v>
          </cell>
          <cell r="B257" t="str">
            <v>Biaya Rapat Dan Tamu</v>
          </cell>
          <cell r="C257" t="str">
            <v>LR05</v>
          </cell>
        </row>
        <row r="258">
          <cell r="A258" t="str">
            <v>260118</v>
          </cell>
          <cell r="B258" t="str">
            <v>Biaya Audit Dan Konsultan Manajemen</v>
          </cell>
          <cell r="C258" t="str">
            <v>LR05</v>
          </cell>
        </row>
        <row r="259">
          <cell r="A259" t="str">
            <v>260119</v>
          </cell>
          <cell r="B259" t="str">
            <v>Biaya Asuransi</v>
          </cell>
          <cell r="C259" t="str">
            <v>LR05</v>
          </cell>
        </row>
        <row r="260">
          <cell r="A260" t="str">
            <v>260120</v>
          </cell>
          <cell r="B260" t="str">
            <v>Biaya Administrasi Bank</v>
          </cell>
          <cell r="C260" t="str">
            <v>LR05</v>
          </cell>
        </row>
        <row r="261">
          <cell r="A261" t="str">
            <v>260121</v>
          </cell>
          <cell r="B261" t="str">
            <v>Biaya Sewa Kantor, Listrik Dan Air</v>
          </cell>
          <cell r="C261" t="str">
            <v>LR05</v>
          </cell>
        </row>
        <row r="262">
          <cell r="A262" t="str">
            <v>260122</v>
          </cell>
          <cell r="B262" t="str">
            <v>Biaya Transportasi, Bahan Bakar &amp; Oli</v>
          </cell>
          <cell r="C262" t="str">
            <v>LR05</v>
          </cell>
        </row>
        <row r="263">
          <cell r="A263" t="str">
            <v>260123</v>
          </cell>
          <cell r="B263" t="str">
            <v>Biaya Sewa Kendaraan</v>
          </cell>
          <cell r="C263" t="str">
            <v>LR05</v>
          </cell>
        </row>
        <row r="264">
          <cell r="A264" t="str">
            <v>260124</v>
          </cell>
          <cell r="B264" t="str">
            <v>Biaya Pemeliharaan Gedung dan Bangunan</v>
          </cell>
          <cell r="C264" t="str">
            <v>LR05</v>
          </cell>
        </row>
        <row r="265">
          <cell r="A265" t="str">
            <v>260125</v>
          </cell>
          <cell r="B265" t="str">
            <v>Biaya Pemeliharaan Kendaraan</v>
          </cell>
          <cell r="C265" t="str">
            <v>LR05</v>
          </cell>
        </row>
        <row r="266">
          <cell r="A266" t="str">
            <v>260126</v>
          </cell>
          <cell r="B266" t="str">
            <v>Biaya Bantuan Sosial</v>
          </cell>
          <cell r="C266" t="str">
            <v>LR05</v>
          </cell>
        </row>
        <row r="267">
          <cell r="A267" t="str">
            <v>260127</v>
          </cell>
          <cell r="B267" t="str">
            <v>Biaya Penyusutan</v>
          </cell>
          <cell r="C267" t="str">
            <v>LR05</v>
          </cell>
        </row>
        <row r="268">
          <cell r="A268" t="str">
            <v>260128</v>
          </cell>
          <cell r="B268" t="str">
            <v>Biaya Umum Dan Lain-Lain</v>
          </cell>
          <cell r="C268" t="str">
            <v>LR05</v>
          </cell>
        </row>
        <row r="269">
          <cell r="A269" t="str">
            <v>260200</v>
          </cell>
          <cell r="B269" t="str">
            <v>Biaya Gaji, Upah Dan Honorarium</v>
          </cell>
          <cell r="C269" t="str">
            <v>LR06</v>
          </cell>
        </row>
        <row r="270">
          <cell r="A270" t="str">
            <v>260201</v>
          </cell>
          <cell r="B270" t="str">
            <v>Biaya Gaji, Upah Dan Honorarium</v>
          </cell>
          <cell r="C270" t="str">
            <v>LR06</v>
          </cell>
        </row>
        <row r="271">
          <cell r="A271" t="str">
            <v>260202</v>
          </cell>
          <cell r="B271" t="str">
            <v>Biaya Gaji Karyawan Dbp</v>
          </cell>
          <cell r="C271" t="str">
            <v>LR06</v>
          </cell>
        </row>
        <row r="272">
          <cell r="A272" t="str">
            <v>260203</v>
          </cell>
          <cell r="B272" t="str">
            <v>Biaya Natura Dan Uang Makan</v>
          </cell>
          <cell r="C272" t="str">
            <v>LR06</v>
          </cell>
        </row>
        <row r="273">
          <cell r="A273" t="str">
            <v>260204</v>
          </cell>
          <cell r="B273" t="str">
            <v>Biaya Perawatan Dan Pengobatan</v>
          </cell>
          <cell r="C273" t="str">
            <v>LR06</v>
          </cell>
        </row>
        <row r="274">
          <cell r="A274" t="str">
            <v>260205</v>
          </cell>
          <cell r="B274" t="str">
            <v xml:space="preserve">Biaya Kesejahteraan Karyawan </v>
          </cell>
          <cell r="C274" t="str">
            <v>LR06</v>
          </cell>
        </row>
        <row r="275">
          <cell r="A275" t="str">
            <v>260206</v>
          </cell>
          <cell r="B275" t="str">
            <v>Biaya Asuransi Karyawan</v>
          </cell>
          <cell r="C275" t="str">
            <v>LR06</v>
          </cell>
        </row>
        <row r="276">
          <cell r="A276" t="str">
            <v>260207</v>
          </cell>
          <cell r="B276" t="str">
            <v>Biaya Bbc</v>
          </cell>
          <cell r="C276" t="str">
            <v>LR06</v>
          </cell>
        </row>
        <row r="277">
          <cell r="A277" t="str">
            <v>260208</v>
          </cell>
          <cell r="B277" t="str">
            <v>Biaya Keagamaan</v>
          </cell>
          <cell r="C277" t="str">
            <v>LR06</v>
          </cell>
        </row>
        <row r="278">
          <cell r="A278" t="str">
            <v>260209</v>
          </cell>
          <cell r="B278" t="str">
            <v>Biaya Insentif</v>
          </cell>
          <cell r="C278" t="str">
            <v>LR06</v>
          </cell>
        </row>
        <row r="279">
          <cell r="A279" t="str">
            <v>260210</v>
          </cell>
          <cell r="B279" t="str">
            <v>Biaya Jasa Operasional</v>
          </cell>
          <cell r="C279" t="str">
            <v>LR06</v>
          </cell>
        </row>
        <row r="280">
          <cell r="A280" t="str">
            <v>260211</v>
          </cell>
          <cell r="B280" t="str">
            <v>Biaya Diklat &amp; Seminar</v>
          </cell>
          <cell r="C280" t="str">
            <v>LR06</v>
          </cell>
        </row>
        <row r="281">
          <cell r="A281" t="str">
            <v>260212</v>
          </cell>
          <cell r="B281" t="str">
            <v>Biaya Perjalanan Dinas</v>
          </cell>
          <cell r="C281" t="str">
            <v>LR06</v>
          </cell>
        </row>
        <row r="282">
          <cell r="A282" t="str">
            <v>260213</v>
          </cell>
          <cell r="B282" t="str">
            <v>Biaya Alat Tulis, Cetak &amp; Foto Copy</v>
          </cell>
          <cell r="C282" t="str">
            <v>LR06</v>
          </cell>
        </row>
        <row r="283">
          <cell r="A283" t="str">
            <v>260214</v>
          </cell>
          <cell r="B283" t="str">
            <v>Biaya Pos, Telepon &amp; Telegram</v>
          </cell>
          <cell r="C283" t="str">
            <v>LR06</v>
          </cell>
        </row>
        <row r="284">
          <cell r="A284" t="str">
            <v>260215</v>
          </cell>
          <cell r="B284" t="str">
            <v>Biaya Materai</v>
          </cell>
          <cell r="C284" t="str">
            <v>LR06</v>
          </cell>
        </row>
        <row r="285">
          <cell r="A285" t="str">
            <v>260216</v>
          </cell>
          <cell r="B285" t="str">
            <v>Biaya Surat Kabar</v>
          </cell>
          <cell r="C285" t="str">
            <v>LR06</v>
          </cell>
        </row>
        <row r="286">
          <cell r="A286" t="str">
            <v>260217</v>
          </cell>
          <cell r="B286" t="str">
            <v>Biaya Rapat Dan Tamu</v>
          </cell>
          <cell r="C286" t="str">
            <v>LR06</v>
          </cell>
        </row>
        <row r="287">
          <cell r="A287" t="str">
            <v>260218</v>
          </cell>
          <cell r="B287" t="str">
            <v>Biaya Audit Dan Konsultan Manajemen</v>
          </cell>
          <cell r="C287" t="str">
            <v>LR06</v>
          </cell>
        </row>
        <row r="288">
          <cell r="A288" t="str">
            <v>260219</v>
          </cell>
          <cell r="B288" t="str">
            <v>Biaya Asuransi</v>
          </cell>
          <cell r="C288" t="str">
            <v>LR06</v>
          </cell>
        </row>
        <row r="289">
          <cell r="A289" t="str">
            <v>260220</v>
          </cell>
          <cell r="B289" t="str">
            <v>Biaya Administrasi Bank</v>
          </cell>
          <cell r="C289" t="str">
            <v>LR06</v>
          </cell>
        </row>
        <row r="290">
          <cell r="A290" t="str">
            <v>260221</v>
          </cell>
          <cell r="B290" t="str">
            <v>Biaya Sewa Kantor, Listrik Dan Air</v>
          </cell>
          <cell r="C290" t="str">
            <v>LR06</v>
          </cell>
        </row>
        <row r="291">
          <cell r="A291" t="str">
            <v>260222</v>
          </cell>
          <cell r="B291" t="str">
            <v>Biaya Transportasi, Bahan Bakar &amp; Oli</v>
          </cell>
          <cell r="C291" t="str">
            <v>LR06</v>
          </cell>
        </row>
        <row r="292">
          <cell r="A292" t="str">
            <v>260223</v>
          </cell>
          <cell r="B292" t="str">
            <v>Biaya Sewa Kendaraan</v>
          </cell>
          <cell r="C292" t="str">
            <v>LR06</v>
          </cell>
        </row>
        <row r="293">
          <cell r="A293" t="str">
            <v>260224</v>
          </cell>
          <cell r="B293" t="str">
            <v>Biaya Pemeliharaan Kantor</v>
          </cell>
          <cell r="C293" t="str">
            <v>LR06</v>
          </cell>
        </row>
        <row r="294">
          <cell r="A294" t="str">
            <v>260225</v>
          </cell>
          <cell r="B294" t="str">
            <v>Biaya Pemeliharaan Rumah Dinas</v>
          </cell>
          <cell r="C294" t="str">
            <v>LR06</v>
          </cell>
        </row>
        <row r="295">
          <cell r="A295" t="str">
            <v>260226</v>
          </cell>
          <cell r="B295" t="str">
            <v>Biaya Pemeliharaan Pabrik</v>
          </cell>
          <cell r="C295" t="str">
            <v>LR06</v>
          </cell>
        </row>
        <row r="296">
          <cell r="A296" t="str">
            <v>260227</v>
          </cell>
          <cell r="B296" t="str">
            <v>Biaya Pemeliharaan Gudang</v>
          </cell>
          <cell r="C296" t="str">
            <v>LR06</v>
          </cell>
        </row>
        <row r="297">
          <cell r="A297" t="str">
            <v>260228</v>
          </cell>
          <cell r="B297" t="str">
            <v>Biaya Pemeliharaan Kendaraan</v>
          </cell>
          <cell r="C297" t="str">
            <v>LR06</v>
          </cell>
        </row>
        <row r="298">
          <cell r="A298" t="str">
            <v>260229</v>
          </cell>
          <cell r="B298" t="str">
            <v xml:space="preserve">Biaya Penyusustan </v>
          </cell>
          <cell r="C298" t="str">
            <v>LR06</v>
          </cell>
        </row>
        <row r="299">
          <cell r="A299" t="str">
            <v>260230</v>
          </cell>
          <cell r="B299" t="str">
            <v>Biaya Pemasaran Kabupaten (Ppk)</v>
          </cell>
          <cell r="C299" t="str">
            <v>LR06</v>
          </cell>
        </row>
        <row r="300">
          <cell r="A300" t="str">
            <v>260231</v>
          </cell>
          <cell r="B300" t="str">
            <v>Biaya Promosi / Advertensi</v>
          </cell>
          <cell r="C300" t="str">
            <v>LR06</v>
          </cell>
        </row>
        <row r="301">
          <cell r="A301" t="str">
            <v>260232</v>
          </cell>
          <cell r="B301" t="str">
            <v>Biaya Umum Dan Lain-Lain</v>
          </cell>
          <cell r="C301" t="str">
            <v>LR06</v>
          </cell>
        </row>
        <row r="302">
          <cell r="A302" t="str">
            <v>260300</v>
          </cell>
          <cell r="B302" t="str">
            <v>Biaya Bunga</v>
          </cell>
          <cell r="C302" t="str">
            <v>LR07</v>
          </cell>
        </row>
        <row r="303">
          <cell r="A303" t="str">
            <v>260301</v>
          </cell>
          <cell r="B303" t="str">
            <v>Biaya Bunga</v>
          </cell>
          <cell r="C303" t="str">
            <v>LR07</v>
          </cell>
        </row>
        <row r="304">
          <cell r="A304" t="str">
            <v>270100</v>
          </cell>
          <cell r="B304" t="str">
            <v>Pendapatan Penjualan Aktiva Tetap</v>
          </cell>
          <cell r="C304" t="str">
            <v>LR09</v>
          </cell>
        </row>
        <row r="305">
          <cell r="A305" t="str">
            <v>270101</v>
          </cell>
          <cell r="B305" t="str">
            <v>Pendapatan Penjualan Aktiva Tetap</v>
          </cell>
          <cell r="C305" t="str">
            <v>LR09</v>
          </cell>
        </row>
        <row r="306">
          <cell r="A306" t="str">
            <v>270102</v>
          </cell>
          <cell r="B306" t="str">
            <v>Pendapatan Lain - lain</v>
          </cell>
          <cell r="C306" t="str">
            <v>LR09</v>
          </cell>
        </row>
        <row r="307">
          <cell r="A307" t="str">
            <v>270200</v>
          </cell>
          <cell r="B307" t="str">
            <v>Biaya Diluar Usaha</v>
          </cell>
          <cell r="C307" t="str">
            <v>LR09</v>
          </cell>
        </row>
        <row r="308">
          <cell r="A308" t="str">
            <v>270201</v>
          </cell>
          <cell r="B308" t="str">
            <v>Biaya Lain - lain Diluar Usaha</v>
          </cell>
          <cell r="C308" t="str">
            <v>LR09</v>
          </cell>
        </row>
        <row r="309">
          <cell r="A309" t="str">
            <v>280100</v>
          </cell>
          <cell r="B309" t="str">
            <v>Beban Pajak Penghasilan</v>
          </cell>
          <cell r="C309" t="str">
            <v>LR10</v>
          </cell>
        </row>
        <row r="310">
          <cell r="A310" t="str">
            <v>290100</v>
          </cell>
          <cell r="B310" t="str">
            <v>Laba (Rugi) dipindahkan</v>
          </cell>
          <cell r="C310" t="str">
            <v>LR11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2:V44"/>
  <sheetViews>
    <sheetView tabSelected="1" zoomScale="80" zoomScaleNormal="80" workbookViewId="0">
      <pane ySplit="7" topLeftCell="A8" activePane="bottomLeft" state="frozen"/>
      <selection pane="bottomLeft" activeCell="H16" sqref="H16"/>
    </sheetView>
  </sheetViews>
  <sheetFormatPr defaultColWidth="9.140625" defaultRowHeight="15" outlineLevelCol="1" x14ac:dyDescent="0.25"/>
  <cols>
    <col min="1" max="2" width="5.28515625" style="63" customWidth="1"/>
    <col min="3" max="3" width="38.42578125" style="63" bestFit="1" customWidth="1"/>
    <col min="4" max="4" width="20.140625" style="142" customWidth="1" outlineLevel="1"/>
    <col min="5" max="8" width="20.140625" style="142" customWidth="1"/>
    <col min="9" max="9" width="5.28515625" style="63" customWidth="1"/>
    <col min="10" max="10" width="40.7109375" style="63" bestFit="1" customWidth="1"/>
    <col min="11" max="11" width="20.140625" style="142" customWidth="1" outlineLevel="1"/>
    <col min="12" max="14" width="20.140625" style="142" customWidth="1"/>
    <col min="15" max="15" width="19.5703125" style="142" bestFit="1" customWidth="1"/>
    <col min="16" max="16" width="19.140625" style="102" bestFit="1" customWidth="1"/>
    <col min="17" max="17" width="16.28515625" style="63" bestFit="1" customWidth="1"/>
    <col min="18" max="18" width="13.42578125" style="63" bestFit="1" customWidth="1"/>
    <col min="19" max="20" width="9.140625" style="63"/>
    <col min="21" max="22" width="9.140625" style="102"/>
    <col min="23" max="23" width="9.140625" style="63"/>
    <col min="24" max="24" width="15.140625" style="63" bestFit="1" customWidth="1"/>
    <col min="25" max="16384" width="9.140625" style="63"/>
  </cols>
  <sheetData>
    <row r="2" spans="2:22" ht="15.75" x14ac:dyDescent="0.25">
      <c r="B2" s="212" t="s">
        <v>125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</row>
    <row r="3" spans="2:22" ht="15.75" x14ac:dyDescent="0.25">
      <c r="B3" s="213" t="s">
        <v>321</v>
      </c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</row>
    <row r="4" spans="2:22" ht="15.75" x14ac:dyDescent="0.25">
      <c r="B4" s="213" t="s">
        <v>538</v>
      </c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</row>
    <row r="5" spans="2:22" x14ac:dyDescent="0.25">
      <c r="D5" s="155"/>
      <c r="E5" s="155"/>
      <c r="F5" s="155"/>
      <c r="G5" s="155"/>
    </row>
    <row r="6" spans="2:22" ht="15" customHeight="1" x14ac:dyDescent="0.25">
      <c r="B6" s="216" t="s">
        <v>95</v>
      </c>
      <c r="C6" s="216" t="s">
        <v>96</v>
      </c>
      <c r="D6" s="156" t="s">
        <v>126</v>
      </c>
      <c r="E6" s="156" t="s">
        <v>126</v>
      </c>
      <c r="F6" s="156" t="s">
        <v>126</v>
      </c>
      <c r="G6" s="156" t="s">
        <v>126</v>
      </c>
      <c r="H6" s="156" t="s">
        <v>126</v>
      </c>
      <c r="I6" s="217" t="s">
        <v>95</v>
      </c>
      <c r="J6" s="216" t="s">
        <v>96</v>
      </c>
      <c r="K6" s="166" t="str">
        <f t="shared" ref="K6:O7" si="0">D6</f>
        <v>PER</v>
      </c>
      <c r="L6" s="166" t="str">
        <f t="shared" si="0"/>
        <v>PER</v>
      </c>
      <c r="M6" s="166" t="str">
        <f t="shared" si="0"/>
        <v>PER</v>
      </c>
      <c r="N6" s="166" t="str">
        <f t="shared" si="0"/>
        <v>PER</v>
      </c>
      <c r="O6" s="166" t="str">
        <f t="shared" si="0"/>
        <v>PER</v>
      </c>
    </row>
    <row r="7" spans="2:22" ht="15" customHeight="1" x14ac:dyDescent="0.25">
      <c r="B7" s="216"/>
      <c r="C7" s="216"/>
      <c r="D7" s="157" t="s">
        <v>155</v>
      </c>
      <c r="E7" s="157" t="s">
        <v>303</v>
      </c>
      <c r="F7" s="157" t="s">
        <v>498</v>
      </c>
      <c r="G7" s="157" t="s">
        <v>520</v>
      </c>
      <c r="H7" s="196" t="s">
        <v>743</v>
      </c>
      <c r="I7" s="218"/>
      <c r="J7" s="216"/>
      <c r="K7" s="167" t="str">
        <f t="shared" si="0"/>
        <v>31 Desember 2022</v>
      </c>
      <c r="L7" s="167" t="str">
        <f t="shared" si="0"/>
        <v>31 Desember 2023</v>
      </c>
      <c r="M7" s="167" t="str">
        <f t="shared" si="0"/>
        <v>31 Desember 2024</v>
      </c>
      <c r="N7" s="167" t="str">
        <f t="shared" si="0"/>
        <v>31 Desember 2025</v>
      </c>
      <c r="O7" s="167" t="str">
        <f t="shared" si="0"/>
        <v>31 Januari 2026</v>
      </c>
    </row>
    <row r="8" spans="2:22" ht="15" customHeight="1" x14ac:dyDescent="0.25">
      <c r="B8" s="64" t="s">
        <v>97</v>
      </c>
      <c r="C8" s="65" t="s">
        <v>98</v>
      </c>
      <c r="D8" s="158"/>
      <c r="E8" s="158"/>
      <c r="F8" s="158"/>
      <c r="G8" s="158"/>
      <c r="H8" s="158"/>
      <c r="I8" s="64" t="s">
        <v>121</v>
      </c>
      <c r="J8" s="65" t="s">
        <v>100</v>
      </c>
      <c r="K8" s="158"/>
      <c r="L8" s="158"/>
      <c r="M8" s="158"/>
      <c r="N8" s="158"/>
      <c r="O8" s="158"/>
    </row>
    <row r="9" spans="2:22" ht="15" customHeight="1" x14ac:dyDescent="0.25">
      <c r="B9" s="66"/>
      <c r="C9" s="67" t="s">
        <v>72</v>
      </c>
      <c r="D9" s="159">
        <v>22964480.670000076</v>
      </c>
      <c r="E9" s="159">
        <v>5751013.6700000763</v>
      </c>
      <c r="F9" s="159">
        <v>1788563.6700000763</v>
      </c>
      <c r="G9" s="159">
        <v>8851508.6700000763</v>
      </c>
      <c r="H9" s="159">
        <f>'WS Trial balance'!BZ7</f>
        <v>4827416.6700000763</v>
      </c>
      <c r="I9" s="66"/>
      <c r="J9" s="67" t="s">
        <v>311</v>
      </c>
      <c r="K9" s="168">
        <v>0</v>
      </c>
      <c r="L9" s="168">
        <v>0</v>
      </c>
      <c r="M9" s="168">
        <v>0</v>
      </c>
      <c r="N9" s="168">
        <v>0</v>
      </c>
      <c r="O9" s="168">
        <v>0</v>
      </c>
      <c r="P9" s="63"/>
      <c r="U9" s="63"/>
      <c r="V9" s="63"/>
    </row>
    <row r="10" spans="2:22" ht="15" customHeight="1" x14ac:dyDescent="0.25">
      <c r="B10" s="66"/>
      <c r="C10" s="67" t="s">
        <v>74</v>
      </c>
      <c r="D10" s="159">
        <v>38487371.7000008</v>
      </c>
      <c r="E10" s="159">
        <v>53412528.38999939</v>
      </c>
      <c r="F10" s="159">
        <v>42405265.960000038</v>
      </c>
      <c r="G10" s="159">
        <v>302956673.61999941</v>
      </c>
      <c r="H10" s="159">
        <f>'WS Trial balance'!BZ8</f>
        <v>196713827.20999932</v>
      </c>
      <c r="I10" s="66"/>
      <c r="J10" s="67" t="s">
        <v>312</v>
      </c>
      <c r="K10" s="169">
        <v>0</v>
      </c>
      <c r="L10" s="169">
        <v>0</v>
      </c>
      <c r="M10" s="169">
        <v>0</v>
      </c>
      <c r="N10" s="169">
        <v>0</v>
      </c>
      <c r="O10" s="169">
        <v>0</v>
      </c>
      <c r="P10" s="63"/>
      <c r="U10" s="63"/>
      <c r="V10" s="63"/>
    </row>
    <row r="11" spans="2:22" ht="15" customHeight="1" x14ac:dyDescent="0.25">
      <c r="B11" s="66"/>
      <c r="C11" s="67" t="s">
        <v>307</v>
      </c>
      <c r="D11" s="159">
        <v>0</v>
      </c>
      <c r="E11" s="159">
        <v>0</v>
      </c>
      <c r="F11" s="159">
        <v>0</v>
      </c>
      <c r="G11" s="159">
        <v>0</v>
      </c>
      <c r="H11" s="159">
        <f>'WS Trial balance'!CA9</f>
        <v>0</v>
      </c>
      <c r="I11" s="66"/>
      <c r="J11" s="67" t="s">
        <v>313</v>
      </c>
      <c r="K11" s="168">
        <v>0</v>
      </c>
      <c r="L11" s="168">
        <v>0</v>
      </c>
      <c r="M11" s="168">
        <v>0</v>
      </c>
      <c r="N11" s="168">
        <v>0</v>
      </c>
      <c r="O11" s="168">
        <v>0</v>
      </c>
      <c r="P11" s="63"/>
      <c r="U11" s="63"/>
      <c r="V11" s="63"/>
    </row>
    <row r="12" spans="2:22" ht="15" customHeight="1" x14ac:dyDescent="0.25">
      <c r="B12" s="66"/>
      <c r="C12" s="67" t="s">
        <v>308</v>
      </c>
      <c r="D12" s="159">
        <v>1570759595.7777438</v>
      </c>
      <c r="E12" s="159">
        <v>1754783596.6166806</v>
      </c>
      <c r="F12" s="159">
        <v>1977894241.3630219</v>
      </c>
      <c r="G12" s="159">
        <v>1926419694.7945766</v>
      </c>
      <c r="H12" s="159">
        <f>+'WS Trial balance'!BZ10</f>
        <v>1979003019.5723548</v>
      </c>
      <c r="I12" s="66"/>
      <c r="J12" s="63" t="s">
        <v>314</v>
      </c>
      <c r="K12" s="168">
        <v>6033860000</v>
      </c>
      <c r="L12" s="168">
        <v>6164854500</v>
      </c>
      <c r="M12" s="168">
        <v>2850000000</v>
      </c>
      <c r="N12" s="168">
        <v>300000000</v>
      </c>
      <c r="O12" s="168">
        <f>+'WS Trial balance'!CA31</f>
        <v>300000000</v>
      </c>
      <c r="P12" s="63"/>
      <c r="U12" s="63"/>
      <c r="V12" s="63"/>
    </row>
    <row r="13" spans="2:22" ht="15" customHeight="1" x14ac:dyDescent="0.25">
      <c r="B13" s="66"/>
      <c r="C13" s="67" t="s">
        <v>309</v>
      </c>
      <c r="D13" s="159">
        <v>6561449467</v>
      </c>
      <c r="E13" s="159">
        <v>6721087630.5555553</v>
      </c>
      <c r="F13" s="159">
        <v>3335823867</v>
      </c>
      <c r="G13" s="159">
        <v>643143867</v>
      </c>
      <c r="H13" s="159">
        <f>+'WS Trial balance'!BZ11</f>
        <v>698023867</v>
      </c>
      <c r="I13" s="66"/>
      <c r="K13" s="168"/>
      <c r="L13" s="168"/>
      <c r="M13" s="168"/>
      <c r="N13" s="168"/>
      <c r="O13" s="168"/>
      <c r="P13" s="63"/>
      <c r="U13" s="63"/>
      <c r="V13" s="63"/>
    </row>
    <row r="14" spans="2:22" ht="15" customHeight="1" x14ac:dyDescent="0.25">
      <c r="B14" s="66"/>
      <c r="C14" s="67" t="s">
        <v>310</v>
      </c>
      <c r="D14" s="159">
        <v>-75000000</v>
      </c>
      <c r="E14" s="159">
        <v>-155000000</v>
      </c>
      <c r="F14" s="159">
        <v>-164000000</v>
      </c>
      <c r="G14" s="159">
        <v>-182000000</v>
      </c>
      <c r="H14" s="159">
        <f>-'WS Trial balance'!CA12</f>
        <v>-194000000</v>
      </c>
      <c r="I14" s="66"/>
      <c r="J14" s="67" t="s">
        <v>151</v>
      </c>
      <c r="K14" s="168">
        <v>0</v>
      </c>
      <c r="L14" s="168">
        <v>5244487.570415251</v>
      </c>
      <c r="M14" s="168">
        <v>29607286.427372813</v>
      </c>
      <c r="N14" s="168">
        <v>47686535.383781642</v>
      </c>
      <c r="O14" s="168">
        <f>+'WS Trial balance'!CA36</f>
        <v>17636043.383781642</v>
      </c>
      <c r="P14" s="63"/>
      <c r="U14" s="63"/>
      <c r="V14" s="63"/>
    </row>
    <row r="15" spans="2:22" ht="15" customHeight="1" x14ac:dyDescent="0.25">
      <c r="B15" s="66"/>
      <c r="C15" s="67" t="s">
        <v>101</v>
      </c>
      <c r="D15" s="159">
        <v>0</v>
      </c>
      <c r="E15" s="159">
        <v>0</v>
      </c>
      <c r="F15" s="159">
        <v>0</v>
      </c>
      <c r="G15" s="159">
        <v>0</v>
      </c>
      <c r="H15" s="159">
        <f>'WS Trial balance'!BZ15</f>
        <v>11608500</v>
      </c>
      <c r="I15" s="66"/>
      <c r="J15" s="67" t="s">
        <v>315</v>
      </c>
      <c r="K15" s="168">
        <v>0</v>
      </c>
      <c r="L15" s="168">
        <v>0</v>
      </c>
      <c r="M15" s="168">
        <v>0</v>
      </c>
      <c r="N15" s="168">
        <v>0</v>
      </c>
      <c r="O15" s="168">
        <v>0</v>
      </c>
      <c r="P15" s="63"/>
      <c r="U15" s="63"/>
      <c r="V15" s="63"/>
    </row>
    <row r="16" spans="2:22" ht="15" customHeight="1" x14ac:dyDescent="0.25">
      <c r="B16" s="66"/>
      <c r="C16" s="67" t="s">
        <v>75</v>
      </c>
      <c r="D16" s="159">
        <v>0</v>
      </c>
      <c r="E16" s="159">
        <v>0</v>
      </c>
      <c r="F16" s="159">
        <v>0</v>
      </c>
      <c r="G16" s="159">
        <v>0</v>
      </c>
      <c r="H16" s="159">
        <v>0</v>
      </c>
      <c r="I16" s="66"/>
      <c r="J16" s="67" t="s">
        <v>152</v>
      </c>
      <c r="K16" s="168">
        <v>0</v>
      </c>
      <c r="L16" s="168">
        <v>0</v>
      </c>
      <c r="M16" s="168">
        <v>0</v>
      </c>
      <c r="N16" s="168">
        <v>0</v>
      </c>
      <c r="O16" s="168">
        <v>0</v>
      </c>
      <c r="P16" s="63"/>
      <c r="U16" s="63"/>
      <c r="V16" s="63"/>
    </row>
    <row r="17" spans="2:22" ht="15" customHeight="1" x14ac:dyDescent="0.25">
      <c r="B17" s="100"/>
      <c r="C17" s="112" t="s">
        <v>154</v>
      </c>
      <c r="D17" s="160">
        <v>0</v>
      </c>
      <c r="E17" s="160">
        <v>0</v>
      </c>
      <c r="F17" s="160">
        <v>0</v>
      </c>
      <c r="G17" s="160">
        <v>0</v>
      </c>
      <c r="H17" s="160">
        <v>0</v>
      </c>
      <c r="I17" s="100"/>
      <c r="J17" s="67" t="s">
        <v>316</v>
      </c>
      <c r="K17" s="168">
        <v>0</v>
      </c>
      <c r="L17" s="168">
        <v>0</v>
      </c>
      <c r="M17" s="168">
        <v>0</v>
      </c>
      <c r="N17" s="168">
        <v>21680000</v>
      </c>
      <c r="O17" s="168">
        <f>+'WS Trial balance'!CA35</f>
        <v>21680000</v>
      </c>
      <c r="P17" s="63"/>
      <c r="U17" s="63"/>
      <c r="V17" s="63"/>
    </row>
    <row r="18" spans="2:22" ht="15" customHeight="1" x14ac:dyDescent="0.25">
      <c r="B18" s="66"/>
      <c r="C18" s="67" t="s">
        <v>76</v>
      </c>
      <c r="D18" s="159">
        <v>0</v>
      </c>
      <c r="E18" s="159">
        <v>0</v>
      </c>
      <c r="F18" s="159">
        <v>0</v>
      </c>
      <c r="G18" s="159">
        <v>0</v>
      </c>
      <c r="H18" s="159">
        <v>0</v>
      </c>
      <c r="I18" s="100"/>
      <c r="J18" s="67" t="s">
        <v>420</v>
      </c>
      <c r="K18" s="168">
        <v>0</v>
      </c>
      <c r="L18" s="168">
        <v>0</v>
      </c>
      <c r="M18" s="168">
        <v>0</v>
      </c>
      <c r="N18" s="168">
        <v>0</v>
      </c>
      <c r="O18" s="168">
        <f>+'WS Trial balance'!CA37</f>
        <v>28950000</v>
      </c>
      <c r="P18" s="63"/>
      <c r="U18" s="63"/>
      <c r="V18" s="63"/>
    </row>
    <row r="19" spans="2:22" ht="15" customHeight="1" x14ac:dyDescent="0.25">
      <c r="B19" s="66"/>
      <c r="C19" s="68" t="s">
        <v>102</v>
      </c>
      <c r="D19" s="161">
        <f>SUM(D9:D18)</f>
        <v>8118660915.1477451</v>
      </c>
      <c r="E19" s="161">
        <f>SUM(E9:E18)</f>
        <v>8380034769.232235</v>
      </c>
      <c r="F19" s="161">
        <f>SUM(F9:F18)</f>
        <v>5193911937.993022</v>
      </c>
      <c r="G19" s="161">
        <f>SUM(G9:G18)</f>
        <v>2699371744.0845761</v>
      </c>
      <c r="H19" s="161">
        <f>SUM(H9:H18)</f>
        <v>2696176630.4523544</v>
      </c>
      <c r="I19" s="100"/>
      <c r="J19" s="67" t="s">
        <v>83</v>
      </c>
      <c r="K19" s="169">
        <v>0</v>
      </c>
      <c r="L19" s="169">
        <v>0</v>
      </c>
      <c r="M19" s="169">
        <v>0</v>
      </c>
      <c r="N19" s="169">
        <v>0</v>
      </c>
      <c r="O19" s="169">
        <v>0</v>
      </c>
      <c r="P19" s="63"/>
      <c r="U19" s="63"/>
      <c r="V19" s="63"/>
    </row>
    <row r="20" spans="2:22" ht="15" customHeight="1" x14ac:dyDescent="0.25">
      <c r="B20" s="66" t="s">
        <v>103</v>
      </c>
      <c r="C20" s="69" t="s">
        <v>77</v>
      </c>
      <c r="D20" s="162">
        <v>0</v>
      </c>
      <c r="E20" s="162">
        <v>0</v>
      </c>
      <c r="F20" s="162">
        <v>0</v>
      </c>
      <c r="G20" s="162">
        <v>0</v>
      </c>
      <c r="H20" s="162">
        <v>0</v>
      </c>
      <c r="I20" s="66"/>
      <c r="J20" s="67"/>
      <c r="K20" s="168">
        <v>0</v>
      </c>
      <c r="L20" s="168">
        <v>0</v>
      </c>
      <c r="M20" s="168">
        <v>0</v>
      </c>
      <c r="N20" s="168">
        <v>0</v>
      </c>
      <c r="O20" s="168">
        <v>0</v>
      </c>
      <c r="P20" s="63"/>
      <c r="U20" s="63"/>
      <c r="V20" s="63"/>
    </row>
    <row r="21" spans="2:22" ht="15" customHeight="1" x14ac:dyDescent="0.25">
      <c r="B21" s="66" t="s">
        <v>104</v>
      </c>
      <c r="C21" s="69" t="s">
        <v>78</v>
      </c>
      <c r="D21" s="162">
        <v>0</v>
      </c>
      <c r="E21" s="162">
        <v>0</v>
      </c>
      <c r="F21" s="162">
        <v>0</v>
      </c>
      <c r="G21" s="162">
        <v>0</v>
      </c>
      <c r="H21" s="162">
        <v>0</v>
      </c>
      <c r="I21" s="100"/>
      <c r="J21" s="112"/>
      <c r="K21" s="169">
        <v>0</v>
      </c>
      <c r="L21" s="169">
        <v>0</v>
      </c>
      <c r="M21" s="169">
        <v>0</v>
      </c>
      <c r="N21" s="169">
        <v>0</v>
      </c>
      <c r="O21" s="169">
        <v>0</v>
      </c>
      <c r="P21" s="63"/>
      <c r="U21" s="63"/>
      <c r="V21" s="63"/>
    </row>
    <row r="22" spans="2:22" ht="15" customHeight="1" x14ac:dyDescent="0.25">
      <c r="B22" s="66" t="s">
        <v>105</v>
      </c>
      <c r="C22" s="69" t="s">
        <v>106</v>
      </c>
      <c r="D22" s="159"/>
      <c r="E22" s="159"/>
      <c r="F22" s="159"/>
      <c r="G22" s="159"/>
      <c r="H22" s="159"/>
      <c r="I22" s="66"/>
      <c r="J22" s="68" t="s">
        <v>108</v>
      </c>
      <c r="K22" s="161">
        <f>SUM(K9:K21)</f>
        <v>6033860000</v>
      </c>
      <c r="L22" s="161">
        <f>SUM(L9:L21)</f>
        <v>6170098987.5704155</v>
      </c>
      <c r="M22" s="161">
        <f>SUM(M9:M21)</f>
        <v>2879607286.4273729</v>
      </c>
      <c r="N22" s="161">
        <f>SUM(N9:N21)</f>
        <v>369366535.38378167</v>
      </c>
      <c r="O22" s="161">
        <f>SUM(O9:O21)</f>
        <v>368266043.38378167</v>
      </c>
      <c r="P22" s="63"/>
      <c r="U22" s="63"/>
      <c r="V22" s="63"/>
    </row>
    <row r="23" spans="2:22" ht="15" customHeight="1" x14ac:dyDescent="0.25">
      <c r="B23" s="66"/>
      <c r="C23" s="67" t="s">
        <v>79</v>
      </c>
      <c r="D23" s="159">
        <v>0</v>
      </c>
      <c r="E23" s="159">
        <v>0</v>
      </c>
      <c r="F23" s="159">
        <v>0</v>
      </c>
      <c r="G23" s="159">
        <v>0</v>
      </c>
      <c r="H23" s="159">
        <v>0</v>
      </c>
      <c r="I23" s="66" t="s">
        <v>99</v>
      </c>
      <c r="J23" s="69" t="s">
        <v>84</v>
      </c>
      <c r="K23" s="159"/>
      <c r="L23" s="159"/>
      <c r="M23" s="159"/>
      <c r="N23" s="159"/>
      <c r="O23" s="159"/>
      <c r="P23" s="63"/>
      <c r="U23" s="63"/>
      <c r="V23" s="63"/>
    </row>
    <row r="24" spans="2:22" ht="15" customHeight="1" x14ac:dyDescent="0.25">
      <c r="B24" s="66"/>
      <c r="C24" s="67" t="s">
        <v>107</v>
      </c>
      <c r="D24" s="159">
        <v>0</v>
      </c>
      <c r="E24" s="159">
        <v>0</v>
      </c>
      <c r="F24" s="159">
        <v>0</v>
      </c>
      <c r="G24" s="159">
        <v>0</v>
      </c>
      <c r="H24" s="159">
        <v>0</v>
      </c>
      <c r="I24" s="100"/>
      <c r="J24" s="67" t="s">
        <v>317</v>
      </c>
      <c r="K24" s="159">
        <v>10900000</v>
      </c>
      <c r="L24" s="159">
        <v>10100000</v>
      </c>
      <c r="M24" s="159">
        <v>9500000</v>
      </c>
      <c r="N24" s="159">
        <v>7900000</v>
      </c>
      <c r="O24" s="159">
        <f>+'WS Trial balance'!CA43</f>
        <v>7900000</v>
      </c>
      <c r="P24" s="63"/>
      <c r="U24" s="63"/>
      <c r="V24" s="63"/>
    </row>
    <row r="25" spans="2:22" ht="15" customHeight="1" x14ac:dyDescent="0.25">
      <c r="B25" s="66"/>
      <c r="C25" s="67" t="s">
        <v>80</v>
      </c>
      <c r="D25" s="159">
        <v>0</v>
      </c>
      <c r="E25" s="159">
        <v>0</v>
      </c>
      <c r="F25" s="159">
        <v>0</v>
      </c>
      <c r="G25" s="159">
        <v>0</v>
      </c>
      <c r="H25" s="159">
        <v>0</v>
      </c>
      <c r="I25" s="66"/>
      <c r="J25" s="67" t="s">
        <v>318</v>
      </c>
      <c r="K25" s="159">
        <v>306200000</v>
      </c>
      <c r="L25" s="159">
        <v>335950000</v>
      </c>
      <c r="M25" s="159">
        <v>364570000</v>
      </c>
      <c r="N25" s="159">
        <v>339030000</v>
      </c>
      <c r="O25" s="159">
        <f>+'WS Trial balance'!CA44</f>
        <v>354610000</v>
      </c>
      <c r="P25" s="63"/>
      <c r="U25" s="63"/>
      <c r="V25" s="63"/>
    </row>
    <row r="26" spans="2:22" ht="15" customHeight="1" x14ac:dyDescent="0.25">
      <c r="B26" s="66"/>
      <c r="C26" s="67" t="s">
        <v>109</v>
      </c>
      <c r="D26" s="159">
        <v>0</v>
      </c>
      <c r="E26" s="159">
        <v>0</v>
      </c>
      <c r="F26" s="159">
        <v>0</v>
      </c>
      <c r="G26" s="159">
        <v>0</v>
      </c>
      <c r="H26" s="159">
        <v>0</v>
      </c>
      <c r="I26" s="66"/>
      <c r="J26" s="67" t="s">
        <v>319</v>
      </c>
      <c r="K26" s="159">
        <v>0</v>
      </c>
      <c r="L26" s="159">
        <v>0</v>
      </c>
      <c r="M26" s="159">
        <v>0</v>
      </c>
      <c r="N26" s="159">
        <v>0</v>
      </c>
      <c r="O26" s="159">
        <v>0</v>
      </c>
      <c r="P26" s="63"/>
      <c r="U26" s="63"/>
      <c r="V26" s="63"/>
    </row>
    <row r="27" spans="2:22" ht="15" customHeight="1" x14ac:dyDescent="0.25">
      <c r="B27" s="66"/>
      <c r="C27" s="70" t="s">
        <v>81</v>
      </c>
      <c r="D27" s="163">
        <v>0</v>
      </c>
      <c r="E27" s="163">
        <v>0</v>
      </c>
      <c r="F27" s="163">
        <v>0</v>
      </c>
      <c r="G27" s="163">
        <v>0</v>
      </c>
      <c r="H27" s="163">
        <v>0</v>
      </c>
      <c r="I27" s="100"/>
      <c r="J27" s="67" t="s">
        <v>85</v>
      </c>
      <c r="K27" s="159">
        <v>1623304769</v>
      </c>
      <c r="L27" s="159">
        <v>1681063227.4590981</v>
      </c>
      <c r="M27" s="159">
        <v>1753027683.2295132</v>
      </c>
      <c r="N27" s="159">
        <v>1827910535.5656493</v>
      </c>
      <c r="O27" s="159">
        <f>+'WS Trial balance'!CA46</f>
        <v>1891400387.6572032</v>
      </c>
      <c r="P27" s="63"/>
      <c r="U27" s="63"/>
      <c r="V27" s="63"/>
    </row>
    <row r="28" spans="2:22" ht="15" customHeight="1" x14ac:dyDescent="0.25">
      <c r="B28" s="66"/>
      <c r="C28" s="71" t="s">
        <v>110</v>
      </c>
      <c r="D28" s="160">
        <f>SUM(D23:D27)</f>
        <v>0</v>
      </c>
      <c r="E28" s="160">
        <f>SUM(E23:E27)</f>
        <v>0</v>
      </c>
      <c r="F28" s="160">
        <f>SUM(F23:F27)</f>
        <v>0</v>
      </c>
      <c r="G28" s="160">
        <f>SUM(G23:G27)</f>
        <v>0</v>
      </c>
      <c r="H28" s="160">
        <f>SUM(H23:H27)</f>
        <v>0</v>
      </c>
      <c r="I28" s="100"/>
      <c r="J28" s="67" t="s">
        <v>114</v>
      </c>
      <c r="K28" s="159">
        <v>0</v>
      </c>
      <c r="L28" s="159">
        <v>0</v>
      </c>
      <c r="M28" s="159">
        <v>0</v>
      </c>
      <c r="N28" s="159">
        <v>-1.4901161193847656E-7</v>
      </c>
      <c r="O28" s="159">
        <f>+'WS Trial balance'!CA47</f>
        <v>-447322.9564088583</v>
      </c>
      <c r="P28" s="178"/>
      <c r="U28" s="63"/>
      <c r="V28" s="63"/>
    </row>
    <row r="29" spans="2:22" ht="15" customHeight="1" x14ac:dyDescent="0.25">
      <c r="B29" s="66"/>
      <c r="C29" s="67" t="s">
        <v>111</v>
      </c>
      <c r="D29" s="159">
        <v>0</v>
      </c>
      <c r="E29" s="159">
        <v>0</v>
      </c>
      <c r="F29" s="159">
        <v>0</v>
      </c>
      <c r="G29" s="159">
        <v>0</v>
      </c>
      <c r="H29" s="159">
        <v>0</v>
      </c>
      <c r="I29" s="66"/>
      <c r="J29" s="67"/>
      <c r="K29" s="159"/>
      <c r="L29" s="159"/>
      <c r="M29" s="159"/>
      <c r="N29" s="159"/>
      <c r="O29" s="159"/>
      <c r="P29" s="63"/>
      <c r="U29" s="63"/>
      <c r="V29" s="63"/>
    </row>
    <row r="30" spans="2:22" ht="15" customHeight="1" x14ac:dyDescent="0.25">
      <c r="B30" s="66"/>
      <c r="C30" s="68" t="s">
        <v>102</v>
      </c>
      <c r="D30" s="161">
        <f>D28+D29</f>
        <v>0</v>
      </c>
      <c r="E30" s="161">
        <f>E28+E29</f>
        <v>0</v>
      </c>
      <c r="F30" s="161">
        <f>F28+F29</f>
        <v>0</v>
      </c>
      <c r="G30" s="161">
        <f>G28+G29</f>
        <v>0</v>
      </c>
      <c r="H30" s="161">
        <f>H28+H29</f>
        <v>0</v>
      </c>
      <c r="I30" s="66"/>
      <c r="J30" s="67" t="s">
        <v>320</v>
      </c>
      <c r="K30" s="159">
        <v>144396146.14774501</v>
      </c>
      <c r="L30" s="159">
        <v>182822554.2027216</v>
      </c>
      <c r="M30" s="159">
        <v>187206968.33613586</v>
      </c>
      <c r="N30" s="159">
        <v>155164673.13514519</v>
      </c>
      <c r="O30" s="159">
        <f>+'WS Trial balance'!BZ70</f>
        <v>74447522.367777944</v>
      </c>
      <c r="P30" s="63"/>
      <c r="U30" s="63"/>
      <c r="V30" s="63"/>
    </row>
    <row r="31" spans="2:22" ht="15" customHeight="1" x14ac:dyDescent="0.25">
      <c r="B31" s="66" t="s">
        <v>112</v>
      </c>
      <c r="C31" s="69" t="s">
        <v>113</v>
      </c>
      <c r="D31" s="159"/>
      <c r="E31" s="159"/>
      <c r="F31" s="159"/>
      <c r="G31" s="159"/>
      <c r="H31" s="159"/>
      <c r="I31" s="66"/>
      <c r="J31" s="68" t="s">
        <v>118</v>
      </c>
      <c r="K31" s="161">
        <f>SUM(K24:K30)</f>
        <v>2084800915.1477451</v>
      </c>
      <c r="L31" s="161">
        <f>SUM(L24:L30)</f>
        <v>2209935781.6618195</v>
      </c>
      <c r="M31" s="161">
        <f>SUM(M24:M30)</f>
        <v>2314304651.565649</v>
      </c>
      <c r="N31" s="161">
        <f>SUM(N24:N30)</f>
        <v>2330005208.7007942</v>
      </c>
      <c r="O31" s="161">
        <f>SUM(O24:O30)</f>
        <v>2327910587.068572</v>
      </c>
      <c r="P31" s="63"/>
      <c r="U31" s="63"/>
      <c r="V31" s="63"/>
    </row>
    <row r="32" spans="2:22" ht="15" customHeight="1" x14ac:dyDescent="0.25">
      <c r="B32" s="66"/>
      <c r="C32" s="67" t="s">
        <v>115</v>
      </c>
      <c r="D32" s="159">
        <v>0</v>
      </c>
      <c r="E32" s="159">
        <v>0</v>
      </c>
      <c r="F32" s="159">
        <v>0</v>
      </c>
      <c r="G32" s="159">
        <v>0</v>
      </c>
      <c r="H32" s="159">
        <v>0</v>
      </c>
      <c r="I32" s="66"/>
      <c r="K32" s="170"/>
      <c r="L32" s="170"/>
      <c r="M32" s="170"/>
      <c r="N32" s="170"/>
      <c r="O32" s="170"/>
      <c r="P32" s="63"/>
      <c r="U32" s="63"/>
      <c r="V32" s="63"/>
    </row>
    <row r="33" spans="2:22" ht="15" customHeight="1" x14ac:dyDescent="0.25">
      <c r="B33" s="66"/>
      <c r="C33" s="67" t="s">
        <v>117</v>
      </c>
      <c r="D33" s="159">
        <v>0</v>
      </c>
      <c r="E33" s="159">
        <v>0</v>
      </c>
      <c r="F33" s="159">
        <v>0</v>
      </c>
      <c r="G33" s="159">
        <v>0</v>
      </c>
      <c r="H33" s="159">
        <v>0</v>
      </c>
      <c r="I33" s="66"/>
      <c r="K33" s="171"/>
      <c r="L33" s="171"/>
      <c r="M33" s="171"/>
      <c r="N33" s="171"/>
      <c r="O33" s="171"/>
      <c r="P33" s="63"/>
      <c r="U33" s="63"/>
      <c r="V33" s="63"/>
    </row>
    <row r="34" spans="2:22" ht="15" customHeight="1" x14ac:dyDescent="0.25">
      <c r="B34" s="66"/>
      <c r="C34" s="68" t="s">
        <v>119</v>
      </c>
      <c r="D34" s="161">
        <f>SUM(D32:D33)</f>
        <v>0</v>
      </c>
      <c r="E34" s="161">
        <f>SUM(E32:E33)</f>
        <v>0</v>
      </c>
      <c r="F34" s="161">
        <f>SUM(F32:F33)</f>
        <v>0</v>
      </c>
      <c r="G34" s="161">
        <f>SUM(G32:G33)</f>
        <v>0</v>
      </c>
      <c r="H34" s="161">
        <f>SUM(H32:H33)</f>
        <v>0</v>
      </c>
      <c r="I34" s="100"/>
      <c r="K34" s="171"/>
      <c r="L34" s="171"/>
      <c r="M34" s="171"/>
      <c r="N34" s="171"/>
      <c r="O34" s="171"/>
      <c r="P34" s="63"/>
      <c r="U34" s="63"/>
      <c r="V34" s="63"/>
    </row>
    <row r="35" spans="2:22" ht="15" customHeight="1" x14ac:dyDescent="0.25">
      <c r="B35" s="66" t="s">
        <v>120</v>
      </c>
      <c r="C35" s="69" t="s">
        <v>122</v>
      </c>
      <c r="D35" s="162">
        <v>0</v>
      </c>
      <c r="E35" s="162">
        <v>0</v>
      </c>
      <c r="F35" s="162">
        <v>0</v>
      </c>
      <c r="G35" s="162">
        <v>0</v>
      </c>
      <c r="H35" s="162">
        <v>0</v>
      </c>
      <c r="I35" s="66"/>
      <c r="J35" s="67"/>
      <c r="K35" s="159"/>
      <c r="L35" s="159"/>
      <c r="M35" s="159"/>
      <c r="N35" s="159"/>
      <c r="O35" s="159"/>
      <c r="P35" s="63"/>
      <c r="U35" s="63"/>
      <c r="V35" s="63"/>
    </row>
    <row r="36" spans="2:22" ht="15" customHeight="1" x14ac:dyDescent="0.25">
      <c r="B36" s="105"/>
      <c r="C36" s="106"/>
      <c r="D36" s="164"/>
      <c r="E36" s="164"/>
      <c r="F36" s="164"/>
      <c r="G36" s="164"/>
      <c r="H36" s="164"/>
      <c r="I36" s="66"/>
      <c r="J36" s="67"/>
      <c r="K36" s="159"/>
      <c r="L36" s="159"/>
      <c r="M36" s="159"/>
      <c r="N36" s="159"/>
      <c r="O36" s="159"/>
      <c r="P36" s="63"/>
      <c r="U36" s="63"/>
      <c r="V36" s="63"/>
    </row>
    <row r="37" spans="2:22" x14ac:dyDescent="0.25">
      <c r="B37" s="214" t="s">
        <v>123</v>
      </c>
      <c r="C37" s="215"/>
      <c r="D37" s="161">
        <f>D19+D20+D21+D30+D34+D35</f>
        <v>8118660915.1477451</v>
      </c>
      <c r="E37" s="161">
        <f>E19+E20+E21+E30+E34+E35</f>
        <v>8380034769.232235</v>
      </c>
      <c r="F37" s="161">
        <f>F19+F20+F21+F30+F34+F35</f>
        <v>5193911937.993022</v>
      </c>
      <c r="G37" s="161">
        <f>G19+G20+G21+G30+G34+G35</f>
        <v>2699371744.0845761</v>
      </c>
      <c r="H37" s="161">
        <f>H19+H20+H21+H30+H34+H35</f>
        <v>2696176630.4523544</v>
      </c>
      <c r="I37" s="214" t="s">
        <v>124</v>
      </c>
      <c r="J37" s="215"/>
      <c r="K37" s="161">
        <f>K22+K31</f>
        <v>8118660915.1477451</v>
      </c>
      <c r="L37" s="161">
        <f>L22+L31</f>
        <v>8380034769.232235</v>
      </c>
      <c r="M37" s="161">
        <f>M22+M31</f>
        <v>5193911937.993022</v>
      </c>
      <c r="N37" s="161">
        <f>N22+N31</f>
        <v>2699371744.0845757</v>
      </c>
      <c r="O37" s="161">
        <f>O22+O31</f>
        <v>2696176630.4523535</v>
      </c>
      <c r="P37" s="63"/>
      <c r="U37" s="63"/>
      <c r="V37" s="63"/>
    </row>
    <row r="38" spans="2:22" x14ac:dyDescent="0.25">
      <c r="D38" s="165"/>
      <c r="E38" s="165"/>
      <c r="F38" s="165"/>
      <c r="G38" s="165"/>
      <c r="H38" s="165"/>
      <c r="K38" s="165"/>
      <c r="L38" s="165"/>
      <c r="M38" s="165"/>
      <c r="N38" s="165"/>
      <c r="O38" s="165"/>
      <c r="P38" s="63"/>
      <c r="U38" s="63"/>
      <c r="V38" s="63"/>
    </row>
    <row r="39" spans="2:22" x14ac:dyDescent="0.25">
      <c r="D39" s="165"/>
      <c r="E39" s="165"/>
      <c r="F39" s="165"/>
      <c r="G39" s="165"/>
      <c r="H39" s="165"/>
      <c r="K39" s="165">
        <f>+K37-D37</f>
        <v>0</v>
      </c>
      <c r="L39" s="165">
        <f>+L37-E37</f>
        <v>0</v>
      </c>
      <c r="M39" s="165">
        <f>+M37-F37</f>
        <v>0</v>
      </c>
      <c r="N39" s="165">
        <f>+N37-G37</f>
        <v>0</v>
      </c>
      <c r="O39" s="165">
        <f>+O37-H37</f>
        <v>0</v>
      </c>
      <c r="P39" s="63"/>
      <c r="U39" s="63"/>
      <c r="V39" s="63"/>
    </row>
    <row r="40" spans="2:22" x14ac:dyDescent="0.25">
      <c r="D40" s="165"/>
      <c r="E40" s="165"/>
      <c r="F40" s="165"/>
      <c r="G40" s="165"/>
      <c r="H40" s="165"/>
      <c r="K40" s="165"/>
      <c r="L40" s="188">
        <f>L30-K30</f>
        <v>38426408.054976583</v>
      </c>
      <c r="M40" s="188">
        <f>M30-L30</f>
        <v>4384414.1334142685</v>
      </c>
      <c r="N40" s="188">
        <f>N30-M30</f>
        <v>-32042295.200990677</v>
      </c>
      <c r="O40" s="188">
        <f>O30-M30</f>
        <v>-112759445.96835792</v>
      </c>
      <c r="P40" s="63"/>
      <c r="U40" s="63"/>
      <c r="V40" s="63"/>
    </row>
    <row r="41" spans="2:22" x14ac:dyDescent="0.25">
      <c r="P41" s="63"/>
      <c r="U41" s="63"/>
      <c r="V41" s="63"/>
    </row>
    <row r="42" spans="2:22" x14ac:dyDescent="0.25">
      <c r="K42" s="142">
        <f>K30*60%</f>
        <v>86637687.688647002</v>
      </c>
      <c r="L42" s="142">
        <f>L30*60%</f>
        <v>109693532.52163295</v>
      </c>
      <c r="M42" s="142">
        <f>M30*60%</f>
        <v>112324181.00168152</v>
      </c>
      <c r="N42" s="142">
        <f>N30*60%</f>
        <v>93098803.881087109</v>
      </c>
      <c r="O42" s="142">
        <f>O30*60%</f>
        <v>44668513.420666762</v>
      </c>
      <c r="P42" s="63"/>
      <c r="U42" s="63"/>
      <c r="V42" s="63"/>
    </row>
    <row r="43" spans="2:22" x14ac:dyDescent="0.25">
      <c r="K43" s="142">
        <f>K30-K42</f>
        <v>57758458.459098011</v>
      </c>
      <c r="L43" s="142">
        <f>L30-L42</f>
        <v>73129021.681088641</v>
      </c>
      <c r="M43" s="142">
        <f>M30-M42</f>
        <v>74882787.334454343</v>
      </c>
      <c r="N43" s="142">
        <f>N30-N42</f>
        <v>62065869.254058078</v>
      </c>
      <c r="O43" s="142">
        <f>O30-O42</f>
        <v>29779008.947111182</v>
      </c>
      <c r="P43" s="63"/>
      <c r="U43" s="63"/>
      <c r="V43" s="63"/>
    </row>
    <row r="44" spans="2:22" x14ac:dyDescent="0.25">
      <c r="P44" s="63"/>
      <c r="U44" s="63"/>
      <c r="V44" s="63"/>
    </row>
  </sheetData>
  <mergeCells count="9">
    <mergeCell ref="B2:O2"/>
    <mergeCell ref="B3:O3"/>
    <mergeCell ref="B4:O4"/>
    <mergeCell ref="B37:C37"/>
    <mergeCell ref="I37:J37"/>
    <mergeCell ref="B6:B7"/>
    <mergeCell ref="C6:C7"/>
    <mergeCell ref="I6:I7"/>
    <mergeCell ref="J6:J7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6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AE32"/>
  <sheetViews>
    <sheetView zoomScale="80" zoomScaleNormal="80" workbookViewId="0">
      <pane xSplit="3" ySplit="7" topLeftCell="I8" activePane="bottomRight" state="frozen"/>
      <selection activeCell="U20" sqref="U20"/>
      <selection pane="topRight" activeCell="U20" sqref="U20"/>
      <selection pane="bottomLeft" activeCell="U20" sqref="U20"/>
      <selection pane="bottomRight" activeCell="D9" sqref="D9:AC27"/>
    </sheetView>
  </sheetViews>
  <sheetFormatPr defaultColWidth="9.140625" defaultRowHeight="15.75" outlineLevelCol="1" x14ac:dyDescent="0.25"/>
  <cols>
    <col min="1" max="1" width="5.42578125" style="79" customWidth="1"/>
    <col min="2" max="2" width="2.42578125" style="79" customWidth="1"/>
    <col min="3" max="3" width="45.42578125" style="79" customWidth="1"/>
    <col min="4" max="4" width="20.28515625" style="79" customWidth="1" outlineLevel="1"/>
    <col min="5" max="5" width="22" style="79" customWidth="1" outlineLevel="1"/>
    <col min="6" max="8" width="20.28515625" style="79" customWidth="1" outlineLevel="1"/>
    <col min="9" max="9" width="22" style="79" customWidth="1" outlineLevel="1"/>
    <col min="10" max="10" width="20.28515625" style="79" customWidth="1" outlineLevel="1"/>
    <col min="11" max="11" width="22" style="79" customWidth="1" outlineLevel="1"/>
    <col min="12" max="12" width="20.28515625" style="79" customWidth="1" outlineLevel="1"/>
    <col min="13" max="13" width="22" style="79" customWidth="1" outlineLevel="1"/>
    <col min="14" max="16" width="20.28515625" style="79" customWidth="1" outlineLevel="1"/>
    <col min="17" max="17" width="22" style="79" customWidth="1" outlineLevel="1"/>
    <col min="18" max="18" width="20.28515625" style="79" customWidth="1" outlineLevel="1"/>
    <col min="19" max="19" width="22" style="79" customWidth="1" outlineLevel="1"/>
    <col min="20" max="20" width="20.28515625" style="79" customWidth="1" outlineLevel="1"/>
    <col min="21" max="21" width="22" style="79" customWidth="1" outlineLevel="1"/>
    <col min="22" max="24" width="20.28515625" style="79" customWidth="1" outlineLevel="1"/>
    <col min="25" max="25" width="22" style="79" customWidth="1" outlineLevel="1"/>
    <col min="26" max="26" width="20.28515625" style="79" customWidth="1" outlineLevel="1"/>
    <col min="27" max="27" width="22" style="79" customWidth="1" outlineLevel="1"/>
    <col min="28" max="28" width="10.42578125" style="103" customWidth="1" outlineLevel="1"/>
    <col min="29" max="29" width="20.28515625" style="79" customWidth="1"/>
    <col min="30" max="30" width="9.140625" style="79"/>
    <col min="31" max="31" width="17" style="79" bestFit="1" customWidth="1"/>
    <col min="32" max="32" width="14.5703125" style="79" bestFit="1" customWidth="1"/>
    <col min="33" max="16384" width="9.140625" style="79"/>
  </cols>
  <sheetData>
    <row r="2" spans="1:29" x14ac:dyDescent="0.25">
      <c r="B2" s="90" t="s">
        <v>137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C2" s="90"/>
    </row>
    <row r="3" spans="1:29" x14ac:dyDescent="0.25">
      <c r="B3" s="90" t="s">
        <v>321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C3" s="90"/>
    </row>
    <row r="4" spans="1:29" x14ac:dyDescent="0.25">
      <c r="B4" s="107" t="str">
        <f>NR!B4</f>
        <v>TAHUN 2023 - 2026</v>
      </c>
      <c r="C4" s="90"/>
      <c r="D4" s="116"/>
      <c r="E4" s="90"/>
      <c r="F4" s="90" t="s">
        <v>433</v>
      </c>
      <c r="G4" s="90"/>
      <c r="H4" s="90" t="s">
        <v>457</v>
      </c>
      <c r="I4" s="90"/>
      <c r="J4" s="90" t="s">
        <v>456</v>
      </c>
      <c r="K4" s="90"/>
      <c r="L4" s="90" t="s">
        <v>455</v>
      </c>
      <c r="M4" s="90"/>
      <c r="N4" s="90" t="s">
        <v>454</v>
      </c>
      <c r="O4" s="90"/>
      <c r="P4" s="90" t="s">
        <v>442</v>
      </c>
      <c r="Q4" s="90"/>
      <c r="R4" s="90" t="s">
        <v>453</v>
      </c>
      <c r="S4" s="90"/>
      <c r="T4" s="90" t="s">
        <v>452</v>
      </c>
      <c r="U4" s="90"/>
      <c r="V4" s="90" t="s">
        <v>451</v>
      </c>
      <c r="W4" s="90"/>
      <c r="X4" s="90" t="s">
        <v>450</v>
      </c>
      <c r="Y4" s="90"/>
      <c r="Z4" s="90" t="s">
        <v>444</v>
      </c>
      <c r="AA4" s="90"/>
      <c r="AC4" s="90"/>
    </row>
    <row r="5" spans="1:29" x14ac:dyDescent="0.25">
      <c r="D5" s="115" t="s">
        <v>431</v>
      </c>
      <c r="F5" s="79" t="s">
        <v>432</v>
      </c>
      <c r="H5" s="79" t="s">
        <v>441</v>
      </c>
      <c r="J5" s="79" t="s">
        <v>442</v>
      </c>
      <c r="L5" s="79" t="s">
        <v>443</v>
      </c>
      <c r="N5" s="79" t="s">
        <v>444</v>
      </c>
      <c r="P5" s="79" t="s">
        <v>445</v>
      </c>
      <c r="R5" s="79" t="s">
        <v>446</v>
      </c>
      <c r="T5" s="79" t="s">
        <v>447</v>
      </c>
      <c r="V5" s="79" t="s">
        <v>448</v>
      </c>
      <c r="X5" s="79" t="s">
        <v>449</v>
      </c>
      <c r="Y5" s="90"/>
      <c r="Z5" s="79" t="s">
        <v>458</v>
      </c>
    </row>
    <row r="6" spans="1:29" s="81" customFormat="1" ht="17.100000000000001" customHeight="1" x14ac:dyDescent="0.25">
      <c r="A6" s="80"/>
      <c r="B6" s="219" t="s">
        <v>92</v>
      </c>
      <c r="C6" s="219"/>
      <c r="D6" s="220" t="s">
        <v>138</v>
      </c>
      <c r="E6" s="221"/>
      <c r="F6" s="220" t="s">
        <v>139</v>
      </c>
      <c r="G6" s="221"/>
      <c r="H6" s="220" t="s">
        <v>140</v>
      </c>
      <c r="I6" s="221"/>
      <c r="J6" s="220" t="s">
        <v>141</v>
      </c>
      <c r="K6" s="221"/>
      <c r="L6" s="220" t="s">
        <v>142</v>
      </c>
      <c r="M6" s="221"/>
      <c r="N6" s="220" t="s">
        <v>143</v>
      </c>
      <c r="O6" s="221"/>
      <c r="P6" s="220" t="s">
        <v>144</v>
      </c>
      <c r="Q6" s="221"/>
      <c r="R6" s="220" t="s">
        <v>145</v>
      </c>
      <c r="S6" s="221"/>
      <c r="T6" s="220" t="s">
        <v>146</v>
      </c>
      <c r="U6" s="221"/>
      <c r="V6" s="220" t="s">
        <v>147</v>
      </c>
      <c r="W6" s="221"/>
      <c r="X6" s="220" t="s">
        <v>148</v>
      </c>
      <c r="Y6" s="221"/>
      <c r="Z6" s="220" t="s">
        <v>149</v>
      </c>
      <c r="AA6" s="221"/>
      <c r="AB6" s="104"/>
      <c r="AC6" s="222">
        <v>2024</v>
      </c>
    </row>
    <row r="7" spans="1:29" s="81" customFormat="1" x14ac:dyDescent="0.25">
      <c r="B7" s="219"/>
      <c r="C7" s="219"/>
      <c r="D7" s="89" t="str">
        <f>LEFT(D6,3)</f>
        <v>JAN</v>
      </c>
      <c r="E7" s="91" t="str">
        <f>"sd. "&amp;D7</f>
        <v>sd. JAN</v>
      </c>
      <c r="F7" s="89" t="str">
        <f>LEFT(F6,3)</f>
        <v>FEB</v>
      </c>
      <c r="G7" s="91" t="str">
        <f>"sd. "&amp;F7</f>
        <v>sd. FEB</v>
      </c>
      <c r="H7" s="89" t="str">
        <f>LEFT(H6,3)</f>
        <v>MAR</v>
      </c>
      <c r="I7" s="91" t="str">
        <f>"sd. "&amp;H7</f>
        <v>sd. MAR</v>
      </c>
      <c r="J7" s="89" t="str">
        <f>LEFT(J6,3)</f>
        <v>APR</v>
      </c>
      <c r="K7" s="91" t="str">
        <f>"sd. "&amp;J7</f>
        <v>sd. APR</v>
      </c>
      <c r="L7" s="89" t="str">
        <f>LEFT(L6,3)</f>
        <v>MEI</v>
      </c>
      <c r="M7" s="91" t="str">
        <f>"sd. "&amp;L7</f>
        <v>sd. MEI</v>
      </c>
      <c r="N7" s="89" t="str">
        <f>LEFT(N6,3)</f>
        <v>JUN</v>
      </c>
      <c r="O7" s="91" t="str">
        <f>"sd. "&amp;N7</f>
        <v>sd. JUN</v>
      </c>
      <c r="P7" s="89" t="str">
        <f>LEFT(P6,3)</f>
        <v>JUL</v>
      </c>
      <c r="Q7" s="91" t="str">
        <f>"sd. "&amp;P7</f>
        <v>sd. JUL</v>
      </c>
      <c r="R7" s="89" t="str">
        <f>LEFT(R6,5)</f>
        <v>AGUST</v>
      </c>
      <c r="S7" s="91" t="str">
        <f>"sd. "&amp;R7</f>
        <v>sd. AGUST</v>
      </c>
      <c r="T7" s="89" t="str">
        <f>LEFT(T6,4)</f>
        <v>SEPT</v>
      </c>
      <c r="U7" s="91" t="str">
        <f>"sd. "&amp;T7</f>
        <v>sd. SEPT</v>
      </c>
      <c r="V7" s="89" t="str">
        <f>LEFT(V6,3)</f>
        <v>OKT</v>
      </c>
      <c r="W7" s="91" t="str">
        <f>"sd. "&amp;V7</f>
        <v>sd. OKT</v>
      </c>
      <c r="X7" s="89" t="str">
        <f>LEFT(X6,3)</f>
        <v>NOP</v>
      </c>
      <c r="Y7" s="91" t="str">
        <f>"sd. "&amp;X7</f>
        <v>sd. NOP</v>
      </c>
      <c r="Z7" s="89" t="str">
        <f>LEFT(Z6,3)</f>
        <v>DES</v>
      </c>
      <c r="AA7" s="91" t="str">
        <f>"sd. "&amp;Z7</f>
        <v>sd. DES</v>
      </c>
      <c r="AB7" s="104"/>
      <c r="AC7" s="223"/>
    </row>
    <row r="8" spans="1:29" s="81" customFormat="1" ht="20.100000000000001" customHeight="1" x14ac:dyDescent="0.25">
      <c r="B8" s="82"/>
      <c r="C8" s="83" t="s">
        <v>127</v>
      </c>
      <c r="D8" s="72"/>
      <c r="E8" s="92"/>
      <c r="F8" s="72"/>
      <c r="G8" s="92"/>
      <c r="H8" s="72"/>
      <c r="I8" s="92"/>
      <c r="J8" s="72"/>
      <c r="K8" s="92"/>
      <c r="L8" s="72"/>
      <c r="M8" s="92"/>
      <c r="N8" s="72"/>
      <c r="O8" s="92"/>
      <c r="P8" s="72"/>
      <c r="Q8" s="92"/>
      <c r="R8" s="72"/>
      <c r="S8" s="92"/>
      <c r="T8" s="72"/>
      <c r="U8" s="92"/>
      <c r="V8" s="72"/>
      <c r="W8" s="92"/>
      <c r="X8" s="72"/>
      <c r="Y8" s="92"/>
      <c r="Z8" s="72"/>
      <c r="AA8" s="92"/>
      <c r="AB8" s="104"/>
      <c r="AC8" s="72"/>
    </row>
    <row r="9" spans="1:29" s="81" customFormat="1" ht="20.25" customHeight="1" x14ac:dyDescent="0.25">
      <c r="B9" s="82"/>
      <c r="C9" s="84" t="s">
        <v>423</v>
      </c>
      <c r="D9" s="73">
        <f>'WS Trial balance'!K58-'WS Trial balance'!J58</f>
        <v>78721704.861111134</v>
      </c>
      <c r="E9" s="75">
        <f t="shared" ref="E9:E14" si="0">D9</f>
        <v>78721704.861111134</v>
      </c>
      <c r="F9" s="73">
        <f>'WS Trial balance'!P58-'WS Trial balance'!O58</f>
        <v>80206565.972222239</v>
      </c>
      <c r="G9" s="75">
        <f t="shared" ref="G9:G14" si="1">E9+F9</f>
        <v>158928270.83333337</v>
      </c>
      <c r="H9" s="73">
        <f>'WS Trial balance'!U58-'WS Trial balance'!T58</f>
        <v>81022329.861111134</v>
      </c>
      <c r="I9" s="75">
        <f t="shared" ref="I9:I14" si="2">G9+H9</f>
        <v>239950600.69444451</v>
      </c>
      <c r="J9" s="73">
        <f>'WS Trial balance'!Z58-'WS Trial balance'!Y58</f>
        <v>77958440.972222224</v>
      </c>
      <c r="K9" s="75">
        <f t="shared" ref="K9:K14" si="3">I9+J9</f>
        <v>317909041.66666675</v>
      </c>
      <c r="L9" s="73">
        <f>'WS Trial balance'!AE58-'WS Trial balance'!AD58</f>
        <v>81143163.194444463</v>
      </c>
      <c r="M9" s="75">
        <f t="shared" ref="M9:M14" si="4">K9+L9</f>
        <v>399052204.86111122</v>
      </c>
      <c r="N9" s="73">
        <f>'WS Trial balance'!AJ58-'WS Trial balance'!AI58</f>
        <v>82725663.194444463</v>
      </c>
      <c r="O9" s="75">
        <f t="shared" ref="O9:O14" si="5">M9+N9</f>
        <v>481777868.0555557</v>
      </c>
      <c r="P9" s="73">
        <f>'WS Trial balance'!AO58-'WS Trial balance'!AN58</f>
        <v>84316496.527777776</v>
      </c>
      <c r="Q9" s="75">
        <f t="shared" ref="Q9:Q14" si="6">O9+P9</f>
        <v>566094364.58333349</v>
      </c>
      <c r="R9" s="73">
        <f>'WS Trial balance'!AT58-'WS Trial balance'!AS58</f>
        <v>84316496.527777776</v>
      </c>
      <c r="S9" s="75">
        <f t="shared" ref="S9:S14" si="7">Q9+R9</f>
        <v>650410861.11111128</v>
      </c>
      <c r="T9" s="73">
        <f>'WS Trial balance'!AY58-'WS Trial balance'!AX58</f>
        <v>0</v>
      </c>
      <c r="U9" s="75">
        <f t="shared" ref="U9:U14" si="8">S9+T9</f>
        <v>650410861.11111128</v>
      </c>
      <c r="V9" s="73">
        <f>'WS Trial balance'!BD58-'WS Trial balance'!BC58</f>
        <v>0</v>
      </c>
      <c r="W9" s="75">
        <f t="shared" ref="W9:W14" si="9">U9+V9</f>
        <v>650410861.11111128</v>
      </c>
      <c r="X9" s="73">
        <f>'WS Trial balance'!BI58-'WS Trial balance'!BH58</f>
        <v>0</v>
      </c>
      <c r="Y9" s="75">
        <f t="shared" ref="Y9:Y14" si="10">W9+X9</f>
        <v>650410861.11111128</v>
      </c>
      <c r="Z9" s="73">
        <f>'WS Trial balance'!BN58-'WS Trial balance'!BM58</f>
        <v>0</v>
      </c>
      <c r="AA9" s="75">
        <f t="shared" ref="AA9:AA14" si="11">Y9+Z9</f>
        <v>650410861.11111128</v>
      </c>
      <c r="AB9" s="104">
        <f t="shared" ref="AB9:AB14" si="12">AA9-AC9</f>
        <v>0</v>
      </c>
      <c r="AC9" s="73">
        <f t="shared" ref="AC9:AC14" si="13">D9+F9+H9+J9+L9+N9+P9+R9+T9+V9+X9+Z9</f>
        <v>650410861.11111128</v>
      </c>
    </row>
    <row r="10" spans="1:29" s="81" customFormat="1" ht="20.25" customHeight="1" x14ac:dyDescent="0.25">
      <c r="B10" s="82"/>
      <c r="C10" s="84" t="s">
        <v>424</v>
      </c>
      <c r="D10" s="73">
        <f>'WS Trial balance'!K59-'WS Trial balance'!J59</f>
        <v>0</v>
      </c>
      <c r="E10" s="75">
        <f t="shared" si="0"/>
        <v>0</v>
      </c>
      <c r="F10" s="73">
        <f>'WS Trial balance'!P59-'WS Trial balance'!O59</f>
        <v>0</v>
      </c>
      <c r="G10" s="75">
        <f t="shared" si="1"/>
        <v>0</v>
      </c>
      <c r="H10" s="73">
        <f>'WS Trial balance'!U59-'WS Trial balance'!T59</f>
        <v>0</v>
      </c>
      <c r="I10" s="75">
        <f t="shared" si="2"/>
        <v>0</v>
      </c>
      <c r="J10" s="73">
        <f>'WS Trial balance'!Z59-'WS Trial balance'!Y59</f>
        <v>0</v>
      </c>
      <c r="K10" s="75">
        <f t="shared" si="3"/>
        <v>0</v>
      </c>
      <c r="L10" s="73">
        <f>'WS Trial balance'!AE59-'WS Trial balance'!AD59</f>
        <v>0</v>
      </c>
      <c r="M10" s="75">
        <f t="shared" si="4"/>
        <v>0</v>
      </c>
      <c r="N10" s="73">
        <f>'WS Trial balance'!AJ59-'WS Trial balance'!AI59</f>
        <v>0</v>
      </c>
      <c r="O10" s="75">
        <f t="shared" si="5"/>
        <v>0</v>
      </c>
      <c r="P10" s="73">
        <f>'WS Trial balance'!AO59-'WS Trial balance'!AN59</f>
        <v>0</v>
      </c>
      <c r="Q10" s="75">
        <f t="shared" si="6"/>
        <v>0</v>
      </c>
      <c r="R10" s="73">
        <f>'WS Trial balance'!AT59-'WS Trial balance'!AS59</f>
        <v>0</v>
      </c>
      <c r="S10" s="75">
        <f t="shared" si="7"/>
        <v>0</v>
      </c>
      <c r="T10" s="73">
        <f>'WS Trial balance'!AY59-'WS Trial balance'!AX59</f>
        <v>0</v>
      </c>
      <c r="U10" s="75">
        <f t="shared" si="8"/>
        <v>0</v>
      </c>
      <c r="V10" s="73">
        <f>'WS Trial balance'!BD59-'WS Trial balance'!BC59</f>
        <v>0</v>
      </c>
      <c r="W10" s="75">
        <f t="shared" si="9"/>
        <v>0</v>
      </c>
      <c r="X10" s="73">
        <f>'WS Trial balance'!BI59-'WS Trial balance'!BH59</f>
        <v>0</v>
      </c>
      <c r="Y10" s="75">
        <f t="shared" si="10"/>
        <v>0</v>
      </c>
      <c r="Z10" s="73">
        <f>'WS Trial balance'!BN59-'WS Trial balance'!BM59</f>
        <v>0</v>
      </c>
      <c r="AA10" s="75">
        <f t="shared" si="11"/>
        <v>0</v>
      </c>
      <c r="AB10" s="104">
        <f t="shared" si="12"/>
        <v>0</v>
      </c>
      <c r="AC10" s="73">
        <f t="shared" si="13"/>
        <v>0</v>
      </c>
    </row>
    <row r="11" spans="1:29" s="81" customFormat="1" ht="20.25" customHeight="1" x14ac:dyDescent="0.25">
      <c r="B11" s="82"/>
      <c r="C11" s="84" t="s">
        <v>425</v>
      </c>
      <c r="D11" s="73">
        <f>'WS Trial balance'!K60-'WS Trial balance'!J60</f>
        <v>525000</v>
      </c>
      <c r="E11" s="75">
        <f t="shared" si="0"/>
        <v>525000</v>
      </c>
      <c r="F11" s="73">
        <f>'WS Trial balance'!P60-'WS Trial balance'!O60</f>
        <v>350000</v>
      </c>
      <c r="G11" s="75">
        <f t="shared" si="1"/>
        <v>875000</v>
      </c>
      <c r="H11" s="73">
        <f>'WS Trial balance'!U60-'WS Trial balance'!T60</f>
        <v>-92500</v>
      </c>
      <c r="I11" s="75">
        <f t="shared" si="2"/>
        <v>782500</v>
      </c>
      <c r="J11" s="73">
        <f>'WS Trial balance'!Z60-'WS Trial balance'!Y60</f>
        <v>385000</v>
      </c>
      <c r="K11" s="75">
        <f t="shared" si="3"/>
        <v>1167500</v>
      </c>
      <c r="L11" s="73">
        <f>'WS Trial balance'!AE60-'WS Trial balance'!AD60</f>
        <v>630000</v>
      </c>
      <c r="M11" s="75">
        <f t="shared" si="4"/>
        <v>1797500</v>
      </c>
      <c r="N11" s="73">
        <f>'WS Trial balance'!AJ60-'WS Trial balance'!AI60</f>
        <v>221500</v>
      </c>
      <c r="O11" s="75">
        <f t="shared" si="5"/>
        <v>2019000</v>
      </c>
      <c r="P11" s="73">
        <f>'WS Trial balance'!AO60-'WS Trial balance'!AN60</f>
        <v>0</v>
      </c>
      <c r="Q11" s="75">
        <f t="shared" si="6"/>
        <v>2019000</v>
      </c>
      <c r="R11" s="73">
        <f>'WS Trial balance'!AT60-'WS Trial balance'!AS60</f>
        <v>210000</v>
      </c>
      <c r="S11" s="75">
        <f t="shared" si="7"/>
        <v>2229000</v>
      </c>
      <c r="T11" s="73">
        <f>'WS Trial balance'!AY60-'WS Trial balance'!AX60</f>
        <v>0</v>
      </c>
      <c r="U11" s="75">
        <f t="shared" si="8"/>
        <v>2229000</v>
      </c>
      <c r="V11" s="73">
        <f>'WS Trial balance'!BD60-'WS Trial balance'!BC60</f>
        <v>0</v>
      </c>
      <c r="W11" s="75">
        <f t="shared" si="9"/>
        <v>2229000</v>
      </c>
      <c r="X11" s="73">
        <f>'WS Trial balance'!BI60-'WS Trial balance'!BH60</f>
        <v>0</v>
      </c>
      <c r="Y11" s="75">
        <f t="shared" si="10"/>
        <v>2229000</v>
      </c>
      <c r="Z11" s="73">
        <f>'WS Trial balance'!BN60-'WS Trial balance'!BM60</f>
        <v>0</v>
      </c>
      <c r="AA11" s="75">
        <f t="shared" si="11"/>
        <v>2229000</v>
      </c>
      <c r="AB11" s="104">
        <f t="shared" si="12"/>
        <v>0</v>
      </c>
      <c r="AC11" s="73">
        <f t="shared" si="13"/>
        <v>2229000</v>
      </c>
    </row>
    <row r="12" spans="1:29" s="81" customFormat="1" ht="20.25" customHeight="1" x14ac:dyDescent="0.25">
      <c r="B12" s="82"/>
      <c r="C12" s="84" t="s">
        <v>426</v>
      </c>
      <c r="D12" s="73">
        <f>-'WS Trial balance'!J61+'WS Trial balance'!K61</f>
        <v>-60419861.111111104</v>
      </c>
      <c r="E12" s="75">
        <f t="shared" si="0"/>
        <v>-60419861.111111104</v>
      </c>
      <c r="F12" s="73">
        <f>-'WS Trial balance'!O61+'WS Trial balance'!P61</f>
        <v>-61858750</v>
      </c>
      <c r="G12" s="75">
        <f t="shared" si="1"/>
        <v>-122278611.1111111</v>
      </c>
      <c r="H12" s="73">
        <f>-'WS Trial balance'!T61+'WS Trial balance'!U61</f>
        <v>-62264305.555555552</v>
      </c>
      <c r="I12" s="75">
        <f t="shared" si="2"/>
        <v>-184542916.66666666</v>
      </c>
      <c r="J12" s="73">
        <f>-'WS Trial balance'!Y61+'WS Trial balance'!Z61</f>
        <v>-59901805.555555552</v>
      </c>
      <c r="K12" s="75">
        <f t="shared" si="3"/>
        <v>-244444722.22222221</v>
      </c>
      <c r="L12" s="73">
        <f>-'WS Trial balance'!AD61+'WS Trial balance'!AE61</f>
        <v>-62749027.777777769</v>
      </c>
      <c r="M12" s="75">
        <f t="shared" si="4"/>
        <v>-307193750</v>
      </c>
      <c r="N12" s="73">
        <f>-'WS Trial balance'!AI61+'WS Trial balance'!AJ61</f>
        <v>-63894861.111111097</v>
      </c>
      <c r="O12" s="75">
        <f t="shared" si="5"/>
        <v>-371088611.1111111</v>
      </c>
      <c r="P12" s="73">
        <f>-'WS Trial balance'!AN61+'WS Trial balance'!AO61</f>
        <v>-65128194.44444444</v>
      </c>
      <c r="Q12" s="75">
        <f t="shared" si="6"/>
        <v>-436216805.55555552</v>
      </c>
      <c r="R12" s="73">
        <f>-'WS Trial balance'!AS61+'WS Trial balance'!AT61</f>
        <v>-65128194.44444444</v>
      </c>
      <c r="S12" s="75">
        <f t="shared" si="7"/>
        <v>-501344999.99999994</v>
      </c>
      <c r="T12" s="73">
        <f>-'WS Trial balance'!AX61+'WS Trial balance'!AY61</f>
        <v>0</v>
      </c>
      <c r="U12" s="75">
        <f t="shared" si="8"/>
        <v>-501344999.99999994</v>
      </c>
      <c r="V12" s="73">
        <f>-'WS Trial balance'!BC61+'WS Trial balance'!BD61</f>
        <v>0</v>
      </c>
      <c r="W12" s="75">
        <f t="shared" si="9"/>
        <v>-501344999.99999994</v>
      </c>
      <c r="X12" s="73">
        <f>-'WS Trial balance'!BH61+'WS Trial balance'!BI61</f>
        <v>0</v>
      </c>
      <c r="Y12" s="75">
        <f t="shared" si="10"/>
        <v>-501344999.99999994</v>
      </c>
      <c r="Z12" s="73">
        <f>-'WS Trial balance'!BM61+'WS Trial balance'!BN61</f>
        <v>0</v>
      </c>
      <c r="AA12" s="75">
        <f t="shared" si="11"/>
        <v>-501344999.99999994</v>
      </c>
      <c r="AB12" s="104">
        <f t="shared" si="12"/>
        <v>0</v>
      </c>
      <c r="AC12" s="73">
        <f t="shared" si="13"/>
        <v>-501344999.99999994</v>
      </c>
    </row>
    <row r="13" spans="1:29" s="81" customFormat="1" ht="20.25" customHeight="1" x14ac:dyDescent="0.25">
      <c r="B13" s="82"/>
      <c r="C13" s="84" t="s">
        <v>427</v>
      </c>
      <c r="D13" s="73">
        <f>-'WS Trial balance'!J62+'WS Trial balance'!K62</f>
        <v>0</v>
      </c>
      <c r="E13" s="75">
        <f t="shared" si="0"/>
        <v>0</v>
      </c>
      <c r="F13" s="73">
        <f>-'WS Trial balance'!O62+'WS Trial balance'!P62</f>
        <v>0</v>
      </c>
      <c r="G13" s="75">
        <f t="shared" si="1"/>
        <v>0</v>
      </c>
      <c r="H13" s="73">
        <f>-'WS Trial balance'!T62+'WS Trial balance'!U62</f>
        <v>0</v>
      </c>
      <c r="I13" s="75">
        <f t="shared" si="2"/>
        <v>0</v>
      </c>
      <c r="J13" s="73">
        <f>-'WS Trial balance'!Y62+'WS Trial balance'!Z62</f>
        <v>0</v>
      </c>
      <c r="K13" s="75">
        <f t="shared" si="3"/>
        <v>0</v>
      </c>
      <c r="L13" s="73">
        <f>-'WS Trial balance'!AD62+'WS Trial balance'!AE62</f>
        <v>0</v>
      </c>
      <c r="M13" s="75">
        <f t="shared" si="4"/>
        <v>0</v>
      </c>
      <c r="N13" s="73">
        <f>-'WS Trial balance'!AI62+'WS Trial balance'!AJ62</f>
        <v>0</v>
      </c>
      <c r="O13" s="75">
        <f t="shared" si="5"/>
        <v>0</v>
      </c>
      <c r="P13" s="73">
        <f>-'WS Trial balance'!AN62+'WS Trial balance'!AO62</f>
        <v>0</v>
      </c>
      <c r="Q13" s="75">
        <f t="shared" si="6"/>
        <v>0</v>
      </c>
      <c r="R13" s="73">
        <f>-'WS Trial balance'!AS62+'WS Trial balance'!AT62</f>
        <v>0</v>
      </c>
      <c r="S13" s="75">
        <f t="shared" si="7"/>
        <v>0</v>
      </c>
      <c r="T13" s="73">
        <f>-'WS Trial balance'!AX62+'WS Trial balance'!AY62</f>
        <v>0</v>
      </c>
      <c r="U13" s="75">
        <f t="shared" si="8"/>
        <v>0</v>
      </c>
      <c r="V13" s="73">
        <f>-'WS Trial balance'!BC62+'WS Trial balance'!BD62</f>
        <v>0</v>
      </c>
      <c r="W13" s="75">
        <f t="shared" si="9"/>
        <v>0</v>
      </c>
      <c r="X13" s="73">
        <f>-'WS Trial balance'!BH62+'WS Trial balance'!BI62</f>
        <v>0</v>
      </c>
      <c r="Y13" s="75">
        <f t="shared" si="10"/>
        <v>0</v>
      </c>
      <c r="Z13" s="73">
        <f>-'WS Trial balance'!BM62+'WS Trial balance'!BN62</f>
        <v>0</v>
      </c>
      <c r="AA13" s="75">
        <f t="shared" si="11"/>
        <v>0</v>
      </c>
      <c r="AB13" s="104">
        <f t="shared" si="12"/>
        <v>0</v>
      </c>
      <c r="AC13" s="73">
        <f t="shared" si="13"/>
        <v>0</v>
      </c>
    </row>
    <row r="14" spans="1:29" s="81" customFormat="1" ht="20.25" customHeight="1" x14ac:dyDescent="0.25">
      <c r="B14" s="82"/>
      <c r="C14" s="84" t="s">
        <v>428</v>
      </c>
      <c r="D14" s="73">
        <f>-'WS Trial balance'!J63+'WS Trial balance'!K63</f>
        <v>0</v>
      </c>
      <c r="E14" s="75">
        <f t="shared" si="0"/>
        <v>0</v>
      </c>
      <c r="F14" s="73">
        <f>-'WS Trial balance'!O63+'WS Trial balance'!P63</f>
        <v>0</v>
      </c>
      <c r="G14" s="75">
        <f t="shared" si="1"/>
        <v>0</v>
      </c>
      <c r="H14" s="73">
        <f>-'WS Trial balance'!T63+'WS Trial balance'!U63</f>
        <v>0</v>
      </c>
      <c r="I14" s="75">
        <f t="shared" si="2"/>
        <v>0</v>
      </c>
      <c r="J14" s="73">
        <f>-'WS Trial balance'!Y63+'WS Trial balance'!Z63</f>
        <v>0</v>
      </c>
      <c r="K14" s="75">
        <f t="shared" si="3"/>
        <v>0</v>
      </c>
      <c r="L14" s="73">
        <f>-'WS Trial balance'!AD63+'WS Trial balance'!AE63</f>
        <v>0</v>
      </c>
      <c r="M14" s="75">
        <f t="shared" si="4"/>
        <v>0</v>
      </c>
      <c r="N14" s="73">
        <f>-'WS Trial balance'!AI63+'WS Trial balance'!AJ63</f>
        <v>0</v>
      </c>
      <c r="O14" s="75">
        <f t="shared" si="5"/>
        <v>0</v>
      </c>
      <c r="P14" s="73">
        <f>-'WS Trial balance'!AN63+'WS Trial balance'!AO63</f>
        <v>0</v>
      </c>
      <c r="Q14" s="75">
        <f t="shared" si="6"/>
        <v>0</v>
      </c>
      <c r="R14" s="73">
        <f>-'WS Trial balance'!AS63+'WS Trial balance'!AT63</f>
        <v>0</v>
      </c>
      <c r="S14" s="75">
        <f t="shared" si="7"/>
        <v>0</v>
      </c>
      <c r="T14" s="73">
        <f>-'WS Trial balance'!AX63+'WS Trial balance'!AY63</f>
        <v>0</v>
      </c>
      <c r="U14" s="75">
        <f t="shared" si="8"/>
        <v>0</v>
      </c>
      <c r="V14" s="73">
        <f>-'WS Trial balance'!BC63+'WS Trial balance'!BD63</f>
        <v>0</v>
      </c>
      <c r="W14" s="75">
        <f t="shared" si="9"/>
        <v>0</v>
      </c>
      <c r="X14" s="73">
        <f>-'WS Trial balance'!BH63+'WS Trial balance'!BI63</f>
        <v>0</v>
      </c>
      <c r="Y14" s="75">
        <f t="shared" si="10"/>
        <v>0</v>
      </c>
      <c r="Z14" s="73">
        <f>-'WS Trial balance'!BM63+'WS Trial balance'!BN63</f>
        <v>0</v>
      </c>
      <c r="AA14" s="75">
        <f t="shared" si="11"/>
        <v>0</v>
      </c>
      <c r="AB14" s="104">
        <f t="shared" si="12"/>
        <v>0</v>
      </c>
      <c r="AC14" s="73">
        <f t="shared" si="13"/>
        <v>0</v>
      </c>
    </row>
    <row r="15" spans="1:29" s="81" customFormat="1" ht="20.25" customHeight="1" x14ac:dyDescent="0.25">
      <c r="B15" s="82"/>
      <c r="C15" s="83" t="s">
        <v>128</v>
      </c>
      <c r="D15" s="74">
        <f>SUM(D9:D14)</f>
        <v>18826843.75000003</v>
      </c>
      <c r="E15" s="93">
        <f t="shared" ref="E15:AA15" si="14">SUM(E9:E14)</f>
        <v>18826843.75000003</v>
      </c>
      <c r="F15" s="74">
        <f>SUM(F9:F14)</f>
        <v>18697815.972222239</v>
      </c>
      <c r="G15" s="93">
        <f t="shared" si="14"/>
        <v>37524659.722222269</v>
      </c>
      <c r="H15" s="74">
        <f>SUM(H9:H14)</f>
        <v>18665524.305555582</v>
      </c>
      <c r="I15" s="93">
        <f t="shared" si="14"/>
        <v>56190184.027777851</v>
      </c>
      <c r="J15" s="74">
        <f>SUM(J9:J14)</f>
        <v>18441635.416666672</v>
      </c>
      <c r="K15" s="93">
        <f t="shared" si="14"/>
        <v>74631819.444444537</v>
      </c>
      <c r="L15" s="74">
        <f>SUM(L9:L14)</f>
        <v>19024135.416666694</v>
      </c>
      <c r="M15" s="93">
        <f t="shared" si="14"/>
        <v>93655954.861111224</v>
      </c>
      <c r="N15" s="74">
        <f>SUM(N9:N14)</f>
        <v>19052302.083333366</v>
      </c>
      <c r="O15" s="93">
        <f t="shared" si="14"/>
        <v>112708256.9444446</v>
      </c>
      <c r="P15" s="74">
        <f>SUM(P9:P14)</f>
        <v>19188302.083333336</v>
      </c>
      <c r="Q15" s="93">
        <f t="shared" si="14"/>
        <v>131896559.02777797</v>
      </c>
      <c r="R15" s="74">
        <f>SUM(R9:R14)</f>
        <v>19398302.083333336</v>
      </c>
      <c r="S15" s="93">
        <f t="shared" si="14"/>
        <v>151294861.11111134</v>
      </c>
      <c r="T15" s="74">
        <f>SUM(T9:T14)</f>
        <v>0</v>
      </c>
      <c r="U15" s="93">
        <f t="shared" si="14"/>
        <v>151294861.11111134</v>
      </c>
      <c r="V15" s="74">
        <f>SUM(V9:V14)</f>
        <v>0</v>
      </c>
      <c r="W15" s="93">
        <f t="shared" si="14"/>
        <v>151294861.11111134</v>
      </c>
      <c r="X15" s="74">
        <f>SUM(X9:X14)</f>
        <v>0</v>
      </c>
      <c r="Y15" s="93">
        <f t="shared" si="14"/>
        <v>151294861.11111134</v>
      </c>
      <c r="Z15" s="74">
        <f>SUM(Z9:Z14)</f>
        <v>0</v>
      </c>
      <c r="AA15" s="93">
        <f t="shared" si="14"/>
        <v>151294861.11111134</v>
      </c>
      <c r="AB15" s="104"/>
      <c r="AC15" s="74">
        <f>SUM(AC9:AC14)</f>
        <v>151294861.11111134</v>
      </c>
    </row>
    <row r="16" spans="1:29" s="81" customFormat="1" ht="20.25" customHeight="1" x14ac:dyDescent="0.25">
      <c r="B16" s="82"/>
      <c r="C16" s="83"/>
      <c r="D16" s="108"/>
      <c r="E16" s="109"/>
      <c r="F16" s="108"/>
      <c r="G16" s="109"/>
      <c r="H16" s="108"/>
      <c r="I16" s="109"/>
      <c r="J16" s="108"/>
      <c r="K16" s="109"/>
      <c r="L16" s="108"/>
      <c r="M16" s="109"/>
      <c r="N16" s="108"/>
      <c r="O16" s="109"/>
      <c r="P16" s="108"/>
      <c r="Q16" s="109"/>
      <c r="R16" s="108"/>
      <c r="S16" s="109"/>
      <c r="T16" s="108"/>
      <c r="U16" s="109"/>
      <c r="V16" s="108"/>
      <c r="W16" s="109"/>
      <c r="X16" s="108"/>
      <c r="Y16" s="109"/>
      <c r="Z16" s="108"/>
      <c r="AA16" s="109"/>
      <c r="AB16" s="104"/>
      <c r="AC16" s="108"/>
    </row>
    <row r="17" spans="2:31" s="81" customFormat="1" ht="20.100000000000001" customHeight="1" x14ac:dyDescent="0.25">
      <c r="B17" s="82"/>
      <c r="C17" s="83" t="s">
        <v>129</v>
      </c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04"/>
      <c r="AC17" s="75"/>
    </row>
    <row r="18" spans="2:31" s="81" customFormat="1" ht="20.100000000000001" customHeight="1" x14ac:dyDescent="0.25">
      <c r="B18" s="82"/>
      <c r="C18" s="84" t="s">
        <v>130</v>
      </c>
      <c r="D18" s="73">
        <f>-'WS Trial balance'!J64+'WS Trial balance'!K64</f>
        <v>-758000</v>
      </c>
      <c r="E18" s="75">
        <f>D18</f>
        <v>-758000</v>
      </c>
      <c r="F18" s="73">
        <f>-'WS Trial balance'!O64+'WS Trial balance'!P64</f>
        <v>-750000</v>
      </c>
      <c r="G18" s="75">
        <f>E18+F18</f>
        <v>-1508000</v>
      </c>
      <c r="H18" s="73">
        <f>-'WS Trial balance'!T64+'WS Trial balance'!U64</f>
        <v>-28557000</v>
      </c>
      <c r="I18" s="75">
        <f>G18+H18</f>
        <v>-30065000</v>
      </c>
      <c r="J18" s="73">
        <f>-'WS Trial balance'!Y64+'WS Trial balance'!Z64</f>
        <v>-750000</v>
      </c>
      <c r="K18" s="75">
        <f>I18+J18</f>
        <v>-30815000</v>
      </c>
      <c r="L18" s="73">
        <f>-'WS Trial balance'!AD64+'WS Trial balance'!AE64</f>
        <v>-42362600</v>
      </c>
      <c r="M18" s="75">
        <f>K18+L18</f>
        <v>-73177600</v>
      </c>
      <c r="N18" s="73">
        <f>-'WS Trial balance'!AI64+'WS Trial balance'!AJ64</f>
        <v>-3250000</v>
      </c>
      <c r="O18" s="75">
        <f>M18+N18</f>
        <v>-76427600</v>
      </c>
      <c r="P18" s="73">
        <f>-'WS Trial balance'!AN64+'WS Trial balance'!AO64</f>
        <v>-1120000</v>
      </c>
      <c r="Q18" s="75">
        <f>O18+P18</f>
        <v>-77547600</v>
      </c>
      <c r="R18" s="73">
        <f>-'WS Trial balance'!AS64+'WS Trial balance'!AT64</f>
        <v>-1900000</v>
      </c>
      <c r="S18" s="75">
        <f>Q18+R18</f>
        <v>-79447600</v>
      </c>
      <c r="T18" s="73">
        <f>-'WS Trial balance'!AX64+'WS Trial balance'!AY64</f>
        <v>0</v>
      </c>
      <c r="U18" s="75">
        <f>S18+T18</f>
        <v>-79447600</v>
      </c>
      <c r="V18" s="73">
        <f>-'WS Trial balance'!BC64+'WS Trial balance'!BD64</f>
        <v>0</v>
      </c>
      <c r="W18" s="75">
        <f>U18+V18</f>
        <v>-79447600</v>
      </c>
      <c r="X18" s="73">
        <f>-'WS Trial balance'!BH64+'WS Trial balance'!BI64</f>
        <v>0</v>
      </c>
      <c r="Y18" s="75">
        <f>W18+X18</f>
        <v>-79447600</v>
      </c>
      <c r="Z18" s="73">
        <f>-'WS Trial balance'!BM64+'WS Trial balance'!BN64</f>
        <v>0</v>
      </c>
      <c r="AA18" s="75">
        <f>Y18+Z18</f>
        <v>-79447600</v>
      </c>
      <c r="AB18" s="104">
        <f>AA18-AC18</f>
        <v>0</v>
      </c>
      <c r="AC18" s="73">
        <f>D18+F18+H18+J18+L18+N18+P18+R18+T18+V18+X18+Z18</f>
        <v>-79447600</v>
      </c>
    </row>
    <row r="19" spans="2:31" s="81" customFormat="1" ht="20.100000000000001" customHeight="1" x14ac:dyDescent="0.25">
      <c r="B19" s="82"/>
      <c r="C19" s="83" t="s">
        <v>131</v>
      </c>
      <c r="D19" s="74">
        <f t="shared" ref="D19:AA19" si="15">SUM(D18:D18)</f>
        <v>-758000</v>
      </c>
      <c r="E19" s="93">
        <f t="shared" si="15"/>
        <v>-758000</v>
      </c>
      <c r="F19" s="74">
        <f t="shared" si="15"/>
        <v>-750000</v>
      </c>
      <c r="G19" s="93">
        <f t="shared" si="15"/>
        <v>-1508000</v>
      </c>
      <c r="H19" s="74">
        <f t="shared" si="15"/>
        <v>-28557000</v>
      </c>
      <c r="I19" s="93">
        <f t="shared" si="15"/>
        <v>-30065000</v>
      </c>
      <c r="J19" s="74">
        <f t="shared" si="15"/>
        <v>-750000</v>
      </c>
      <c r="K19" s="93">
        <f t="shared" si="15"/>
        <v>-30815000</v>
      </c>
      <c r="L19" s="74">
        <f t="shared" si="15"/>
        <v>-42362600</v>
      </c>
      <c r="M19" s="93">
        <f t="shared" si="15"/>
        <v>-73177600</v>
      </c>
      <c r="N19" s="74">
        <f t="shared" si="15"/>
        <v>-3250000</v>
      </c>
      <c r="O19" s="93">
        <f t="shared" si="15"/>
        <v>-76427600</v>
      </c>
      <c r="P19" s="74">
        <f t="shared" si="15"/>
        <v>-1120000</v>
      </c>
      <c r="Q19" s="93">
        <f t="shared" si="15"/>
        <v>-77547600</v>
      </c>
      <c r="R19" s="74">
        <f t="shared" si="15"/>
        <v>-1900000</v>
      </c>
      <c r="S19" s="93">
        <f t="shared" si="15"/>
        <v>-79447600</v>
      </c>
      <c r="T19" s="74">
        <f t="shared" si="15"/>
        <v>0</v>
      </c>
      <c r="U19" s="93">
        <f t="shared" si="15"/>
        <v>-79447600</v>
      </c>
      <c r="V19" s="74">
        <f t="shared" si="15"/>
        <v>0</v>
      </c>
      <c r="W19" s="93">
        <f t="shared" si="15"/>
        <v>-79447600</v>
      </c>
      <c r="X19" s="74">
        <f t="shared" si="15"/>
        <v>0</v>
      </c>
      <c r="Y19" s="93">
        <f t="shared" si="15"/>
        <v>-79447600</v>
      </c>
      <c r="Z19" s="74">
        <f t="shared" si="15"/>
        <v>0</v>
      </c>
      <c r="AA19" s="93">
        <f t="shared" si="15"/>
        <v>-79447600</v>
      </c>
      <c r="AB19" s="104"/>
      <c r="AC19" s="74">
        <f>SUM(AC18:AC18)</f>
        <v>-79447600</v>
      </c>
    </row>
    <row r="20" spans="2:31" s="81" customFormat="1" ht="20.100000000000001" customHeight="1" x14ac:dyDescent="0.25">
      <c r="B20" s="82"/>
      <c r="C20" s="83" t="s">
        <v>132</v>
      </c>
      <c r="D20" s="74">
        <f t="shared" ref="D20:AA20" si="16">+D15+D19</f>
        <v>18068843.75000003</v>
      </c>
      <c r="E20" s="93">
        <f t="shared" si="16"/>
        <v>18068843.75000003</v>
      </c>
      <c r="F20" s="74">
        <f t="shared" si="16"/>
        <v>17947815.972222239</v>
      </c>
      <c r="G20" s="93">
        <f t="shared" si="16"/>
        <v>36016659.722222269</v>
      </c>
      <c r="H20" s="74">
        <f t="shared" si="16"/>
        <v>-9891475.694444418</v>
      </c>
      <c r="I20" s="93">
        <f t="shared" si="16"/>
        <v>26125184.027777851</v>
      </c>
      <c r="J20" s="74">
        <f t="shared" si="16"/>
        <v>17691635.416666672</v>
      </c>
      <c r="K20" s="93">
        <f t="shared" si="16"/>
        <v>43816819.444444537</v>
      </c>
      <c r="L20" s="74">
        <f t="shared" si="16"/>
        <v>-23338464.583333306</v>
      </c>
      <c r="M20" s="93">
        <f t="shared" si="16"/>
        <v>20478354.861111224</v>
      </c>
      <c r="N20" s="74">
        <f t="shared" si="16"/>
        <v>15802302.083333366</v>
      </c>
      <c r="O20" s="93">
        <f t="shared" si="16"/>
        <v>36280656.944444597</v>
      </c>
      <c r="P20" s="74">
        <f t="shared" si="16"/>
        <v>18068302.083333336</v>
      </c>
      <c r="Q20" s="93">
        <f t="shared" si="16"/>
        <v>54348959.02777797</v>
      </c>
      <c r="R20" s="74">
        <f t="shared" si="16"/>
        <v>17498302.083333336</v>
      </c>
      <c r="S20" s="93">
        <f t="shared" si="16"/>
        <v>71847261.111111343</v>
      </c>
      <c r="T20" s="74">
        <f t="shared" si="16"/>
        <v>0</v>
      </c>
      <c r="U20" s="93">
        <f t="shared" si="16"/>
        <v>71847261.111111343</v>
      </c>
      <c r="V20" s="74">
        <f t="shared" si="16"/>
        <v>0</v>
      </c>
      <c r="W20" s="93">
        <f t="shared" si="16"/>
        <v>71847261.111111343</v>
      </c>
      <c r="X20" s="74">
        <f t="shared" si="16"/>
        <v>0</v>
      </c>
      <c r="Y20" s="93">
        <f t="shared" si="16"/>
        <v>71847261.111111343</v>
      </c>
      <c r="Z20" s="74">
        <f t="shared" si="16"/>
        <v>0</v>
      </c>
      <c r="AA20" s="93">
        <f t="shared" si="16"/>
        <v>71847261.111111343</v>
      </c>
      <c r="AB20" s="104"/>
      <c r="AC20" s="74">
        <f>+AC15+AC19</f>
        <v>71847261.111111343</v>
      </c>
    </row>
    <row r="21" spans="2:31" s="81" customFormat="1" ht="20.100000000000001" customHeight="1" x14ac:dyDescent="0.25">
      <c r="B21" s="82"/>
      <c r="C21" s="83" t="s">
        <v>133</v>
      </c>
      <c r="D21" s="76"/>
      <c r="E21" s="75"/>
      <c r="F21" s="76"/>
      <c r="G21" s="75"/>
      <c r="H21" s="76"/>
      <c r="I21" s="75"/>
      <c r="J21" s="76"/>
      <c r="K21" s="75"/>
      <c r="L21" s="76"/>
      <c r="M21" s="75"/>
      <c r="N21" s="76"/>
      <c r="O21" s="75"/>
      <c r="P21" s="76"/>
      <c r="Q21" s="75"/>
      <c r="R21" s="76"/>
      <c r="S21" s="75"/>
      <c r="T21" s="76"/>
      <c r="U21" s="75"/>
      <c r="V21" s="76"/>
      <c r="W21" s="75"/>
      <c r="X21" s="76"/>
      <c r="Y21" s="75"/>
      <c r="Z21" s="76"/>
      <c r="AA21" s="75"/>
      <c r="AB21" s="104"/>
      <c r="AC21" s="76"/>
    </row>
    <row r="22" spans="2:31" s="81" customFormat="1" ht="20.100000000000001" customHeight="1" x14ac:dyDescent="0.25">
      <c r="B22" s="82"/>
      <c r="C22" s="84" t="s">
        <v>421</v>
      </c>
      <c r="D22" s="73">
        <f>'WS Trial balance'!K65-'WS Trial balance'!J65</f>
        <v>3918000</v>
      </c>
      <c r="E22" s="75">
        <f>D22</f>
        <v>3918000</v>
      </c>
      <c r="F22" s="73">
        <f>'WS Trial balance'!P65-'WS Trial balance'!O65</f>
        <v>1423167.333332777</v>
      </c>
      <c r="G22" s="75">
        <f>E22+F22</f>
        <v>5341167.333332777</v>
      </c>
      <c r="H22" s="73">
        <f>'WS Trial balance'!U65-'WS Trial balance'!T65</f>
        <v>1356500</v>
      </c>
      <c r="I22" s="75">
        <f>G22+H22</f>
        <v>6697667.333332777</v>
      </c>
      <c r="J22" s="73">
        <f>'WS Trial balance'!Z65-'WS Trial balance'!Y65</f>
        <v>1356500</v>
      </c>
      <c r="K22" s="75">
        <f>I22+J22</f>
        <v>8054167.333332777</v>
      </c>
      <c r="L22" s="73">
        <f>'WS Trial balance'!AE65-'WS Trial balance'!AD65</f>
        <v>3146500</v>
      </c>
      <c r="M22" s="75">
        <f>K22+L22</f>
        <v>11200667.333332777</v>
      </c>
      <c r="N22" s="73">
        <f>'WS Trial balance'!AJ65-'WS Trial balance'!AI65</f>
        <v>1205000</v>
      </c>
      <c r="O22" s="75">
        <f>M22+N22</f>
        <v>12405667.333332777</v>
      </c>
      <c r="P22" s="73">
        <f>'WS Trial balance'!AO65-'WS Trial balance'!AN65</f>
        <v>1205000</v>
      </c>
      <c r="Q22" s="75">
        <f>O22+P22</f>
        <v>13610667.333332777</v>
      </c>
      <c r="R22" s="73">
        <f>'WS Trial balance'!AT65-'WS Trial balance'!AS65</f>
        <v>1205000</v>
      </c>
      <c r="S22" s="75">
        <f>Q22+R22</f>
        <v>14815667.333332777</v>
      </c>
      <c r="T22" s="73">
        <f>'WS Trial balance'!AY65-'WS Trial balance'!AX65</f>
        <v>0</v>
      </c>
      <c r="U22" s="75">
        <f>S22+T22</f>
        <v>14815667.333332777</v>
      </c>
      <c r="V22" s="73">
        <f>'WS Trial balance'!BD65-'WS Trial balance'!BC65</f>
        <v>0</v>
      </c>
      <c r="W22" s="75">
        <f>U22+V22</f>
        <v>14815667.333332777</v>
      </c>
      <c r="X22" s="73">
        <f>'WS Trial balance'!BI65-'WS Trial balance'!BH65</f>
        <v>0</v>
      </c>
      <c r="Y22" s="75">
        <f>W22+X22</f>
        <v>14815667.333332777</v>
      </c>
      <c r="Z22" s="73">
        <f>'WS Trial balance'!BN65-'WS Trial balance'!BM65</f>
        <v>0</v>
      </c>
      <c r="AA22" s="75">
        <f>Y22+Z22</f>
        <v>14815667.333332777</v>
      </c>
      <c r="AB22" s="104">
        <f>AA22-AC22</f>
        <v>0</v>
      </c>
      <c r="AC22" s="73">
        <f>D22+F22+H22+J22+L22+N22+P22+R22+T22+V22+X22+Z22</f>
        <v>14815667.333332777</v>
      </c>
    </row>
    <row r="23" spans="2:31" s="81" customFormat="1" ht="20.100000000000001" customHeight="1" x14ac:dyDescent="0.25">
      <c r="B23" s="82"/>
      <c r="C23" s="84" t="s">
        <v>422</v>
      </c>
      <c r="D23" s="73">
        <f>-'WS Trial balance'!J66+'WS Trial balance'!K66</f>
        <v>-1495669.1133329095</v>
      </c>
      <c r="E23" s="75">
        <f>D23</f>
        <v>-1495669.1133329095</v>
      </c>
      <c r="F23" s="73">
        <f>-'WS Trial balance'!O66+'WS Trial balance'!P66</f>
        <v>-1489907.2722222386</v>
      </c>
      <c r="G23" s="75">
        <f>E23+F23</f>
        <v>-2985576.3855551481</v>
      </c>
      <c r="H23" s="73">
        <f>-'WS Trial balance'!T66+'WS Trial balance'!U66</f>
        <v>-1541782.6711114489</v>
      </c>
      <c r="I23" s="75">
        <f>G23+H23</f>
        <v>-4527359.0566665968</v>
      </c>
      <c r="J23" s="73">
        <f>-'WS Trial balance'!Y66+'WS Trial balance'!Z66</f>
        <v>-1526806.0555550009</v>
      </c>
      <c r="K23" s="75">
        <f>I23+J23</f>
        <v>-6054165.1122215977</v>
      </c>
      <c r="L23" s="73">
        <f>-'WS Trial balance'!AD66+'WS Trial balance'!AE66</f>
        <v>-1534334.8944444628</v>
      </c>
      <c r="M23" s="75">
        <f>K23+L23</f>
        <v>-7588500.0066660605</v>
      </c>
      <c r="N23" s="73">
        <f>-'WS Trial balance'!AI66+'WS Trial balance'!AJ66</f>
        <v>-1552978.0944444628</v>
      </c>
      <c r="O23" s="75">
        <f>M23+N23</f>
        <v>-9141478.1011105236</v>
      </c>
      <c r="P23" s="73">
        <f>-'WS Trial balance'!AN66+'WS Trial balance'!AO66</f>
        <v>-1544455.2377777761</v>
      </c>
      <c r="Q23" s="75">
        <f>O23+P23</f>
        <v>-10685933.338888299</v>
      </c>
      <c r="R23" s="73">
        <f>-'WS Trial balance'!AS66+'WS Trial balance'!AT66</f>
        <v>-1529472.7377777761</v>
      </c>
      <c r="S23" s="75">
        <f>Q23+R23</f>
        <v>-12215406.076666076</v>
      </c>
      <c r="T23" s="73">
        <f>-'WS Trial balance'!AX66+'WS Trial balance'!AY66</f>
        <v>0</v>
      </c>
      <c r="U23" s="75">
        <f>S23+T23</f>
        <v>-12215406.076666076</v>
      </c>
      <c r="V23" s="73">
        <f>-'WS Trial balance'!BC66+'WS Trial balance'!BD66</f>
        <v>0</v>
      </c>
      <c r="W23" s="75">
        <f>U23+V23</f>
        <v>-12215406.076666076</v>
      </c>
      <c r="X23" s="73">
        <f>-'WS Trial balance'!BH66+'WS Trial balance'!BI66</f>
        <v>0</v>
      </c>
      <c r="Y23" s="75">
        <f>W23+X23</f>
        <v>-12215406.076666076</v>
      </c>
      <c r="Z23" s="73">
        <f>-'WS Trial balance'!BM66+'WS Trial balance'!BN66</f>
        <v>0</v>
      </c>
      <c r="AA23" s="75">
        <f>Y23+Z23</f>
        <v>-12215406.076666076</v>
      </c>
      <c r="AB23" s="104">
        <f>AA23-AC23</f>
        <v>0</v>
      </c>
      <c r="AC23" s="73">
        <f>D23+F23+H23+J23+L23+N23+P23+R23+T23+V23+X23+Z23</f>
        <v>-12215406.076666076</v>
      </c>
    </row>
    <row r="24" spans="2:31" s="81" customFormat="1" ht="20.100000000000001" customHeight="1" x14ac:dyDescent="0.25">
      <c r="B24" s="85"/>
      <c r="C24" s="83" t="s">
        <v>134</v>
      </c>
      <c r="D24" s="74">
        <f t="shared" ref="D24:AA24" si="17">SUM(D22:D23)</f>
        <v>2422330.8866670905</v>
      </c>
      <c r="E24" s="93">
        <f t="shared" si="17"/>
        <v>2422330.8866670905</v>
      </c>
      <c r="F24" s="74">
        <f t="shared" si="17"/>
        <v>-66739.938889461569</v>
      </c>
      <c r="G24" s="93">
        <f t="shared" si="17"/>
        <v>2355590.9477776289</v>
      </c>
      <c r="H24" s="74">
        <f t="shared" si="17"/>
        <v>-185282.6711114489</v>
      </c>
      <c r="I24" s="93">
        <f t="shared" si="17"/>
        <v>2170308.2766661802</v>
      </c>
      <c r="J24" s="74">
        <f t="shared" si="17"/>
        <v>-170306.0555550009</v>
      </c>
      <c r="K24" s="93">
        <f t="shared" si="17"/>
        <v>2000002.2211111793</v>
      </c>
      <c r="L24" s="74">
        <f t="shared" si="17"/>
        <v>1612165.1055555372</v>
      </c>
      <c r="M24" s="93">
        <f t="shared" si="17"/>
        <v>3612167.3266667165</v>
      </c>
      <c r="N24" s="74">
        <f t="shared" si="17"/>
        <v>-347978.0944444628</v>
      </c>
      <c r="O24" s="93">
        <f t="shared" si="17"/>
        <v>3264189.2322222535</v>
      </c>
      <c r="P24" s="74">
        <f t="shared" si="17"/>
        <v>-339455.23777777608</v>
      </c>
      <c r="Q24" s="93">
        <f t="shared" si="17"/>
        <v>2924733.9944444783</v>
      </c>
      <c r="R24" s="74">
        <f t="shared" si="17"/>
        <v>-324472.73777777608</v>
      </c>
      <c r="S24" s="93">
        <f t="shared" si="17"/>
        <v>2600261.2566667013</v>
      </c>
      <c r="T24" s="74">
        <f t="shared" si="17"/>
        <v>0</v>
      </c>
      <c r="U24" s="93">
        <f t="shared" si="17"/>
        <v>2600261.2566667013</v>
      </c>
      <c r="V24" s="74">
        <f t="shared" si="17"/>
        <v>0</v>
      </c>
      <c r="W24" s="93">
        <f t="shared" si="17"/>
        <v>2600261.2566667013</v>
      </c>
      <c r="X24" s="74">
        <f t="shared" si="17"/>
        <v>0</v>
      </c>
      <c r="Y24" s="93">
        <f t="shared" si="17"/>
        <v>2600261.2566667013</v>
      </c>
      <c r="Z24" s="74">
        <f t="shared" si="17"/>
        <v>0</v>
      </c>
      <c r="AA24" s="93">
        <f t="shared" si="17"/>
        <v>2600261.2566667013</v>
      </c>
      <c r="AB24" s="104"/>
      <c r="AC24" s="74">
        <f>SUM(AC22:AC23)</f>
        <v>2600261.2566667013</v>
      </c>
    </row>
    <row r="25" spans="2:31" s="81" customFormat="1" ht="20.25" customHeight="1" x14ac:dyDescent="0.25">
      <c r="B25" s="82"/>
      <c r="C25" s="86" t="s">
        <v>135</v>
      </c>
      <c r="D25" s="77">
        <f t="shared" ref="D25:AA25" si="18">+D20+D24</f>
        <v>20491174.636667121</v>
      </c>
      <c r="E25" s="94">
        <f t="shared" si="18"/>
        <v>20491174.636667121</v>
      </c>
      <c r="F25" s="77">
        <f t="shared" si="18"/>
        <v>17881076.033332776</v>
      </c>
      <c r="G25" s="94">
        <f t="shared" si="18"/>
        <v>38372250.669999897</v>
      </c>
      <c r="H25" s="77">
        <f t="shared" si="18"/>
        <v>-10076758.365555868</v>
      </c>
      <c r="I25" s="94">
        <f t="shared" si="18"/>
        <v>28295492.30444403</v>
      </c>
      <c r="J25" s="77">
        <f t="shared" si="18"/>
        <v>17521329.361111671</v>
      </c>
      <c r="K25" s="94">
        <f t="shared" si="18"/>
        <v>45816821.665555716</v>
      </c>
      <c r="L25" s="77">
        <f t="shared" si="18"/>
        <v>-21726299.477777768</v>
      </c>
      <c r="M25" s="94">
        <f t="shared" si="18"/>
        <v>24090522.18777794</v>
      </c>
      <c r="N25" s="77">
        <f t="shared" si="18"/>
        <v>15454323.988888903</v>
      </c>
      <c r="O25" s="94">
        <f t="shared" si="18"/>
        <v>39544846.176666848</v>
      </c>
      <c r="P25" s="77">
        <f t="shared" si="18"/>
        <v>17728846.845555559</v>
      </c>
      <c r="Q25" s="94">
        <f t="shared" si="18"/>
        <v>57273693.022222444</v>
      </c>
      <c r="R25" s="77">
        <f t="shared" si="18"/>
        <v>17173829.345555559</v>
      </c>
      <c r="S25" s="94">
        <f t="shared" si="18"/>
        <v>74447522.367778048</v>
      </c>
      <c r="T25" s="77">
        <f t="shared" si="18"/>
        <v>0</v>
      </c>
      <c r="U25" s="94">
        <f t="shared" si="18"/>
        <v>74447522.367778048</v>
      </c>
      <c r="V25" s="77">
        <f t="shared" si="18"/>
        <v>0</v>
      </c>
      <c r="W25" s="94">
        <f t="shared" si="18"/>
        <v>74447522.367778048</v>
      </c>
      <c r="X25" s="77">
        <f t="shared" si="18"/>
        <v>0</v>
      </c>
      <c r="Y25" s="94">
        <f t="shared" si="18"/>
        <v>74447522.367778048</v>
      </c>
      <c r="Z25" s="77">
        <f t="shared" si="18"/>
        <v>0</v>
      </c>
      <c r="AA25" s="94">
        <f t="shared" si="18"/>
        <v>74447522.367778048</v>
      </c>
      <c r="AB25" s="104"/>
      <c r="AC25" s="77">
        <f>+AC20+AC24</f>
        <v>74447522.367778048</v>
      </c>
      <c r="AE25" s="81">
        <f>AC25*22%</f>
        <v>16378454.920911171</v>
      </c>
    </row>
    <row r="26" spans="2:31" s="81" customFormat="1" ht="20.100000000000001" customHeight="1" x14ac:dyDescent="0.25">
      <c r="B26" s="82"/>
      <c r="C26" s="86" t="s">
        <v>136</v>
      </c>
      <c r="D26" s="74">
        <f>-'WS Trial balance'!J67+'WS Trial balance'!K67</f>
        <v>0</v>
      </c>
      <c r="E26" s="93">
        <f>D26</f>
        <v>0</v>
      </c>
      <c r="F26" s="74">
        <f>-'WS Trial balance'!O67+'WS Trial balance'!P67</f>
        <v>0</v>
      </c>
      <c r="G26" s="93">
        <f>E26+F26</f>
        <v>0</v>
      </c>
      <c r="H26" s="74">
        <f>-'WS Trial balance'!T67+'WS Trial balance'!U67</f>
        <v>0</v>
      </c>
      <c r="I26" s="93">
        <f>G26+H26</f>
        <v>0</v>
      </c>
      <c r="J26" s="74">
        <f>-'WS Trial balance'!Y67+'WS Trial balance'!Z67</f>
        <v>0</v>
      </c>
      <c r="K26" s="93">
        <f>I26+J26</f>
        <v>0</v>
      </c>
      <c r="L26" s="74">
        <f>-'WS Trial balance'!AD67+'WS Trial balance'!AE67</f>
        <v>0</v>
      </c>
      <c r="M26" s="93">
        <f>K26+L26</f>
        <v>0</v>
      </c>
      <c r="N26" s="74">
        <f>-'WS Trial balance'!AI67+'WS Trial balance'!AJ67</f>
        <v>0</v>
      </c>
      <c r="O26" s="93">
        <f>M26+N26</f>
        <v>0</v>
      </c>
      <c r="P26" s="74">
        <f>-'WS Trial balance'!AN67+'WS Trial balance'!AO67</f>
        <v>0</v>
      </c>
      <c r="Q26" s="93">
        <f>O26+P26</f>
        <v>0</v>
      </c>
      <c r="R26" s="74">
        <f>-'WS Trial balance'!AS67+'WS Trial balance'!AT67</f>
        <v>0</v>
      </c>
      <c r="S26" s="93">
        <f>Q26+R26</f>
        <v>0</v>
      </c>
      <c r="T26" s="74">
        <f>-'WS Trial balance'!AX67+'WS Trial balance'!AY67</f>
        <v>0</v>
      </c>
      <c r="U26" s="93">
        <f>S26+T26</f>
        <v>0</v>
      </c>
      <c r="V26" s="74">
        <f>-'WS Trial balance'!BC67+'WS Trial balance'!BD67</f>
        <v>0</v>
      </c>
      <c r="W26" s="93">
        <f>U26+V26</f>
        <v>0</v>
      </c>
      <c r="X26" s="74">
        <f>-'WS Trial balance'!BH67+'WS Trial balance'!BI67</f>
        <v>0</v>
      </c>
      <c r="Y26" s="93">
        <f>W26+X26</f>
        <v>0</v>
      </c>
      <c r="Z26" s="74">
        <f>-'WS Trial balance'!BM67+'WS Trial balance'!BN67</f>
        <v>0</v>
      </c>
      <c r="AA26" s="93">
        <f>Y26+Z26</f>
        <v>0</v>
      </c>
      <c r="AB26" s="104">
        <f>AA26-AC26</f>
        <v>0</v>
      </c>
      <c r="AC26" s="74">
        <f>D26+F26+H26+J26+L26+N26+P26+R26+T26+V26+X26+Z26</f>
        <v>0</v>
      </c>
    </row>
    <row r="27" spans="2:31" s="81" customFormat="1" ht="20.100000000000001" customHeight="1" x14ac:dyDescent="0.25">
      <c r="B27" s="87"/>
      <c r="C27" s="88" t="s">
        <v>116</v>
      </c>
      <c r="D27" s="78">
        <f t="shared" ref="D27:AA27" si="19">SUM(D25:D26)</f>
        <v>20491174.636667121</v>
      </c>
      <c r="E27" s="95">
        <f t="shared" si="19"/>
        <v>20491174.636667121</v>
      </c>
      <c r="F27" s="78">
        <f t="shared" si="19"/>
        <v>17881076.033332776</v>
      </c>
      <c r="G27" s="95">
        <f t="shared" si="19"/>
        <v>38372250.669999897</v>
      </c>
      <c r="H27" s="78">
        <f t="shared" si="19"/>
        <v>-10076758.365555868</v>
      </c>
      <c r="I27" s="95">
        <f t="shared" si="19"/>
        <v>28295492.30444403</v>
      </c>
      <c r="J27" s="78">
        <f t="shared" si="19"/>
        <v>17521329.361111671</v>
      </c>
      <c r="K27" s="95">
        <f t="shared" si="19"/>
        <v>45816821.665555716</v>
      </c>
      <c r="L27" s="78">
        <f t="shared" si="19"/>
        <v>-21726299.477777768</v>
      </c>
      <c r="M27" s="95">
        <f t="shared" si="19"/>
        <v>24090522.18777794</v>
      </c>
      <c r="N27" s="78">
        <f t="shared" si="19"/>
        <v>15454323.988888903</v>
      </c>
      <c r="O27" s="95">
        <f t="shared" si="19"/>
        <v>39544846.176666848</v>
      </c>
      <c r="P27" s="78">
        <f t="shared" si="19"/>
        <v>17728846.845555559</v>
      </c>
      <c r="Q27" s="95">
        <f t="shared" si="19"/>
        <v>57273693.022222444</v>
      </c>
      <c r="R27" s="78">
        <f t="shared" si="19"/>
        <v>17173829.345555559</v>
      </c>
      <c r="S27" s="95">
        <f t="shared" si="19"/>
        <v>74447522.367778048</v>
      </c>
      <c r="T27" s="78">
        <f t="shared" si="19"/>
        <v>0</v>
      </c>
      <c r="U27" s="95">
        <f t="shared" si="19"/>
        <v>74447522.367778048</v>
      </c>
      <c r="V27" s="78">
        <f t="shared" si="19"/>
        <v>0</v>
      </c>
      <c r="W27" s="95">
        <f t="shared" si="19"/>
        <v>74447522.367778048</v>
      </c>
      <c r="X27" s="78">
        <f t="shared" si="19"/>
        <v>0</v>
      </c>
      <c r="Y27" s="95">
        <f t="shared" si="19"/>
        <v>74447522.367778048</v>
      </c>
      <c r="Z27" s="78">
        <f t="shared" si="19"/>
        <v>0</v>
      </c>
      <c r="AA27" s="95">
        <f t="shared" si="19"/>
        <v>74447522.367778048</v>
      </c>
      <c r="AB27" s="104"/>
      <c r="AC27" s="78">
        <f>SUM(AC25:AC26)</f>
        <v>74447522.367778048</v>
      </c>
    </row>
    <row r="29" spans="2:31" x14ac:dyDescent="0.25">
      <c r="E29" s="79">
        <f>E27-'WS Trial balance'!L70</f>
        <v>0</v>
      </c>
      <c r="G29" s="79">
        <f>G27-'WS Trial balance'!Q70</f>
        <v>0</v>
      </c>
      <c r="I29" s="79">
        <f>I27-'WS Trial balance'!V70</f>
        <v>0</v>
      </c>
      <c r="K29" s="79">
        <f>K27-'WS Trial balance'!AA70</f>
        <v>0</v>
      </c>
      <c r="M29" s="79">
        <f>M27-'WS Trial balance'!AF70</f>
        <v>0</v>
      </c>
      <c r="O29" s="79">
        <f>O27-'WS Trial balance'!AK70</f>
        <v>0</v>
      </c>
      <c r="Q29" s="79">
        <f>Q27-'WS Trial balance'!AP70</f>
        <v>0</v>
      </c>
      <c r="S29" s="79">
        <f>S27-'WS Trial balance'!AU70</f>
        <v>0</v>
      </c>
      <c r="U29" s="79">
        <f>U27-'WS Trial balance'!AZ70</f>
        <v>0</v>
      </c>
      <c r="W29" s="79">
        <f>W27-'WS Trial balance'!BE70</f>
        <v>0</v>
      </c>
      <c r="Y29" s="79">
        <f>Y27-'WS Trial balance'!BJ70</f>
        <v>0</v>
      </c>
      <c r="AA29" s="79">
        <f>AA27-'WS Trial balance'!BO70</f>
        <v>0</v>
      </c>
    </row>
    <row r="30" spans="2:31" x14ac:dyDescent="0.25">
      <c r="AB30" s="79"/>
    </row>
    <row r="31" spans="2:31" x14ac:dyDescent="0.25">
      <c r="AB31" s="79"/>
    </row>
    <row r="32" spans="2:31" x14ac:dyDescent="0.25">
      <c r="AB32" s="79"/>
    </row>
  </sheetData>
  <dataConsolidate link="1"/>
  <mergeCells count="14">
    <mergeCell ref="AC6:AC7"/>
    <mergeCell ref="X6:Y6"/>
    <mergeCell ref="Z6:AA6"/>
    <mergeCell ref="L6:M6"/>
    <mergeCell ref="N6:O6"/>
    <mergeCell ref="P6:Q6"/>
    <mergeCell ref="R6:S6"/>
    <mergeCell ref="T6:U6"/>
    <mergeCell ref="V6:W6"/>
    <mergeCell ref="B6:C7"/>
    <mergeCell ref="D6:E6"/>
    <mergeCell ref="F6:G6"/>
    <mergeCell ref="H6:I6"/>
    <mergeCell ref="J6:K6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portrait" verticalDpi="300" r:id="rId1"/>
  <ignoredErrors>
    <ignoredError sqref="E7 G7 I7 K7 M7 O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CF76"/>
  <sheetViews>
    <sheetView zoomScaleNormal="100" zoomScaleSheetLayoutView="85" workbookViewId="0">
      <pane xSplit="6" ySplit="6" topLeftCell="BN7" activePane="bottomRight" state="frozen"/>
      <selection activeCell="F7" sqref="F7"/>
      <selection pane="topRight" activeCell="F7" sqref="F7"/>
      <selection pane="bottomLeft" activeCell="F7" sqref="F7"/>
      <selection pane="bottomRight" activeCell="AN58" sqref="AN58"/>
    </sheetView>
  </sheetViews>
  <sheetFormatPr defaultRowHeight="12" x14ac:dyDescent="0.2"/>
  <cols>
    <col min="1" max="1" width="0.7109375" style="59" customWidth="1"/>
    <col min="2" max="2" width="1.7109375" style="59" customWidth="1"/>
    <col min="3" max="3" width="3.85546875" style="62" customWidth="1"/>
    <col min="4" max="4" width="5.5703125" style="62" customWidth="1"/>
    <col min="5" max="5" width="36.140625" style="62" customWidth="1"/>
    <col min="6" max="6" width="5.140625" style="62" customWidth="1"/>
    <col min="7" max="8" width="12.140625" style="62" bestFit="1" customWidth="1"/>
    <col min="9" max="9" width="1.140625" style="59" customWidth="1"/>
    <col min="10" max="11" width="12.140625" style="59" bestFit="1" customWidth="1"/>
    <col min="12" max="12" width="12.140625" style="62" bestFit="1" customWidth="1"/>
    <col min="13" max="13" width="14.28515625" style="62" bestFit="1" customWidth="1"/>
    <col min="14" max="14" width="1.140625" style="59" customWidth="1"/>
    <col min="15" max="16" width="11" style="59" bestFit="1" customWidth="1"/>
    <col min="17" max="17" width="12.140625" style="62" bestFit="1" customWidth="1"/>
    <col min="18" max="18" width="14.28515625" style="62" bestFit="1" customWidth="1"/>
    <col min="19" max="19" width="1.140625" style="59" customWidth="1"/>
    <col min="20" max="21" width="11" style="59" bestFit="1" customWidth="1"/>
    <col min="22" max="22" width="12.140625" style="62" bestFit="1" customWidth="1"/>
    <col min="23" max="23" width="14.28515625" style="62" bestFit="1" customWidth="1"/>
    <col min="24" max="24" width="1.140625" style="59" customWidth="1"/>
    <col min="25" max="26" width="11" style="59" bestFit="1" customWidth="1"/>
    <col min="27" max="28" width="12.140625" style="62" bestFit="1" customWidth="1"/>
    <col min="29" max="29" width="1.140625" style="59" customWidth="1"/>
    <col min="30" max="31" width="11" style="59" bestFit="1" customWidth="1"/>
    <col min="32" max="33" width="12.140625" style="62" bestFit="1" customWidth="1"/>
    <col min="34" max="34" width="1.140625" style="59" customWidth="1"/>
    <col min="35" max="36" width="11" style="59" bestFit="1" customWidth="1"/>
    <col min="37" max="38" width="12.140625" style="62" bestFit="1" customWidth="1"/>
    <col min="39" max="39" width="1.140625" style="59" customWidth="1"/>
    <col min="40" max="41" width="11" style="59" bestFit="1" customWidth="1"/>
    <col min="42" max="43" width="12.140625" style="62" bestFit="1" customWidth="1"/>
    <col min="44" max="44" width="1.140625" style="59" customWidth="1"/>
    <col min="45" max="46" width="11" style="59" bestFit="1" customWidth="1"/>
    <col min="47" max="48" width="12.140625" style="62" bestFit="1" customWidth="1"/>
    <col min="49" max="49" width="1.140625" style="59" customWidth="1"/>
    <col min="50" max="51" width="11" style="59" bestFit="1" customWidth="1"/>
    <col min="52" max="53" width="12.140625" style="62" bestFit="1" customWidth="1"/>
    <col min="54" max="54" width="1.140625" style="59" customWidth="1"/>
    <col min="55" max="56" width="11" style="59" bestFit="1" customWidth="1"/>
    <col min="57" max="58" width="12.140625" style="62" bestFit="1" customWidth="1"/>
    <col min="59" max="59" width="1.140625" style="59" customWidth="1"/>
    <col min="60" max="61" width="11" style="59" bestFit="1" customWidth="1"/>
    <col min="62" max="63" width="12.140625" style="62" bestFit="1" customWidth="1"/>
    <col min="64" max="64" width="1.140625" style="59" customWidth="1"/>
    <col min="65" max="66" width="14.85546875" style="59" customWidth="1"/>
    <col min="67" max="67" width="16.5703125" style="62" customWidth="1"/>
    <col min="68" max="68" width="18" style="62" customWidth="1"/>
    <col min="69" max="69" width="1.140625" style="59" customWidth="1"/>
    <col min="70" max="70" width="10.7109375" style="59" customWidth="1"/>
    <col min="71" max="71" width="1.140625" style="59" customWidth="1"/>
    <col min="72" max="73" width="13.7109375" style="62" bestFit="1" customWidth="1"/>
    <col min="74" max="74" width="1.140625" style="59" customWidth="1"/>
    <col min="75" max="76" width="15.5703125" style="59" bestFit="1" customWidth="1"/>
    <col min="77" max="77" width="1.140625" style="59" customWidth="1"/>
    <col min="78" max="79" width="13.7109375" style="62" bestFit="1" customWidth="1"/>
    <col min="80" max="80" width="1.140625" style="59" customWidth="1"/>
    <col min="81" max="81" width="16" style="59" bestFit="1" customWidth="1"/>
    <col min="82" max="82" width="1.7109375" style="59" customWidth="1"/>
    <col min="83" max="84" width="15.28515625" style="59" bestFit="1" customWidth="1"/>
    <col min="85" max="16384" width="9.140625" style="59"/>
  </cols>
  <sheetData>
    <row r="1" spans="2:81" s="1" customFormat="1" ht="6" customHeight="1" x14ac:dyDescent="0.25">
      <c r="C1" s="2"/>
      <c r="D1" s="2"/>
      <c r="E1" s="2"/>
      <c r="F1" s="2"/>
      <c r="G1" s="2"/>
      <c r="H1" s="2"/>
      <c r="L1" s="2"/>
      <c r="M1" s="2"/>
      <c r="Q1" s="2"/>
      <c r="R1" s="2"/>
      <c r="V1" s="2"/>
      <c r="W1" s="2"/>
      <c r="AA1" s="2"/>
      <c r="AB1" s="2"/>
      <c r="AF1" s="2"/>
      <c r="AG1" s="2"/>
      <c r="AK1" s="2"/>
      <c r="AL1" s="2"/>
      <c r="AP1" s="2"/>
      <c r="AQ1" s="2"/>
      <c r="AU1" s="2"/>
      <c r="AV1" s="2"/>
      <c r="AZ1" s="2"/>
      <c r="BA1" s="2"/>
      <c r="BE1" s="2"/>
      <c r="BF1" s="2"/>
      <c r="BJ1" s="2"/>
      <c r="BK1" s="2"/>
      <c r="BO1" s="2"/>
      <c r="BP1" s="2"/>
      <c r="BT1" s="2"/>
      <c r="BU1" s="2"/>
      <c r="BZ1" s="2"/>
      <c r="CA1" s="2"/>
    </row>
    <row r="2" spans="2:81" s="1" customFormat="1" ht="8.25" customHeight="1" x14ac:dyDescent="0.25">
      <c r="B2" s="3"/>
      <c r="C2" s="4"/>
      <c r="D2" s="4"/>
      <c r="E2" s="4"/>
      <c r="F2" s="4"/>
      <c r="G2" s="4"/>
      <c r="H2" s="4"/>
      <c r="I2" s="4"/>
      <c r="J2" s="3"/>
      <c r="K2" s="3"/>
      <c r="L2" s="4"/>
      <c r="M2" s="4"/>
      <c r="N2" s="4"/>
      <c r="O2" s="3"/>
      <c r="P2" s="3"/>
      <c r="Q2" s="4"/>
      <c r="R2" s="4"/>
      <c r="S2" s="4"/>
      <c r="T2" s="3"/>
      <c r="U2" s="3"/>
      <c r="V2" s="4"/>
      <c r="W2" s="4"/>
      <c r="X2" s="4"/>
      <c r="Y2" s="3"/>
      <c r="Z2" s="3"/>
      <c r="AA2" s="4"/>
      <c r="AB2" s="4"/>
      <c r="AC2" s="4"/>
      <c r="AD2" s="3"/>
      <c r="AE2" s="3"/>
      <c r="AF2" s="4"/>
      <c r="AG2" s="4"/>
      <c r="AH2" s="4"/>
      <c r="AI2" s="3"/>
      <c r="AJ2" s="3"/>
      <c r="AK2" s="4"/>
      <c r="AL2" s="4"/>
      <c r="AM2" s="4"/>
      <c r="AN2" s="3"/>
      <c r="AO2" s="3"/>
      <c r="AP2" s="4"/>
      <c r="AQ2" s="4"/>
      <c r="AR2" s="4"/>
      <c r="AS2" s="3"/>
      <c r="AT2" s="3"/>
      <c r="AU2" s="4"/>
      <c r="AV2" s="4"/>
      <c r="AW2" s="4"/>
      <c r="AX2" s="3"/>
      <c r="AY2" s="3"/>
      <c r="AZ2" s="4"/>
      <c r="BA2" s="4"/>
      <c r="BB2" s="4"/>
      <c r="BC2" s="3"/>
      <c r="BD2" s="3"/>
      <c r="BE2" s="4"/>
      <c r="BF2" s="4"/>
      <c r="BG2" s="4"/>
      <c r="BH2" s="3"/>
      <c r="BI2" s="3"/>
      <c r="BJ2" s="4"/>
      <c r="BK2" s="4"/>
      <c r="BL2" s="4"/>
      <c r="BM2" s="3"/>
      <c r="BN2" s="3"/>
      <c r="BO2" s="4"/>
      <c r="BP2" s="4"/>
      <c r="BQ2" s="4"/>
      <c r="BR2" s="2"/>
      <c r="BS2" s="4"/>
      <c r="BT2" s="4"/>
      <c r="BU2" s="4"/>
      <c r="BV2" s="4"/>
      <c r="BW2" s="3"/>
      <c r="BX2" s="3"/>
      <c r="BY2" s="4"/>
      <c r="BZ2" s="4"/>
      <c r="CA2" s="4"/>
      <c r="CB2" s="4"/>
    </row>
    <row r="3" spans="2:81" s="1" customFormat="1" ht="20.25" x14ac:dyDescent="0.3">
      <c r="B3" s="3"/>
      <c r="C3" s="224" t="s">
        <v>414</v>
      </c>
      <c r="D3" s="224"/>
      <c r="E3" s="224"/>
      <c r="F3" s="224"/>
      <c r="G3" s="224"/>
      <c r="H3" s="5"/>
      <c r="I3" s="4"/>
      <c r="J3" s="5"/>
      <c r="K3" s="5"/>
      <c r="L3" s="2"/>
      <c r="M3" s="101"/>
      <c r="N3" s="4"/>
      <c r="O3" s="5"/>
      <c r="P3" s="5"/>
      <c r="Q3" s="2"/>
      <c r="R3" s="101"/>
      <c r="S3" s="4"/>
      <c r="T3" s="5"/>
      <c r="U3" s="5"/>
      <c r="V3" s="185"/>
      <c r="W3" s="101"/>
      <c r="X3" s="4"/>
      <c r="Y3" s="5"/>
      <c r="Z3" s="5"/>
      <c r="AA3" s="2"/>
      <c r="AB3" s="101"/>
      <c r="AC3" s="4"/>
      <c r="AD3" s="5"/>
      <c r="AE3" s="5"/>
      <c r="AF3" s="2"/>
      <c r="AG3" s="101"/>
      <c r="AH3" s="4"/>
      <c r="AI3" s="5"/>
      <c r="AJ3" s="5"/>
      <c r="AK3" s="2"/>
      <c r="AL3" s="101"/>
      <c r="AM3" s="4"/>
      <c r="AN3" s="5"/>
      <c r="AO3" s="5"/>
      <c r="AP3" s="2"/>
      <c r="AQ3" s="101"/>
      <c r="AR3" s="4"/>
      <c r="AS3" s="5"/>
      <c r="AT3" s="5"/>
      <c r="AU3" s="2"/>
      <c r="AV3" s="2"/>
      <c r="AW3" s="4"/>
      <c r="AX3" s="5"/>
      <c r="AY3" s="5"/>
      <c r="AZ3" s="2"/>
      <c r="BA3" s="2"/>
      <c r="BB3" s="4"/>
      <c r="BC3" s="5"/>
      <c r="BD3" s="5"/>
      <c r="BE3" s="2"/>
      <c r="BF3" s="5"/>
      <c r="BG3" s="4"/>
      <c r="BH3" s="5"/>
      <c r="BI3" s="5"/>
      <c r="BJ3" s="2"/>
      <c r="BK3" s="2"/>
      <c r="BL3" s="4"/>
      <c r="BM3" s="5"/>
      <c r="BN3" s="5"/>
      <c r="BO3" s="2"/>
      <c r="BP3" s="2"/>
      <c r="BQ3" s="4"/>
      <c r="BR3" s="2"/>
      <c r="BS3" s="4"/>
      <c r="BU3" s="5"/>
      <c r="BV3" s="4"/>
      <c r="BW3" s="5"/>
      <c r="BX3" s="5"/>
      <c r="BY3" s="4"/>
      <c r="BZ3" s="2"/>
      <c r="CA3" s="101"/>
      <c r="CB3" s="4"/>
    </row>
    <row r="4" spans="2:81" s="1" customFormat="1" ht="20.25" x14ac:dyDescent="0.3">
      <c r="B4" s="3"/>
      <c r="C4" s="6" t="s">
        <v>575</v>
      </c>
      <c r="D4" s="6"/>
      <c r="E4" s="6"/>
      <c r="F4" s="6"/>
      <c r="G4" s="138"/>
      <c r="H4" s="101"/>
      <c r="I4" s="4"/>
      <c r="J4" s="5"/>
      <c r="K4" s="5"/>
      <c r="L4" s="2"/>
      <c r="M4" s="101"/>
      <c r="N4" s="4"/>
      <c r="O4" s="5"/>
      <c r="P4" s="5"/>
      <c r="Q4" s="2"/>
      <c r="R4" s="101"/>
      <c r="S4" s="4"/>
      <c r="T4" s="5"/>
      <c r="U4" s="5"/>
      <c r="V4" s="2"/>
      <c r="W4" s="101"/>
      <c r="X4" s="4"/>
      <c r="Y4" s="5"/>
      <c r="Z4" s="5"/>
      <c r="AA4" s="2"/>
      <c r="AB4" s="101"/>
      <c r="AC4" s="4"/>
      <c r="AD4" s="5"/>
      <c r="AE4" s="5"/>
      <c r="AF4" s="2"/>
      <c r="AG4" s="101"/>
      <c r="AH4" s="4"/>
      <c r="AI4" s="5"/>
      <c r="AJ4" s="5"/>
      <c r="AK4" s="2"/>
      <c r="AL4" s="101"/>
      <c r="AM4" s="4"/>
      <c r="AN4" s="5"/>
      <c r="AO4" s="5"/>
      <c r="AP4" s="2"/>
      <c r="AQ4" s="101"/>
      <c r="AR4" s="4"/>
      <c r="AS4" s="5"/>
      <c r="AT4" s="5"/>
      <c r="AU4" s="2"/>
      <c r="AV4" s="2"/>
      <c r="AW4" s="4"/>
      <c r="AX4" s="5"/>
      <c r="AY4" s="5"/>
      <c r="AZ4" s="2"/>
      <c r="BA4" s="2"/>
      <c r="BB4" s="4"/>
      <c r="BC4" s="5"/>
      <c r="BD4" s="5"/>
      <c r="BE4" s="141"/>
      <c r="BF4" s="5"/>
      <c r="BG4" s="4"/>
      <c r="BH4" s="5"/>
      <c r="BI4" s="5"/>
      <c r="BJ4" s="2"/>
      <c r="BK4" s="2"/>
      <c r="BL4" s="4"/>
      <c r="BM4" s="5"/>
      <c r="BN4" s="98"/>
      <c r="BO4" s="5"/>
      <c r="BP4" s="2"/>
      <c r="BQ4" s="4"/>
      <c r="BR4" s="2"/>
      <c r="BS4" s="4"/>
      <c r="BT4" s="6"/>
      <c r="BU4" s="7"/>
      <c r="BV4" s="4"/>
      <c r="BW4" s="5"/>
      <c r="BX4" s="5"/>
      <c r="BY4" s="4"/>
      <c r="BZ4" s="2"/>
      <c r="CA4" s="101"/>
      <c r="CB4" s="4"/>
    </row>
    <row r="5" spans="2:81" s="12" customFormat="1" ht="15" x14ac:dyDescent="0.25">
      <c r="B5" s="8"/>
      <c r="C5" s="225" t="s">
        <v>0</v>
      </c>
      <c r="D5" s="226"/>
      <c r="E5" s="227"/>
      <c r="F5" s="230" t="s">
        <v>1</v>
      </c>
      <c r="G5" s="9" t="s">
        <v>577</v>
      </c>
      <c r="H5" s="10"/>
      <c r="I5" s="4"/>
      <c r="J5" s="11" t="s">
        <v>578</v>
      </c>
      <c r="K5" s="11"/>
      <c r="L5" s="9" t="s">
        <v>579</v>
      </c>
      <c r="M5" s="10"/>
      <c r="N5" s="4"/>
      <c r="O5" s="11" t="s">
        <v>580</v>
      </c>
      <c r="P5" s="11"/>
      <c r="Q5" s="9" t="s">
        <v>581</v>
      </c>
      <c r="R5" s="10"/>
      <c r="S5" s="4"/>
      <c r="T5" s="11" t="s">
        <v>582</v>
      </c>
      <c r="U5" s="11"/>
      <c r="V5" s="9" t="s">
        <v>583</v>
      </c>
      <c r="W5" s="10"/>
      <c r="X5" s="4"/>
      <c r="Y5" s="11" t="s">
        <v>584</v>
      </c>
      <c r="Z5" s="11"/>
      <c r="AA5" s="9" t="s">
        <v>585</v>
      </c>
      <c r="AB5" s="10"/>
      <c r="AC5" s="4"/>
      <c r="AD5" s="11" t="s">
        <v>586</v>
      </c>
      <c r="AE5" s="11"/>
      <c r="AF5" s="9" t="s">
        <v>587</v>
      </c>
      <c r="AG5" s="10"/>
      <c r="AH5" s="4"/>
      <c r="AI5" s="11" t="s">
        <v>588</v>
      </c>
      <c r="AJ5" s="11"/>
      <c r="AK5" s="9" t="s">
        <v>589</v>
      </c>
      <c r="AL5" s="10"/>
      <c r="AM5" s="4"/>
      <c r="AN5" s="11" t="s">
        <v>590</v>
      </c>
      <c r="AO5" s="11"/>
      <c r="AP5" s="9" t="s">
        <v>591</v>
      </c>
      <c r="AQ5" s="10"/>
      <c r="AR5" s="4"/>
      <c r="AS5" s="11" t="s">
        <v>592</v>
      </c>
      <c r="AT5" s="11"/>
      <c r="AU5" s="9" t="s">
        <v>593</v>
      </c>
      <c r="AV5" s="10"/>
      <c r="AW5" s="4"/>
      <c r="AX5" s="11" t="s">
        <v>594</v>
      </c>
      <c r="AY5" s="11"/>
      <c r="AZ5" s="9" t="s">
        <v>595</v>
      </c>
      <c r="BA5" s="10"/>
      <c r="BB5" s="4"/>
      <c r="BC5" s="11" t="s">
        <v>596</v>
      </c>
      <c r="BD5" s="11"/>
      <c r="BE5" s="9" t="s">
        <v>597</v>
      </c>
      <c r="BF5" s="10"/>
      <c r="BG5" s="4"/>
      <c r="BH5" s="11" t="s">
        <v>598</v>
      </c>
      <c r="BI5" s="11"/>
      <c r="BJ5" s="9" t="s">
        <v>599</v>
      </c>
      <c r="BK5" s="10"/>
      <c r="BL5" s="4"/>
      <c r="BM5" s="11" t="s">
        <v>600</v>
      </c>
      <c r="BN5" s="11"/>
      <c r="BO5" s="9" t="s">
        <v>601</v>
      </c>
      <c r="BP5" s="10"/>
      <c r="BQ5" s="4"/>
      <c r="BR5" s="2"/>
      <c r="BS5" s="4"/>
      <c r="BT5" s="9" t="s">
        <v>577</v>
      </c>
      <c r="BU5" s="10"/>
      <c r="BV5" s="4"/>
      <c r="BW5" s="11" t="s">
        <v>602</v>
      </c>
      <c r="BX5" s="11"/>
      <c r="BY5" s="4"/>
      <c r="BZ5" s="9" t="s">
        <v>603</v>
      </c>
      <c r="CA5" s="10"/>
      <c r="CB5" s="4"/>
    </row>
    <row r="6" spans="2:81" s="12" customFormat="1" ht="15" x14ac:dyDescent="0.25">
      <c r="B6" s="8"/>
      <c r="C6" s="228"/>
      <c r="D6" s="228"/>
      <c r="E6" s="229"/>
      <c r="F6" s="231"/>
      <c r="G6" s="13" t="s">
        <v>2</v>
      </c>
      <c r="H6" s="13" t="s">
        <v>3</v>
      </c>
      <c r="I6" s="4"/>
      <c r="J6" s="14" t="s">
        <v>2</v>
      </c>
      <c r="K6" s="14" t="s">
        <v>3</v>
      </c>
      <c r="L6" s="13" t="s">
        <v>2</v>
      </c>
      <c r="M6" s="13" t="s">
        <v>3</v>
      </c>
      <c r="N6" s="4"/>
      <c r="O6" s="14" t="s">
        <v>2</v>
      </c>
      <c r="P6" s="14" t="s">
        <v>3</v>
      </c>
      <c r="Q6" s="13" t="s">
        <v>2</v>
      </c>
      <c r="R6" s="13" t="s">
        <v>3</v>
      </c>
      <c r="S6" s="4"/>
      <c r="T6" s="14" t="s">
        <v>2</v>
      </c>
      <c r="U6" s="14" t="s">
        <v>3</v>
      </c>
      <c r="V6" s="13" t="s">
        <v>2</v>
      </c>
      <c r="W6" s="13" t="s">
        <v>3</v>
      </c>
      <c r="X6" s="4"/>
      <c r="Y6" s="14" t="s">
        <v>2</v>
      </c>
      <c r="Z6" s="14" t="s">
        <v>3</v>
      </c>
      <c r="AA6" s="13" t="s">
        <v>2</v>
      </c>
      <c r="AB6" s="13" t="s">
        <v>3</v>
      </c>
      <c r="AC6" s="4"/>
      <c r="AD6" s="14" t="s">
        <v>2</v>
      </c>
      <c r="AE6" s="14" t="s">
        <v>3</v>
      </c>
      <c r="AF6" s="13" t="s">
        <v>2</v>
      </c>
      <c r="AG6" s="13" t="s">
        <v>3</v>
      </c>
      <c r="AH6" s="4"/>
      <c r="AI6" s="14" t="s">
        <v>2</v>
      </c>
      <c r="AJ6" s="14" t="s">
        <v>3</v>
      </c>
      <c r="AK6" s="13" t="s">
        <v>2</v>
      </c>
      <c r="AL6" s="13" t="s">
        <v>3</v>
      </c>
      <c r="AM6" s="4"/>
      <c r="AN6" s="14" t="s">
        <v>2</v>
      </c>
      <c r="AO6" s="14" t="s">
        <v>3</v>
      </c>
      <c r="AP6" s="13" t="s">
        <v>2</v>
      </c>
      <c r="AQ6" s="13" t="s">
        <v>3</v>
      </c>
      <c r="AR6" s="4"/>
      <c r="AS6" s="14" t="s">
        <v>2</v>
      </c>
      <c r="AT6" s="14" t="s">
        <v>3</v>
      </c>
      <c r="AU6" s="13" t="s">
        <v>2</v>
      </c>
      <c r="AV6" s="13" t="s">
        <v>3</v>
      </c>
      <c r="AW6" s="4"/>
      <c r="AX6" s="14" t="s">
        <v>2</v>
      </c>
      <c r="AY6" s="14" t="s">
        <v>3</v>
      </c>
      <c r="AZ6" s="13" t="s">
        <v>2</v>
      </c>
      <c r="BA6" s="13" t="s">
        <v>3</v>
      </c>
      <c r="BB6" s="4"/>
      <c r="BC6" s="14" t="s">
        <v>2</v>
      </c>
      <c r="BD6" s="14" t="s">
        <v>3</v>
      </c>
      <c r="BE6" s="13" t="s">
        <v>2</v>
      </c>
      <c r="BF6" s="13" t="s">
        <v>3</v>
      </c>
      <c r="BG6" s="4"/>
      <c r="BH6" s="14" t="s">
        <v>2</v>
      </c>
      <c r="BI6" s="14" t="s">
        <v>3</v>
      </c>
      <c r="BJ6" s="13" t="s">
        <v>2</v>
      </c>
      <c r="BK6" s="13" t="s">
        <v>3</v>
      </c>
      <c r="BL6" s="4"/>
      <c r="BM6" s="14" t="s">
        <v>2</v>
      </c>
      <c r="BN6" s="14" t="s">
        <v>3</v>
      </c>
      <c r="BO6" s="13" t="s">
        <v>2</v>
      </c>
      <c r="BP6" s="13" t="s">
        <v>3</v>
      </c>
      <c r="BQ6" s="4"/>
      <c r="BR6" s="2"/>
      <c r="BS6" s="4"/>
      <c r="BT6" s="13" t="s">
        <v>2</v>
      </c>
      <c r="BU6" s="13" t="s">
        <v>3</v>
      </c>
      <c r="BV6" s="4"/>
      <c r="BW6" s="14" t="s">
        <v>2</v>
      </c>
      <c r="BX6" s="14" t="s">
        <v>3</v>
      </c>
      <c r="BY6" s="4"/>
      <c r="BZ6" s="13" t="s">
        <v>2</v>
      </c>
      <c r="CA6" s="13" t="s">
        <v>3</v>
      </c>
      <c r="CB6" s="4"/>
    </row>
    <row r="7" spans="2:81" s="1" customFormat="1" ht="15" x14ac:dyDescent="0.25">
      <c r="B7" s="3"/>
      <c r="C7" s="15"/>
      <c r="D7" s="15" t="s">
        <v>4</v>
      </c>
      <c r="E7" s="15" t="s">
        <v>5</v>
      </c>
      <c r="F7" s="15" t="s">
        <v>6</v>
      </c>
      <c r="G7" s="16">
        <v>8851508.6700000763</v>
      </c>
      <c r="H7" s="16">
        <v>0</v>
      </c>
      <c r="I7" s="4"/>
      <c r="J7" s="16">
        <f>SUMIF('MUTASI 2026'!$B$5:$B$160,'WS Trial balance'!$D7,'MUTASI 2026'!$G$5:$G$160)</f>
        <v>4865000</v>
      </c>
      <c r="K7" s="16">
        <f>SUMIF('MUTASI 2026'!$B$5:$B$160,'WS Trial balance'!$D7,'MUTASI 2026'!$H$5:$H$160)</f>
        <v>5258000</v>
      </c>
      <c r="L7" s="16">
        <f t="shared" ref="L7:L48" si="0">IF(F7="D",(G7-H7+J7-K7),0)</f>
        <v>8458508.6700000763</v>
      </c>
      <c r="M7" s="16">
        <f t="shared" ref="M7:M48" si="1">IF(F7="K",(-G7+H7-J7+K7),0)</f>
        <v>0</v>
      </c>
      <c r="N7" s="4"/>
      <c r="O7" s="16">
        <f>SUMIF('MUTASI 2026'!$B$162:$B$252,'WS Trial balance'!$D7,'MUTASI 2026'!$G$162:$G$252)</f>
        <v>49051500</v>
      </c>
      <c r="P7" s="16">
        <f>SUMIF('MUTASI 2026'!$B$162:$B$252,'WS Trial balance'!$D7,'MUTASI 2026'!$H$162:$H$252)</f>
        <v>24350000</v>
      </c>
      <c r="Q7" s="16">
        <f t="shared" ref="Q7:Q48" si="2">IF(F7="D",(L7-M7+O7-P7),0)</f>
        <v>33160008.670000076</v>
      </c>
      <c r="R7" s="16">
        <f t="shared" ref="R7:R48" si="3">IF(F7="K",(-L7+M7-O7+P7),0)</f>
        <v>0</v>
      </c>
      <c r="S7" s="4"/>
      <c r="T7" s="16">
        <f>SUMIF('MUTASI 2026'!$B$254:$B$356,'WS Trial balance'!$D7,'MUTASI 2026'!$G$254:$G$356)</f>
        <v>2047000</v>
      </c>
      <c r="U7" s="16">
        <f>SUMIF('MUTASI 2026'!$B$254:$B$356,'WS Trial balance'!$D7,'MUTASI 2026'!$H$254:$H$356)</f>
        <v>28557000</v>
      </c>
      <c r="V7" s="16">
        <f t="shared" ref="V7:V48" si="4">IF(F7="D",(Q7-R7+T7-U7),0)</f>
        <v>6650008.6700000763</v>
      </c>
      <c r="W7" s="16">
        <f t="shared" ref="W7:W48" si="5">IF(F7="K",(-Q7+R7-T7+U7),0)</f>
        <v>0</v>
      </c>
      <c r="X7" s="4"/>
      <c r="Y7" s="16">
        <f>SUMIF('MUTASI 2026'!$B$358:$B$480,'WS Trial balance'!$D7,'MUTASI 2026'!$G$358:$G$480)</f>
        <v>4136000</v>
      </c>
      <c r="Z7" s="16">
        <f>SUMIF('MUTASI 2026'!$B$358:$B$480,'WS Trial balance'!$D7,'MUTASI 2026'!$H$358:$H$480)</f>
        <v>6250000</v>
      </c>
      <c r="AA7" s="16">
        <f t="shared" ref="AA7:AA48" si="6">IF(F7="D",(V7-W7+Y7-Z7),0)</f>
        <v>4536008.6700000763</v>
      </c>
      <c r="AB7" s="16">
        <f t="shared" ref="AB7:AB48" si="7">IF(F7="K",(-V7+W7-Y7+Z7),0)</f>
        <v>0</v>
      </c>
      <c r="AC7" s="4"/>
      <c r="AD7" s="16">
        <f>SUMIF('MUTASI 2026'!$B$482:$B$655,'WS Trial balance'!$D7,'MUTASI 2026'!$G$482:$G$655)</f>
        <v>62358000</v>
      </c>
      <c r="AE7" s="16">
        <f>SUMIF('MUTASI 2026'!$B$482:$B$655,'WS Trial balance'!$D7,'MUTASI 2026'!$H$482:$H$655)</f>
        <v>65179638</v>
      </c>
      <c r="AF7" s="16">
        <f t="shared" ref="AF7:AF48" si="8">IF(F7="D",(AA7-AB7+AD7-AE7),0)</f>
        <v>1714370.6700000763</v>
      </c>
      <c r="AG7" s="16">
        <f t="shared" ref="AG7:AG48" si="9">IF(F7="K",(-AA7+AB7-AD7+AE7),0)</f>
        <v>0</v>
      </c>
      <c r="AH7" s="4"/>
      <c r="AI7" s="16">
        <f>SUMIF('MUTASI 2026'!$B$657:$B$748,'WS Trial balance'!$D7,'MUTASI 2026'!$G$657:$G$748)</f>
        <v>12626000</v>
      </c>
      <c r="AJ7" s="16">
        <f>SUMIF('MUTASI 2026'!$B$657:$B$748,'WS Trial balance'!$D7,'MUTASI 2026'!$H$657:$H$748)</f>
        <v>17250000</v>
      </c>
      <c r="AK7" s="16">
        <f t="shared" ref="AK7:AK48" si="10">IF(F7="D",(AF7-AG7+AI7-AJ7),0)</f>
        <v>-2909629.3299999237</v>
      </c>
      <c r="AL7" s="16">
        <f t="shared" ref="AL7:AL48" si="11">IF(F7="K",(-AF7+AG7-AI7+AJ7),0)</f>
        <v>0</v>
      </c>
      <c r="AM7" s="4"/>
      <c r="AN7" s="16">
        <f>SUMIF('MUTASI 2026'!$B$750:$B$851,'WS Trial balance'!$D7,'MUTASI 2026'!$G$750:$G$851)</f>
        <v>12745500</v>
      </c>
      <c r="AO7" s="16">
        <f>SUMIF('MUTASI 2026'!$B$750:$B$851,'WS Trial balance'!$D7,'MUTASI 2026'!$H$750:$H$851)</f>
        <v>6120000</v>
      </c>
      <c r="AP7" s="16">
        <f t="shared" ref="AP7:AP48" si="12">IF(F7="D",(AK7-AL7+AN7-AO7),0)</f>
        <v>3715870.6700000763</v>
      </c>
      <c r="AQ7" s="16">
        <f t="shared" ref="AQ7:AQ48" si="13">IF(F7="K",(-AK7+AL7-AN7+AO7),0)</f>
        <v>0</v>
      </c>
      <c r="AR7" s="4"/>
      <c r="AS7" s="16">
        <f>SUMIF('MUTASI 2026'!$B$853:$B$945,'WS Trial balance'!$D7,'MUTASI 2026'!$G$853:$G$945)</f>
        <v>28245000</v>
      </c>
      <c r="AT7" s="16">
        <f>SUMIF('MUTASI 2026'!$B$853:$B$945,'WS Trial balance'!$D7,'MUTASI 2026'!$H$853:$H$945)</f>
        <v>27133454</v>
      </c>
      <c r="AU7" s="16">
        <f t="shared" ref="AU7:AU48" si="14">IF(F7="D",(AP7-AQ7+AS7-AT7),0)</f>
        <v>4827416.6700000763</v>
      </c>
      <c r="AV7" s="16">
        <f t="shared" ref="AV7:AV48" si="15">IF(F7="K",(-AP7+AQ7-AS7+AT7),0)</f>
        <v>0</v>
      </c>
      <c r="AW7" s="4"/>
      <c r="AX7" s="16">
        <f>SUMIF('MUTASI 2026'!$B$1274:$B$1379,'WS Trial balance'!$D7,'MUTASI 2026'!$G$1274:$G$1379)</f>
        <v>0</v>
      </c>
      <c r="AY7" s="16">
        <f>SUMIF('MUTASI 2026'!$B$1274:$B$1379,'WS Trial balance'!$D7,'MUTASI 2026'!$H$1274:$H$1379)</f>
        <v>0</v>
      </c>
      <c r="AZ7" s="16">
        <f t="shared" ref="AZ7:AZ48" si="16">IF(F7="D",(AU7-AV7+AX7-AY7),0)</f>
        <v>4827416.6700000763</v>
      </c>
      <c r="BA7" s="16">
        <f t="shared" ref="BA7:BA48" si="17">IF(F7="K",(-AU7+AV7-AX7+AY7),0)</f>
        <v>0</v>
      </c>
      <c r="BB7" s="4"/>
      <c r="BC7" s="16">
        <f>SUMIF('MUTASI 2026'!$B$1382:$B$1477,'WS Trial balance'!$D7,'MUTASI 2026'!$G$1382:$G$1477)</f>
        <v>0</v>
      </c>
      <c r="BD7" s="16">
        <f>SUMIF('MUTASI 2026'!$B$1382:$B$1477,'WS Trial balance'!$D7,'MUTASI 2026'!$H$1382:$H$1477)</f>
        <v>0</v>
      </c>
      <c r="BE7" s="16">
        <f t="shared" ref="BE7:BE48" si="18">IF(F7="D",(AZ7-BA7+BC7-BD7),0)</f>
        <v>4827416.6700000763</v>
      </c>
      <c r="BF7" s="16">
        <f t="shared" ref="BF7:BF48" si="19">IF(F7="K",(-AZ7+BA7-BC7+BD7),0)</f>
        <v>0</v>
      </c>
      <c r="BG7" s="4"/>
      <c r="BH7" s="16">
        <f>SUMIF('MUTASI 2026'!$B$1480:$B$1600,'WS Trial balance'!$D7,'MUTASI 2026'!$G$1480:$G$1600)</f>
        <v>0</v>
      </c>
      <c r="BI7" s="16">
        <f>SUMIF('MUTASI 2026'!$B$1480:$B$1600,'WS Trial balance'!$D7,'MUTASI 2026'!$H$1480:$H$1600)</f>
        <v>0</v>
      </c>
      <c r="BJ7" s="16">
        <f t="shared" ref="BJ7:BJ48" si="20">IF(F7="D",(BE7-BF7+BH7-BI7),0)</f>
        <v>4827416.6700000763</v>
      </c>
      <c r="BK7" s="16">
        <f t="shared" ref="BK7:BK48" si="21">IF(F7="K",(-BE7+BF7-BH7+BI7),0)</f>
        <v>0</v>
      </c>
      <c r="BL7" s="4"/>
      <c r="BM7" s="16">
        <f>SUMIF('MUTASI 2026'!$B$1603:$B$1722,'WS Trial balance'!$D7,'MUTASI 2026'!$G$1603:$G$1722)</f>
        <v>0</v>
      </c>
      <c r="BN7" s="16">
        <f>SUMIF('MUTASI 2026'!$B$1603:$B$1722,'WS Trial balance'!$D7,'MUTASI 2026'!$H$1603:$H$1722)</f>
        <v>0</v>
      </c>
      <c r="BO7" s="16">
        <f t="shared" ref="BO7:BO48" si="22">IF(F7="D",(BJ7-BK7+BM7-BN7),0)</f>
        <v>4827416.6700000763</v>
      </c>
      <c r="BP7" s="16">
        <f t="shared" ref="BP7:BP48" si="23">IF(F7="K",(-BJ7+BK7-BM7+BN7),0)</f>
        <v>0</v>
      </c>
      <c r="BQ7" s="4"/>
      <c r="BR7" s="2"/>
      <c r="BS7" s="4"/>
      <c r="BT7" s="16">
        <f t="shared" ref="BT7:BU48" si="24">G7</f>
        <v>8851508.6700000763</v>
      </c>
      <c r="BU7" s="16">
        <f t="shared" si="24"/>
        <v>0</v>
      </c>
      <c r="BV7" s="4"/>
      <c r="BW7" s="16">
        <f t="shared" ref="BW7:BX48" si="25">J7+O7+T7+Y7+AD7+AI7+AN7+AS7+AX7+BC7+BH7+BM7</f>
        <v>176074000</v>
      </c>
      <c r="BX7" s="16">
        <f t="shared" si="25"/>
        <v>180098092</v>
      </c>
      <c r="BY7" s="4"/>
      <c r="BZ7" s="16">
        <f t="shared" ref="BZ7:BZ48" si="26">IF(F7="D",(BT7-BU7+BW7-BX7),0)</f>
        <v>4827416.6700000763</v>
      </c>
      <c r="CA7" s="16">
        <f t="shared" ref="CA7:CA48" si="27">IF(F7="K",(-BT7+BU7-BW7+BX7),0)</f>
        <v>0</v>
      </c>
      <c r="CB7" s="4"/>
    </row>
    <row r="8" spans="2:81" s="1" customFormat="1" ht="15" x14ac:dyDescent="0.25">
      <c r="B8" s="3"/>
      <c r="C8" s="15"/>
      <c r="D8" s="15" t="s">
        <v>7</v>
      </c>
      <c r="E8" s="17" t="s">
        <v>8</v>
      </c>
      <c r="F8" s="17" t="s">
        <v>6</v>
      </c>
      <c r="G8" s="16">
        <v>302956673.61999941</v>
      </c>
      <c r="H8" s="16">
        <v>0</v>
      </c>
      <c r="I8" s="4"/>
      <c r="J8" s="16">
        <f>SUMIF('MUTASI 2026'!$B$5:$B$160,'WS Trial balance'!$D8,'MUTASI 2026'!$G$5:$G$160)</f>
        <v>160961843.30000001</v>
      </c>
      <c r="K8" s="16">
        <f>SUMIF('MUTASI 2026'!$B$5:$B$160,'WS Trial balance'!$D8,'MUTASI 2026'!$H$5:$H$160)</f>
        <v>150561132</v>
      </c>
      <c r="L8" s="16">
        <f t="shared" si="0"/>
        <v>313357384.91999942</v>
      </c>
      <c r="M8" s="16">
        <f t="shared" si="1"/>
        <v>0</v>
      </c>
      <c r="N8" s="4"/>
      <c r="O8" s="16">
        <f>SUMIF('MUTASI 2026'!$B$162:$B$252,'WS Trial balance'!$D8,'MUTASI 2026'!$G$162:$G$252)</f>
        <v>93516225.700000003</v>
      </c>
      <c r="P8" s="16">
        <f>SUMIF('MUTASI 2026'!$B$162:$B$252,'WS Trial balance'!$D8,'MUTASI 2026'!$H$162:$H$252)</f>
        <v>185549733</v>
      </c>
      <c r="Q8" s="16">
        <f t="shared" si="2"/>
        <v>221323877.61999941</v>
      </c>
      <c r="R8" s="16">
        <f t="shared" si="3"/>
        <v>0</v>
      </c>
      <c r="S8" s="4"/>
      <c r="T8" s="16">
        <f>SUMIF('MUTASI 2026'!$B$254:$B$356,'WS Trial balance'!$D8,'MUTASI 2026'!$G$254:$G$356)</f>
        <v>200552329</v>
      </c>
      <c r="U8" s="16">
        <f>SUMIF('MUTASI 2026'!$B$254:$B$356,'WS Trial balance'!$D8,'MUTASI 2026'!$H$254:$H$356)</f>
        <v>168247425.13999999</v>
      </c>
      <c r="V8" s="16">
        <f t="shared" si="4"/>
        <v>253628781.47999942</v>
      </c>
      <c r="W8" s="16">
        <f t="shared" si="5"/>
        <v>0</v>
      </c>
      <c r="X8" s="4"/>
      <c r="Y8" s="16">
        <f>SUMIF('MUTASI 2026'!$B$358:$B$480,'WS Trial balance'!$D8,'MUTASI 2026'!$G$358:$G$480)</f>
        <v>132777868.25</v>
      </c>
      <c r="Z8" s="16">
        <f>SUMIF('MUTASI 2026'!$B$358:$B$480,'WS Trial balance'!$D8,'MUTASI 2026'!$H$358:$H$480)</f>
        <v>115116400</v>
      </c>
      <c r="AA8" s="16">
        <f t="shared" si="6"/>
        <v>271290249.72999942</v>
      </c>
      <c r="AB8" s="16">
        <f t="shared" si="7"/>
        <v>0</v>
      </c>
      <c r="AC8" s="4"/>
      <c r="AD8" s="16">
        <f>SUMIF('MUTASI 2026'!$B$482:$B$655,'WS Trial balance'!$D8,'MUTASI 2026'!$G$482:$G$655)</f>
        <v>135624628.30000001</v>
      </c>
      <c r="AE8" s="16">
        <f>SUMIF('MUTASI 2026'!$B$482:$B$655,'WS Trial balance'!$D8,'MUTASI 2026'!$H$482:$H$655)</f>
        <v>258347801</v>
      </c>
      <c r="AF8" s="16">
        <f t="shared" si="8"/>
        <v>148567077.02999943</v>
      </c>
      <c r="AG8" s="16">
        <f t="shared" si="9"/>
        <v>0</v>
      </c>
      <c r="AH8" s="4"/>
      <c r="AI8" s="16">
        <f>SUMIF('MUTASI 2026'!$B$657:$B$748,'WS Trial balance'!$D8,'MUTASI 2026'!$G$657:$G$748)</f>
        <v>262975576</v>
      </c>
      <c r="AJ8" s="16">
        <f>SUMIF('MUTASI 2026'!$B$657:$B$748,'WS Trial balance'!$D8,'MUTASI 2026'!$H$657:$H$748)</f>
        <v>190247890.90000001</v>
      </c>
      <c r="AK8" s="16">
        <f t="shared" si="10"/>
        <v>221294762.12999943</v>
      </c>
      <c r="AL8" s="16">
        <f t="shared" si="11"/>
        <v>0</v>
      </c>
      <c r="AM8" s="4"/>
      <c r="AN8" s="16">
        <f>SUMIF('MUTASI 2026'!$B$750:$B$851,'WS Trial balance'!$D8,'MUTASI 2026'!$G$750:$G$851)</f>
        <v>119526496</v>
      </c>
      <c r="AO8" s="16">
        <f>SUMIF('MUTASI 2026'!$B$750:$B$851,'WS Trial balance'!$D8,'MUTASI 2026'!$H$750:$H$851)</f>
        <v>106019454.70999999</v>
      </c>
      <c r="AP8" s="16">
        <f t="shared" si="12"/>
        <v>234801803.41999942</v>
      </c>
      <c r="AQ8" s="16">
        <f t="shared" si="13"/>
        <v>0</v>
      </c>
      <c r="AR8" s="4"/>
      <c r="AS8" s="16">
        <f>SUMIF('MUTASI 2026'!$B$853:$B$945,'WS Trial balance'!$D8,'MUTASI 2026'!$G$853:$G$945)</f>
        <v>88167023.790000007</v>
      </c>
      <c r="AT8" s="16">
        <f>SUMIF('MUTASI 2026'!$B$853:$B$945,'WS Trial balance'!$D8,'MUTASI 2026'!$H$853:$H$945)</f>
        <v>126255000</v>
      </c>
      <c r="AU8" s="16">
        <f t="shared" si="14"/>
        <v>196713827.20999944</v>
      </c>
      <c r="AV8" s="16">
        <f t="shared" si="15"/>
        <v>0</v>
      </c>
      <c r="AW8" s="4"/>
      <c r="AX8" s="16">
        <f>SUMIF('MUTASI 2026'!$B$1274:$B$1379,'WS Trial balance'!$D8,'MUTASI 2026'!$G$1274:$G$1379)</f>
        <v>0</v>
      </c>
      <c r="AY8" s="16">
        <f>SUMIF('MUTASI 2026'!$B$1274:$B$1379,'WS Trial balance'!$D8,'MUTASI 2026'!$H$1274:$H$1379)</f>
        <v>0</v>
      </c>
      <c r="AZ8" s="16">
        <f t="shared" si="16"/>
        <v>196713827.20999944</v>
      </c>
      <c r="BA8" s="16">
        <f t="shared" si="17"/>
        <v>0</v>
      </c>
      <c r="BB8" s="4"/>
      <c r="BC8" s="16">
        <f>SUMIF('MUTASI 2026'!$B$1382:$B$1477,'WS Trial balance'!$D8,'MUTASI 2026'!$G$1382:$G$1477)</f>
        <v>0</v>
      </c>
      <c r="BD8" s="16">
        <f>SUMIF('MUTASI 2026'!$B$1382:$B$1477,'WS Trial balance'!$D8,'MUTASI 2026'!$H$1382:$H$1477)</f>
        <v>0</v>
      </c>
      <c r="BE8" s="16">
        <f t="shared" si="18"/>
        <v>196713827.20999944</v>
      </c>
      <c r="BF8" s="16">
        <f t="shared" si="19"/>
        <v>0</v>
      </c>
      <c r="BG8" s="4"/>
      <c r="BH8" s="16">
        <f>SUMIF('MUTASI 2026'!$B$1480:$B$1600,'WS Trial balance'!$D8,'MUTASI 2026'!$G$1480:$G$1600)</f>
        <v>0</v>
      </c>
      <c r="BI8" s="16">
        <f>SUMIF('MUTASI 2026'!$B$1480:$B$1600,'WS Trial balance'!$D8,'MUTASI 2026'!$H$1480:$H$1600)</f>
        <v>0</v>
      </c>
      <c r="BJ8" s="16">
        <f t="shared" si="20"/>
        <v>196713827.20999944</v>
      </c>
      <c r="BK8" s="16">
        <f t="shared" si="21"/>
        <v>0</v>
      </c>
      <c r="BL8" s="4"/>
      <c r="BM8" s="16">
        <f>SUMIF('MUTASI 2026'!$B$1603:$B$1722,'WS Trial balance'!$D8,'MUTASI 2026'!$G$1603:$G$1722)</f>
        <v>0</v>
      </c>
      <c r="BN8" s="16">
        <f>SUMIF('MUTASI 2026'!$B$1603:$B$1722,'WS Trial balance'!$D8,'MUTASI 2026'!$H$1603:$H$1722)</f>
        <v>0</v>
      </c>
      <c r="BO8" s="16">
        <f t="shared" si="22"/>
        <v>196713827.20999944</v>
      </c>
      <c r="BP8" s="16">
        <f t="shared" si="23"/>
        <v>0</v>
      </c>
      <c r="BQ8" s="4"/>
      <c r="BR8" s="2"/>
      <c r="BS8" s="4"/>
      <c r="BT8" s="16">
        <f t="shared" si="24"/>
        <v>302956673.61999941</v>
      </c>
      <c r="BU8" s="16">
        <f t="shared" si="24"/>
        <v>0</v>
      </c>
      <c r="BV8" s="4"/>
      <c r="BW8" s="16">
        <f t="shared" si="25"/>
        <v>1194101990.3399999</v>
      </c>
      <c r="BX8" s="16">
        <f t="shared" si="25"/>
        <v>1300344836.75</v>
      </c>
      <c r="BY8" s="4"/>
      <c r="BZ8" s="16">
        <f t="shared" si="26"/>
        <v>196713827.20999932</v>
      </c>
      <c r="CA8" s="16">
        <f t="shared" si="27"/>
        <v>0</v>
      </c>
      <c r="CB8" s="4"/>
    </row>
    <row r="9" spans="2:81" s="1" customFormat="1" ht="15" x14ac:dyDescent="0.25">
      <c r="B9" s="3"/>
      <c r="C9" s="15"/>
      <c r="D9" s="15" t="s">
        <v>9</v>
      </c>
      <c r="E9" s="17" t="s">
        <v>255</v>
      </c>
      <c r="F9" s="17" t="s">
        <v>6</v>
      </c>
      <c r="G9" s="16">
        <v>0</v>
      </c>
      <c r="H9" s="16">
        <v>0</v>
      </c>
      <c r="I9" s="4"/>
      <c r="J9" s="16">
        <f>SUMIF('MUTASI 2026'!$B$5:$B$160,'WS Trial balance'!$D9,'MUTASI 2026'!$G$5:$G$160)</f>
        <v>0</v>
      </c>
      <c r="K9" s="16">
        <f>SUMIF('MUTASI 2026'!$B$5:$B$160,'WS Trial balance'!$D9,'MUTASI 2026'!$H$5:$H$160)</f>
        <v>0</v>
      </c>
      <c r="L9" s="16">
        <f t="shared" si="0"/>
        <v>0</v>
      </c>
      <c r="M9" s="16">
        <f t="shared" si="1"/>
        <v>0</v>
      </c>
      <c r="N9" s="4"/>
      <c r="O9" s="16">
        <f>SUMIF('MUTASI 2026'!$B$162:$B$252,'WS Trial balance'!$D9,'MUTASI 2026'!$G$162:$G$252)</f>
        <v>0</v>
      </c>
      <c r="P9" s="16">
        <f>SUMIF('MUTASI 2026'!$B$162:$B$252,'WS Trial balance'!$D9,'MUTASI 2026'!$H$162:$H$252)</f>
        <v>0</v>
      </c>
      <c r="Q9" s="16">
        <f t="shared" si="2"/>
        <v>0</v>
      </c>
      <c r="R9" s="16">
        <f t="shared" si="3"/>
        <v>0</v>
      </c>
      <c r="S9" s="4"/>
      <c r="T9" s="16">
        <f>SUMIF('MUTASI 2026'!$B$254:$B$356,'WS Trial balance'!$D9,'MUTASI 2026'!$G$254:$G$356)</f>
        <v>0</v>
      </c>
      <c r="U9" s="16">
        <f>SUMIF('MUTASI 2026'!$B$254:$B$356,'WS Trial balance'!$D9,'MUTASI 2026'!$H$254:$H$356)</f>
        <v>0</v>
      </c>
      <c r="V9" s="16">
        <f t="shared" si="4"/>
        <v>0</v>
      </c>
      <c r="W9" s="16">
        <f t="shared" si="5"/>
        <v>0</v>
      </c>
      <c r="X9" s="4"/>
      <c r="Y9" s="16">
        <f>SUMIF('MUTASI 2026'!$B$358:$B$480,'WS Trial balance'!$D9,'MUTASI 2026'!$G$358:$G$480)</f>
        <v>0</v>
      </c>
      <c r="Z9" s="16">
        <f>SUMIF('MUTASI 2026'!$B$358:$B$480,'WS Trial balance'!$D9,'MUTASI 2026'!$H$358:$H$480)</f>
        <v>0</v>
      </c>
      <c r="AA9" s="16">
        <f t="shared" si="6"/>
        <v>0</v>
      </c>
      <c r="AB9" s="16">
        <f t="shared" si="7"/>
        <v>0</v>
      </c>
      <c r="AC9" s="4"/>
      <c r="AD9" s="16">
        <f>SUMIF('MUTASI 2026'!$B$482:$B$655,'WS Trial balance'!$D9,'MUTASI 2026'!$G$482:$G$655)</f>
        <v>0</v>
      </c>
      <c r="AE9" s="16">
        <f>SUMIF('MUTASI 2026'!$B$482:$B$655,'WS Trial balance'!$D9,'MUTASI 2026'!$H$482:$H$655)</f>
        <v>0</v>
      </c>
      <c r="AF9" s="16">
        <f t="shared" si="8"/>
        <v>0</v>
      </c>
      <c r="AG9" s="16">
        <f t="shared" si="9"/>
        <v>0</v>
      </c>
      <c r="AH9" s="4"/>
      <c r="AI9" s="16">
        <f>SUMIF('MUTASI 2026'!$B$657:$B$748,'WS Trial balance'!$D9,'MUTASI 2026'!$G$657:$G$748)</f>
        <v>0</v>
      </c>
      <c r="AJ9" s="16">
        <f>SUMIF('MUTASI 2026'!$B$657:$B$748,'WS Trial balance'!$D9,'MUTASI 2026'!$H$657:$H$748)</f>
        <v>0</v>
      </c>
      <c r="AK9" s="16">
        <f t="shared" si="10"/>
        <v>0</v>
      </c>
      <c r="AL9" s="16">
        <f t="shared" si="11"/>
        <v>0</v>
      </c>
      <c r="AM9" s="4"/>
      <c r="AN9" s="16">
        <f>SUMIF('MUTASI 2026'!$B$750:$B$851,'WS Trial balance'!$D9,'MUTASI 2026'!$G$750:$G$851)</f>
        <v>0</v>
      </c>
      <c r="AO9" s="16">
        <f>SUMIF('MUTASI 2026'!$B$750:$B$851,'WS Trial balance'!$D9,'MUTASI 2026'!$H$750:$H$851)</f>
        <v>0</v>
      </c>
      <c r="AP9" s="16">
        <f t="shared" si="12"/>
        <v>0</v>
      </c>
      <c r="AQ9" s="16">
        <f t="shared" si="13"/>
        <v>0</v>
      </c>
      <c r="AR9" s="4"/>
      <c r="AS9" s="16">
        <f>SUMIF('MUTASI 2026'!$B$853:$B$945,'WS Trial balance'!$D9,'MUTASI 2026'!$G$853:$G$945)</f>
        <v>0</v>
      </c>
      <c r="AT9" s="16">
        <f>SUMIF('MUTASI 2026'!$B$853:$B$945,'WS Trial balance'!$D9,'MUTASI 2026'!$H$853:$H$945)</f>
        <v>0</v>
      </c>
      <c r="AU9" s="16">
        <f t="shared" si="14"/>
        <v>0</v>
      </c>
      <c r="AV9" s="16">
        <f t="shared" si="15"/>
        <v>0</v>
      </c>
      <c r="AW9" s="4"/>
      <c r="AX9" s="16">
        <f>SUMIF('MUTASI 2026'!$B$1274:$B$1379,'WS Trial balance'!$D9,'MUTASI 2026'!$G$1274:$G$1379)</f>
        <v>0</v>
      </c>
      <c r="AY9" s="16">
        <f>SUMIF('MUTASI 2026'!$B$1274:$B$1379,'WS Trial balance'!$D9,'MUTASI 2026'!$H$1274:$H$1379)</f>
        <v>0</v>
      </c>
      <c r="AZ9" s="16">
        <f t="shared" si="16"/>
        <v>0</v>
      </c>
      <c r="BA9" s="16">
        <f t="shared" si="17"/>
        <v>0</v>
      </c>
      <c r="BB9" s="4"/>
      <c r="BC9" s="16">
        <f>SUMIF('MUTASI 2026'!$B$1382:$B$1477,'WS Trial balance'!$D9,'MUTASI 2026'!$G$1382:$G$1477)</f>
        <v>0</v>
      </c>
      <c r="BD9" s="16">
        <f>SUMIF('MUTASI 2026'!$B$1382:$B$1477,'WS Trial balance'!$D9,'MUTASI 2026'!$H$1382:$H$1477)</f>
        <v>0</v>
      </c>
      <c r="BE9" s="16">
        <f t="shared" si="18"/>
        <v>0</v>
      </c>
      <c r="BF9" s="16">
        <f t="shared" si="19"/>
        <v>0</v>
      </c>
      <c r="BG9" s="4"/>
      <c r="BH9" s="16">
        <f>SUMIF('MUTASI 2026'!$B$1480:$B$1600,'WS Trial balance'!$D9,'MUTASI 2026'!$G$1480:$G$1600)</f>
        <v>0</v>
      </c>
      <c r="BI9" s="16">
        <f>SUMIF('MUTASI 2026'!$B$1480:$B$1600,'WS Trial balance'!$D9,'MUTASI 2026'!$H$1480:$H$1600)</f>
        <v>0</v>
      </c>
      <c r="BJ9" s="16">
        <f t="shared" si="20"/>
        <v>0</v>
      </c>
      <c r="BK9" s="16">
        <f t="shared" si="21"/>
        <v>0</v>
      </c>
      <c r="BL9" s="4"/>
      <c r="BM9" s="16">
        <f>SUMIF('MUTASI 2026'!$B$1603:$B$1722,'WS Trial balance'!$D9,'MUTASI 2026'!$G$1603:$G$1722)</f>
        <v>0</v>
      </c>
      <c r="BN9" s="16">
        <f>SUMIF('MUTASI 2026'!$B$1603:$B$1722,'WS Trial balance'!$D9,'MUTASI 2026'!$H$1603:$H$1722)</f>
        <v>0</v>
      </c>
      <c r="BO9" s="16">
        <f t="shared" si="22"/>
        <v>0</v>
      </c>
      <c r="BP9" s="16">
        <f t="shared" si="23"/>
        <v>0</v>
      </c>
      <c r="BQ9" s="4"/>
      <c r="BR9" s="2"/>
      <c r="BS9" s="4"/>
      <c r="BT9" s="16">
        <f t="shared" si="24"/>
        <v>0</v>
      </c>
      <c r="BU9" s="16">
        <f t="shared" si="24"/>
        <v>0</v>
      </c>
      <c r="BV9" s="4"/>
      <c r="BW9" s="16">
        <f t="shared" si="25"/>
        <v>0</v>
      </c>
      <c r="BX9" s="16">
        <f t="shared" si="25"/>
        <v>0</v>
      </c>
      <c r="BY9" s="4"/>
      <c r="BZ9" s="16">
        <f t="shared" si="26"/>
        <v>0</v>
      </c>
      <c r="CA9" s="16">
        <f t="shared" si="27"/>
        <v>0</v>
      </c>
      <c r="CB9" s="4"/>
    </row>
    <row r="10" spans="2:81" s="1" customFormat="1" ht="15" x14ac:dyDescent="0.25">
      <c r="B10" s="3"/>
      <c r="C10" s="15"/>
      <c r="D10" s="15" t="s">
        <v>340</v>
      </c>
      <c r="E10" s="17" t="s">
        <v>325</v>
      </c>
      <c r="F10" s="17" t="s">
        <v>6</v>
      </c>
      <c r="G10" s="16">
        <v>1926419694.7945766</v>
      </c>
      <c r="H10" s="16">
        <v>0</v>
      </c>
      <c r="I10" s="4"/>
      <c r="J10" s="16">
        <f>SUMIF('MUTASI 2026'!$B$5:$B$160,'WS Trial balance'!$D10,'MUTASI 2026'!$G$5:$G$160)</f>
        <v>284500000</v>
      </c>
      <c r="K10" s="16">
        <f>SUMIF('MUTASI 2026'!$B$5:$B$160,'WS Trial balance'!$D10,'MUTASI 2026'!$H$5:$H$160)</f>
        <v>231926536.66333288</v>
      </c>
      <c r="L10" s="16">
        <f t="shared" si="0"/>
        <v>1978993158.1312437</v>
      </c>
      <c r="M10" s="16">
        <f t="shared" si="1"/>
        <v>0</v>
      </c>
      <c r="N10" s="4"/>
      <c r="O10" s="16">
        <f>SUMIF('MUTASI 2026'!$B$162:$B$252,'WS Trial balance'!$D10,'MUTASI 2026'!$G$162:$G$252)</f>
        <v>155000000.33333278</v>
      </c>
      <c r="P10" s="16">
        <f>SUMIF('MUTASI 2026'!$B$162:$B$252,'WS Trial balance'!$D10,'MUTASI 2026'!$H$162:$H$252)</f>
        <v>91326917</v>
      </c>
      <c r="Q10" s="16">
        <f t="shared" si="2"/>
        <v>2042666241.4645765</v>
      </c>
      <c r="R10" s="16">
        <f t="shared" si="3"/>
        <v>0</v>
      </c>
      <c r="S10" s="4"/>
      <c r="T10" s="16">
        <f>SUMIF('MUTASI 2026'!$B$254:$B$356,'WS Trial balance'!$D10,'MUTASI 2026'!$G$254:$G$356)</f>
        <v>50000000</v>
      </c>
      <c r="U10" s="16">
        <f>SUMIF('MUTASI 2026'!$B$254:$B$356,'WS Trial balance'!$D10,'MUTASI 2026'!$H$254:$H$356)</f>
        <v>164403806.22555587</v>
      </c>
      <c r="V10" s="16">
        <f t="shared" si="4"/>
        <v>1928262435.2390206</v>
      </c>
      <c r="W10" s="16">
        <f t="shared" si="5"/>
        <v>0</v>
      </c>
      <c r="X10" s="4"/>
      <c r="Y10" s="16">
        <f>SUMIF('MUTASI 2026'!$B$358:$B$480,'WS Trial balance'!$D10,'MUTASI 2026'!$G$358:$G$480)</f>
        <v>119500000</v>
      </c>
      <c r="Z10" s="16">
        <f>SUMIF('MUTASI 2026'!$B$358:$B$480,'WS Trial balance'!$D10,'MUTASI 2026'!$H$358:$H$480)</f>
        <v>123986138.88888833</v>
      </c>
      <c r="AA10" s="16">
        <f t="shared" si="6"/>
        <v>1923776296.3501322</v>
      </c>
      <c r="AB10" s="16">
        <f t="shared" si="7"/>
        <v>0</v>
      </c>
      <c r="AC10" s="4"/>
      <c r="AD10" s="16">
        <f>SUMIF('MUTASI 2026'!$B$482:$B$655,'WS Trial balance'!$D10,'MUTASI 2026'!$G$482:$G$655)</f>
        <v>278000000</v>
      </c>
      <c r="AE10" s="16">
        <f>SUMIF('MUTASI 2026'!$B$482:$B$655,'WS Trial balance'!$D10,'MUTASI 2026'!$H$482:$H$655)</f>
        <v>223687026.77777776</v>
      </c>
      <c r="AF10" s="16">
        <f t="shared" si="8"/>
        <v>1978089269.5723543</v>
      </c>
      <c r="AG10" s="16">
        <f t="shared" si="9"/>
        <v>0</v>
      </c>
      <c r="AH10" s="4"/>
      <c r="AI10" s="16">
        <f>SUMIF('MUTASI 2026'!$B$657:$B$748,'WS Trial balance'!$D10,'MUTASI 2026'!$G$657:$G$748)</f>
        <v>19000000</v>
      </c>
      <c r="AJ10" s="16">
        <f>SUMIF('MUTASI 2026'!$B$657:$B$748,'WS Trial balance'!$D10,'MUTASI 2026'!$H$657:$H$748)</f>
        <v>66299361.111111097</v>
      </c>
      <c r="AK10" s="16">
        <f t="shared" si="10"/>
        <v>1930789908.4612432</v>
      </c>
      <c r="AL10" s="16">
        <f t="shared" si="11"/>
        <v>0</v>
      </c>
      <c r="AM10" s="4"/>
      <c r="AN10" s="16">
        <f>SUMIF('MUTASI 2026'!$B$750:$B$851,'WS Trial balance'!$D10,'MUTASI 2026'!$G$750:$G$851)</f>
        <v>274000000</v>
      </c>
      <c r="AO10" s="16">
        <f>SUMIF('MUTASI 2026'!$B$750:$B$851,'WS Trial balance'!$D10,'MUTASI 2026'!$H$750:$H$851)</f>
        <v>255373694.44444445</v>
      </c>
      <c r="AP10" s="16">
        <f t="shared" si="12"/>
        <v>1949416214.0167987</v>
      </c>
      <c r="AQ10" s="16">
        <f t="shared" si="13"/>
        <v>0</v>
      </c>
      <c r="AR10" s="4"/>
      <c r="AS10" s="16">
        <f>SUMIF('MUTASI 2026'!$B$853:$B$945,'WS Trial balance'!$D10,'MUTASI 2026'!$G$853:$G$945)</f>
        <v>125000000</v>
      </c>
      <c r="AT10" s="16">
        <f>SUMIF('MUTASI 2026'!$B$853:$B$945,'WS Trial balance'!$D10,'MUTASI 2026'!$H$853:$H$945)</f>
        <v>95413194.444444448</v>
      </c>
      <c r="AU10" s="16">
        <f t="shared" si="14"/>
        <v>1979003019.5723543</v>
      </c>
      <c r="AV10" s="16">
        <f t="shared" si="15"/>
        <v>0</v>
      </c>
      <c r="AW10" s="4"/>
      <c r="AX10" s="16">
        <f>SUMIF('MUTASI 2026'!$B$1274:$B$1379,'WS Trial balance'!$D10,'MUTASI 2026'!$G$1274:$G$1379)</f>
        <v>0</v>
      </c>
      <c r="AY10" s="16">
        <f>SUMIF('MUTASI 2026'!$B$1274:$B$1379,'WS Trial balance'!$D10,'MUTASI 2026'!$H$1274:$H$1379)</f>
        <v>0</v>
      </c>
      <c r="AZ10" s="16">
        <f t="shared" si="16"/>
        <v>1979003019.5723543</v>
      </c>
      <c r="BA10" s="16">
        <f t="shared" si="17"/>
        <v>0</v>
      </c>
      <c r="BB10" s="4"/>
      <c r="BC10" s="16">
        <f>SUMIF('MUTASI 2026'!$B$1382:$B$1477,'WS Trial balance'!$D10,'MUTASI 2026'!$G$1382:$G$1477)</f>
        <v>0</v>
      </c>
      <c r="BD10" s="16">
        <f>SUMIF('MUTASI 2026'!$B$1382:$B$1477,'WS Trial balance'!$D10,'MUTASI 2026'!$H$1382:$H$1477)</f>
        <v>0</v>
      </c>
      <c r="BE10" s="16">
        <f t="shared" si="18"/>
        <v>1979003019.5723543</v>
      </c>
      <c r="BF10" s="16">
        <f t="shared" si="19"/>
        <v>0</v>
      </c>
      <c r="BG10" s="4"/>
      <c r="BH10" s="16">
        <f>SUMIF('MUTASI 2026'!$B$1480:$B$1600,'WS Trial balance'!$D10,'MUTASI 2026'!$G$1480:$G$1600)</f>
        <v>0</v>
      </c>
      <c r="BI10" s="16">
        <f>SUMIF('MUTASI 2026'!$B$1480:$B$1600,'WS Trial balance'!$D10,'MUTASI 2026'!$H$1480:$H$1600)</f>
        <v>0</v>
      </c>
      <c r="BJ10" s="16">
        <f t="shared" si="20"/>
        <v>1979003019.5723543</v>
      </c>
      <c r="BK10" s="16">
        <f t="shared" si="21"/>
        <v>0</v>
      </c>
      <c r="BL10" s="4"/>
      <c r="BM10" s="16">
        <f>SUMIF('MUTASI 2026'!$B$1603:$B$1722,'WS Trial balance'!$D10,'MUTASI 2026'!$G$1603:$G$1722)</f>
        <v>0</v>
      </c>
      <c r="BN10" s="16">
        <f>SUMIF('MUTASI 2026'!$B$1603:$B$1722,'WS Trial balance'!$D10,'MUTASI 2026'!$H$1603:$H$1722)</f>
        <v>0</v>
      </c>
      <c r="BO10" s="16">
        <f t="shared" si="22"/>
        <v>1979003019.5723543</v>
      </c>
      <c r="BP10" s="16">
        <f t="shared" si="23"/>
        <v>0</v>
      </c>
      <c r="BQ10" s="4"/>
      <c r="BR10" s="2"/>
      <c r="BS10" s="4"/>
      <c r="BT10" s="16">
        <f t="shared" si="24"/>
        <v>1926419694.7945766</v>
      </c>
      <c r="BU10" s="16">
        <f t="shared" si="24"/>
        <v>0</v>
      </c>
      <c r="BV10" s="4"/>
      <c r="BW10" s="16">
        <f t="shared" si="25"/>
        <v>1305000000.3333328</v>
      </c>
      <c r="BX10" s="16">
        <f t="shared" si="25"/>
        <v>1252416675.5555549</v>
      </c>
      <c r="BY10" s="4"/>
      <c r="BZ10" s="16">
        <f t="shared" si="26"/>
        <v>1979003019.5723548</v>
      </c>
      <c r="CA10" s="16">
        <f t="shared" si="27"/>
        <v>0</v>
      </c>
      <c r="CB10" s="4"/>
    </row>
    <row r="11" spans="2:81" s="1" customFormat="1" ht="15" x14ac:dyDescent="0.25">
      <c r="B11" s="3"/>
      <c r="C11" s="15"/>
      <c r="D11" s="15" t="s">
        <v>341</v>
      </c>
      <c r="E11" s="17" t="s">
        <v>328</v>
      </c>
      <c r="F11" s="17" t="s">
        <v>6</v>
      </c>
      <c r="G11" s="16">
        <v>643143867</v>
      </c>
      <c r="H11" s="16">
        <v>0</v>
      </c>
      <c r="I11" s="4"/>
      <c r="J11" s="16">
        <f>SUMIF('MUTASI 2026'!$B$5:$B$160,'WS Trial balance'!$D11,'MUTASI 2026'!$G$5:$G$160)</f>
        <v>70560000</v>
      </c>
      <c r="K11" s="16">
        <f>SUMIF('MUTASI 2026'!$B$5:$B$160,'WS Trial balance'!$D11,'MUTASI 2026'!$H$5:$H$160)</f>
        <v>78400000</v>
      </c>
      <c r="L11" s="16">
        <f t="shared" si="0"/>
        <v>635303867</v>
      </c>
      <c r="M11" s="16">
        <f t="shared" si="1"/>
        <v>0</v>
      </c>
      <c r="N11" s="4"/>
      <c r="O11" s="16">
        <f>SUMIF('MUTASI 2026'!$B$162:$B$252,'WS Trial balance'!$D11,'MUTASI 2026'!$G$162:$G$252)</f>
        <v>27440000</v>
      </c>
      <c r="P11" s="16">
        <f>SUMIF('MUTASI 2026'!$B$162:$B$252,'WS Trial balance'!$D11,'MUTASI 2026'!$H$162:$H$252)</f>
        <v>0</v>
      </c>
      <c r="Q11" s="16">
        <f t="shared" si="2"/>
        <v>662743867</v>
      </c>
      <c r="R11" s="16">
        <f t="shared" si="3"/>
        <v>0</v>
      </c>
      <c r="S11" s="4"/>
      <c r="T11" s="16">
        <f>SUMIF('MUTASI 2026'!$B$254:$B$356,'WS Trial balance'!$D11,'MUTASI 2026'!$G$254:$G$356)</f>
        <v>27440000</v>
      </c>
      <c r="U11" s="16">
        <f>SUMIF('MUTASI 2026'!$B$254:$B$356,'WS Trial balance'!$D11,'MUTASI 2026'!$H$254:$H$356)</f>
        <v>15680000</v>
      </c>
      <c r="V11" s="16">
        <f t="shared" si="4"/>
        <v>674503867</v>
      </c>
      <c r="W11" s="16">
        <f t="shared" si="5"/>
        <v>0</v>
      </c>
      <c r="X11" s="4"/>
      <c r="Y11" s="16">
        <f>SUMIF('MUTASI 2026'!$B$358:$B$480,'WS Trial balance'!$D11,'MUTASI 2026'!$G$358:$G$480)</f>
        <v>27440000</v>
      </c>
      <c r="Z11" s="16">
        <f>SUMIF('MUTASI 2026'!$B$358:$B$480,'WS Trial balance'!$D11,'MUTASI 2026'!$H$358:$H$480)</f>
        <v>15680000</v>
      </c>
      <c r="AA11" s="16">
        <f t="shared" si="6"/>
        <v>686263867</v>
      </c>
      <c r="AB11" s="16">
        <f t="shared" si="7"/>
        <v>0</v>
      </c>
      <c r="AC11" s="4"/>
      <c r="AD11" s="16">
        <f>SUMIF('MUTASI 2026'!$B$482:$B$655,'WS Trial balance'!$D11,'MUTASI 2026'!$G$482:$G$655)</f>
        <v>27440000</v>
      </c>
      <c r="AE11" s="16">
        <f>SUMIF('MUTASI 2026'!$B$482:$B$655,'WS Trial balance'!$D11,'MUTASI 2026'!$H$482:$H$655)</f>
        <v>15680000</v>
      </c>
      <c r="AF11" s="16">
        <f t="shared" si="8"/>
        <v>698023867</v>
      </c>
      <c r="AG11" s="16">
        <f t="shared" si="9"/>
        <v>0</v>
      </c>
      <c r="AH11" s="4"/>
      <c r="AI11" s="16">
        <f>SUMIF('MUTASI 2026'!$B$657:$B$748,'WS Trial balance'!$D11,'MUTASI 2026'!$G$657:$G$748)</f>
        <v>15680000</v>
      </c>
      <c r="AJ11" s="16">
        <f>SUMIF('MUTASI 2026'!$B$657:$B$748,'WS Trial balance'!$D11,'MUTASI 2026'!$H$657:$H$748)</f>
        <v>15680000</v>
      </c>
      <c r="AK11" s="16">
        <f t="shared" si="10"/>
        <v>698023867</v>
      </c>
      <c r="AL11" s="16">
        <f t="shared" si="11"/>
        <v>0</v>
      </c>
      <c r="AM11" s="4"/>
      <c r="AN11" s="16">
        <f>SUMIF('MUTASI 2026'!$B$750:$B$851,'WS Trial balance'!$D11,'MUTASI 2026'!$G$750:$G$851)</f>
        <v>15680000</v>
      </c>
      <c r="AO11" s="16">
        <f>SUMIF('MUTASI 2026'!$B$750:$B$851,'WS Trial balance'!$D11,'MUTASI 2026'!$H$750:$H$851)</f>
        <v>31360000</v>
      </c>
      <c r="AP11" s="16">
        <f t="shared" si="12"/>
        <v>682343867</v>
      </c>
      <c r="AQ11" s="16">
        <f t="shared" si="13"/>
        <v>0</v>
      </c>
      <c r="AR11" s="4"/>
      <c r="AS11" s="16">
        <f>SUMIF('MUTASI 2026'!$B$853:$B$945,'WS Trial balance'!$D11,'MUTASI 2026'!$G$853:$G$945)</f>
        <v>15680000</v>
      </c>
      <c r="AT11" s="16">
        <f>SUMIF('MUTASI 2026'!$B$853:$B$945,'WS Trial balance'!$D11,'MUTASI 2026'!$H$853:$H$945)</f>
        <v>0</v>
      </c>
      <c r="AU11" s="16">
        <f t="shared" si="14"/>
        <v>698023867</v>
      </c>
      <c r="AV11" s="16">
        <f t="shared" si="15"/>
        <v>0</v>
      </c>
      <c r="AW11" s="4"/>
      <c r="AX11" s="16">
        <f>SUMIF('MUTASI 2026'!$B$1274:$B$1379,'WS Trial balance'!$D11,'MUTASI 2026'!$G$1274:$G$1379)</f>
        <v>0</v>
      </c>
      <c r="AY11" s="16">
        <f>SUMIF('MUTASI 2026'!$B$1274:$B$1379,'WS Trial balance'!$D11,'MUTASI 2026'!$H$1274:$H$1379)</f>
        <v>0</v>
      </c>
      <c r="AZ11" s="16">
        <f t="shared" si="16"/>
        <v>698023867</v>
      </c>
      <c r="BA11" s="16">
        <f t="shared" si="17"/>
        <v>0</v>
      </c>
      <c r="BB11" s="4"/>
      <c r="BC11" s="16">
        <f>SUMIF('MUTASI 2026'!$B$1382:$B$1477,'WS Trial balance'!$D11,'MUTASI 2026'!$G$1382:$G$1477)</f>
        <v>0</v>
      </c>
      <c r="BD11" s="16">
        <f>SUMIF('MUTASI 2026'!$B$1382:$B$1477,'WS Trial balance'!$D11,'MUTASI 2026'!$H$1382:$H$1477)</f>
        <v>0</v>
      </c>
      <c r="BE11" s="16">
        <f t="shared" si="18"/>
        <v>698023867</v>
      </c>
      <c r="BF11" s="16">
        <f t="shared" si="19"/>
        <v>0</v>
      </c>
      <c r="BG11" s="4"/>
      <c r="BH11" s="16">
        <f>SUMIF('MUTASI 2026'!$B$1480:$B$1600,'WS Trial balance'!$D11,'MUTASI 2026'!$G$1480:$G$1600)</f>
        <v>0</v>
      </c>
      <c r="BI11" s="16">
        <f>SUMIF('MUTASI 2026'!$B$1480:$B$1600,'WS Trial balance'!$D11,'MUTASI 2026'!$H$1480:$H$1600)</f>
        <v>0</v>
      </c>
      <c r="BJ11" s="16">
        <f t="shared" si="20"/>
        <v>698023867</v>
      </c>
      <c r="BK11" s="16">
        <f t="shared" si="21"/>
        <v>0</v>
      </c>
      <c r="BL11" s="4"/>
      <c r="BM11" s="16">
        <f>SUMIF('MUTASI 2026'!$B$1603:$B$1722,'WS Trial balance'!$D11,'MUTASI 2026'!$G$1603:$G$1722)</f>
        <v>0</v>
      </c>
      <c r="BN11" s="16">
        <f>SUMIF('MUTASI 2026'!$B$1603:$B$1722,'WS Trial balance'!$D11,'MUTASI 2026'!$H$1603:$H$1722)</f>
        <v>0</v>
      </c>
      <c r="BO11" s="16">
        <f t="shared" si="22"/>
        <v>698023867</v>
      </c>
      <c r="BP11" s="16">
        <f t="shared" si="23"/>
        <v>0</v>
      </c>
      <c r="BQ11" s="4"/>
      <c r="BR11" s="2"/>
      <c r="BS11" s="4"/>
      <c r="BT11" s="16">
        <f t="shared" si="24"/>
        <v>643143867</v>
      </c>
      <c r="BU11" s="16">
        <f t="shared" si="24"/>
        <v>0</v>
      </c>
      <c r="BV11" s="4"/>
      <c r="BW11" s="16">
        <f t="shared" si="25"/>
        <v>227360000</v>
      </c>
      <c r="BX11" s="16">
        <f t="shared" si="25"/>
        <v>172480000</v>
      </c>
      <c r="BY11" s="4"/>
      <c r="BZ11" s="16">
        <f t="shared" si="26"/>
        <v>698023867</v>
      </c>
      <c r="CA11" s="16">
        <f t="shared" si="27"/>
        <v>0</v>
      </c>
      <c r="CB11" s="4"/>
    </row>
    <row r="12" spans="2:81" s="1" customFormat="1" ht="15" x14ac:dyDescent="0.25">
      <c r="B12" s="3"/>
      <c r="C12" s="15"/>
      <c r="D12" s="15" t="s">
        <v>22</v>
      </c>
      <c r="E12" s="17" t="s">
        <v>258</v>
      </c>
      <c r="F12" s="17" t="s">
        <v>12</v>
      </c>
      <c r="G12" s="16">
        <v>0</v>
      </c>
      <c r="H12" s="16">
        <v>182000000</v>
      </c>
      <c r="I12" s="4"/>
      <c r="J12" s="16">
        <f>SUMIF('MUTASI 2026'!$B$5:$B$160,'WS Trial balance'!$D12,'MUTASI 2026'!$G$5:$G$160)</f>
        <v>0</v>
      </c>
      <c r="K12" s="16">
        <f>SUMIF('MUTASI 2026'!$B$5:$B$160,'WS Trial balance'!$D12,'MUTASI 2026'!$H$5:$H$160)</f>
        <v>1500000</v>
      </c>
      <c r="L12" s="16">
        <f t="shared" si="0"/>
        <v>0</v>
      </c>
      <c r="M12" s="16">
        <f t="shared" si="1"/>
        <v>183500000</v>
      </c>
      <c r="N12" s="4"/>
      <c r="O12" s="16">
        <f>SUMIF('MUTASI 2026'!$B$162:$B$252,'WS Trial balance'!$D12,'MUTASI 2026'!$G$162:$G$252)</f>
        <v>0</v>
      </c>
      <c r="P12" s="16">
        <f>SUMIF('MUTASI 2026'!$B$162:$B$252,'WS Trial balance'!$D12,'MUTASI 2026'!$H$162:$H$252)</f>
        <v>1500000</v>
      </c>
      <c r="Q12" s="16">
        <f t="shared" si="2"/>
        <v>0</v>
      </c>
      <c r="R12" s="16">
        <f t="shared" si="3"/>
        <v>185000000</v>
      </c>
      <c r="S12" s="4"/>
      <c r="T12" s="16">
        <f>SUMIF('MUTASI 2026'!$B$254:$B$356,'WS Trial balance'!$D12,'MUTASI 2026'!$G$254:$G$356)</f>
        <v>0</v>
      </c>
      <c r="U12" s="16">
        <f>SUMIF('MUTASI 2026'!$B$254:$B$356,'WS Trial balance'!$D12,'MUTASI 2026'!$H$254:$H$356)</f>
        <v>1500000</v>
      </c>
      <c r="V12" s="16">
        <f t="shared" si="4"/>
        <v>0</v>
      </c>
      <c r="W12" s="16">
        <f t="shared" si="5"/>
        <v>186500000</v>
      </c>
      <c r="X12" s="4"/>
      <c r="Y12" s="16">
        <f>SUMIF('MUTASI 2026'!$B$358:$B$480,'WS Trial balance'!$D12,'MUTASI 2026'!$G$358:$G$480)</f>
        <v>0</v>
      </c>
      <c r="Z12" s="16">
        <f>SUMIF('MUTASI 2026'!$B$358:$B$480,'WS Trial balance'!$D12,'MUTASI 2026'!$H$358:$H$480)</f>
        <v>1500000</v>
      </c>
      <c r="AA12" s="16">
        <f t="shared" si="6"/>
        <v>0</v>
      </c>
      <c r="AB12" s="16">
        <f t="shared" si="7"/>
        <v>188000000</v>
      </c>
      <c r="AC12" s="4"/>
      <c r="AD12" s="16">
        <f>SUMIF('MUTASI 2026'!$B$482:$B$655,'WS Trial balance'!$D12,'MUTASI 2026'!$G$482:$G$655)</f>
        <v>0</v>
      </c>
      <c r="AE12" s="16">
        <f>SUMIF('MUTASI 2026'!$B$482:$B$655,'WS Trial balance'!$D12,'MUTASI 2026'!$H$482:$H$655)</f>
        <v>1500000</v>
      </c>
      <c r="AF12" s="16">
        <f t="shared" si="8"/>
        <v>0</v>
      </c>
      <c r="AG12" s="16">
        <f t="shared" si="9"/>
        <v>189500000</v>
      </c>
      <c r="AH12" s="4"/>
      <c r="AI12" s="16">
        <f>SUMIF('MUTASI 2026'!$B$657:$B$748,'WS Trial balance'!$D12,'MUTASI 2026'!$G$657:$G$748)</f>
        <v>0</v>
      </c>
      <c r="AJ12" s="16">
        <f>SUMIF('MUTASI 2026'!$B$657:$B$748,'WS Trial balance'!$D12,'MUTASI 2026'!$H$657:$H$748)</f>
        <v>1500000</v>
      </c>
      <c r="AK12" s="16">
        <f t="shared" si="10"/>
        <v>0</v>
      </c>
      <c r="AL12" s="16">
        <f t="shared" si="11"/>
        <v>191000000</v>
      </c>
      <c r="AM12" s="4"/>
      <c r="AN12" s="16">
        <f>SUMIF('MUTASI 2026'!$B$750:$B$851,'WS Trial balance'!$D12,'MUTASI 2026'!$G$750:$G$851)</f>
        <v>0</v>
      </c>
      <c r="AO12" s="16">
        <f>SUMIF('MUTASI 2026'!$B$750:$B$851,'WS Trial balance'!$D12,'MUTASI 2026'!$H$750:$H$851)</f>
        <v>1500000</v>
      </c>
      <c r="AP12" s="16">
        <f t="shared" si="12"/>
        <v>0</v>
      </c>
      <c r="AQ12" s="16">
        <f t="shared" si="13"/>
        <v>192500000</v>
      </c>
      <c r="AR12" s="4"/>
      <c r="AS12" s="16">
        <f>SUMIF('MUTASI 2026'!$B$853:$B$945,'WS Trial balance'!$D12,'MUTASI 2026'!$G$853:$G$945)</f>
        <v>0</v>
      </c>
      <c r="AT12" s="16">
        <f>SUMIF('MUTASI 2026'!$B$853:$B$945,'WS Trial balance'!$D12,'MUTASI 2026'!$H$853:$H$945)</f>
        <v>1500000</v>
      </c>
      <c r="AU12" s="16">
        <f t="shared" si="14"/>
        <v>0</v>
      </c>
      <c r="AV12" s="16">
        <f t="shared" si="15"/>
        <v>194000000</v>
      </c>
      <c r="AW12" s="4"/>
      <c r="AX12" s="16">
        <f>SUMIF('MUTASI 2026'!$B$1274:$B$1379,'WS Trial balance'!$D12,'MUTASI 2026'!$G$1274:$G$1379)</f>
        <v>0</v>
      </c>
      <c r="AY12" s="16">
        <f>SUMIF('MUTASI 2026'!$B$1274:$B$1379,'WS Trial balance'!$D12,'MUTASI 2026'!$H$1274:$H$1379)</f>
        <v>0</v>
      </c>
      <c r="AZ12" s="16">
        <f t="shared" si="16"/>
        <v>0</v>
      </c>
      <c r="BA12" s="16">
        <f t="shared" si="17"/>
        <v>194000000</v>
      </c>
      <c r="BB12" s="4"/>
      <c r="BC12" s="16">
        <f>SUMIF('MUTASI 2026'!$B$1382:$B$1477,'WS Trial balance'!$D12,'MUTASI 2026'!$G$1382:$G$1477)</f>
        <v>0</v>
      </c>
      <c r="BD12" s="16">
        <f>SUMIF('MUTASI 2026'!$B$1382:$B$1477,'WS Trial balance'!$D12,'MUTASI 2026'!$H$1382:$H$1477)</f>
        <v>0</v>
      </c>
      <c r="BE12" s="16">
        <f t="shared" si="18"/>
        <v>0</v>
      </c>
      <c r="BF12" s="16">
        <f t="shared" si="19"/>
        <v>194000000</v>
      </c>
      <c r="BG12" s="4"/>
      <c r="BH12" s="16">
        <f>SUMIF('MUTASI 2026'!$B$1480:$B$1600,'WS Trial balance'!$D12,'MUTASI 2026'!$G$1480:$G$1600)</f>
        <v>0</v>
      </c>
      <c r="BI12" s="16">
        <f>SUMIF('MUTASI 2026'!$B$1480:$B$1600,'WS Trial balance'!$D12,'MUTASI 2026'!$H$1480:$H$1600)</f>
        <v>0</v>
      </c>
      <c r="BJ12" s="16">
        <f t="shared" si="20"/>
        <v>0</v>
      </c>
      <c r="BK12" s="16">
        <f t="shared" si="21"/>
        <v>194000000</v>
      </c>
      <c r="BL12" s="4"/>
      <c r="BM12" s="16">
        <f>SUMIF('MUTASI 2026'!$B$1603:$B$1722,'WS Trial balance'!$D12,'MUTASI 2026'!$G$1603:$G$1722)</f>
        <v>0</v>
      </c>
      <c r="BN12" s="16">
        <f>SUMIF('MUTASI 2026'!$B$1603:$B$1722,'WS Trial balance'!$D12,'MUTASI 2026'!$H$1603:$H$1722)</f>
        <v>0</v>
      </c>
      <c r="BO12" s="16">
        <f t="shared" si="22"/>
        <v>0</v>
      </c>
      <c r="BP12" s="16">
        <f t="shared" si="23"/>
        <v>194000000</v>
      </c>
      <c r="BQ12" s="4"/>
      <c r="BR12" s="2"/>
      <c r="BS12" s="4"/>
      <c r="BT12" s="16">
        <f t="shared" si="24"/>
        <v>0</v>
      </c>
      <c r="BU12" s="16">
        <f t="shared" si="24"/>
        <v>182000000</v>
      </c>
      <c r="BV12" s="4"/>
      <c r="BW12" s="16">
        <f t="shared" si="25"/>
        <v>0</v>
      </c>
      <c r="BX12" s="16">
        <f t="shared" si="25"/>
        <v>12000000</v>
      </c>
      <c r="BY12" s="4"/>
      <c r="BZ12" s="16">
        <f t="shared" si="26"/>
        <v>0</v>
      </c>
      <c r="CA12" s="16">
        <f t="shared" si="27"/>
        <v>194000000</v>
      </c>
      <c r="CB12" s="4"/>
      <c r="CC12" s="110"/>
    </row>
    <row r="13" spans="2:81" s="1" customFormat="1" ht="15" x14ac:dyDescent="0.25">
      <c r="B13" s="3"/>
      <c r="C13" s="15"/>
      <c r="D13" s="15" t="s">
        <v>13</v>
      </c>
      <c r="E13" s="17" t="s">
        <v>14</v>
      </c>
      <c r="F13" s="17" t="s">
        <v>6</v>
      </c>
      <c r="G13" s="16">
        <v>0</v>
      </c>
      <c r="H13" s="16">
        <v>0</v>
      </c>
      <c r="I13" s="4"/>
      <c r="J13" s="16">
        <f>SUMIF('MUTASI 2026'!$B$5:$B$160,'WS Trial balance'!$D13,'MUTASI 2026'!$G$5:$G$160)</f>
        <v>0</v>
      </c>
      <c r="K13" s="16">
        <f>SUMIF('MUTASI 2026'!$B$5:$B$160,'WS Trial balance'!$D13,'MUTASI 2026'!$H$5:$H$160)</f>
        <v>0</v>
      </c>
      <c r="L13" s="16">
        <f t="shared" si="0"/>
        <v>0</v>
      </c>
      <c r="M13" s="16">
        <f t="shared" si="1"/>
        <v>0</v>
      </c>
      <c r="N13" s="4"/>
      <c r="O13" s="16">
        <f>SUMIF('MUTASI 2026'!$B$162:$B$252,'WS Trial balance'!$D13,'MUTASI 2026'!$G$162:$G$252)</f>
        <v>0</v>
      </c>
      <c r="P13" s="16">
        <f>SUMIF('MUTASI 2026'!$B$162:$B$252,'WS Trial balance'!$D13,'MUTASI 2026'!$H$162:$H$252)</f>
        <v>0</v>
      </c>
      <c r="Q13" s="16">
        <f t="shared" si="2"/>
        <v>0</v>
      </c>
      <c r="R13" s="16">
        <f t="shared" si="3"/>
        <v>0</v>
      </c>
      <c r="S13" s="4"/>
      <c r="T13" s="16">
        <f>SUMIF('MUTASI 2026'!$B$254:$B$356,'WS Trial balance'!$D13,'MUTASI 2026'!$G$254:$G$356)</f>
        <v>0</v>
      </c>
      <c r="U13" s="16">
        <f>SUMIF('MUTASI 2026'!$B$254:$B$356,'WS Trial balance'!$D13,'MUTASI 2026'!$H$254:$H$356)</f>
        <v>0</v>
      </c>
      <c r="V13" s="16">
        <f t="shared" si="4"/>
        <v>0</v>
      </c>
      <c r="W13" s="16">
        <f t="shared" si="5"/>
        <v>0</v>
      </c>
      <c r="X13" s="4"/>
      <c r="Y13" s="16">
        <f>SUMIF('MUTASI 2026'!$B$358:$B$480,'WS Trial balance'!$D13,'MUTASI 2026'!$G$358:$G$480)</f>
        <v>0</v>
      </c>
      <c r="Z13" s="16">
        <f>SUMIF('MUTASI 2026'!$B$358:$B$480,'WS Trial balance'!$D13,'MUTASI 2026'!$H$358:$H$480)</f>
        <v>0</v>
      </c>
      <c r="AA13" s="16">
        <f t="shared" si="6"/>
        <v>0</v>
      </c>
      <c r="AB13" s="16">
        <f t="shared" si="7"/>
        <v>0</v>
      </c>
      <c r="AC13" s="4"/>
      <c r="AD13" s="16">
        <f>SUMIF('MUTASI 2026'!$B$482:$B$655,'WS Trial balance'!$D13,'MUTASI 2026'!$G$482:$G$655)</f>
        <v>0</v>
      </c>
      <c r="AE13" s="16">
        <f>SUMIF('MUTASI 2026'!$B$482:$B$655,'WS Trial balance'!$D13,'MUTASI 2026'!$H$482:$H$655)</f>
        <v>0</v>
      </c>
      <c r="AF13" s="16">
        <f t="shared" si="8"/>
        <v>0</v>
      </c>
      <c r="AG13" s="16">
        <f t="shared" si="9"/>
        <v>0</v>
      </c>
      <c r="AH13" s="4"/>
      <c r="AI13" s="16">
        <f>SUMIF('MUTASI 2026'!$B$657:$B$748,'WS Trial balance'!$D13,'MUTASI 2026'!$G$657:$G$748)</f>
        <v>0</v>
      </c>
      <c r="AJ13" s="16">
        <f>SUMIF('MUTASI 2026'!$B$657:$B$748,'WS Trial balance'!$D13,'MUTASI 2026'!$H$657:$H$748)</f>
        <v>0</v>
      </c>
      <c r="AK13" s="16">
        <f t="shared" si="10"/>
        <v>0</v>
      </c>
      <c r="AL13" s="16">
        <f t="shared" si="11"/>
        <v>0</v>
      </c>
      <c r="AM13" s="4"/>
      <c r="AN13" s="16">
        <f>SUMIF('MUTASI 2026'!$B$750:$B$851,'WS Trial balance'!$D13,'MUTASI 2026'!$G$750:$G$851)</f>
        <v>0</v>
      </c>
      <c r="AO13" s="16">
        <f>SUMIF('MUTASI 2026'!$B$750:$B$851,'WS Trial balance'!$D13,'MUTASI 2026'!$H$750:$H$851)</f>
        <v>0</v>
      </c>
      <c r="AP13" s="16">
        <f t="shared" si="12"/>
        <v>0</v>
      </c>
      <c r="AQ13" s="16">
        <f t="shared" si="13"/>
        <v>0</v>
      </c>
      <c r="AR13" s="4"/>
      <c r="AS13" s="16">
        <f>SUMIF('MUTASI 2026'!$B$853:$B$945,'WS Trial balance'!$D13,'MUTASI 2026'!$G$853:$G$945)</f>
        <v>0</v>
      </c>
      <c r="AT13" s="16">
        <f>SUMIF('MUTASI 2026'!$B$853:$B$945,'WS Trial balance'!$D13,'MUTASI 2026'!$H$853:$H$945)</f>
        <v>0</v>
      </c>
      <c r="AU13" s="16">
        <f t="shared" si="14"/>
        <v>0</v>
      </c>
      <c r="AV13" s="16">
        <f t="shared" si="15"/>
        <v>0</v>
      </c>
      <c r="AW13" s="4"/>
      <c r="AX13" s="16">
        <f>SUMIF('MUTASI 2026'!$B$1274:$B$1379,'WS Trial balance'!$D13,'MUTASI 2026'!$G$1274:$G$1379)</f>
        <v>0</v>
      </c>
      <c r="AY13" s="16">
        <f>SUMIF('MUTASI 2026'!$B$1274:$B$1379,'WS Trial balance'!$D13,'MUTASI 2026'!$H$1274:$H$1379)</f>
        <v>0</v>
      </c>
      <c r="AZ13" s="16">
        <f t="shared" si="16"/>
        <v>0</v>
      </c>
      <c r="BA13" s="16">
        <f t="shared" si="17"/>
        <v>0</v>
      </c>
      <c r="BB13" s="4"/>
      <c r="BC13" s="16">
        <f>SUMIF('MUTASI 2026'!$B$1382:$B$1477,'WS Trial balance'!$D13,'MUTASI 2026'!$G$1382:$G$1477)</f>
        <v>0</v>
      </c>
      <c r="BD13" s="16">
        <f>SUMIF('MUTASI 2026'!$B$1382:$B$1477,'WS Trial balance'!$D13,'MUTASI 2026'!$H$1382:$H$1477)</f>
        <v>0</v>
      </c>
      <c r="BE13" s="16">
        <f t="shared" si="18"/>
        <v>0</v>
      </c>
      <c r="BF13" s="16">
        <f t="shared" si="19"/>
        <v>0</v>
      </c>
      <c r="BG13" s="4"/>
      <c r="BH13" s="16">
        <f>SUMIF('MUTASI 2026'!$B$1480:$B$1600,'WS Trial balance'!$D13,'MUTASI 2026'!$G$1480:$G$1600)</f>
        <v>0</v>
      </c>
      <c r="BI13" s="16">
        <f>SUMIF('MUTASI 2026'!$B$1480:$B$1600,'WS Trial balance'!$D13,'MUTASI 2026'!$H$1480:$H$1600)</f>
        <v>0</v>
      </c>
      <c r="BJ13" s="16">
        <f t="shared" si="20"/>
        <v>0</v>
      </c>
      <c r="BK13" s="16">
        <f t="shared" si="21"/>
        <v>0</v>
      </c>
      <c r="BL13" s="4"/>
      <c r="BM13" s="16">
        <f>SUMIF('MUTASI 2026'!$B$1603:$B$1722,'WS Trial balance'!$D13,'MUTASI 2026'!$G$1603:$G$1722)</f>
        <v>0</v>
      </c>
      <c r="BN13" s="16">
        <f>SUMIF('MUTASI 2026'!$B$1603:$B$1722,'WS Trial balance'!$D13,'MUTASI 2026'!$H$1603:$H$1722)</f>
        <v>0</v>
      </c>
      <c r="BO13" s="16">
        <f t="shared" si="22"/>
        <v>0</v>
      </c>
      <c r="BP13" s="16">
        <f t="shared" si="23"/>
        <v>0</v>
      </c>
      <c r="BQ13" s="4"/>
      <c r="BR13" s="2"/>
      <c r="BS13" s="4"/>
      <c r="BT13" s="16">
        <f t="shared" si="24"/>
        <v>0</v>
      </c>
      <c r="BU13" s="16">
        <f t="shared" si="24"/>
        <v>0</v>
      </c>
      <c r="BV13" s="4"/>
      <c r="BW13" s="16">
        <f t="shared" si="25"/>
        <v>0</v>
      </c>
      <c r="BX13" s="16">
        <f t="shared" si="25"/>
        <v>0</v>
      </c>
      <c r="BY13" s="4"/>
      <c r="BZ13" s="16">
        <f t="shared" si="26"/>
        <v>0</v>
      </c>
      <c r="CA13" s="16">
        <f t="shared" si="27"/>
        <v>0</v>
      </c>
      <c r="CB13" s="4"/>
    </row>
    <row r="14" spans="2:81" s="1" customFormat="1" ht="15" x14ac:dyDescent="0.25">
      <c r="B14" s="3"/>
      <c r="C14" s="15"/>
      <c r="D14" s="15" t="s">
        <v>11</v>
      </c>
      <c r="E14" s="17" t="s">
        <v>16</v>
      </c>
      <c r="F14" s="17" t="s">
        <v>6</v>
      </c>
      <c r="G14" s="16">
        <v>0</v>
      </c>
      <c r="H14" s="16">
        <v>0</v>
      </c>
      <c r="I14" s="4"/>
      <c r="J14" s="16">
        <f>SUMIF('MUTASI 2026'!$B$5:$B$160,'WS Trial balance'!$D14,'MUTASI 2026'!$G$5:$G$160)</f>
        <v>0</v>
      </c>
      <c r="K14" s="16">
        <f>SUMIF('MUTASI 2026'!$B$5:$B$160,'WS Trial balance'!$D14,'MUTASI 2026'!$H$5:$H$160)</f>
        <v>0</v>
      </c>
      <c r="L14" s="16">
        <f t="shared" si="0"/>
        <v>0</v>
      </c>
      <c r="M14" s="16">
        <f t="shared" si="1"/>
        <v>0</v>
      </c>
      <c r="N14" s="4"/>
      <c r="O14" s="16">
        <f>SUMIF('MUTASI 2026'!$B$162:$B$252,'WS Trial balance'!$D14,'MUTASI 2026'!$G$162:$G$252)</f>
        <v>0</v>
      </c>
      <c r="P14" s="16">
        <f>SUMIF('MUTASI 2026'!$B$162:$B$252,'WS Trial balance'!$D14,'MUTASI 2026'!$H$162:$H$252)</f>
        <v>0</v>
      </c>
      <c r="Q14" s="16">
        <f t="shared" si="2"/>
        <v>0</v>
      </c>
      <c r="R14" s="16">
        <f t="shared" si="3"/>
        <v>0</v>
      </c>
      <c r="S14" s="4"/>
      <c r="T14" s="16">
        <f>SUMIF('MUTASI 2026'!$B$254:$B$356,'WS Trial balance'!$D14,'MUTASI 2026'!$G$254:$G$356)</f>
        <v>0</v>
      </c>
      <c r="U14" s="16">
        <f>SUMIF('MUTASI 2026'!$B$254:$B$356,'WS Trial balance'!$D14,'MUTASI 2026'!$H$254:$H$356)</f>
        <v>0</v>
      </c>
      <c r="V14" s="16">
        <f t="shared" si="4"/>
        <v>0</v>
      </c>
      <c r="W14" s="16">
        <f t="shared" si="5"/>
        <v>0</v>
      </c>
      <c r="X14" s="4"/>
      <c r="Y14" s="16">
        <f>SUMIF('MUTASI 2026'!$B$358:$B$480,'WS Trial balance'!$D14,'MUTASI 2026'!$G$358:$G$480)</f>
        <v>0</v>
      </c>
      <c r="Z14" s="16">
        <f>SUMIF('MUTASI 2026'!$B$358:$B$480,'WS Trial balance'!$D14,'MUTASI 2026'!$H$358:$H$480)</f>
        <v>0</v>
      </c>
      <c r="AA14" s="16">
        <f t="shared" si="6"/>
        <v>0</v>
      </c>
      <c r="AB14" s="16">
        <f t="shared" si="7"/>
        <v>0</v>
      </c>
      <c r="AC14" s="4"/>
      <c r="AD14" s="16">
        <f>SUMIF('MUTASI 2026'!$B$482:$B$655,'WS Trial balance'!$D14,'MUTASI 2026'!$G$482:$G$655)</f>
        <v>0</v>
      </c>
      <c r="AE14" s="16">
        <f>SUMIF('MUTASI 2026'!$B$482:$B$655,'WS Trial balance'!$D14,'MUTASI 2026'!$H$482:$H$655)</f>
        <v>0</v>
      </c>
      <c r="AF14" s="16">
        <f t="shared" si="8"/>
        <v>0</v>
      </c>
      <c r="AG14" s="16">
        <f t="shared" si="9"/>
        <v>0</v>
      </c>
      <c r="AH14" s="4"/>
      <c r="AI14" s="16">
        <f>SUMIF('MUTASI 2026'!$B$657:$B$748,'WS Trial balance'!$D14,'MUTASI 2026'!$G$657:$G$748)</f>
        <v>0</v>
      </c>
      <c r="AJ14" s="16">
        <f>SUMIF('MUTASI 2026'!$B$657:$B$748,'WS Trial balance'!$D14,'MUTASI 2026'!$H$657:$H$748)</f>
        <v>0</v>
      </c>
      <c r="AK14" s="16">
        <f t="shared" si="10"/>
        <v>0</v>
      </c>
      <c r="AL14" s="16">
        <f t="shared" si="11"/>
        <v>0</v>
      </c>
      <c r="AM14" s="4"/>
      <c r="AN14" s="16">
        <f>SUMIF('MUTASI 2026'!$B$750:$B$851,'WS Trial balance'!$D14,'MUTASI 2026'!$G$750:$G$851)</f>
        <v>0</v>
      </c>
      <c r="AO14" s="16">
        <f>SUMIF('MUTASI 2026'!$B$750:$B$851,'WS Trial balance'!$D14,'MUTASI 2026'!$H$750:$H$851)</f>
        <v>0</v>
      </c>
      <c r="AP14" s="16">
        <f t="shared" si="12"/>
        <v>0</v>
      </c>
      <c r="AQ14" s="16">
        <f t="shared" si="13"/>
        <v>0</v>
      </c>
      <c r="AR14" s="4"/>
      <c r="AS14" s="16">
        <f>SUMIF('MUTASI 2026'!$B$853:$B$945,'WS Trial balance'!$D14,'MUTASI 2026'!$G$853:$G$945)</f>
        <v>0</v>
      </c>
      <c r="AT14" s="16">
        <f>SUMIF('MUTASI 2026'!$B$853:$B$945,'WS Trial balance'!$D14,'MUTASI 2026'!$H$853:$H$945)</f>
        <v>0</v>
      </c>
      <c r="AU14" s="16">
        <f t="shared" si="14"/>
        <v>0</v>
      </c>
      <c r="AV14" s="16">
        <f t="shared" si="15"/>
        <v>0</v>
      </c>
      <c r="AW14" s="4"/>
      <c r="AX14" s="16">
        <f>SUMIF('MUTASI 2026'!$B$1274:$B$1379,'WS Trial balance'!$D14,'MUTASI 2026'!$G$1274:$G$1379)</f>
        <v>0</v>
      </c>
      <c r="AY14" s="16">
        <f>SUMIF('MUTASI 2026'!$B$1274:$B$1379,'WS Trial balance'!$D14,'MUTASI 2026'!$H$1274:$H$1379)</f>
        <v>0</v>
      </c>
      <c r="AZ14" s="16">
        <f t="shared" si="16"/>
        <v>0</v>
      </c>
      <c r="BA14" s="16">
        <f t="shared" si="17"/>
        <v>0</v>
      </c>
      <c r="BB14" s="4"/>
      <c r="BC14" s="16">
        <f>SUMIF('MUTASI 2026'!$B$1382:$B$1477,'WS Trial balance'!$D14,'MUTASI 2026'!$G$1382:$G$1477)</f>
        <v>0</v>
      </c>
      <c r="BD14" s="16">
        <f>SUMIF('MUTASI 2026'!$B$1382:$B$1477,'WS Trial balance'!$D14,'MUTASI 2026'!$H$1382:$H$1477)</f>
        <v>0</v>
      </c>
      <c r="BE14" s="16">
        <f t="shared" si="18"/>
        <v>0</v>
      </c>
      <c r="BF14" s="16">
        <f t="shared" si="19"/>
        <v>0</v>
      </c>
      <c r="BG14" s="4"/>
      <c r="BH14" s="16">
        <f>SUMIF('MUTASI 2026'!$B$1480:$B$1600,'WS Trial balance'!$D14,'MUTASI 2026'!$G$1480:$G$1600)</f>
        <v>0</v>
      </c>
      <c r="BI14" s="16">
        <f>SUMIF('MUTASI 2026'!$B$1480:$B$1600,'WS Trial balance'!$D14,'MUTASI 2026'!$H$1480:$H$1600)</f>
        <v>0</v>
      </c>
      <c r="BJ14" s="16">
        <f t="shared" si="20"/>
        <v>0</v>
      </c>
      <c r="BK14" s="16">
        <f t="shared" si="21"/>
        <v>0</v>
      </c>
      <c r="BL14" s="4"/>
      <c r="BM14" s="16">
        <f>SUMIF('MUTASI 2026'!$B$1603:$B$1722,'WS Trial balance'!$D14,'MUTASI 2026'!$G$1603:$G$1722)</f>
        <v>0</v>
      </c>
      <c r="BN14" s="16">
        <f>SUMIF('MUTASI 2026'!$B$1603:$B$1722,'WS Trial balance'!$D14,'MUTASI 2026'!$H$1603:$H$1722)</f>
        <v>0</v>
      </c>
      <c r="BO14" s="16">
        <f t="shared" si="22"/>
        <v>0</v>
      </c>
      <c r="BP14" s="16">
        <f t="shared" si="23"/>
        <v>0</v>
      </c>
      <c r="BQ14" s="4"/>
      <c r="BR14" s="2"/>
      <c r="BS14" s="4"/>
      <c r="BT14" s="16">
        <f t="shared" si="24"/>
        <v>0</v>
      </c>
      <c r="BU14" s="16">
        <f t="shared" si="24"/>
        <v>0</v>
      </c>
      <c r="BV14" s="4"/>
      <c r="BW14" s="16">
        <f t="shared" si="25"/>
        <v>0</v>
      </c>
      <c r="BX14" s="16">
        <f t="shared" si="25"/>
        <v>0</v>
      </c>
      <c r="BY14" s="4"/>
      <c r="BZ14" s="16">
        <f t="shared" si="26"/>
        <v>0</v>
      </c>
      <c r="CA14" s="16">
        <f t="shared" si="27"/>
        <v>0</v>
      </c>
      <c r="CB14" s="4"/>
    </row>
    <row r="15" spans="2:81" s="1" customFormat="1" ht="15" x14ac:dyDescent="0.25">
      <c r="B15" s="3"/>
      <c r="C15" s="15"/>
      <c r="D15" s="15" t="s">
        <v>23</v>
      </c>
      <c r="E15" s="17" t="s">
        <v>259</v>
      </c>
      <c r="F15" s="17" t="s">
        <v>6</v>
      </c>
      <c r="G15" s="16">
        <v>0</v>
      </c>
      <c r="H15" s="16">
        <v>0</v>
      </c>
      <c r="I15" s="4"/>
      <c r="J15" s="16">
        <f>SUMIF('MUTASI 2026'!$B$5:$B$160,'WS Trial balance'!$D15,'MUTASI 2026'!$G$5:$G$160)</f>
        <v>0</v>
      </c>
      <c r="K15" s="16">
        <f>SUMIF('MUTASI 2026'!$B$5:$B$160,'WS Trial balance'!$D15,'MUTASI 2026'!$H$5:$H$160)</f>
        <v>0</v>
      </c>
      <c r="L15" s="16">
        <f t="shared" si="0"/>
        <v>0</v>
      </c>
      <c r="M15" s="16">
        <f t="shared" si="1"/>
        <v>0</v>
      </c>
      <c r="N15" s="4"/>
      <c r="O15" s="16">
        <f>SUMIF('MUTASI 2026'!$B$162:$B$252,'WS Trial balance'!$D15,'MUTASI 2026'!$G$162:$G$252)</f>
        <v>0</v>
      </c>
      <c r="P15" s="16">
        <f>SUMIF('MUTASI 2026'!$B$162:$B$252,'WS Trial balance'!$D15,'MUTASI 2026'!$H$162:$H$252)</f>
        <v>0</v>
      </c>
      <c r="Q15" s="16">
        <f t="shared" si="2"/>
        <v>0</v>
      </c>
      <c r="R15" s="16">
        <f t="shared" si="3"/>
        <v>0</v>
      </c>
      <c r="S15" s="4"/>
      <c r="T15" s="16">
        <f>SUMIF('MUTASI 2026'!$B$254:$B$356,'WS Trial balance'!$D15,'MUTASI 2026'!$G$254:$G$356)</f>
        <v>0</v>
      </c>
      <c r="U15" s="16">
        <f>SUMIF('MUTASI 2026'!$B$254:$B$356,'WS Trial balance'!$D15,'MUTASI 2026'!$H$254:$H$356)</f>
        <v>0</v>
      </c>
      <c r="V15" s="16">
        <f t="shared" si="4"/>
        <v>0</v>
      </c>
      <c r="W15" s="16">
        <f t="shared" si="5"/>
        <v>0</v>
      </c>
      <c r="X15" s="4"/>
      <c r="Y15" s="16">
        <f>SUMIF('MUTASI 2026'!$B$358:$B$480,'WS Trial balance'!$D15,'MUTASI 2026'!$G$358:$G$480)</f>
        <v>0</v>
      </c>
      <c r="Z15" s="16">
        <f>SUMIF('MUTASI 2026'!$B$358:$B$480,'WS Trial balance'!$D15,'MUTASI 2026'!$H$358:$H$480)</f>
        <v>0</v>
      </c>
      <c r="AA15" s="16">
        <f t="shared" si="6"/>
        <v>0</v>
      </c>
      <c r="AB15" s="16">
        <f t="shared" si="7"/>
        <v>0</v>
      </c>
      <c r="AC15" s="4"/>
      <c r="AD15" s="16">
        <f>SUMIF('MUTASI 2026'!$B$482:$B$655,'WS Trial balance'!$D15,'MUTASI 2026'!$G$482:$G$655)</f>
        <v>11608500</v>
      </c>
      <c r="AE15" s="16">
        <f>SUMIF('MUTASI 2026'!$B$482:$B$655,'WS Trial balance'!$D15,'MUTASI 2026'!$H$482:$H$655)</f>
        <v>0</v>
      </c>
      <c r="AF15" s="16">
        <f t="shared" si="8"/>
        <v>11608500</v>
      </c>
      <c r="AG15" s="16">
        <f t="shared" si="9"/>
        <v>0</v>
      </c>
      <c r="AH15" s="4"/>
      <c r="AI15" s="16">
        <f>SUMIF('MUTASI 2026'!$B$657:$B$748,'WS Trial balance'!$D15,'MUTASI 2026'!$G$657:$G$748)</f>
        <v>0</v>
      </c>
      <c r="AJ15" s="16">
        <f>SUMIF('MUTASI 2026'!$B$657:$B$748,'WS Trial balance'!$D15,'MUTASI 2026'!$H$657:$H$748)</f>
        <v>0</v>
      </c>
      <c r="AK15" s="16">
        <f t="shared" si="10"/>
        <v>11608500</v>
      </c>
      <c r="AL15" s="16">
        <f t="shared" si="11"/>
        <v>0</v>
      </c>
      <c r="AM15" s="4"/>
      <c r="AN15" s="16">
        <f>SUMIF('MUTASI 2026'!$B$750:$B$851,'WS Trial balance'!$D15,'MUTASI 2026'!$G$750:$G$851)</f>
        <v>0</v>
      </c>
      <c r="AO15" s="16">
        <f>SUMIF('MUTASI 2026'!$B$750:$B$851,'WS Trial balance'!$D15,'MUTASI 2026'!$H$750:$H$851)</f>
        <v>0</v>
      </c>
      <c r="AP15" s="16">
        <f t="shared" si="12"/>
        <v>11608500</v>
      </c>
      <c r="AQ15" s="16">
        <f t="shared" si="13"/>
        <v>0</v>
      </c>
      <c r="AR15" s="4"/>
      <c r="AS15" s="16">
        <f>SUMIF('MUTASI 2026'!$B$853:$B$945,'WS Trial balance'!$D15,'MUTASI 2026'!$G$853:$G$945)</f>
        <v>0</v>
      </c>
      <c r="AT15" s="16">
        <f>SUMIF('MUTASI 2026'!$B$853:$B$945,'WS Trial balance'!$D15,'MUTASI 2026'!$H$853:$H$945)</f>
        <v>0</v>
      </c>
      <c r="AU15" s="16">
        <f t="shared" si="14"/>
        <v>11608500</v>
      </c>
      <c r="AV15" s="16">
        <f t="shared" si="15"/>
        <v>0</v>
      </c>
      <c r="AW15" s="4"/>
      <c r="AX15" s="16">
        <f>SUMIF('MUTASI 2026'!$B$1274:$B$1379,'WS Trial balance'!$D15,'MUTASI 2026'!$G$1274:$G$1379)</f>
        <v>0</v>
      </c>
      <c r="AY15" s="16">
        <f>SUMIF('MUTASI 2026'!$B$1274:$B$1379,'WS Trial balance'!$D15,'MUTASI 2026'!$H$1274:$H$1379)</f>
        <v>0</v>
      </c>
      <c r="AZ15" s="16">
        <f t="shared" si="16"/>
        <v>11608500</v>
      </c>
      <c r="BA15" s="16">
        <f t="shared" si="17"/>
        <v>0</v>
      </c>
      <c r="BB15" s="4"/>
      <c r="BC15" s="16">
        <f>SUMIF('MUTASI 2026'!$B$1382:$B$1477,'WS Trial balance'!$D15,'MUTASI 2026'!$G$1382:$G$1477)</f>
        <v>0</v>
      </c>
      <c r="BD15" s="16">
        <f>SUMIF('MUTASI 2026'!$B$1382:$B$1477,'WS Trial balance'!$D15,'MUTASI 2026'!$H$1382:$H$1477)</f>
        <v>0</v>
      </c>
      <c r="BE15" s="16">
        <f t="shared" si="18"/>
        <v>11608500</v>
      </c>
      <c r="BF15" s="16">
        <f t="shared" si="19"/>
        <v>0</v>
      </c>
      <c r="BG15" s="4"/>
      <c r="BH15" s="16">
        <f>SUMIF('MUTASI 2026'!$B$1480:$B$1600,'WS Trial balance'!$D15,'MUTASI 2026'!$G$1480:$G$1600)</f>
        <v>0</v>
      </c>
      <c r="BI15" s="16">
        <f>SUMIF('MUTASI 2026'!$B$1480:$B$1600,'WS Trial balance'!$D15,'MUTASI 2026'!$H$1480:$H$1600)</f>
        <v>0</v>
      </c>
      <c r="BJ15" s="16">
        <f t="shared" si="20"/>
        <v>11608500</v>
      </c>
      <c r="BK15" s="16">
        <f t="shared" si="21"/>
        <v>0</v>
      </c>
      <c r="BL15" s="4"/>
      <c r="BM15" s="16">
        <f>SUMIF('MUTASI 2026'!$B$1603:$B$1722,'WS Trial balance'!$D15,'MUTASI 2026'!$G$1603:$G$1722)</f>
        <v>0</v>
      </c>
      <c r="BN15" s="16">
        <f>SUMIF('MUTASI 2026'!$B$1603:$B$1722,'WS Trial balance'!$D15,'MUTASI 2026'!$H$1603:$H$1722)</f>
        <v>0</v>
      </c>
      <c r="BO15" s="16">
        <f t="shared" si="22"/>
        <v>11608500</v>
      </c>
      <c r="BP15" s="16">
        <f t="shared" si="23"/>
        <v>0</v>
      </c>
      <c r="BQ15" s="4"/>
      <c r="BR15" s="2"/>
      <c r="BS15" s="4"/>
      <c r="BT15" s="16">
        <f t="shared" si="24"/>
        <v>0</v>
      </c>
      <c r="BU15" s="16">
        <f t="shared" si="24"/>
        <v>0</v>
      </c>
      <c r="BV15" s="4"/>
      <c r="BW15" s="16">
        <f t="shared" si="25"/>
        <v>11608500</v>
      </c>
      <c r="BX15" s="16">
        <f t="shared" si="25"/>
        <v>0</v>
      </c>
      <c r="BY15" s="4"/>
      <c r="BZ15" s="16">
        <f t="shared" si="26"/>
        <v>11608500</v>
      </c>
      <c r="CA15" s="16">
        <f t="shared" si="27"/>
        <v>0</v>
      </c>
      <c r="CB15" s="4"/>
    </row>
    <row r="16" spans="2:81" s="1" customFormat="1" ht="15" x14ac:dyDescent="0.25">
      <c r="B16" s="3"/>
      <c r="C16" s="15"/>
      <c r="D16" s="15" t="s">
        <v>24</v>
      </c>
      <c r="E16" s="17" t="s">
        <v>260</v>
      </c>
      <c r="F16" s="17" t="s">
        <v>6</v>
      </c>
      <c r="G16" s="16">
        <v>0</v>
      </c>
      <c r="H16" s="16">
        <v>0</v>
      </c>
      <c r="I16" s="4"/>
      <c r="J16" s="16">
        <f>SUMIF('MUTASI 2026'!$B$5:$B$160,'WS Trial balance'!$D16,'MUTASI 2026'!$G$5:$G$160)</f>
        <v>0</v>
      </c>
      <c r="K16" s="16">
        <f>SUMIF('MUTASI 2026'!$B$5:$B$160,'WS Trial balance'!$D16,'MUTASI 2026'!$H$5:$H$160)</f>
        <v>0</v>
      </c>
      <c r="L16" s="16">
        <f t="shared" si="0"/>
        <v>0</v>
      </c>
      <c r="M16" s="16">
        <f t="shared" si="1"/>
        <v>0</v>
      </c>
      <c r="N16" s="4"/>
      <c r="O16" s="16">
        <f>SUMIF('MUTASI 2026'!$B$162:$B$252,'WS Trial balance'!$D16,'MUTASI 2026'!$G$162:$G$252)</f>
        <v>0</v>
      </c>
      <c r="P16" s="16">
        <f>SUMIF('MUTASI 2026'!$B$162:$B$252,'WS Trial balance'!$D16,'MUTASI 2026'!$H$162:$H$252)</f>
        <v>0</v>
      </c>
      <c r="Q16" s="16">
        <f t="shared" si="2"/>
        <v>0</v>
      </c>
      <c r="R16" s="16">
        <f t="shared" si="3"/>
        <v>0</v>
      </c>
      <c r="S16" s="4"/>
      <c r="T16" s="16">
        <f>SUMIF('MUTASI 2026'!$B$254:$B$356,'WS Trial balance'!$D16,'MUTASI 2026'!$G$254:$G$356)</f>
        <v>0</v>
      </c>
      <c r="U16" s="16">
        <f>SUMIF('MUTASI 2026'!$B$254:$B$356,'WS Trial balance'!$D16,'MUTASI 2026'!$H$254:$H$356)</f>
        <v>0</v>
      </c>
      <c r="V16" s="16">
        <f t="shared" si="4"/>
        <v>0</v>
      </c>
      <c r="W16" s="16">
        <f t="shared" si="5"/>
        <v>0</v>
      </c>
      <c r="X16" s="4"/>
      <c r="Y16" s="16">
        <f>SUMIF('MUTASI 2026'!$B$358:$B$480,'WS Trial balance'!$D16,'MUTASI 2026'!$G$358:$G$480)</f>
        <v>0</v>
      </c>
      <c r="Z16" s="16">
        <f>SUMIF('MUTASI 2026'!$B$358:$B$480,'WS Trial balance'!$D16,'MUTASI 2026'!$H$358:$H$480)</f>
        <v>0</v>
      </c>
      <c r="AA16" s="16">
        <f t="shared" si="6"/>
        <v>0</v>
      </c>
      <c r="AB16" s="16">
        <f t="shared" si="7"/>
        <v>0</v>
      </c>
      <c r="AC16" s="4"/>
      <c r="AD16" s="16">
        <f>SUMIF('MUTASI 2026'!$B$482:$B$655,'WS Trial balance'!$D16,'MUTASI 2026'!$G$482:$G$655)</f>
        <v>0</v>
      </c>
      <c r="AE16" s="16">
        <f>SUMIF('MUTASI 2026'!$B$482:$B$655,'WS Trial balance'!$D16,'MUTASI 2026'!$H$482:$H$655)</f>
        <v>0</v>
      </c>
      <c r="AF16" s="16">
        <f t="shared" si="8"/>
        <v>0</v>
      </c>
      <c r="AG16" s="16">
        <f t="shared" si="9"/>
        <v>0</v>
      </c>
      <c r="AH16" s="4"/>
      <c r="AI16" s="16">
        <f>SUMIF('MUTASI 2026'!$B$657:$B$748,'WS Trial balance'!$D16,'MUTASI 2026'!$G$657:$G$748)</f>
        <v>0</v>
      </c>
      <c r="AJ16" s="16">
        <f>SUMIF('MUTASI 2026'!$B$657:$B$748,'WS Trial balance'!$D16,'MUTASI 2026'!$H$657:$H$748)</f>
        <v>0</v>
      </c>
      <c r="AK16" s="16">
        <f t="shared" si="10"/>
        <v>0</v>
      </c>
      <c r="AL16" s="16">
        <f t="shared" si="11"/>
        <v>0</v>
      </c>
      <c r="AM16" s="4"/>
      <c r="AN16" s="16">
        <f>SUMIF('MUTASI 2026'!$B$750:$B$851,'WS Trial balance'!$D16,'MUTASI 2026'!$G$750:$G$851)</f>
        <v>0</v>
      </c>
      <c r="AO16" s="16">
        <f>SUMIF('MUTASI 2026'!$B$750:$B$851,'WS Trial balance'!$D16,'MUTASI 2026'!$H$750:$H$851)</f>
        <v>0</v>
      </c>
      <c r="AP16" s="16">
        <f t="shared" si="12"/>
        <v>0</v>
      </c>
      <c r="AQ16" s="16">
        <f t="shared" si="13"/>
        <v>0</v>
      </c>
      <c r="AR16" s="4"/>
      <c r="AS16" s="16">
        <f>SUMIF('MUTASI 2026'!$B$853:$B$945,'WS Trial balance'!$D16,'MUTASI 2026'!$G$853:$G$945)</f>
        <v>0</v>
      </c>
      <c r="AT16" s="16">
        <f>SUMIF('MUTASI 2026'!$B$853:$B$945,'WS Trial balance'!$D16,'MUTASI 2026'!$H$853:$H$945)</f>
        <v>0</v>
      </c>
      <c r="AU16" s="16">
        <f t="shared" si="14"/>
        <v>0</v>
      </c>
      <c r="AV16" s="16">
        <f t="shared" si="15"/>
        <v>0</v>
      </c>
      <c r="AW16" s="4"/>
      <c r="AX16" s="16">
        <f>SUMIF('MUTASI 2026'!$B$1274:$B$1379,'WS Trial balance'!$D16,'MUTASI 2026'!$G$1274:$G$1379)</f>
        <v>0</v>
      </c>
      <c r="AY16" s="16">
        <f>SUMIF('MUTASI 2026'!$B$1274:$B$1379,'WS Trial balance'!$D16,'MUTASI 2026'!$H$1274:$H$1379)</f>
        <v>0</v>
      </c>
      <c r="AZ16" s="16">
        <f t="shared" si="16"/>
        <v>0</v>
      </c>
      <c r="BA16" s="16">
        <f t="shared" si="17"/>
        <v>0</v>
      </c>
      <c r="BB16" s="4"/>
      <c r="BC16" s="16">
        <f>SUMIF('MUTASI 2026'!$B$1382:$B$1477,'WS Trial balance'!$D16,'MUTASI 2026'!$G$1382:$G$1477)</f>
        <v>0</v>
      </c>
      <c r="BD16" s="16">
        <f>SUMIF('MUTASI 2026'!$B$1382:$B$1477,'WS Trial balance'!$D16,'MUTASI 2026'!$H$1382:$H$1477)</f>
        <v>0</v>
      </c>
      <c r="BE16" s="16">
        <f t="shared" si="18"/>
        <v>0</v>
      </c>
      <c r="BF16" s="16">
        <f t="shared" si="19"/>
        <v>0</v>
      </c>
      <c r="BG16" s="4"/>
      <c r="BH16" s="16">
        <f>SUMIF('MUTASI 2026'!$B$1480:$B$1600,'WS Trial balance'!$D16,'MUTASI 2026'!$G$1480:$G$1600)</f>
        <v>0</v>
      </c>
      <c r="BI16" s="16">
        <f>SUMIF('MUTASI 2026'!$B$1480:$B$1600,'WS Trial balance'!$D16,'MUTASI 2026'!$H$1480:$H$1600)</f>
        <v>0</v>
      </c>
      <c r="BJ16" s="16">
        <f t="shared" si="20"/>
        <v>0</v>
      </c>
      <c r="BK16" s="16">
        <f t="shared" si="21"/>
        <v>0</v>
      </c>
      <c r="BL16" s="4"/>
      <c r="BM16" s="16">
        <f>SUMIF('MUTASI 2026'!$B$1603:$B$1722,'WS Trial balance'!$D16,'MUTASI 2026'!$G$1603:$G$1722)</f>
        <v>0</v>
      </c>
      <c r="BN16" s="16">
        <f>SUMIF('MUTASI 2026'!$B$1603:$B$1722,'WS Trial balance'!$D16,'MUTASI 2026'!$H$1603:$H$1722)</f>
        <v>0</v>
      </c>
      <c r="BO16" s="16">
        <f t="shared" si="22"/>
        <v>0</v>
      </c>
      <c r="BP16" s="16">
        <f t="shared" si="23"/>
        <v>0</v>
      </c>
      <c r="BQ16" s="4"/>
      <c r="BR16" s="2"/>
      <c r="BS16" s="4"/>
      <c r="BT16" s="16">
        <f t="shared" si="24"/>
        <v>0</v>
      </c>
      <c r="BU16" s="16">
        <f t="shared" si="24"/>
        <v>0</v>
      </c>
      <c r="BV16" s="4"/>
      <c r="BW16" s="16">
        <f t="shared" si="25"/>
        <v>0</v>
      </c>
      <c r="BX16" s="16">
        <f t="shared" si="25"/>
        <v>0</v>
      </c>
      <c r="BY16" s="4"/>
      <c r="BZ16" s="16">
        <f t="shared" si="26"/>
        <v>0</v>
      </c>
      <c r="CA16" s="16">
        <f t="shared" si="27"/>
        <v>0</v>
      </c>
      <c r="CB16" s="4"/>
    </row>
    <row r="17" spans="2:82" s="1" customFormat="1" ht="15" x14ac:dyDescent="0.25">
      <c r="B17" s="3"/>
      <c r="C17" s="15"/>
      <c r="D17" s="15" t="s">
        <v>25</v>
      </c>
      <c r="E17" s="17" t="s">
        <v>18</v>
      </c>
      <c r="F17" s="17" t="s">
        <v>6</v>
      </c>
      <c r="G17" s="16">
        <v>0</v>
      </c>
      <c r="H17" s="16">
        <v>0</v>
      </c>
      <c r="I17" s="4"/>
      <c r="J17" s="16">
        <f>SUMIF('MUTASI 2026'!$B$5:$B$160,'WS Trial balance'!$D17,'MUTASI 2026'!$G$5:$G$160)</f>
        <v>0</v>
      </c>
      <c r="K17" s="16">
        <f>SUMIF('MUTASI 2026'!$B$5:$B$160,'WS Trial balance'!$D17,'MUTASI 2026'!$H$5:$H$160)</f>
        <v>0</v>
      </c>
      <c r="L17" s="16">
        <f t="shared" si="0"/>
        <v>0</v>
      </c>
      <c r="M17" s="16">
        <f t="shared" si="1"/>
        <v>0</v>
      </c>
      <c r="N17" s="4"/>
      <c r="O17" s="16">
        <f>SUMIF('MUTASI 2026'!$B$162:$B$252,'WS Trial balance'!$D17,'MUTASI 2026'!$G$162:$G$252)</f>
        <v>0</v>
      </c>
      <c r="P17" s="16">
        <f>SUMIF('MUTASI 2026'!$B$162:$B$252,'WS Trial balance'!$D17,'MUTASI 2026'!$H$162:$H$252)</f>
        <v>0</v>
      </c>
      <c r="Q17" s="16">
        <f t="shared" si="2"/>
        <v>0</v>
      </c>
      <c r="R17" s="16">
        <f t="shared" si="3"/>
        <v>0</v>
      </c>
      <c r="S17" s="4"/>
      <c r="T17" s="16">
        <f>SUMIF('MUTASI 2026'!$B$254:$B$356,'WS Trial balance'!$D17,'MUTASI 2026'!$G$254:$G$356)</f>
        <v>0</v>
      </c>
      <c r="U17" s="16">
        <f>SUMIF('MUTASI 2026'!$B$254:$B$356,'WS Trial balance'!$D17,'MUTASI 2026'!$H$254:$H$356)</f>
        <v>0</v>
      </c>
      <c r="V17" s="16">
        <f t="shared" si="4"/>
        <v>0</v>
      </c>
      <c r="W17" s="16">
        <f t="shared" si="5"/>
        <v>0</v>
      </c>
      <c r="X17" s="4"/>
      <c r="Y17" s="16">
        <f>SUMIF('MUTASI 2026'!$B$358:$B$480,'WS Trial balance'!$D17,'MUTASI 2026'!$G$358:$G$480)</f>
        <v>0</v>
      </c>
      <c r="Z17" s="16">
        <f>SUMIF('MUTASI 2026'!$B$358:$B$480,'WS Trial balance'!$D17,'MUTASI 2026'!$H$358:$H$480)</f>
        <v>0</v>
      </c>
      <c r="AA17" s="16">
        <f t="shared" si="6"/>
        <v>0</v>
      </c>
      <c r="AB17" s="16">
        <f t="shared" si="7"/>
        <v>0</v>
      </c>
      <c r="AC17" s="4"/>
      <c r="AD17" s="16">
        <f>SUMIF('MUTASI 2026'!$B$482:$B$655,'WS Trial balance'!$D17,'MUTASI 2026'!$G$482:$G$655)</f>
        <v>0</v>
      </c>
      <c r="AE17" s="16">
        <f>SUMIF('MUTASI 2026'!$B$482:$B$655,'WS Trial balance'!$D17,'MUTASI 2026'!$H$482:$H$655)</f>
        <v>0</v>
      </c>
      <c r="AF17" s="16">
        <f t="shared" si="8"/>
        <v>0</v>
      </c>
      <c r="AG17" s="16">
        <f t="shared" si="9"/>
        <v>0</v>
      </c>
      <c r="AH17" s="4"/>
      <c r="AI17" s="16">
        <f>SUMIF('MUTASI 2026'!$B$657:$B$748,'WS Trial balance'!$D17,'MUTASI 2026'!$G$657:$G$748)</f>
        <v>0</v>
      </c>
      <c r="AJ17" s="16">
        <f>SUMIF('MUTASI 2026'!$B$657:$B$748,'WS Trial balance'!$D17,'MUTASI 2026'!$H$657:$H$748)</f>
        <v>0</v>
      </c>
      <c r="AK17" s="16">
        <f t="shared" si="10"/>
        <v>0</v>
      </c>
      <c r="AL17" s="16">
        <f t="shared" si="11"/>
        <v>0</v>
      </c>
      <c r="AM17" s="4"/>
      <c r="AN17" s="16">
        <f>SUMIF('MUTASI 2026'!$B$750:$B$851,'WS Trial balance'!$D17,'MUTASI 2026'!$G$750:$G$851)</f>
        <v>0</v>
      </c>
      <c r="AO17" s="16">
        <f>SUMIF('MUTASI 2026'!$B$750:$B$851,'WS Trial balance'!$D17,'MUTASI 2026'!$H$750:$H$851)</f>
        <v>0</v>
      </c>
      <c r="AP17" s="16">
        <f t="shared" si="12"/>
        <v>0</v>
      </c>
      <c r="AQ17" s="16">
        <f t="shared" si="13"/>
        <v>0</v>
      </c>
      <c r="AR17" s="4"/>
      <c r="AS17" s="16">
        <f>SUMIF('MUTASI 2026'!$B$853:$B$945,'WS Trial balance'!$D17,'MUTASI 2026'!$G$853:$G$945)</f>
        <v>0</v>
      </c>
      <c r="AT17" s="16">
        <f>SUMIF('MUTASI 2026'!$B$853:$B$945,'WS Trial balance'!$D17,'MUTASI 2026'!$H$853:$H$945)</f>
        <v>0</v>
      </c>
      <c r="AU17" s="16">
        <f t="shared" si="14"/>
        <v>0</v>
      </c>
      <c r="AV17" s="16">
        <f t="shared" si="15"/>
        <v>0</v>
      </c>
      <c r="AW17" s="4"/>
      <c r="AX17" s="16">
        <f>SUMIF('MUTASI 2026'!$B$1274:$B$1379,'WS Trial balance'!$D17,'MUTASI 2026'!$G$1274:$G$1379)</f>
        <v>0</v>
      </c>
      <c r="AY17" s="16">
        <f>SUMIF('MUTASI 2026'!$B$1274:$B$1379,'WS Trial balance'!$D17,'MUTASI 2026'!$H$1274:$H$1379)</f>
        <v>0</v>
      </c>
      <c r="AZ17" s="16">
        <f t="shared" si="16"/>
        <v>0</v>
      </c>
      <c r="BA17" s="16">
        <f t="shared" si="17"/>
        <v>0</v>
      </c>
      <c r="BB17" s="4"/>
      <c r="BC17" s="16">
        <f>SUMIF('MUTASI 2026'!$B$1382:$B$1477,'WS Trial balance'!$D17,'MUTASI 2026'!$G$1382:$G$1477)</f>
        <v>0</v>
      </c>
      <c r="BD17" s="16">
        <f>SUMIF('MUTASI 2026'!$B$1382:$B$1477,'WS Trial balance'!$D17,'MUTASI 2026'!$H$1382:$H$1477)</f>
        <v>0</v>
      </c>
      <c r="BE17" s="16">
        <f t="shared" si="18"/>
        <v>0</v>
      </c>
      <c r="BF17" s="16">
        <f t="shared" si="19"/>
        <v>0</v>
      </c>
      <c r="BG17" s="4"/>
      <c r="BH17" s="16">
        <f>SUMIF('MUTASI 2026'!$B$1480:$B$1600,'WS Trial balance'!$D17,'MUTASI 2026'!$G$1480:$G$1600)</f>
        <v>0</v>
      </c>
      <c r="BI17" s="16">
        <f>SUMIF('MUTASI 2026'!$B$1480:$B$1600,'WS Trial balance'!$D17,'MUTASI 2026'!$H$1480:$H$1600)</f>
        <v>0</v>
      </c>
      <c r="BJ17" s="16">
        <f t="shared" si="20"/>
        <v>0</v>
      </c>
      <c r="BK17" s="16">
        <f t="shared" si="21"/>
        <v>0</v>
      </c>
      <c r="BL17" s="4"/>
      <c r="BM17" s="16">
        <f>SUMIF('MUTASI 2026'!$B$1603:$B$1722,'WS Trial balance'!$D17,'MUTASI 2026'!$G$1603:$G$1722)</f>
        <v>0</v>
      </c>
      <c r="BN17" s="16">
        <f>SUMIF('MUTASI 2026'!$B$1603:$B$1722,'WS Trial balance'!$D17,'MUTASI 2026'!$H$1603:$H$1722)</f>
        <v>0</v>
      </c>
      <c r="BO17" s="16">
        <f t="shared" si="22"/>
        <v>0</v>
      </c>
      <c r="BP17" s="16">
        <f t="shared" si="23"/>
        <v>0</v>
      </c>
      <c r="BQ17" s="4"/>
      <c r="BR17" s="2"/>
      <c r="BS17" s="4"/>
      <c r="BT17" s="16">
        <f t="shared" si="24"/>
        <v>0</v>
      </c>
      <c r="BU17" s="16">
        <f t="shared" si="24"/>
        <v>0</v>
      </c>
      <c r="BV17" s="4"/>
      <c r="BW17" s="16">
        <f t="shared" si="25"/>
        <v>0</v>
      </c>
      <c r="BX17" s="16">
        <f t="shared" si="25"/>
        <v>0</v>
      </c>
      <c r="BY17" s="4"/>
      <c r="BZ17" s="16">
        <f t="shared" si="26"/>
        <v>0</v>
      </c>
      <c r="CA17" s="16">
        <f t="shared" si="27"/>
        <v>0</v>
      </c>
      <c r="CB17" s="4"/>
    </row>
    <row r="18" spans="2:82" s="1" customFormat="1" ht="15" x14ac:dyDescent="0.25">
      <c r="B18" s="3"/>
      <c r="C18" s="99"/>
      <c r="D18" s="15" t="s">
        <v>26</v>
      </c>
      <c r="E18" s="17" t="s">
        <v>20</v>
      </c>
      <c r="F18" s="17" t="s">
        <v>6</v>
      </c>
      <c r="G18" s="16">
        <v>0</v>
      </c>
      <c r="H18" s="16">
        <v>0</v>
      </c>
      <c r="I18" s="4"/>
      <c r="J18" s="16">
        <f>SUMIF('MUTASI 2026'!$B$5:$B$160,'WS Trial balance'!$D18,'MUTASI 2026'!$G$5:$G$160)</f>
        <v>0</v>
      </c>
      <c r="K18" s="16">
        <f>SUMIF('MUTASI 2026'!$B$5:$B$160,'WS Trial balance'!$D18,'MUTASI 2026'!$H$5:$H$160)</f>
        <v>0</v>
      </c>
      <c r="L18" s="16">
        <f t="shared" si="0"/>
        <v>0</v>
      </c>
      <c r="M18" s="16">
        <f t="shared" si="1"/>
        <v>0</v>
      </c>
      <c r="N18" s="4"/>
      <c r="O18" s="16">
        <f>SUMIF('MUTASI 2026'!$B$162:$B$252,'WS Trial balance'!$D18,'MUTASI 2026'!$G$162:$G$252)</f>
        <v>0</v>
      </c>
      <c r="P18" s="16">
        <f>SUMIF('MUTASI 2026'!$B$162:$B$252,'WS Trial balance'!$D18,'MUTASI 2026'!$H$162:$H$252)</f>
        <v>0</v>
      </c>
      <c r="Q18" s="16">
        <f t="shared" si="2"/>
        <v>0</v>
      </c>
      <c r="R18" s="16">
        <f t="shared" si="3"/>
        <v>0</v>
      </c>
      <c r="S18" s="4"/>
      <c r="T18" s="16">
        <f>SUMIF('MUTASI 2026'!$B$254:$B$356,'WS Trial balance'!$D18,'MUTASI 2026'!$G$254:$G$356)</f>
        <v>0</v>
      </c>
      <c r="U18" s="16">
        <f>SUMIF('MUTASI 2026'!$B$254:$B$356,'WS Trial balance'!$D18,'MUTASI 2026'!$H$254:$H$356)</f>
        <v>0</v>
      </c>
      <c r="V18" s="16">
        <f t="shared" si="4"/>
        <v>0</v>
      </c>
      <c r="W18" s="16">
        <f t="shared" si="5"/>
        <v>0</v>
      </c>
      <c r="X18" s="4"/>
      <c r="Y18" s="16">
        <f>SUMIF('MUTASI 2026'!$B$358:$B$480,'WS Trial balance'!$D18,'MUTASI 2026'!$G$358:$G$480)</f>
        <v>0</v>
      </c>
      <c r="Z18" s="16">
        <f>SUMIF('MUTASI 2026'!$B$358:$B$480,'WS Trial balance'!$D18,'MUTASI 2026'!$H$358:$H$480)</f>
        <v>0</v>
      </c>
      <c r="AA18" s="16">
        <f t="shared" si="6"/>
        <v>0</v>
      </c>
      <c r="AB18" s="16">
        <f t="shared" si="7"/>
        <v>0</v>
      </c>
      <c r="AC18" s="4"/>
      <c r="AD18" s="16">
        <f>SUMIF('MUTASI 2026'!$B$482:$B$655,'WS Trial balance'!$D18,'MUTASI 2026'!$G$482:$G$655)</f>
        <v>0</v>
      </c>
      <c r="AE18" s="16">
        <f>SUMIF('MUTASI 2026'!$B$482:$B$655,'WS Trial balance'!$D18,'MUTASI 2026'!$H$482:$H$655)</f>
        <v>0</v>
      </c>
      <c r="AF18" s="16">
        <f t="shared" si="8"/>
        <v>0</v>
      </c>
      <c r="AG18" s="16">
        <f t="shared" si="9"/>
        <v>0</v>
      </c>
      <c r="AH18" s="4"/>
      <c r="AI18" s="16">
        <f>SUMIF('MUTASI 2026'!$B$657:$B$748,'WS Trial balance'!$D18,'MUTASI 2026'!$G$657:$G$748)</f>
        <v>0</v>
      </c>
      <c r="AJ18" s="16">
        <f>SUMIF('MUTASI 2026'!$B$657:$B$748,'WS Trial balance'!$D18,'MUTASI 2026'!$H$657:$H$748)</f>
        <v>0</v>
      </c>
      <c r="AK18" s="16">
        <f t="shared" si="10"/>
        <v>0</v>
      </c>
      <c r="AL18" s="16">
        <f t="shared" si="11"/>
        <v>0</v>
      </c>
      <c r="AM18" s="4"/>
      <c r="AN18" s="16">
        <f>SUMIF('MUTASI 2026'!$B$750:$B$851,'WS Trial balance'!$D18,'MUTASI 2026'!$G$750:$G$851)</f>
        <v>0</v>
      </c>
      <c r="AO18" s="16">
        <f>SUMIF('MUTASI 2026'!$B$750:$B$851,'WS Trial balance'!$D18,'MUTASI 2026'!$H$750:$H$851)</f>
        <v>0</v>
      </c>
      <c r="AP18" s="16">
        <f t="shared" si="12"/>
        <v>0</v>
      </c>
      <c r="AQ18" s="16">
        <f t="shared" si="13"/>
        <v>0</v>
      </c>
      <c r="AR18" s="4"/>
      <c r="AS18" s="16">
        <f>SUMIF('MUTASI 2026'!$B$853:$B$945,'WS Trial balance'!$D18,'MUTASI 2026'!$G$853:$G$945)</f>
        <v>0</v>
      </c>
      <c r="AT18" s="16">
        <f>SUMIF('MUTASI 2026'!$B$853:$B$945,'WS Trial balance'!$D18,'MUTASI 2026'!$H$853:$H$945)</f>
        <v>0</v>
      </c>
      <c r="AU18" s="16">
        <f t="shared" si="14"/>
        <v>0</v>
      </c>
      <c r="AV18" s="16">
        <f t="shared" si="15"/>
        <v>0</v>
      </c>
      <c r="AW18" s="4"/>
      <c r="AX18" s="16">
        <f>SUMIF('MUTASI 2026'!$B$1274:$B$1379,'WS Trial balance'!$D18,'MUTASI 2026'!$G$1274:$G$1379)</f>
        <v>0</v>
      </c>
      <c r="AY18" s="16">
        <f>SUMIF('MUTASI 2026'!$B$1274:$B$1379,'WS Trial balance'!$D18,'MUTASI 2026'!$H$1274:$H$1379)</f>
        <v>0</v>
      </c>
      <c r="AZ18" s="16">
        <f t="shared" si="16"/>
        <v>0</v>
      </c>
      <c r="BA18" s="16">
        <f t="shared" si="17"/>
        <v>0</v>
      </c>
      <c r="BB18" s="4"/>
      <c r="BC18" s="16">
        <f>SUMIF('MUTASI 2026'!$B$1382:$B$1477,'WS Trial balance'!$D18,'MUTASI 2026'!$G$1382:$G$1477)</f>
        <v>0</v>
      </c>
      <c r="BD18" s="16">
        <f>SUMIF('MUTASI 2026'!$B$1382:$B$1477,'WS Trial balance'!$D18,'MUTASI 2026'!$H$1382:$H$1477)</f>
        <v>0</v>
      </c>
      <c r="BE18" s="16">
        <f t="shared" si="18"/>
        <v>0</v>
      </c>
      <c r="BF18" s="16">
        <f t="shared" si="19"/>
        <v>0</v>
      </c>
      <c r="BG18" s="4"/>
      <c r="BH18" s="16">
        <f>SUMIF('MUTASI 2026'!$B$1480:$B$1600,'WS Trial balance'!$D18,'MUTASI 2026'!$G$1480:$G$1600)</f>
        <v>0</v>
      </c>
      <c r="BI18" s="16">
        <f>SUMIF('MUTASI 2026'!$B$1480:$B$1600,'WS Trial balance'!$D18,'MUTASI 2026'!$H$1480:$H$1600)</f>
        <v>0</v>
      </c>
      <c r="BJ18" s="16">
        <f t="shared" si="20"/>
        <v>0</v>
      </c>
      <c r="BK18" s="16">
        <f t="shared" si="21"/>
        <v>0</v>
      </c>
      <c r="BL18" s="4"/>
      <c r="BM18" s="16">
        <f>SUMIF('MUTASI 2026'!$B$1603:$B$1722,'WS Trial balance'!$D18,'MUTASI 2026'!$G$1603:$G$1722)</f>
        <v>0</v>
      </c>
      <c r="BN18" s="16">
        <f>SUMIF('MUTASI 2026'!$B$1603:$B$1722,'WS Trial balance'!$D18,'MUTASI 2026'!$H$1603:$H$1722)</f>
        <v>0</v>
      </c>
      <c r="BO18" s="16">
        <f t="shared" si="22"/>
        <v>0</v>
      </c>
      <c r="BP18" s="16">
        <f t="shared" si="23"/>
        <v>0</v>
      </c>
      <c r="BQ18" s="4"/>
      <c r="BR18" s="2"/>
      <c r="BS18" s="4"/>
      <c r="BT18" s="16">
        <f t="shared" si="24"/>
        <v>0</v>
      </c>
      <c r="BU18" s="16">
        <f t="shared" si="24"/>
        <v>0</v>
      </c>
      <c r="BV18" s="4"/>
      <c r="BW18" s="16">
        <f t="shared" si="25"/>
        <v>0</v>
      </c>
      <c r="BX18" s="16">
        <f t="shared" si="25"/>
        <v>0</v>
      </c>
      <c r="BY18" s="4"/>
      <c r="BZ18" s="16">
        <f t="shared" si="26"/>
        <v>0</v>
      </c>
      <c r="CA18" s="16">
        <f t="shared" si="27"/>
        <v>0</v>
      </c>
      <c r="CB18" s="4"/>
    </row>
    <row r="19" spans="2:82" s="1" customFormat="1" ht="15" x14ac:dyDescent="0.25">
      <c r="B19" s="3"/>
      <c r="C19" s="15"/>
      <c r="D19" s="15" t="s">
        <v>342</v>
      </c>
      <c r="E19" s="17" t="s">
        <v>27</v>
      </c>
      <c r="F19" s="17" t="s">
        <v>6</v>
      </c>
      <c r="G19" s="16">
        <v>0</v>
      </c>
      <c r="H19" s="16">
        <v>0</v>
      </c>
      <c r="I19" s="4"/>
      <c r="J19" s="16">
        <f>SUMIF('MUTASI 2026'!$B$5:$B$160,'WS Trial balance'!$D19,'MUTASI 2026'!$G$5:$G$160)</f>
        <v>0</v>
      </c>
      <c r="K19" s="16">
        <f>SUMIF('MUTASI 2026'!$B$5:$B$160,'WS Trial balance'!$D19,'MUTASI 2026'!$H$5:$H$160)</f>
        <v>0</v>
      </c>
      <c r="L19" s="16">
        <f t="shared" si="0"/>
        <v>0</v>
      </c>
      <c r="M19" s="16">
        <f t="shared" si="1"/>
        <v>0</v>
      </c>
      <c r="N19" s="4"/>
      <c r="O19" s="16">
        <f>SUMIF('MUTASI 2026'!$B$162:$B$252,'WS Trial balance'!$D19,'MUTASI 2026'!$G$162:$G$252)</f>
        <v>0</v>
      </c>
      <c r="P19" s="16">
        <f>SUMIF('MUTASI 2026'!$B$162:$B$252,'WS Trial balance'!$D19,'MUTASI 2026'!$H$162:$H$252)</f>
        <v>0</v>
      </c>
      <c r="Q19" s="16">
        <f t="shared" si="2"/>
        <v>0</v>
      </c>
      <c r="R19" s="16">
        <f t="shared" si="3"/>
        <v>0</v>
      </c>
      <c r="S19" s="4"/>
      <c r="T19" s="16">
        <f>SUMIF('MUTASI 2026'!$B$254:$B$356,'WS Trial balance'!$D19,'MUTASI 2026'!$G$254:$G$356)</f>
        <v>0</v>
      </c>
      <c r="U19" s="16">
        <f>SUMIF('MUTASI 2026'!$B$254:$B$356,'WS Trial balance'!$D19,'MUTASI 2026'!$H$254:$H$356)</f>
        <v>0</v>
      </c>
      <c r="V19" s="16">
        <f t="shared" si="4"/>
        <v>0</v>
      </c>
      <c r="W19" s="16">
        <f t="shared" si="5"/>
        <v>0</v>
      </c>
      <c r="X19" s="4"/>
      <c r="Y19" s="16">
        <f>SUMIF('MUTASI 2026'!$B$358:$B$480,'WS Trial balance'!$D19,'MUTASI 2026'!$G$358:$G$480)</f>
        <v>0</v>
      </c>
      <c r="Z19" s="16">
        <f>SUMIF('MUTASI 2026'!$B$358:$B$480,'WS Trial balance'!$D19,'MUTASI 2026'!$H$358:$H$480)</f>
        <v>0</v>
      </c>
      <c r="AA19" s="16">
        <f t="shared" si="6"/>
        <v>0</v>
      </c>
      <c r="AB19" s="16">
        <f t="shared" si="7"/>
        <v>0</v>
      </c>
      <c r="AC19" s="4"/>
      <c r="AD19" s="16">
        <f>SUMIF('MUTASI 2026'!$B$482:$B$655,'WS Trial balance'!$D19,'MUTASI 2026'!$G$482:$G$655)</f>
        <v>0</v>
      </c>
      <c r="AE19" s="16">
        <f>SUMIF('MUTASI 2026'!$B$482:$B$655,'WS Trial balance'!$D19,'MUTASI 2026'!$H$482:$H$655)</f>
        <v>0</v>
      </c>
      <c r="AF19" s="16">
        <f t="shared" si="8"/>
        <v>0</v>
      </c>
      <c r="AG19" s="16">
        <f t="shared" si="9"/>
        <v>0</v>
      </c>
      <c r="AH19" s="4"/>
      <c r="AI19" s="16">
        <f>SUMIF('MUTASI 2026'!$B$657:$B$748,'WS Trial balance'!$D19,'MUTASI 2026'!$G$657:$G$748)</f>
        <v>0</v>
      </c>
      <c r="AJ19" s="16">
        <f>SUMIF('MUTASI 2026'!$B$657:$B$748,'WS Trial balance'!$D19,'MUTASI 2026'!$H$657:$H$748)</f>
        <v>0</v>
      </c>
      <c r="AK19" s="16">
        <f t="shared" si="10"/>
        <v>0</v>
      </c>
      <c r="AL19" s="16">
        <f t="shared" si="11"/>
        <v>0</v>
      </c>
      <c r="AM19" s="4"/>
      <c r="AN19" s="16">
        <f>SUMIF('MUTASI 2026'!$B$750:$B$851,'WS Trial balance'!$D19,'MUTASI 2026'!$G$750:$G$851)</f>
        <v>0</v>
      </c>
      <c r="AO19" s="16">
        <f>SUMIF('MUTASI 2026'!$B$750:$B$851,'WS Trial balance'!$D19,'MUTASI 2026'!$H$750:$H$851)</f>
        <v>0</v>
      </c>
      <c r="AP19" s="16">
        <f t="shared" si="12"/>
        <v>0</v>
      </c>
      <c r="AQ19" s="16">
        <f t="shared" si="13"/>
        <v>0</v>
      </c>
      <c r="AR19" s="4"/>
      <c r="AS19" s="16">
        <f>SUMIF('MUTASI 2026'!$B$853:$B$945,'WS Trial balance'!$D19,'MUTASI 2026'!$G$853:$G$945)</f>
        <v>0</v>
      </c>
      <c r="AT19" s="16">
        <f>SUMIF('MUTASI 2026'!$B$853:$B$945,'WS Trial balance'!$D19,'MUTASI 2026'!$H$853:$H$945)</f>
        <v>0</v>
      </c>
      <c r="AU19" s="16">
        <f t="shared" si="14"/>
        <v>0</v>
      </c>
      <c r="AV19" s="16">
        <f t="shared" si="15"/>
        <v>0</v>
      </c>
      <c r="AW19" s="4"/>
      <c r="AX19" s="16">
        <f>SUMIF('MUTASI 2026'!$B$1274:$B$1379,'WS Trial balance'!$D19,'MUTASI 2026'!$G$1274:$G$1379)</f>
        <v>0</v>
      </c>
      <c r="AY19" s="16">
        <f>SUMIF('MUTASI 2026'!$B$1274:$B$1379,'WS Trial balance'!$D19,'MUTASI 2026'!$H$1274:$H$1379)</f>
        <v>0</v>
      </c>
      <c r="AZ19" s="16">
        <f t="shared" si="16"/>
        <v>0</v>
      </c>
      <c r="BA19" s="16">
        <f t="shared" si="17"/>
        <v>0</v>
      </c>
      <c r="BB19" s="4"/>
      <c r="BC19" s="16">
        <f>SUMIF('MUTASI 2026'!$B$1382:$B$1477,'WS Trial balance'!$D19,'MUTASI 2026'!$G$1382:$G$1477)</f>
        <v>0</v>
      </c>
      <c r="BD19" s="16">
        <f>SUMIF('MUTASI 2026'!$B$1382:$B$1477,'WS Trial balance'!$D19,'MUTASI 2026'!$H$1382:$H$1477)</f>
        <v>0</v>
      </c>
      <c r="BE19" s="16">
        <f t="shared" si="18"/>
        <v>0</v>
      </c>
      <c r="BF19" s="16">
        <f t="shared" si="19"/>
        <v>0</v>
      </c>
      <c r="BG19" s="4"/>
      <c r="BH19" s="16">
        <f>SUMIF('MUTASI 2026'!$B$1480:$B$1600,'WS Trial balance'!$D19,'MUTASI 2026'!$G$1480:$G$1600)</f>
        <v>0</v>
      </c>
      <c r="BI19" s="16">
        <f>SUMIF('MUTASI 2026'!$B$1480:$B$1600,'WS Trial balance'!$D19,'MUTASI 2026'!$H$1480:$H$1600)</f>
        <v>0</v>
      </c>
      <c r="BJ19" s="16">
        <f t="shared" si="20"/>
        <v>0</v>
      </c>
      <c r="BK19" s="16">
        <f t="shared" si="21"/>
        <v>0</v>
      </c>
      <c r="BL19" s="4"/>
      <c r="BM19" s="16">
        <f>SUMIF('MUTASI 2026'!$B$1603:$B$1722,'WS Trial balance'!$D19,'MUTASI 2026'!$G$1603:$G$1722)</f>
        <v>0</v>
      </c>
      <c r="BN19" s="16">
        <f>SUMIF('MUTASI 2026'!$B$1603:$B$1722,'WS Trial balance'!$D19,'MUTASI 2026'!$H$1603:$H$1722)</f>
        <v>0</v>
      </c>
      <c r="BO19" s="16">
        <f t="shared" si="22"/>
        <v>0</v>
      </c>
      <c r="BP19" s="16">
        <f t="shared" si="23"/>
        <v>0</v>
      </c>
      <c r="BQ19" s="4"/>
      <c r="BR19" s="2"/>
      <c r="BS19" s="4"/>
      <c r="BT19" s="16">
        <f t="shared" si="24"/>
        <v>0</v>
      </c>
      <c r="BU19" s="16">
        <f t="shared" si="24"/>
        <v>0</v>
      </c>
      <c r="BV19" s="4"/>
      <c r="BW19" s="16">
        <f t="shared" si="25"/>
        <v>0</v>
      </c>
      <c r="BX19" s="16">
        <f t="shared" si="25"/>
        <v>0</v>
      </c>
      <c r="BY19" s="4"/>
      <c r="BZ19" s="16">
        <f t="shared" si="26"/>
        <v>0</v>
      </c>
      <c r="CA19" s="16">
        <f t="shared" si="27"/>
        <v>0</v>
      </c>
      <c r="CB19" s="4"/>
    </row>
    <row r="20" spans="2:82" s="1" customFormat="1" ht="15" x14ac:dyDescent="0.25">
      <c r="B20" s="3"/>
      <c r="C20" s="15"/>
      <c r="D20" s="15" t="s">
        <v>15</v>
      </c>
      <c r="E20" s="17" t="s">
        <v>29</v>
      </c>
      <c r="F20" s="17" t="s">
        <v>6</v>
      </c>
      <c r="G20" s="16">
        <v>0</v>
      </c>
      <c r="H20" s="16">
        <v>0</v>
      </c>
      <c r="I20" s="4"/>
      <c r="J20" s="16">
        <f>SUMIF('MUTASI 2026'!$B$5:$B$160,'WS Trial balance'!$D20,'MUTASI 2026'!$G$5:$G$160)</f>
        <v>0</v>
      </c>
      <c r="K20" s="16">
        <f>SUMIF('MUTASI 2026'!$B$5:$B$160,'WS Trial balance'!$D20,'MUTASI 2026'!$H$5:$H$160)</f>
        <v>0</v>
      </c>
      <c r="L20" s="16">
        <f t="shared" si="0"/>
        <v>0</v>
      </c>
      <c r="M20" s="16">
        <f t="shared" si="1"/>
        <v>0</v>
      </c>
      <c r="N20" s="4"/>
      <c r="O20" s="16">
        <f>SUMIF('MUTASI 2026'!$B$162:$B$252,'WS Trial balance'!$D20,'MUTASI 2026'!$G$162:$G$252)</f>
        <v>0</v>
      </c>
      <c r="P20" s="16">
        <f>SUMIF('MUTASI 2026'!$B$162:$B$252,'WS Trial balance'!$D20,'MUTASI 2026'!$H$162:$H$252)</f>
        <v>0</v>
      </c>
      <c r="Q20" s="16">
        <f t="shared" si="2"/>
        <v>0</v>
      </c>
      <c r="R20" s="16">
        <f t="shared" si="3"/>
        <v>0</v>
      </c>
      <c r="S20" s="4"/>
      <c r="T20" s="16">
        <f>SUMIF('MUTASI 2026'!$B$254:$B$356,'WS Trial balance'!$D20,'MUTASI 2026'!$G$254:$G$356)</f>
        <v>0</v>
      </c>
      <c r="U20" s="16">
        <f>SUMIF('MUTASI 2026'!$B$254:$B$356,'WS Trial balance'!$D20,'MUTASI 2026'!$H$254:$H$356)</f>
        <v>0</v>
      </c>
      <c r="V20" s="16">
        <f t="shared" si="4"/>
        <v>0</v>
      </c>
      <c r="W20" s="16">
        <f t="shared" si="5"/>
        <v>0</v>
      </c>
      <c r="X20" s="4"/>
      <c r="Y20" s="16">
        <f>SUMIF('MUTASI 2026'!$B$358:$B$480,'WS Trial balance'!$D20,'MUTASI 2026'!$G$358:$G$480)</f>
        <v>0</v>
      </c>
      <c r="Z20" s="16">
        <f>SUMIF('MUTASI 2026'!$B$358:$B$480,'WS Trial balance'!$D20,'MUTASI 2026'!$H$358:$H$480)</f>
        <v>0</v>
      </c>
      <c r="AA20" s="16">
        <f t="shared" si="6"/>
        <v>0</v>
      </c>
      <c r="AB20" s="16">
        <f t="shared" si="7"/>
        <v>0</v>
      </c>
      <c r="AC20" s="4"/>
      <c r="AD20" s="16">
        <f>SUMIF('MUTASI 2026'!$B$482:$B$655,'WS Trial balance'!$D20,'MUTASI 2026'!$G$482:$G$655)</f>
        <v>0</v>
      </c>
      <c r="AE20" s="16">
        <f>SUMIF('MUTASI 2026'!$B$482:$B$655,'WS Trial balance'!$D20,'MUTASI 2026'!$H$482:$H$655)</f>
        <v>0</v>
      </c>
      <c r="AF20" s="16">
        <f t="shared" si="8"/>
        <v>0</v>
      </c>
      <c r="AG20" s="16">
        <f t="shared" si="9"/>
        <v>0</v>
      </c>
      <c r="AH20" s="4"/>
      <c r="AI20" s="16">
        <f>SUMIF('MUTASI 2026'!$B$657:$B$748,'WS Trial balance'!$D20,'MUTASI 2026'!$G$657:$G$748)</f>
        <v>0</v>
      </c>
      <c r="AJ20" s="16">
        <f>SUMIF('MUTASI 2026'!$B$657:$B$748,'WS Trial balance'!$D20,'MUTASI 2026'!$H$657:$H$748)</f>
        <v>0</v>
      </c>
      <c r="AK20" s="16">
        <f t="shared" si="10"/>
        <v>0</v>
      </c>
      <c r="AL20" s="16">
        <f t="shared" si="11"/>
        <v>0</v>
      </c>
      <c r="AM20" s="4"/>
      <c r="AN20" s="16">
        <f>SUMIF('MUTASI 2026'!$B$750:$B$851,'WS Trial balance'!$D20,'MUTASI 2026'!$G$750:$G$851)</f>
        <v>0</v>
      </c>
      <c r="AO20" s="16">
        <f>SUMIF('MUTASI 2026'!$B$750:$B$851,'WS Trial balance'!$D20,'MUTASI 2026'!$H$750:$H$851)</f>
        <v>0</v>
      </c>
      <c r="AP20" s="16">
        <f t="shared" si="12"/>
        <v>0</v>
      </c>
      <c r="AQ20" s="16">
        <f t="shared" si="13"/>
        <v>0</v>
      </c>
      <c r="AR20" s="4"/>
      <c r="AS20" s="16">
        <f>SUMIF('MUTASI 2026'!$B$853:$B$945,'WS Trial balance'!$D20,'MUTASI 2026'!$G$853:$G$945)</f>
        <v>0</v>
      </c>
      <c r="AT20" s="16">
        <f>SUMIF('MUTASI 2026'!$B$853:$B$945,'WS Trial balance'!$D20,'MUTASI 2026'!$H$853:$H$945)</f>
        <v>0</v>
      </c>
      <c r="AU20" s="16">
        <f t="shared" si="14"/>
        <v>0</v>
      </c>
      <c r="AV20" s="16">
        <f t="shared" si="15"/>
        <v>0</v>
      </c>
      <c r="AW20" s="4"/>
      <c r="AX20" s="16">
        <f>SUMIF('MUTASI 2026'!$B$1274:$B$1379,'WS Trial balance'!$D20,'MUTASI 2026'!$G$1274:$G$1379)</f>
        <v>0</v>
      </c>
      <c r="AY20" s="16">
        <f>SUMIF('MUTASI 2026'!$B$1274:$B$1379,'WS Trial balance'!$D20,'MUTASI 2026'!$H$1274:$H$1379)</f>
        <v>0</v>
      </c>
      <c r="AZ20" s="16">
        <f t="shared" si="16"/>
        <v>0</v>
      </c>
      <c r="BA20" s="16">
        <f t="shared" si="17"/>
        <v>0</v>
      </c>
      <c r="BB20" s="4"/>
      <c r="BC20" s="16">
        <f>SUMIF('MUTASI 2026'!$B$1382:$B$1477,'WS Trial balance'!$D20,'MUTASI 2026'!$G$1382:$G$1477)</f>
        <v>0</v>
      </c>
      <c r="BD20" s="16">
        <f>SUMIF('MUTASI 2026'!$B$1382:$B$1477,'WS Trial balance'!$D20,'MUTASI 2026'!$H$1382:$H$1477)</f>
        <v>0</v>
      </c>
      <c r="BE20" s="16">
        <f t="shared" si="18"/>
        <v>0</v>
      </c>
      <c r="BF20" s="16">
        <f t="shared" si="19"/>
        <v>0</v>
      </c>
      <c r="BG20" s="4"/>
      <c r="BH20" s="16">
        <f>SUMIF('MUTASI 2026'!$B$1480:$B$1600,'WS Trial balance'!$D20,'MUTASI 2026'!$G$1480:$G$1600)</f>
        <v>0</v>
      </c>
      <c r="BI20" s="16">
        <f>SUMIF('MUTASI 2026'!$B$1480:$B$1600,'WS Trial balance'!$D20,'MUTASI 2026'!$H$1480:$H$1600)</f>
        <v>0</v>
      </c>
      <c r="BJ20" s="16">
        <f t="shared" si="20"/>
        <v>0</v>
      </c>
      <c r="BK20" s="16">
        <f t="shared" si="21"/>
        <v>0</v>
      </c>
      <c r="BL20" s="4"/>
      <c r="BM20" s="16">
        <f>SUMIF('MUTASI 2026'!$B$1603:$B$1722,'WS Trial balance'!$D20,'MUTASI 2026'!$G$1603:$G$1722)</f>
        <v>0</v>
      </c>
      <c r="BN20" s="16">
        <f>SUMIF('MUTASI 2026'!$B$1603:$B$1722,'WS Trial balance'!$D20,'MUTASI 2026'!$H$1603:$H$1722)</f>
        <v>0</v>
      </c>
      <c r="BO20" s="16">
        <f t="shared" si="22"/>
        <v>0</v>
      </c>
      <c r="BP20" s="16">
        <f t="shared" si="23"/>
        <v>0</v>
      </c>
      <c r="BQ20" s="4"/>
      <c r="BR20" s="2"/>
      <c r="BS20" s="4"/>
      <c r="BT20" s="16">
        <f t="shared" si="24"/>
        <v>0</v>
      </c>
      <c r="BU20" s="16">
        <f t="shared" si="24"/>
        <v>0</v>
      </c>
      <c r="BV20" s="4"/>
      <c r="BW20" s="16">
        <f t="shared" si="25"/>
        <v>0</v>
      </c>
      <c r="BX20" s="16">
        <f t="shared" si="25"/>
        <v>0</v>
      </c>
      <c r="BY20" s="4"/>
      <c r="BZ20" s="16">
        <f t="shared" si="26"/>
        <v>0</v>
      </c>
      <c r="CA20" s="16">
        <f t="shared" si="27"/>
        <v>0</v>
      </c>
      <c r="CB20" s="4"/>
      <c r="CD20" s="110"/>
    </row>
    <row r="21" spans="2:82" s="1" customFormat="1" ht="15" x14ac:dyDescent="0.25">
      <c r="B21" s="3"/>
      <c r="C21" s="15"/>
      <c r="D21" s="15" t="s">
        <v>17</v>
      </c>
      <c r="E21" s="17" t="s">
        <v>30</v>
      </c>
      <c r="F21" s="17" t="s">
        <v>6</v>
      </c>
      <c r="G21" s="16">
        <v>0</v>
      </c>
      <c r="H21" s="16">
        <v>0</v>
      </c>
      <c r="I21" s="4"/>
      <c r="J21" s="16">
        <f>SUMIF('MUTASI 2026'!$B$5:$B$160,'WS Trial balance'!$D21,'MUTASI 2026'!$G$5:$G$160)</f>
        <v>0</v>
      </c>
      <c r="K21" s="16">
        <f>SUMIF('MUTASI 2026'!$B$5:$B$160,'WS Trial balance'!$D21,'MUTASI 2026'!$H$5:$H$160)</f>
        <v>0</v>
      </c>
      <c r="L21" s="16">
        <f t="shared" si="0"/>
        <v>0</v>
      </c>
      <c r="M21" s="16">
        <f t="shared" si="1"/>
        <v>0</v>
      </c>
      <c r="N21" s="4"/>
      <c r="O21" s="16">
        <f>SUMIF('MUTASI 2026'!$B$162:$B$252,'WS Trial balance'!$D21,'MUTASI 2026'!$G$162:$G$252)</f>
        <v>0</v>
      </c>
      <c r="P21" s="16">
        <f>SUMIF('MUTASI 2026'!$B$162:$B$252,'WS Trial balance'!$D21,'MUTASI 2026'!$H$162:$H$252)</f>
        <v>0</v>
      </c>
      <c r="Q21" s="16">
        <f t="shared" si="2"/>
        <v>0</v>
      </c>
      <c r="R21" s="16">
        <f t="shared" si="3"/>
        <v>0</v>
      </c>
      <c r="S21" s="4"/>
      <c r="T21" s="16">
        <f>SUMIF('MUTASI 2026'!$B$254:$B$356,'WS Trial balance'!$D21,'MUTASI 2026'!$G$254:$G$356)</f>
        <v>0</v>
      </c>
      <c r="U21" s="16">
        <f>SUMIF('MUTASI 2026'!$B$254:$B$356,'WS Trial balance'!$D21,'MUTASI 2026'!$H$254:$H$356)</f>
        <v>0</v>
      </c>
      <c r="V21" s="16">
        <f t="shared" si="4"/>
        <v>0</v>
      </c>
      <c r="W21" s="16">
        <f t="shared" si="5"/>
        <v>0</v>
      </c>
      <c r="X21" s="4"/>
      <c r="Y21" s="16">
        <f>SUMIF('MUTASI 2026'!$B$358:$B$480,'WS Trial balance'!$D21,'MUTASI 2026'!$G$358:$G$480)</f>
        <v>0</v>
      </c>
      <c r="Z21" s="16">
        <f>SUMIF('MUTASI 2026'!$B$358:$B$480,'WS Trial balance'!$D21,'MUTASI 2026'!$H$358:$H$480)</f>
        <v>0</v>
      </c>
      <c r="AA21" s="16">
        <f t="shared" si="6"/>
        <v>0</v>
      </c>
      <c r="AB21" s="16">
        <f t="shared" si="7"/>
        <v>0</v>
      </c>
      <c r="AC21" s="4"/>
      <c r="AD21" s="16">
        <f>SUMIF('MUTASI 2026'!$B$482:$B$655,'WS Trial balance'!$D21,'MUTASI 2026'!$G$482:$G$655)</f>
        <v>0</v>
      </c>
      <c r="AE21" s="16">
        <f>SUMIF('MUTASI 2026'!$B$482:$B$655,'WS Trial balance'!$D21,'MUTASI 2026'!$H$482:$H$655)</f>
        <v>0</v>
      </c>
      <c r="AF21" s="16">
        <f t="shared" si="8"/>
        <v>0</v>
      </c>
      <c r="AG21" s="16">
        <f t="shared" si="9"/>
        <v>0</v>
      </c>
      <c r="AH21" s="4"/>
      <c r="AI21" s="16">
        <f>SUMIF('MUTASI 2026'!$B$657:$B$748,'WS Trial balance'!$D21,'MUTASI 2026'!$G$657:$G$748)</f>
        <v>0</v>
      </c>
      <c r="AJ21" s="16">
        <f>SUMIF('MUTASI 2026'!$B$657:$B$748,'WS Trial balance'!$D21,'MUTASI 2026'!$H$657:$H$748)</f>
        <v>0</v>
      </c>
      <c r="AK21" s="16">
        <f t="shared" si="10"/>
        <v>0</v>
      </c>
      <c r="AL21" s="16">
        <f t="shared" si="11"/>
        <v>0</v>
      </c>
      <c r="AM21" s="4"/>
      <c r="AN21" s="16">
        <f>SUMIF('MUTASI 2026'!$B$750:$B$851,'WS Trial balance'!$D21,'MUTASI 2026'!$G$750:$G$851)</f>
        <v>0</v>
      </c>
      <c r="AO21" s="16">
        <f>SUMIF('MUTASI 2026'!$B$750:$B$851,'WS Trial balance'!$D21,'MUTASI 2026'!$H$750:$H$851)</f>
        <v>0</v>
      </c>
      <c r="AP21" s="16">
        <f t="shared" si="12"/>
        <v>0</v>
      </c>
      <c r="AQ21" s="16">
        <f t="shared" si="13"/>
        <v>0</v>
      </c>
      <c r="AR21" s="4"/>
      <c r="AS21" s="16">
        <f>SUMIF('MUTASI 2026'!$B$853:$B$945,'WS Trial balance'!$D21,'MUTASI 2026'!$G$853:$G$945)</f>
        <v>0</v>
      </c>
      <c r="AT21" s="16">
        <f>SUMIF('MUTASI 2026'!$B$853:$B$945,'WS Trial balance'!$D21,'MUTASI 2026'!$H$853:$H$945)</f>
        <v>0</v>
      </c>
      <c r="AU21" s="16">
        <f t="shared" si="14"/>
        <v>0</v>
      </c>
      <c r="AV21" s="16">
        <f t="shared" si="15"/>
        <v>0</v>
      </c>
      <c r="AW21" s="4"/>
      <c r="AX21" s="16">
        <f>SUMIF('MUTASI 2026'!$B$1274:$B$1379,'WS Trial balance'!$D21,'MUTASI 2026'!$G$1274:$G$1379)</f>
        <v>0</v>
      </c>
      <c r="AY21" s="16">
        <f>SUMIF('MUTASI 2026'!$B$1274:$B$1379,'WS Trial balance'!$D21,'MUTASI 2026'!$H$1274:$H$1379)</f>
        <v>0</v>
      </c>
      <c r="AZ21" s="16">
        <f t="shared" si="16"/>
        <v>0</v>
      </c>
      <c r="BA21" s="16">
        <f t="shared" si="17"/>
        <v>0</v>
      </c>
      <c r="BB21" s="4"/>
      <c r="BC21" s="16">
        <f>SUMIF('MUTASI 2026'!$B$1382:$B$1477,'WS Trial balance'!$D21,'MUTASI 2026'!$G$1382:$G$1477)</f>
        <v>0</v>
      </c>
      <c r="BD21" s="16">
        <f>SUMIF('MUTASI 2026'!$B$1382:$B$1477,'WS Trial balance'!$D21,'MUTASI 2026'!$H$1382:$H$1477)</f>
        <v>0</v>
      </c>
      <c r="BE21" s="16">
        <f t="shared" si="18"/>
        <v>0</v>
      </c>
      <c r="BF21" s="16">
        <f t="shared" si="19"/>
        <v>0</v>
      </c>
      <c r="BG21" s="4"/>
      <c r="BH21" s="16">
        <f>SUMIF('MUTASI 2026'!$B$1480:$B$1600,'WS Trial balance'!$D21,'MUTASI 2026'!$G$1480:$G$1600)</f>
        <v>0</v>
      </c>
      <c r="BI21" s="16">
        <f>SUMIF('MUTASI 2026'!$B$1480:$B$1600,'WS Trial balance'!$D21,'MUTASI 2026'!$H$1480:$H$1600)</f>
        <v>0</v>
      </c>
      <c r="BJ21" s="16">
        <f t="shared" si="20"/>
        <v>0</v>
      </c>
      <c r="BK21" s="16">
        <f t="shared" si="21"/>
        <v>0</v>
      </c>
      <c r="BL21" s="4"/>
      <c r="BM21" s="16">
        <f>SUMIF('MUTASI 2026'!$B$1603:$B$1722,'WS Trial balance'!$D21,'MUTASI 2026'!$G$1603:$G$1722)</f>
        <v>0</v>
      </c>
      <c r="BN21" s="16">
        <f>SUMIF('MUTASI 2026'!$B$1603:$B$1722,'WS Trial balance'!$D21,'MUTASI 2026'!$H$1603:$H$1722)</f>
        <v>0</v>
      </c>
      <c r="BO21" s="16">
        <f t="shared" si="22"/>
        <v>0</v>
      </c>
      <c r="BP21" s="16">
        <f t="shared" si="23"/>
        <v>0</v>
      </c>
      <c r="BQ21" s="4"/>
      <c r="BR21" s="2"/>
      <c r="BS21" s="4"/>
      <c r="BT21" s="16">
        <f t="shared" si="24"/>
        <v>0</v>
      </c>
      <c r="BU21" s="16">
        <f t="shared" si="24"/>
        <v>0</v>
      </c>
      <c r="BV21" s="4"/>
      <c r="BW21" s="16">
        <f t="shared" si="25"/>
        <v>0</v>
      </c>
      <c r="BX21" s="16">
        <f t="shared" si="25"/>
        <v>0</v>
      </c>
      <c r="BY21" s="4"/>
      <c r="BZ21" s="16">
        <f t="shared" si="26"/>
        <v>0</v>
      </c>
      <c r="CA21" s="16">
        <f t="shared" si="27"/>
        <v>0</v>
      </c>
      <c r="CB21" s="4"/>
      <c r="CD21" s="110"/>
    </row>
    <row r="22" spans="2:82" s="1" customFormat="1" ht="15" x14ac:dyDescent="0.25">
      <c r="B22" s="3"/>
      <c r="C22" s="15"/>
      <c r="D22" s="15" t="s">
        <v>21</v>
      </c>
      <c r="E22" s="17" t="s">
        <v>266</v>
      </c>
      <c r="F22" s="17" t="s">
        <v>6</v>
      </c>
      <c r="G22" s="16">
        <v>0</v>
      </c>
      <c r="H22" s="16">
        <v>0</v>
      </c>
      <c r="I22" s="4"/>
      <c r="J22" s="16">
        <f>SUMIF('MUTASI 2026'!$B$5:$B$160,'WS Trial balance'!$D22,'MUTASI 2026'!$G$5:$G$160)</f>
        <v>0</v>
      </c>
      <c r="K22" s="16">
        <f>SUMIF('MUTASI 2026'!$B$5:$B$160,'WS Trial balance'!$D22,'MUTASI 2026'!$H$5:$H$160)</f>
        <v>0</v>
      </c>
      <c r="L22" s="16">
        <f t="shared" si="0"/>
        <v>0</v>
      </c>
      <c r="M22" s="16">
        <f t="shared" si="1"/>
        <v>0</v>
      </c>
      <c r="N22" s="4"/>
      <c r="O22" s="16">
        <f>SUMIF('MUTASI 2026'!$B$162:$B$252,'WS Trial balance'!$D22,'MUTASI 2026'!$G$162:$G$252)</f>
        <v>0</v>
      </c>
      <c r="P22" s="16">
        <f>SUMIF('MUTASI 2026'!$B$162:$B$252,'WS Trial balance'!$D22,'MUTASI 2026'!$H$162:$H$252)</f>
        <v>0</v>
      </c>
      <c r="Q22" s="16">
        <f t="shared" si="2"/>
        <v>0</v>
      </c>
      <c r="R22" s="16">
        <f t="shared" si="3"/>
        <v>0</v>
      </c>
      <c r="S22" s="4"/>
      <c r="T22" s="16">
        <f>SUMIF('MUTASI 2026'!$B$254:$B$356,'WS Trial balance'!$D22,'MUTASI 2026'!$G$254:$G$356)</f>
        <v>0</v>
      </c>
      <c r="U22" s="16">
        <f>SUMIF('MUTASI 2026'!$B$254:$B$356,'WS Trial balance'!$D22,'MUTASI 2026'!$H$254:$H$356)</f>
        <v>0</v>
      </c>
      <c r="V22" s="16">
        <f t="shared" si="4"/>
        <v>0</v>
      </c>
      <c r="W22" s="16">
        <f t="shared" si="5"/>
        <v>0</v>
      </c>
      <c r="X22" s="4"/>
      <c r="Y22" s="16">
        <f>SUMIF('MUTASI 2026'!$B$358:$B$480,'WS Trial balance'!$D22,'MUTASI 2026'!$G$358:$G$480)</f>
        <v>0</v>
      </c>
      <c r="Z22" s="16">
        <f>SUMIF('MUTASI 2026'!$B$358:$B$480,'WS Trial balance'!$D22,'MUTASI 2026'!$H$358:$H$480)</f>
        <v>0</v>
      </c>
      <c r="AA22" s="16">
        <f t="shared" si="6"/>
        <v>0</v>
      </c>
      <c r="AB22" s="16">
        <f t="shared" si="7"/>
        <v>0</v>
      </c>
      <c r="AC22" s="4"/>
      <c r="AD22" s="16">
        <f>SUMIF('MUTASI 2026'!$B$482:$B$655,'WS Trial balance'!$D22,'MUTASI 2026'!$G$482:$G$655)</f>
        <v>0</v>
      </c>
      <c r="AE22" s="16">
        <f>SUMIF('MUTASI 2026'!$B$482:$B$655,'WS Trial balance'!$D22,'MUTASI 2026'!$H$482:$H$655)</f>
        <v>0</v>
      </c>
      <c r="AF22" s="16">
        <f t="shared" si="8"/>
        <v>0</v>
      </c>
      <c r="AG22" s="16">
        <f t="shared" si="9"/>
        <v>0</v>
      </c>
      <c r="AH22" s="4"/>
      <c r="AI22" s="16">
        <f>SUMIF('MUTASI 2026'!$B$657:$B$748,'WS Trial balance'!$D22,'MUTASI 2026'!$G$657:$G$748)</f>
        <v>0</v>
      </c>
      <c r="AJ22" s="16">
        <f>SUMIF('MUTASI 2026'!$B$657:$B$748,'WS Trial balance'!$D22,'MUTASI 2026'!$H$657:$H$748)</f>
        <v>0</v>
      </c>
      <c r="AK22" s="16">
        <f t="shared" si="10"/>
        <v>0</v>
      </c>
      <c r="AL22" s="16">
        <f t="shared" si="11"/>
        <v>0</v>
      </c>
      <c r="AM22" s="4"/>
      <c r="AN22" s="16">
        <f>SUMIF('MUTASI 2026'!$B$750:$B$851,'WS Trial balance'!$D22,'MUTASI 2026'!$G$750:$G$851)</f>
        <v>0</v>
      </c>
      <c r="AO22" s="16">
        <f>SUMIF('MUTASI 2026'!$B$750:$B$851,'WS Trial balance'!$D22,'MUTASI 2026'!$H$750:$H$851)</f>
        <v>0</v>
      </c>
      <c r="AP22" s="16">
        <f t="shared" si="12"/>
        <v>0</v>
      </c>
      <c r="AQ22" s="16">
        <f t="shared" si="13"/>
        <v>0</v>
      </c>
      <c r="AR22" s="4"/>
      <c r="AS22" s="16">
        <f>SUMIF('MUTASI 2026'!$B$853:$B$945,'WS Trial balance'!$D22,'MUTASI 2026'!$G$853:$G$945)</f>
        <v>0</v>
      </c>
      <c r="AT22" s="16">
        <f>SUMIF('MUTASI 2026'!$B$853:$B$945,'WS Trial balance'!$D22,'MUTASI 2026'!$H$853:$H$945)</f>
        <v>0</v>
      </c>
      <c r="AU22" s="16">
        <f t="shared" si="14"/>
        <v>0</v>
      </c>
      <c r="AV22" s="16">
        <f t="shared" si="15"/>
        <v>0</v>
      </c>
      <c r="AW22" s="4"/>
      <c r="AX22" s="16">
        <f>SUMIF('MUTASI 2026'!$B$1274:$B$1379,'WS Trial balance'!$D22,'MUTASI 2026'!$G$1274:$G$1379)</f>
        <v>0</v>
      </c>
      <c r="AY22" s="16">
        <f>SUMIF('MUTASI 2026'!$B$1274:$B$1379,'WS Trial balance'!$D22,'MUTASI 2026'!$H$1274:$H$1379)</f>
        <v>0</v>
      </c>
      <c r="AZ22" s="16">
        <f t="shared" si="16"/>
        <v>0</v>
      </c>
      <c r="BA22" s="16">
        <f t="shared" si="17"/>
        <v>0</v>
      </c>
      <c r="BB22" s="4"/>
      <c r="BC22" s="16">
        <f>SUMIF('MUTASI 2026'!$B$1382:$B$1477,'WS Trial balance'!$D22,'MUTASI 2026'!$G$1382:$G$1477)</f>
        <v>0</v>
      </c>
      <c r="BD22" s="16">
        <f>SUMIF('MUTASI 2026'!$B$1382:$B$1477,'WS Trial balance'!$D22,'MUTASI 2026'!$H$1382:$H$1477)</f>
        <v>0</v>
      </c>
      <c r="BE22" s="16">
        <f t="shared" si="18"/>
        <v>0</v>
      </c>
      <c r="BF22" s="16">
        <f t="shared" si="19"/>
        <v>0</v>
      </c>
      <c r="BG22" s="4"/>
      <c r="BH22" s="16">
        <f>SUMIF('MUTASI 2026'!$B$1480:$B$1600,'WS Trial balance'!$D22,'MUTASI 2026'!$G$1480:$G$1600)</f>
        <v>0</v>
      </c>
      <c r="BI22" s="16">
        <f>SUMIF('MUTASI 2026'!$B$1480:$B$1600,'WS Trial balance'!$D22,'MUTASI 2026'!$H$1480:$H$1600)</f>
        <v>0</v>
      </c>
      <c r="BJ22" s="16">
        <f t="shared" si="20"/>
        <v>0</v>
      </c>
      <c r="BK22" s="16">
        <f t="shared" si="21"/>
        <v>0</v>
      </c>
      <c r="BL22" s="4"/>
      <c r="BM22" s="16">
        <f>SUMIF('MUTASI 2026'!$B$1603:$B$1722,'WS Trial balance'!$D22,'MUTASI 2026'!$G$1603:$G$1722)</f>
        <v>0</v>
      </c>
      <c r="BN22" s="16">
        <f>SUMIF('MUTASI 2026'!$B$1603:$B$1722,'WS Trial balance'!$D22,'MUTASI 2026'!$H$1603:$H$1722)</f>
        <v>0</v>
      </c>
      <c r="BO22" s="16">
        <f t="shared" si="22"/>
        <v>0</v>
      </c>
      <c r="BP22" s="16">
        <f t="shared" si="23"/>
        <v>0</v>
      </c>
      <c r="BQ22" s="4"/>
      <c r="BR22" s="2"/>
      <c r="BS22" s="4"/>
      <c r="BT22" s="16">
        <f t="shared" si="24"/>
        <v>0</v>
      </c>
      <c r="BU22" s="16">
        <f t="shared" si="24"/>
        <v>0</v>
      </c>
      <c r="BV22" s="4"/>
      <c r="BW22" s="16">
        <f t="shared" si="25"/>
        <v>0</v>
      </c>
      <c r="BX22" s="16">
        <f t="shared" si="25"/>
        <v>0</v>
      </c>
      <c r="BY22" s="4"/>
      <c r="BZ22" s="16">
        <f t="shared" si="26"/>
        <v>0</v>
      </c>
      <c r="CA22" s="16">
        <f t="shared" si="27"/>
        <v>0</v>
      </c>
      <c r="CB22" s="4"/>
    </row>
    <row r="23" spans="2:82" s="1" customFormat="1" ht="15" x14ac:dyDescent="0.25">
      <c r="B23" s="3"/>
      <c r="C23" s="15"/>
      <c r="D23" s="15" t="s">
        <v>19</v>
      </c>
      <c r="E23" s="17" t="s">
        <v>272</v>
      </c>
      <c r="F23" s="17" t="s">
        <v>6</v>
      </c>
      <c r="G23" s="16">
        <v>0</v>
      </c>
      <c r="H23" s="16">
        <v>0</v>
      </c>
      <c r="I23" s="4"/>
      <c r="J23" s="16">
        <f>SUMIF('MUTASI 2026'!$B$5:$B$160,'WS Trial balance'!$D23,'MUTASI 2026'!$G$5:$G$160)</f>
        <v>0</v>
      </c>
      <c r="K23" s="16">
        <f>SUMIF('MUTASI 2026'!$B$5:$B$160,'WS Trial balance'!$D23,'MUTASI 2026'!$H$5:$H$160)</f>
        <v>0</v>
      </c>
      <c r="L23" s="16">
        <f t="shared" si="0"/>
        <v>0</v>
      </c>
      <c r="M23" s="16">
        <f t="shared" si="1"/>
        <v>0</v>
      </c>
      <c r="N23" s="4"/>
      <c r="O23" s="16">
        <f>SUMIF('MUTASI 2026'!$B$162:$B$252,'WS Trial balance'!$D23,'MUTASI 2026'!$G$162:$G$252)</f>
        <v>0</v>
      </c>
      <c r="P23" s="16">
        <f>SUMIF('MUTASI 2026'!$B$162:$B$252,'WS Trial balance'!$D23,'MUTASI 2026'!$H$162:$H$252)</f>
        <v>0</v>
      </c>
      <c r="Q23" s="16">
        <f t="shared" si="2"/>
        <v>0</v>
      </c>
      <c r="R23" s="16">
        <f t="shared" si="3"/>
        <v>0</v>
      </c>
      <c r="S23" s="4"/>
      <c r="T23" s="16">
        <f>SUMIF('MUTASI 2026'!$B$254:$B$356,'WS Trial balance'!$D23,'MUTASI 2026'!$G$254:$G$356)</f>
        <v>0</v>
      </c>
      <c r="U23" s="16">
        <f>SUMIF('MUTASI 2026'!$B$254:$B$356,'WS Trial balance'!$D23,'MUTASI 2026'!$H$254:$H$356)</f>
        <v>0</v>
      </c>
      <c r="V23" s="16">
        <f t="shared" si="4"/>
        <v>0</v>
      </c>
      <c r="W23" s="16">
        <f t="shared" si="5"/>
        <v>0</v>
      </c>
      <c r="X23" s="4"/>
      <c r="Y23" s="16">
        <f>SUMIF('MUTASI 2026'!$B$358:$B$480,'WS Trial balance'!$D23,'MUTASI 2026'!$G$358:$G$480)</f>
        <v>0</v>
      </c>
      <c r="Z23" s="16">
        <f>SUMIF('MUTASI 2026'!$B$358:$B$480,'WS Trial balance'!$D23,'MUTASI 2026'!$H$358:$H$480)</f>
        <v>0</v>
      </c>
      <c r="AA23" s="16">
        <f t="shared" si="6"/>
        <v>0</v>
      </c>
      <c r="AB23" s="16">
        <f t="shared" si="7"/>
        <v>0</v>
      </c>
      <c r="AC23" s="4"/>
      <c r="AD23" s="16">
        <f>SUMIF('MUTASI 2026'!$B$482:$B$655,'WS Trial balance'!$D23,'MUTASI 2026'!$G$482:$G$655)</f>
        <v>0</v>
      </c>
      <c r="AE23" s="16">
        <f>SUMIF('MUTASI 2026'!$B$482:$B$655,'WS Trial balance'!$D23,'MUTASI 2026'!$H$482:$H$655)</f>
        <v>0</v>
      </c>
      <c r="AF23" s="16">
        <f t="shared" si="8"/>
        <v>0</v>
      </c>
      <c r="AG23" s="16">
        <f t="shared" si="9"/>
        <v>0</v>
      </c>
      <c r="AH23" s="4"/>
      <c r="AI23" s="16">
        <f>SUMIF('MUTASI 2026'!$B$657:$B$748,'WS Trial balance'!$D23,'MUTASI 2026'!$G$657:$G$748)</f>
        <v>0</v>
      </c>
      <c r="AJ23" s="16">
        <f>SUMIF('MUTASI 2026'!$B$657:$B$748,'WS Trial balance'!$D23,'MUTASI 2026'!$H$657:$H$748)</f>
        <v>0</v>
      </c>
      <c r="AK23" s="16">
        <f t="shared" si="10"/>
        <v>0</v>
      </c>
      <c r="AL23" s="16">
        <f t="shared" si="11"/>
        <v>0</v>
      </c>
      <c r="AM23" s="4"/>
      <c r="AN23" s="16">
        <f>SUMIF('MUTASI 2026'!$B$750:$B$851,'WS Trial balance'!$D23,'MUTASI 2026'!$G$750:$G$851)</f>
        <v>0</v>
      </c>
      <c r="AO23" s="16">
        <f>SUMIF('MUTASI 2026'!$B$750:$B$851,'WS Trial balance'!$D23,'MUTASI 2026'!$H$750:$H$851)</f>
        <v>0</v>
      </c>
      <c r="AP23" s="16">
        <f t="shared" si="12"/>
        <v>0</v>
      </c>
      <c r="AQ23" s="16">
        <f t="shared" si="13"/>
        <v>0</v>
      </c>
      <c r="AR23" s="4"/>
      <c r="AS23" s="16">
        <f>SUMIF('MUTASI 2026'!$B$853:$B$945,'WS Trial balance'!$D23,'MUTASI 2026'!$G$853:$G$945)</f>
        <v>0</v>
      </c>
      <c r="AT23" s="16">
        <f>SUMIF('MUTASI 2026'!$B$853:$B$945,'WS Trial balance'!$D23,'MUTASI 2026'!$H$853:$H$945)</f>
        <v>0</v>
      </c>
      <c r="AU23" s="16">
        <f t="shared" si="14"/>
        <v>0</v>
      </c>
      <c r="AV23" s="16">
        <f t="shared" si="15"/>
        <v>0</v>
      </c>
      <c r="AW23" s="4"/>
      <c r="AX23" s="16">
        <f>SUMIF('MUTASI 2026'!$B$1274:$B$1379,'WS Trial balance'!$D23,'MUTASI 2026'!$G$1274:$G$1379)</f>
        <v>0</v>
      </c>
      <c r="AY23" s="16">
        <f>SUMIF('MUTASI 2026'!$B$1274:$B$1379,'WS Trial balance'!$D23,'MUTASI 2026'!$H$1274:$H$1379)</f>
        <v>0</v>
      </c>
      <c r="AZ23" s="16">
        <f t="shared" si="16"/>
        <v>0</v>
      </c>
      <c r="BA23" s="16">
        <f t="shared" si="17"/>
        <v>0</v>
      </c>
      <c r="BB23" s="4"/>
      <c r="BC23" s="16">
        <f>SUMIF('MUTASI 2026'!$B$1382:$B$1477,'WS Trial balance'!$D23,'MUTASI 2026'!$G$1382:$G$1477)</f>
        <v>0</v>
      </c>
      <c r="BD23" s="16">
        <f>SUMIF('MUTASI 2026'!$B$1382:$B$1477,'WS Trial balance'!$D23,'MUTASI 2026'!$H$1382:$H$1477)</f>
        <v>0</v>
      </c>
      <c r="BE23" s="16">
        <f t="shared" si="18"/>
        <v>0</v>
      </c>
      <c r="BF23" s="16">
        <f t="shared" si="19"/>
        <v>0</v>
      </c>
      <c r="BG23" s="4"/>
      <c r="BH23" s="16">
        <f>SUMIF('MUTASI 2026'!$B$1480:$B$1600,'WS Trial balance'!$D23,'MUTASI 2026'!$G$1480:$G$1600)</f>
        <v>0</v>
      </c>
      <c r="BI23" s="16">
        <f>SUMIF('MUTASI 2026'!$B$1480:$B$1600,'WS Trial balance'!$D23,'MUTASI 2026'!$H$1480:$H$1600)</f>
        <v>0</v>
      </c>
      <c r="BJ23" s="16">
        <f t="shared" si="20"/>
        <v>0</v>
      </c>
      <c r="BK23" s="16">
        <f t="shared" si="21"/>
        <v>0</v>
      </c>
      <c r="BL23" s="4"/>
      <c r="BM23" s="16">
        <f>SUMIF('MUTASI 2026'!$B$1603:$B$1722,'WS Trial balance'!$D23,'MUTASI 2026'!$G$1603:$G$1722)</f>
        <v>0</v>
      </c>
      <c r="BN23" s="16">
        <f>SUMIF('MUTASI 2026'!$B$1603:$B$1722,'WS Trial balance'!$D23,'MUTASI 2026'!$H$1603:$H$1722)</f>
        <v>0</v>
      </c>
      <c r="BO23" s="16">
        <f t="shared" si="22"/>
        <v>0</v>
      </c>
      <c r="BP23" s="16">
        <f t="shared" si="23"/>
        <v>0</v>
      </c>
      <c r="BQ23" s="4"/>
      <c r="BR23" s="2"/>
      <c r="BS23" s="4"/>
      <c r="BT23" s="16">
        <f t="shared" si="24"/>
        <v>0</v>
      </c>
      <c r="BU23" s="16">
        <f t="shared" si="24"/>
        <v>0</v>
      </c>
      <c r="BV23" s="4"/>
      <c r="BW23" s="16">
        <f t="shared" si="25"/>
        <v>0</v>
      </c>
      <c r="BX23" s="16">
        <f t="shared" si="25"/>
        <v>0</v>
      </c>
      <c r="BY23" s="4"/>
      <c r="BZ23" s="16">
        <f t="shared" si="26"/>
        <v>0</v>
      </c>
      <c r="CA23" s="16">
        <f t="shared" si="27"/>
        <v>0</v>
      </c>
      <c r="CB23" s="4"/>
    </row>
    <row r="24" spans="2:82" s="1" customFormat="1" ht="15" x14ac:dyDescent="0.25">
      <c r="B24" s="3"/>
      <c r="C24" s="15"/>
      <c r="D24" s="15" t="s">
        <v>343</v>
      </c>
      <c r="E24" s="17" t="s">
        <v>31</v>
      </c>
      <c r="F24" s="17" t="s">
        <v>6</v>
      </c>
      <c r="G24" s="16">
        <v>0</v>
      </c>
      <c r="H24" s="16">
        <v>0</v>
      </c>
      <c r="I24" s="4"/>
      <c r="J24" s="16">
        <f>SUMIF('MUTASI 2026'!$B$5:$B$160,'WS Trial balance'!$D24,'MUTASI 2026'!$G$5:$G$160)</f>
        <v>0</v>
      </c>
      <c r="K24" s="16">
        <f>SUMIF('MUTASI 2026'!$B$5:$B$160,'WS Trial balance'!$D24,'MUTASI 2026'!$H$5:$H$160)</f>
        <v>0</v>
      </c>
      <c r="L24" s="16">
        <f t="shared" si="0"/>
        <v>0</v>
      </c>
      <c r="M24" s="16">
        <f t="shared" si="1"/>
        <v>0</v>
      </c>
      <c r="N24" s="4"/>
      <c r="O24" s="16">
        <f>SUMIF('MUTASI 2026'!$B$162:$B$252,'WS Trial balance'!$D24,'MUTASI 2026'!$G$162:$G$252)</f>
        <v>0</v>
      </c>
      <c r="P24" s="16">
        <f>SUMIF('MUTASI 2026'!$B$162:$B$252,'WS Trial balance'!$D24,'MUTASI 2026'!$H$162:$H$252)</f>
        <v>0</v>
      </c>
      <c r="Q24" s="16">
        <f t="shared" si="2"/>
        <v>0</v>
      </c>
      <c r="R24" s="16">
        <f t="shared" si="3"/>
        <v>0</v>
      </c>
      <c r="S24" s="4"/>
      <c r="T24" s="16">
        <f>SUMIF('MUTASI 2026'!$B$254:$B$356,'WS Trial balance'!$D24,'MUTASI 2026'!$G$254:$G$356)</f>
        <v>0</v>
      </c>
      <c r="U24" s="16">
        <f>SUMIF('MUTASI 2026'!$B$254:$B$356,'WS Trial balance'!$D24,'MUTASI 2026'!$H$254:$H$356)</f>
        <v>0</v>
      </c>
      <c r="V24" s="16">
        <f t="shared" si="4"/>
        <v>0</v>
      </c>
      <c r="W24" s="16">
        <f t="shared" si="5"/>
        <v>0</v>
      </c>
      <c r="X24" s="4"/>
      <c r="Y24" s="16">
        <f>SUMIF('MUTASI 2026'!$B$358:$B$480,'WS Trial balance'!$D24,'MUTASI 2026'!$G$358:$G$480)</f>
        <v>0</v>
      </c>
      <c r="Z24" s="16">
        <f>SUMIF('MUTASI 2026'!$B$358:$B$480,'WS Trial balance'!$D24,'MUTASI 2026'!$H$358:$H$480)</f>
        <v>0</v>
      </c>
      <c r="AA24" s="16">
        <f t="shared" si="6"/>
        <v>0</v>
      </c>
      <c r="AB24" s="16">
        <f t="shared" si="7"/>
        <v>0</v>
      </c>
      <c r="AC24" s="4"/>
      <c r="AD24" s="16">
        <f>SUMIF('MUTASI 2026'!$B$482:$B$655,'WS Trial balance'!$D24,'MUTASI 2026'!$G$482:$G$655)</f>
        <v>0</v>
      </c>
      <c r="AE24" s="16">
        <f>SUMIF('MUTASI 2026'!$B$482:$B$655,'WS Trial balance'!$D24,'MUTASI 2026'!$H$482:$H$655)</f>
        <v>0</v>
      </c>
      <c r="AF24" s="16">
        <f t="shared" si="8"/>
        <v>0</v>
      </c>
      <c r="AG24" s="16">
        <f t="shared" si="9"/>
        <v>0</v>
      </c>
      <c r="AH24" s="4"/>
      <c r="AI24" s="16">
        <f>SUMIF('MUTASI 2026'!$B$657:$B$748,'WS Trial balance'!$D24,'MUTASI 2026'!$G$657:$G$748)</f>
        <v>0</v>
      </c>
      <c r="AJ24" s="16">
        <f>SUMIF('MUTASI 2026'!$B$657:$B$748,'WS Trial balance'!$D24,'MUTASI 2026'!$H$657:$H$748)</f>
        <v>0</v>
      </c>
      <c r="AK24" s="16">
        <f t="shared" si="10"/>
        <v>0</v>
      </c>
      <c r="AL24" s="16">
        <f t="shared" si="11"/>
        <v>0</v>
      </c>
      <c r="AM24" s="4"/>
      <c r="AN24" s="16">
        <f>SUMIF('MUTASI 2026'!$B$750:$B$851,'WS Trial balance'!$D24,'MUTASI 2026'!$G$750:$G$851)</f>
        <v>0</v>
      </c>
      <c r="AO24" s="16">
        <f>SUMIF('MUTASI 2026'!$B$750:$B$851,'WS Trial balance'!$D24,'MUTASI 2026'!$H$750:$H$851)</f>
        <v>0</v>
      </c>
      <c r="AP24" s="16">
        <f t="shared" si="12"/>
        <v>0</v>
      </c>
      <c r="AQ24" s="16">
        <f t="shared" si="13"/>
        <v>0</v>
      </c>
      <c r="AR24" s="4"/>
      <c r="AS24" s="16">
        <f>SUMIF('MUTASI 2026'!$B$853:$B$945,'WS Trial balance'!$D24,'MUTASI 2026'!$G$853:$G$945)</f>
        <v>0</v>
      </c>
      <c r="AT24" s="16">
        <f>SUMIF('MUTASI 2026'!$B$853:$B$945,'WS Trial balance'!$D24,'MUTASI 2026'!$H$853:$H$945)</f>
        <v>0</v>
      </c>
      <c r="AU24" s="16">
        <f t="shared" si="14"/>
        <v>0</v>
      </c>
      <c r="AV24" s="16">
        <f t="shared" si="15"/>
        <v>0</v>
      </c>
      <c r="AW24" s="4"/>
      <c r="AX24" s="16">
        <f>SUMIF('MUTASI 2026'!$B$1274:$B$1379,'WS Trial balance'!$D24,'MUTASI 2026'!$G$1274:$G$1379)</f>
        <v>0</v>
      </c>
      <c r="AY24" s="16">
        <f>SUMIF('MUTASI 2026'!$B$1274:$B$1379,'WS Trial balance'!$D24,'MUTASI 2026'!$H$1274:$H$1379)</f>
        <v>0</v>
      </c>
      <c r="AZ24" s="16">
        <f t="shared" si="16"/>
        <v>0</v>
      </c>
      <c r="BA24" s="16">
        <f t="shared" si="17"/>
        <v>0</v>
      </c>
      <c r="BB24" s="4"/>
      <c r="BC24" s="16">
        <f>SUMIF('MUTASI 2026'!$B$1382:$B$1477,'WS Trial balance'!$D24,'MUTASI 2026'!$G$1382:$G$1477)</f>
        <v>0</v>
      </c>
      <c r="BD24" s="16">
        <f>SUMIF('MUTASI 2026'!$B$1382:$B$1477,'WS Trial balance'!$D24,'MUTASI 2026'!$H$1382:$H$1477)</f>
        <v>0</v>
      </c>
      <c r="BE24" s="16">
        <f t="shared" si="18"/>
        <v>0</v>
      </c>
      <c r="BF24" s="16">
        <f t="shared" si="19"/>
        <v>0</v>
      </c>
      <c r="BG24" s="4"/>
      <c r="BH24" s="16">
        <f>SUMIF('MUTASI 2026'!$B$1480:$B$1600,'WS Trial balance'!$D24,'MUTASI 2026'!$G$1480:$G$1600)</f>
        <v>0</v>
      </c>
      <c r="BI24" s="16">
        <f>SUMIF('MUTASI 2026'!$B$1480:$B$1600,'WS Trial balance'!$D24,'MUTASI 2026'!$H$1480:$H$1600)</f>
        <v>0</v>
      </c>
      <c r="BJ24" s="16">
        <f t="shared" si="20"/>
        <v>0</v>
      </c>
      <c r="BK24" s="16">
        <f t="shared" si="21"/>
        <v>0</v>
      </c>
      <c r="BL24" s="4"/>
      <c r="BM24" s="16">
        <f>SUMIF('MUTASI 2026'!$B$1603:$B$1722,'WS Trial balance'!$D24,'MUTASI 2026'!$G$1603:$G$1722)</f>
        <v>0</v>
      </c>
      <c r="BN24" s="16">
        <f>SUMIF('MUTASI 2026'!$B$1603:$B$1722,'WS Trial balance'!$D24,'MUTASI 2026'!$H$1603:$H$1722)</f>
        <v>0</v>
      </c>
      <c r="BO24" s="16">
        <f t="shared" si="22"/>
        <v>0</v>
      </c>
      <c r="BP24" s="16">
        <f t="shared" si="23"/>
        <v>0</v>
      </c>
      <c r="BQ24" s="4"/>
      <c r="BR24" s="2"/>
      <c r="BS24" s="4"/>
      <c r="BT24" s="16">
        <f t="shared" si="24"/>
        <v>0</v>
      </c>
      <c r="BU24" s="16">
        <f t="shared" si="24"/>
        <v>0</v>
      </c>
      <c r="BV24" s="4"/>
      <c r="BW24" s="16">
        <f t="shared" si="25"/>
        <v>0</v>
      </c>
      <c r="BX24" s="16">
        <f t="shared" si="25"/>
        <v>0</v>
      </c>
      <c r="BY24" s="4"/>
      <c r="BZ24" s="16">
        <f t="shared" si="26"/>
        <v>0</v>
      </c>
      <c r="CA24" s="16">
        <f t="shared" si="27"/>
        <v>0</v>
      </c>
      <c r="CB24" s="4"/>
    </row>
    <row r="25" spans="2:82" s="1" customFormat="1" ht="15" x14ac:dyDescent="0.25">
      <c r="B25" s="3"/>
      <c r="C25" s="99"/>
      <c r="D25" s="15" t="s">
        <v>344</v>
      </c>
      <c r="E25" s="17" t="s">
        <v>32</v>
      </c>
      <c r="F25" s="17" t="s">
        <v>12</v>
      </c>
      <c r="G25" s="16">
        <v>0</v>
      </c>
      <c r="H25" s="16">
        <v>0</v>
      </c>
      <c r="I25" s="4"/>
      <c r="J25" s="16">
        <f>SUMIF('MUTASI 2026'!$B$5:$B$160,'WS Trial balance'!$D25,'MUTASI 2026'!$G$5:$G$160)</f>
        <v>0</v>
      </c>
      <c r="K25" s="16">
        <f>SUMIF('MUTASI 2026'!$B$5:$B$160,'WS Trial balance'!$D25,'MUTASI 2026'!$H$5:$H$160)</f>
        <v>0</v>
      </c>
      <c r="L25" s="16">
        <f t="shared" si="0"/>
        <v>0</v>
      </c>
      <c r="M25" s="16">
        <f t="shared" si="1"/>
        <v>0</v>
      </c>
      <c r="N25" s="4"/>
      <c r="O25" s="16">
        <f>SUMIF('MUTASI 2026'!$B$162:$B$252,'WS Trial balance'!$D25,'MUTASI 2026'!$G$162:$G$252)</f>
        <v>0</v>
      </c>
      <c r="P25" s="16">
        <f>SUMIF('MUTASI 2026'!$B$162:$B$252,'WS Trial balance'!$D25,'MUTASI 2026'!$H$162:$H$252)</f>
        <v>0</v>
      </c>
      <c r="Q25" s="16">
        <f t="shared" si="2"/>
        <v>0</v>
      </c>
      <c r="R25" s="16">
        <f t="shared" si="3"/>
        <v>0</v>
      </c>
      <c r="S25" s="4"/>
      <c r="T25" s="16">
        <f>SUMIF('MUTASI 2026'!$B$254:$B$356,'WS Trial balance'!$D25,'MUTASI 2026'!$G$254:$G$356)</f>
        <v>0</v>
      </c>
      <c r="U25" s="16">
        <f>SUMIF('MUTASI 2026'!$B$254:$B$356,'WS Trial balance'!$D25,'MUTASI 2026'!$H$254:$H$356)</f>
        <v>0</v>
      </c>
      <c r="V25" s="16">
        <f t="shared" si="4"/>
        <v>0</v>
      </c>
      <c r="W25" s="16">
        <f t="shared" si="5"/>
        <v>0</v>
      </c>
      <c r="X25" s="4"/>
      <c r="Y25" s="16">
        <f>SUMIF('MUTASI 2026'!$B$358:$B$480,'WS Trial balance'!$D25,'MUTASI 2026'!$G$358:$G$480)</f>
        <v>0</v>
      </c>
      <c r="Z25" s="16">
        <f>SUMIF('MUTASI 2026'!$B$358:$B$480,'WS Trial balance'!$D25,'MUTASI 2026'!$H$358:$H$480)</f>
        <v>0</v>
      </c>
      <c r="AA25" s="16">
        <f t="shared" si="6"/>
        <v>0</v>
      </c>
      <c r="AB25" s="16">
        <f t="shared" si="7"/>
        <v>0</v>
      </c>
      <c r="AC25" s="4"/>
      <c r="AD25" s="16">
        <f>SUMIF('MUTASI 2026'!$B$482:$B$655,'WS Trial balance'!$D25,'MUTASI 2026'!$G$482:$G$655)</f>
        <v>0</v>
      </c>
      <c r="AE25" s="16">
        <f>SUMIF('MUTASI 2026'!$B$482:$B$655,'WS Trial balance'!$D25,'MUTASI 2026'!$H$482:$H$655)</f>
        <v>0</v>
      </c>
      <c r="AF25" s="16">
        <f t="shared" si="8"/>
        <v>0</v>
      </c>
      <c r="AG25" s="16">
        <f t="shared" si="9"/>
        <v>0</v>
      </c>
      <c r="AH25" s="4"/>
      <c r="AI25" s="16">
        <f>SUMIF('MUTASI 2026'!$B$657:$B$748,'WS Trial balance'!$D25,'MUTASI 2026'!$G$657:$G$748)</f>
        <v>0</v>
      </c>
      <c r="AJ25" s="16">
        <f>SUMIF('MUTASI 2026'!$B$657:$B$748,'WS Trial balance'!$D25,'MUTASI 2026'!$H$657:$H$748)</f>
        <v>0</v>
      </c>
      <c r="AK25" s="16">
        <f t="shared" si="10"/>
        <v>0</v>
      </c>
      <c r="AL25" s="16">
        <f t="shared" si="11"/>
        <v>0</v>
      </c>
      <c r="AM25" s="4"/>
      <c r="AN25" s="16">
        <f>SUMIF('MUTASI 2026'!$B$750:$B$851,'WS Trial balance'!$D25,'MUTASI 2026'!$G$750:$G$851)</f>
        <v>0</v>
      </c>
      <c r="AO25" s="16">
        <f>SUMIF('MUTASI 2026'!$B$750:$B$851,'WS Trial balance'!$D25,'MUTASI 2026'!$H$750:$H$851)</f>
        <v>0</v>
      </c>
      <c r="AP25" s="16">
        <f t="shared" si="12"/>
        <v>0</v>
      </c>
      <c r="AQ25" s="16">
        <f t="shared" si="13"/>
        <v>0</v>
      </c>
      <c r="AR25" s="4"/>
      <c r="AS25" s="16">
        <f>SUMIF('MUTASI 2026'!$B$853:$B$945,'WS Trial balance'!$D25,'MUTASI 2026'!$G$853:$G$945)</f>
        <v>0</v>
      </c>
      <c r="AT25" s="16">
        <f>SUMIF('MUTASI 2026'!$B$853:$B$945,'WS Trial balance'!$D25,'MUTASI 2026'!$H$853:$H$945)</f>
        <v>0</v>
      </c>
      <c r="AU25" s="16">
        <f t="shared" si="14"/>
        <v>0</v>
      </c>
      <c r="AV25" s="16">
        <f t="shared" si="15"/>
        <v>0</v>
      </c>
      <c r="AW25" s="4"/>
      <c r="AX25" s="16">
        <f>SUMIF('MUTASI 2026'!$B$1274:$B$1379,'WS Trial balance'!$D25,'MUTASI 2026'!$G$1274:$G$1379)</f>
        <v>0</v>
      </c>
      <c r="AY25" s="16">
        <f>SUMIF('MUTASI 2026'!$B$1274:$B$1379,'WS Trial balance'!$D25,'MUTASI 2026'!$H$1274:$H$1379)</f>
        <v>0</v>
      </c>
      <c r="AZ25" s="16">
        <f t="shared" si="16"/>
        <v>0</v>
      </c>
      <c r="BA25" s="16">
        <f t="shared" si="17"/>
        <v>0</v>
      </c>
      <c r="BB25" s="4"/>
      <c r="BC25" s="16">
        <f>SUMIF('MUTASI 2026'!$B$1382:$B$1477,'WS Trial balance'!$D25,'MUTASI 2026'!$G$1382:$G$1477)</f>
        <v>0</v>
      </c>
      <c r="BD25" s="16">
        <f>SUMIF('MUTASI 2026'!$B$1382:$B$1477,'WS Trial balance'!$D25,'MUTASI 2026'!$H$1382:$H$1477)</f>
        <v>0</v>
      </c>
      <c r="BE25" s="16">
        <f t="shared" si="18"/>
        <v>0</v>
      </c>
      <c r="BF25" s="16">
        <f t="shared" si="19"/>
        <v>0</v>
      </c>
      <c r="BG25" s="4"/>
      <c r="BH25" s="16">
        <f>SUMIF('MUTASI 2026'!$B$1480:$B$1600,'WS Trial balance'!$D25,'MUTASI 2026'!$G$1480:$G$1600)</f>
        <v>0</v>
      </c>
      <c r="BI25" s="16">
        <f>SUMIF('MUTASI 2026'!$B$1480:$B$1600,'WS Trial balance'!$D25,'MUTASI 2026'!$H$1480:$H$1600)</f>
        <v>0</v>
      </c>
      <c r="BJ25" s="16">
        <f t="shared" si="20"/>
        <v>0</v>
      </c>
      <c r="BK25" s="16">
        <f t="shared" si="21"/>
        <v>0</v>
      </c>
      <c r="BL25" s="4"/>
      <c r="BM25" s="16">
        <f>SUMIF('MUTASI 2026'!$B$1603:$B$1722,'WS Trial balance'!$D25,'MUTASI 2026'!$G$1603:$G$1722)</f>
        <v>0</v>
      </c>
      <c r="BN25" s="16">
        <f>SUMIF('MUTASI 2026'!$B$1603:$B$1722,'WS Trial balance'!$D25,'MUTASI 2026'!$H$1603:$H$1722)</f>
        <v>0</v>
      </c>
      <c r="BO25" s="16">
        <f t="shared" si="22"/>
        <v>0</v>
      </c>
      <c r="BP25" s="16">
        <f t="shared" si="23"/>
        <v>0</v>
      </c>
      <c r="BQ25" s="4"/>
      <c r="BR25" s="2"/>
      <c r="BS25" s="4"/>
      <c r="BT25" s="16">
        <f t="shared" si="24"/>
        <v>0</v>
      </c>
      <c r="BU25" s="16">
        <f t="shared" si="24"/>
        <v>0</v>
      </c>
      <c r="BV25" s="4"/>
      <c r="BW25" s="16">
        <f t="shared" si="25"/>
        <v>0</v>
      </c>
      <c r="BX25" s="16">
        <f t="shared" si="25"/>
        <v>0</v>
      </c>
      <c r="BY25" s="4"/>
      <c r="BZ25" s="16">
        <f t="shared" si="26"/>
        <v>0</v>
      </c>
      <c r="CA25" s="16">
        <f t="shared" si="27"/>
        <v>0</v>
      </c>
      <c r="CB25" s="4"/>
    </row>
    <row r="26" spans="2:82" s="1" customFormat="1" ht="15" x14ac:dyDescent="0.25">
      <c r="B26" s="3"/>
      <c r="C26" s="15"/>
      <c r="D26" s="15" t="s">
        <v>33</v>
      </c>
      <c r="E26" s="17" t="s">
        <v>34</v>
      </c>
      <c r="F26" s="17" t="s">
        <v>12</v>
      </c>
      <c r="G26" s="16">
        <v>0</v>
      </c>
      <c r="H26" s="16">
        <v>0</v>
      </c>
      <c r="I26" s="4"/>
      <c r="J26" s="16">
        <f>SUMIF('MUTASI 2026'!$B$5:$B$160,'WS Trial balance'!$D26,'MUTASI 2026'!$G$5:$G$160)</f>
        <v>0</v>
      </c>
      <c r="K26" s="16">
        <f>SUMIF('MUTASI 2026'!$B$5:$B$160,'WS Trial balance'!$D26,'MUTASI 2026'!$H$5:$H$160)</f>
        <v>0</v>
      </c>
      <c r="L26" s="16">
        <f t="shared" si="0"/>
        <v>0</v>
      </c>
      <c r="M26" s="16">
        <f t="shared" si="1"/>
        <v>0</v>
      </c>
      <c r="N26" s="4"/>
      <c r="O26" s="16">
        <f>SUMIF('MUTASI 2026'!$B$162:$B$252,'WS Trial balance'!$D26,'MUTASI 2026'!$G$162:$G$252)</f>
        <v>0</v>
      </c>
      <c r="P26" s="16">
        <f>SUMIF('MUTASI 2026'!$B$162:$B$252,'WS Trial balance'!$D26,'MUTASI 2026'!$H$162:$H$252)</f>
        <v>0</v>
      </c>
      <c r="Q26" s="16">
        <f t="shared" si="2"/>
        <v>0</v>
      </c>
      <c r="R26" s="16">
        <f t="shared" si="3"/>
        <v>0</v>
      </c>
      <c r="S26" s="4"/>
      <c r="T26" s="16">
        <f>SUMIF('MUTASI 2026'!$B$254:$B$356,'WS Trial balance'!$D26,'MUTASI 2026'!$G$254:$G$356)</f>
        <v>0</v>
      </c>
      <c r="U26" s="16">
        <f>SUMIF('MUTASI 2026'!$B$254:$B$356,'WS Trial balance'!$D26,'MUTASI 2026'!$H$254:$H$356)</f>
        <v>0</v>
      </c>
      <c r="V26" s="16">
        <f t="shared" si="4"/>
        <v>0</v>
      </c>
      <c r="W26" s="16">
        <f t="shared" si="5"/>
        <v>0</v>
      </c>
      <c r="X26" s="4"/>
      <c r="Y26" s="16">
        <f>SUMIF('MUTASI 2026'!$B$358:$B$480,'WS Trial balance'!$D26,'MUTASI 2026'!$G$358:$G$480)</f>
        <v>0</v>
      </c>
      <c r="Z26" s="16">
        <f>SUMIF('MUTASI 2026'!$B$358:$B$480,'WS Trial balance'!$D26,'MUTASI 2026'!$H$358:$H$480)</f>
        <v>0</v>
      </c>
      <c r="AA26" s="16">
        <f t="shared" si="6"/>
        <v>0</v>
      </c>
      <c r="AB26" s="16">
        <f t="shared" si="7"/>
        <v>0</v>
      </c>
      <c r="AC26" s="4"/>
      <c r="AD26" s="16">
        <f>SUMIF('MUTASI 2026'!$B$482:$B$655,'WS Trial balance'!$D26,'MUTASI 2026'!$G$482:$G$655)</f>
        <v>0</v>
      </c>
      <c r="AE26" s="16">
        <f>SUMIF('MUTASI 2026'!$B$482:$B$655,'WS Trial balance'!$D26,'MUTASI 2026'!$H$482:$H$655)</f>
        <v>0</v>
      </c>
      <c r="AF26" s="16">
        <f t="shared" si="8"/>
        <v>0</v>
      </c>
      <c r="AG26" s="16">
        <f t="shared" si="9"/>
        <v>0</v>
      </c>
      <c r="AH26" s="4"/>
      <c r="AI26" s="16">
        <f>SUMIF('MUTASI 2026'!$B$657:$B$748,'WS Trial balance'!$D26,'MUTASI 2026'!$G$657:$G$748)</f>
        <v>0</v>
      </c>
      <c r="AJ26" s="16">
        <f>SUMIF('MUTASI 2026'!$B$657:$B$748,'WS Trial balance'!$D26,'MUTASI 2026'!$H$657:$H$748)</f>
        <v>0</v>
      </c>
      <c r="AK26" s="16">
        <f t="shared" si="10"/>
        <v>0</v>
      </c>
      <c r="AL26" s="16">
        <f t="shared" si="11"/>
        <v>0</v>
      </c>
      <c r="AM26" s="4"/>
      <c r="AN26" s="16">
        <f>SUMIF('MUTASI 2026'!$B$750:$B$851,'WS Trial balance'!$D26,'MUTASI 2026'!$G$750:$G$851)</f>
        <v>0</v>
      </c>
      <c r="AO26" s="16">
        <f>SUMIF('MUTASI 2026'!$B$750:$B$851,'WS Trial balance'!$D26,'MUTASI 2026'!$H$750:$H$851)</f>
        <v>0</v>
      </c>
      <c r="AP26" s="16">
        <f t="shared" si="12"/>
        <v>0</v>
      </c>
      <c r="AQ26" s="16">
        <f t="shared" si="13"/>
        <v>0</v>
      </c>
      <c r="AR26" s="4"/>
      <c r="AS26" s="16">
        <f>SUMIF('MUTASI 2026'!$B$853:$B$945,'WS Trial balance'!$D26,'MUTASI 2026'!$G$853:$G$945)</f>
        <v>0</v>
      </c>
      <c r="AT26" s="16">
        <f>SUMIF('MUTASI 2026'!$B$853:$B$945,'WS Trial balance'!$D26,'MUTASI 2026'!$H$853:$H$945)</f>
        <v>0</v>
      </c>
      <c r="AU26" s="16">
        <f t="shared" si="14"/>
        <v>0</v>
      </c>
      <c r="AV26" s="16">
        <f t="shared" si="15"/>
        <v>0</v>
      </c>
      <c r="AW26" s="4"/>
      <c r="AX26" s="16">
        <f>SUMIF('MUTASI 2026'!$B$1274:$B$1379,'WS Trial balance'!$D26,'MUTASI 2026'!$G$1274:$G$1379)</f>
        <v>0</v>
      </c>
      <c r="AY26" s="16">
        <f>SUMIF('MUTASI 2026'!$B$1274:$B$1379,'WS Trial balance'!$D26,'MUTASI 2026'!$H$1274:$H$1379)</f>
        <v>0</v>
      </c>
      <c r="AZ26" s="16">
        <f t="shared" si="16"/>
        <v>0</v>
      </c>
      <c r="BA26" s="16">
        <f t="shared" si="17"/>
        <v>0</v>
      </c>
      <c r="BB26" s="4"/>
      <c r="BC26" s="16">
        <f>SUMIF('MUTASI 2026'!$B$1382:$B$1477,'WS Trial balance'!$D26,'MUTASI 2026'!$G$1382:$G$1477)</f>
        <v>0</v>
      </c>
      <c r="BD26" s="16">
        <f>SUMIF('MUTASI 2026'!$B$1382:$B$1477,'WS Trial balance'!$D26,'MUTASI 2026'!$H$1382:$H$1477)</f>
        <v>0</v>
      </c>
      <c r="BE26" s="16">
        <f t="shared" si="18"/>
        <v>0</v>
      </c>
      <c r="BF26" s="16">
        <f t="shared" si="19"/>
        <v>0</v>
      </c>
      <c r="BG26" s="4"/>
      <c r="BH26" s="16">
        <f>SUMIF('MUTASI 2026'!$B$1480:$B$1600,'WS Trial balance'!$D26,'MUTASI 2026'!$G$1480:$G$1600)</f>
        <v>0</v>
      </c>
      <c r="BI26" s="16">
        <f>SUMIF('MUTASI 2026'!$B$1480:$B$1600,'WS Trial balance'!$D26,'MUTASI 2026'!$H$1480:$H$1600)</f>
        <v>0</v>
      </c>
      <c r="BJ26" s="16">
        <f t="shared" si="20"/>
        <v>0</v>
      </c>
      <c r="BK26" s="16">
        <f t="shared" si="21"/>
        <v>0</v>
      </c>
      <c r="BL26" s="4"/>
      <c r="BM26" s="16">
        <f>SUMIF('MUTASI 2026'!$B$1603:$B$1722,'WS Trial balance'!$D26,'MUTASI 2026'!$G$1603:$G$1722)</f>
        <v>0</v>
      </c>
      <c r="BN26" s="16">
        <f>SUMIF('MUTASI 2026'!$B$1603:$B$1722,'WS Trial balance'!$D26,'MUTASI 2026'!$H$1603:$H$1722)</f>
        <v>0</v>
      </c>
      <c r="BO26" s="16">
        <f t="shared" si="22"/>
        <v>0</v>
      </c>
      <c r="BP26" s="16">
        <f t="shared" si="23"/>
        <v>0</v>
      </c>
      <c r="BQ26" s="4"/>
      <c r="BR26" s="2"/>
      <c r="BS26" s="4"/>
      <c r="BT26" s="16">
        <f t="shared" si="24"/>
        <v>0</v>
      </c>
      <c r="BU26" s="16">
        <f t="shared" si="24"/>
        <v>0</v>
      </c>
      <c r="BV26" s="4"/>
      <c r="BW26" s="16">
        <f t="shared" si="25"/>
        <v>0</v>
      </c>
      <c r="BX26" s="16">
        <f t="shared" si="25"/>
        <v>0</v>
      </c>
      <c r="BY26" s="4"/>
      <c r="BZ26" s="16">
        <f t="shared" si="26"/>
        <v>0</v>
      </c>
      <c r="CA26" s="16">
        <f t="shared" si="27"/>
        <v>0</v>
      </c>
      <c r="CB26" s="4"/>
    </row>
    <row r="27" spans="2:82" s="1" customFormat="1" ht="15" x14ac:dyDescent="0.25">
      <c r="B27" s="3"/>
      <c r="C27" s="15"/>
      <c r="D27" s="15" t="s">
        <v>35</v>
      </c>
      <c r="E27" s="17" t="s">
        <v>276</v>
      </c>
      <c r="F27" s="17" t="s">
        <v>6</v>
      </c>
      <c r="G27" s="16">
        <v>0</v>
      </c>
      <c r="H27" s="16">
        <v>0</v>
      </c>
      <c r="I27" s="4"/>
      <c r="J27" s="16">
        <f>SUMIF('MUTASI 2026'!$B$5:$B$160,'WS Trial balance'!$D27,'MUTASI 2026'!$G$5:$G$160)</f>
        <v>0</v>
      </c>
      <c r="K27" s="16">
        <f>SUMIF('MUTASI 2026'!$B$5:$B$160,'WS Trial balance'!$D27,'MUTASI 2026'!$H$5:$H$160)</f>
        <v>0</v>
      </c>
      <c r="L27" s="16">
        <f t="shared" si="0"/>
        <v>0</v>
      </c>
      <c r="M27" s="16">
        <f t="shared" si="1"/>
        <v>0</v>
      </c>
      <c r="N27" s="4"/>
      <c r="O27" s="16">
        <f>SUMIF('MUTASI 2026'!$B$162:$B$252,'WS Trial balance'!$D27,'MUTASI 2026'!$G$162:$G$252)</f>
        <v>0</v>
      </c>
      <c r="P27" s="16">
        <f>SUMIF('MUTASI 2026'!$B$162:$B$252,'WS Trial balance'!$D27,'MUTASI 2026'!$H$162:$H$252)</f>
        <v>0</v>
      </c>
      <c r="Q27" s="16">
        <f t="shared" si="2"/>
        <v>0</v>
      </c>
      <c r="R27" s="16">
        <f t="shared" si="3"/>
        <v>0</v>
      </c>
      <c r="S27" s="4"/>
      <c r="T27" s="16">
        <f>SUMIF('MUTASI 2026'!$B$254:$B$356,'WS Trial balance'!$D27,'MUTASI 2026'!$G$254:$G$356)</f>
        <v>0</v>
      </c>
      <c r="U27" s="16">
        <f>SUMIF('MUTASI 2026'!$B$254:$B$356,'WS Trial balance'!$D27,'MUTASI 2026'!$H$254:$H$356)</f>
        <v>0</v>
      </c>
      <c r="V27" s="16">
        <f t="shared" si="4"/>
        <v>0</v>
      </c>
      <c r="W27" s="16">
        <f t="shared" si="5"/>
        <v>0</v>
      </c>
      <c r="X27" s="4"/>
      <c r="Y27" s="16">
        <f>SUMIF('MUTASI 2026'!$B$358:$B$480,'WS Trial balance'!$D27,'MUTASI 2026'!$G$358:$G$480)</f>
        <v>0</v>
      </c>
      <c r="Z27" s="16">
        <f>SUMIF('MUTASI 2026'!$B$358:$B$480,'WS Trial balance'!$D27,'MUTASI 2026'!$H$358:$H$480)</f>
        <v>0</v>
      </c>
      <c r="AA27" s="16">
        <f t="shared" si="6"/>
        <v>0</v>
      </c>
      <c r="AB27" s="16">
        <f t="shared" si="7"/>
        <v>0</v>
      </c>
      <c r="AC27" s="4"/>
      <c r="AD27" s="16">
        <f>SUMIF('MUTASI 2026'!$B$482:$B$655,'WS Trial balance'!$D27,'MUTASI 2026'!$G$482:$G$655)</f>
        <v>0</v>
      </c>
      <c r="AE27" s="16">
        <f>SUMIF('MUTASI 2026'!$B$482:$B$655,'WS Trial balance'!$D27,'MUTASI 2026'!$H$482:$H$655)</f>
        <v>0</v>
      </c>
      <c r="AF27" s="16">
        <f t="shared" si="8"/>
        <v>0</v>
      </c>
      <c r="AG27" s="16">
        <f t="shared" si="9"/>
        <v>0</v>
      </c>
      <c r="AH27" s="4"/>
      <c r="AI27" s="16">
        <f>SUMIF('MUTASI 2026'!$B$657:$B$748,'WS Trial balance'!$D27,'MUTASI 2026'!$G$657:$G$748)</f>
        <v>0</v>
      </c>
      <c r="AJ27" s="16">
        <f>SUMIF('MUTASI 2026'!$B$657:$B$748,'WS Trial balance'!$D27,'MUTASI 2026'!$H$657:$H$748)</f>
        <v>0</v>
      </c>
      <c r="AK27" s="16">
        <f t="shared" si="10"/>
        <v>0</v>
      </c>
      <c r="AL27" s="16">
        <f t="shared" si="11"/>
        <v>0</v>
      </c>
      <c r="AM27" s="4"/>
      <c r="AN27" s="16">
        <f>SUMIF('MUTASI 2026'!$B$750:$B$851,'WS Trial balance'!$D27,'MUTASI 2026'!$G$750:$G$851)</f>
        <v>0</v>
      </c>
      <c r="AO27" s="16">
        <f>SUMIF('MUTASI 2026'!$B$750:$B$851,'WS Trial balance'!$D27,'MUTASI 2026'!$H$750:$H$851)</f>
        <v>0</v>
      </c>
      <c r="AP27" s="16">
        <f t="shared" si="12"/>
        <v>0</v>
      </c>
      <c r="AQ27" s="16">
        <f t="shared" si="13"/>
        <v>0</v>
      </c>
      <c r="AR27" s="4"/>
      <c r="AS27" s="16">
        <f>SUMIF('MUTASI 2026'!$B$853:$B$945,'WS Trial balance'!$D27,'MUTASI 2026'!$G$853:$G$945)</f>
        <v>0</v>
      </c>
      <c r="AT27" s="16">
        <f>SUMIF('MUTASI 2026'!$B$853:$B$945,'WS Trial balance'!$D27,'MUTASI 2026'!$H$853:$H$945)</f>
        <v>0</v>
      </c>
      <c r="AU27" s="16">
        <f t="shared" si="14"/>
        <v>0</v>
      </c>
      <c r="AV27" s="16">
        <f t="shared" si="15"/>
        <v>0</v>
      </c>
      <c r="AW27" s="4"/>
      <c r="AX27" s="16">
        <f>SUMIF('MUTASI 2026'!$B$1274:$B$1379,'WS Trial balance'!$D27,'MUTASI 2026'!$G$1274:$G$1379)</f>
        <v>0</v>
      </c>
      <c r="AY27" s="16">
        <f>SUMIF('MUTASI 2026'!$B$1274:$B$1379,'WS Trial balance'!$D27,'MUTASI 2026'!$H$1274:$H$1379)</f>
        <v>0</v>
      </c>
      <c r="AZ27" s="16">
        <f t="shared" si="16"/>
        <v>0</v>
      </c>
      <c r="BA27" s="16">
        <f t="shared" si="17"/>
        <v>0</v>
      </c>
      <c r="BB27" s="4"/>
      <c r="BC27" s="16">
        <f>SUMIF('MUTASI 2026'!$B$1382:$B$1477,'WS Trial balance'!$D27,'MUTASI 2026'!$G$1382:$G$1477)</f>
        <v>0</v>
      </c>
      <c r="BD27" s="16">
        <f>SUMIF('MUTASI 2026'!$B$1382:$B$1477,'WS Trial balance'!$D27,'MUTASI 2026'!$H$1382:$H$1477)</f>
        <v>0</v>
      </c>
      <c r="BE27" s="16">
        <f t="shared" si="18"/>
        <v>0</v>
      </c>
      <c r="BF27" s="16">
        <f t="shared" si="19"/>
        <v>0</v>
      </c>
      <c r="BG27" s="4"/>
      <c r="BH27" s="16">
        <f>SUMIF('MUTASI 2026'!$B$1480:$B$1600,'WS Trial balance'!$D27,'MUTASI 2026'!$G$1480:$G$1600)</f>
        <v>0</v>
      </c>
      <c r="BI27" s="16">
        <f>SUMIF('MUTASI 2026'!$B$1480:$B$1600,'WS Trial balance'!$D27,'MUTASI 2026'!$H$1480:$H$1600)</f>
        <v>0</v>
      </c>
      <c r="BJ27" s="16">
        <f t="shared" si="20"/>
        <v>0</v>
      </c>
      <c r="BK27" s="16">
        <f t="shared" si="21"/>
        <v>0</v>
      </c>
      <c r="BL27" s="4"/>
      <c r="BM27" s="16">
        <f>SUMIF('MUTASI 2026'!$B$1603:$B$1722,'WS Trial balance'!$D27,'MUTASI 2026'!$G$1603:$G$1722)</f>
        <v>0</v>
      </c>
      <c r="BN27" s="16">
        <f>SUMIF('MUTASI 2026'!$B$1603:$B$1722,'WS Trial balance'!$D27,'MUTASI 2026'!$H$1603:$H$1722)</f>
        <v>0</v>
      </c>
      <c r="BO27" s="16">
        <f t="shared" si="22"/>
        <v>0</v>
      </c>
      <c r="BP27" s="16">
        <f t="shared" si="23"/>
        <v>0</v>
      </c>
      <c r="BQ27" s="4"/>
      <c r="BR27" s="2"/>
      <c r="BS27" s="4"/>
      <c r="BT27" s="16">
        <f t="shared" si="24"/>
        <v>0</v>
      </c>
      <c r="BU27" s="16">
        <f t="shared" si="24"/>
        <v>0</v>
      </c>
      <c r="BV27" s="4"/>
      <c r="BW27" s="16">
        <f t="shared" si="25"/>
        <v>0</v>
      </c>
      <c r="BX27" s="16">
        <f t="shared" si="25"/>
        <v>0</v>
      </c>
      <c r="BY27" s="4"/>
      <c r="BZ27" s="16">
        <f t="shared" si="26"/>
        <v>0</v>
      </c>
      <c r="CA27" s="16">
        <f t="shared" si="27"/>
        <v>0</v>
      </c>
      <c r="CB27" s="4"/>
    </row>
    <row r="28" spans="2:82" s="1" customFormat="1" ht="15" x14ac:dyDescent="0.25">
      <c r="B28" s="3"/>
      <c r="C28" s="15"/>
      <c r="D28" s="15" t="s">
        <v>36</v>
      </c>
      <c r="E28" s="17" t="s">
        <v>277</v>
      </c>
      <c r="F28" s="17" t="s">
        <v>12</v>
      </c>
      <c r="G28" s="16">
        <v>0</v>
      </c>
      <c r="H28" s="16">
        <v>0</v>
      </c>
      <c r="I28" s="4"/>
      <c r="J28" s="16">
        <f>SUMIF('MUTASI 2026'!$B$5:$B$160,'WS Trial balance'!$D28,'MUTASI 2026'!$G$5:$G$160)</f>
        <v>0</v>
      </c>
      <c r="K28" s="16">
        <f>SUMIF('MUTASI 2026'!$B$5:$B$160,'WS Trial balance'!$D28,'MUTASI 2026'!$H$5:$H$160)</f>
        <v>0</v>
      </c>
      <c r="L28" s="16">
        <f t="shared" si="0"/>
        <v>0</v>
      </c>
      <c r="M28" s="16">
        <f t="shared" si="1"/>
        <v>0</v>
      </c>
      <c r="N28" s="4"/>
      <c r="O28" s="16">
        <f>SUMIF('MUTASI 2026'!$B$162:$B$252,'WS Trial balance'!$D28,'MUTASI 2026'!$G$162:$G$252)</f>
        <v>0</v>
      </c>
      <c r="P28" s="16">
        <f>SUMIF('MUTASI 2026'!$B$162:$B$252,'WS Trial balance'!$D28,'MUTASI 2026'!$H$162:$H$252)</f>
        <v>0</v>
      </c>
      <c r="Q28" s="16">
        <f t="shared" si="2"/>
        <v>0</v>
      </c>
      <c r="R28" s="16">
        <f t="shared" si="3"/>
        <v>0</v>
      </c>
      <c r="S28" s="4"/>
      <c r="T28" s="16">
        <f>SUMIF('MUTASI 2026'!$B$254:$B$356,'WS Trial balance'!$D28,'MUTASI 2026'!$G$254:$G$356)</f>
        <v>0</v>
      </c>
      <c r="U28" s="16">
        <f>SUMIF('MUTASI 2026'!$B$254:$B$356,'WS Trial balance'!$D28,'MUTASI 2026'!$H$254:$H$356)</f>
        <v>0</v>
      </c>
      <c r="V28" s="16">
        <f t="shared" si="4"/>
        <v>0</v>
      </c>
      <c r="W28" s="16">
        <f t="shared" si="5"/>
        <v>0</v>
      </c>
      <c r="X28" s="4"/>
      <c r="Y28" s="16">
        <f>SUMIF('MUTASI 2026'!$B$358:$B$480,'WS Trial balance'!$D28,'MUTASI 2026'!$G$358:$G$480)</f>
        <v>0</v>
      </c>
      <c r="Z28" s="16">
        <f>SUMIF('MUTASI 2026'!$B$358:$B$480,'WS Trial balance'!$D28,'MUTASI 2026'!$H$358:$H$480)</f>
        <v>0</v>
      </c>
      <c r="AA28" s="16">
        <f t="shared" si="6"/>
        <v>0</v>
      </c>
      <c r="AB28" s="16">
        <f t="shared" si="7"/>
        <v>0</v>
      </c>
      <c r="AC28" s="4"/>
      <c r="AD28" s="16">
        <f>SUMIF('MUTASI 2026'!$B$482:$B$655,'WS Trial balance'!$D28,'MUTASI 2026'!$G$482:$G$655)</f>
        <v>0</v>
      </c>
      <c r="AE28" s="16">
        <f>SUMIF('MUTASI 2026'!$B$482:$B$655,'WS Trial balance'!$D28,'MUTASI 2026'!$H$482:$H$655)</f>
        <v>0</v>
      </c>
      <c r="AF28" s="16">
        <f t="shared" si="8"/>
        <v>0</v>
      </c>
      <c r="AG28" s="16">
        <f t="shared" si="9"/>
        <v>0</v>
      </c>
      <c r="AH28" s="4"/>
      <c r="AI28" s="16">
        <f>SUMIF('MUTASI 2026'!$B$657:$B$748,'WS Trial balance'!$D28,'MUTASI 2026'!$G$657:$G$748)</f>
        <v>0</v>
      </c>
      <c r="AJ28" s="16">
        <f>SUMIF('MUTASI 2026'!$B$657:$B$748,'WS Trial balance'!$D28,'MUTASI 2026'!$H$657:$H$748)</f>
        <v>0</v>
      </c>
      <c r="AK28" s="16">
        <f t="shared" si="10"/>
        <v>0</v>
      </c>
      <c r="AL28" s="16">
        <f t="shared" si="11"/>
        <v>0</v>
      </c>
      <c r="AM28" s="4"/>
      <c r="AN28" s="16">
        <f>SUMIF('MUTASI 2026'!$B$750:$B$851,'WS Trial balance'!$D28,'MUTASI 2026'!$G$750:$G$851)</f>
        <v>0</v>
      </c>
      <c r="AO28" s="16">
        <f>SUMIF('MUTASI 2026'!$B$750:$B$851,'WS Trial balance'!$D28,'MUTASI 2026'!$H$750:$H$851)</f>
        <v>0</v>
      </c>
      <c r="AP28" s="16">
        <f t="shared" si="12"/>
        <v>0</v>
      </c>
      <c r="AQ28" s="16">
        <f t="shared" si="13"/>
        <v>0</v>
      </c>
      <c r="AR28" s="4"/>
      <c r="AS28" s="16">
        <f>SUMIF('MUTASI 2026'!$B$853:$B$945,'WS Trial balance'!$D28,'MUTASI 2026'!$G$853:$G$945)</f>
        <v>0</v>
      </c>
      <c r="AT28" s="16">
        <f>SUMIF('MUTASI 2026'!$B$853:$B$945,'WS Trial balance'!$D28,'MUTASI 2026'!$H$853:$H$945)</f>
        <v>0</v>
      </c>
      <c r="AU28" s="16">
        <f t="shared" si="14"/>
        <v>0</v>
      </c>
      <c r="AV28" s="16">
        <f t="shared" si="15"/>
        <v>0</v>
      </c>
      <c r="AW28" s="4"/>
      <c r="AX28" s="16">
        <f>SUMIF('MUTASI 2026'!$B$1274:$B$1379,'WS Trial balance'!$D28,'MUTASI 2026'!$G$1274:$G$1379)</f>
        <v>0</v>
      </c>
      <c r="AY28" s="16">
        <f>SUMIF('MUTASI 2026'!$B$1274:$B$1379,'WS Trial balance'!$D28,'MUTASI 2026'!$H$1274:$H$1379)</f>
        <v>0</v>
      </c>
      <c r="AZ28" s="16">
        <f t="shared" si="16"/>
        <v>0</v>
      </c>
      <c r="BA28" s="16">
        <f t="shared" si="17"/>
        <v>0</v>
      </c>
      <c r="BB28" s="4"/>
      <c r="BC28" s="16">
        <f>SUMIF('MUTASI 2026'!$B$1382:$B$1477,'WS Trial balance'!$D28,'MUTASI 2026'!$G$1382:$G$1477)</f>
        <v>0</v>
      </c>
      <c r="BD28" s="16">
        <f>SUMIF('MUTASI 2026'!$B$1382:$B$1477,'WS Trial balance'!$D28,'MUTASI 2026'!$H$1382:$H$1477)</f>
        <v>0</v>
      </c>
      <c r="BE28" s="16">
        <f t="shared" si="18"/>
        <v>0</v>
      </c>
      <c r="BF28" s="16">
        <f t="shared" si="19"/>
        <v>0</v>
      </c>
      <c r="BG28" s="4"/>
      <c r="BH28" s="16">
        <f>SUMIF('MUTASI 2026'!$B$1480:$B$1600,'WS Trial balance'!$D28,'MUTASI 2026'!$G$1480:$G$1600)</f>
        <v>0</v>
      </c>
      <c r="BI28" s="16">
        <f>SUMIF('MUTASI 2026'!$B$1480:$B$1600,'WS Trial balance'!$D28,'MUTASI 2026'!$H$1480:$H$1600)</f>
        <v>0</v>
      </c>
      <c r="BJ28" s="16">
        <f t="shared" si="20"/>
        <v>0</v>
      </c>
      <c r="BK28" s="16">
        <f t="shared" si="21"/>
        <v>0</v>
      </c>
      <c r="BL28" s="4"/>
      <c r="BM28" s="16">
        <f>SUMIF('MUTASI 2026'!$B$1603:$B$1722,'WS Trial balance'!$D28,'MUTASI 2026'!$G$1603:$G$1722)</f>
        <v>0</v>
      </c>
      <c r="BN28" s="16">
        <f>SUMIF('MUTASI 2026'!$B$1603:$B$1722,'WS Trial balance'!$D28,'MUTASI 2026'!$H$1603:$H$1722)</f>
        <v>0</v>
      </c>
      <c r="BO28" s="16">
        <f t="shared" si="22"/>
        <v>0</v>
      </c>
      <c r="BP28" s="16">
        <f t="shared" si="23"/>
        <v>0</v>
      </c>
      <c r="BQ28" s="4"/>
      <c r="BR28" s="2"/>
      <c r="BS28" s="4"/>
      <c r="BT28" s="16">
        <f t="shared" si="24"/>
        <v>0</v>
      </c>
      <c r="BU28" s="16">
        <f t="shared" si="24"/>
        <v>0</v>
      </c>
      <c r="BV28" s="4"/>
      <c r="BW28" s="16">
        <f t="shared" si="25"/>
        <v>0</v>
      </c>
      <c r="BX28" s="16">
        <f t="shared" si="25"/>
        <v>0</v>
      </c>
      <c r="BY28" s="4"/>
      <c r="BZ28" s="16">
        <f t="shared" si="26"/>
        <v>0</v>
      </c>
      <c r="CA28" s="16">
        <f t="shared" si="27"/>
        <v>0</v>
      </c>
      <c r="CB28" s="4"/>
    </row>
    <row r="29" spans="2:82" s="1" customFormat="1" ht="15" x14ac:dyDescent="0.25">
      <c r="B29" s="3"/>
      <c r="C29" s="15"/>
      <c r="D29" s="15" t="s">
        <v>28</v>
      </c>
      <c r="E29" s="17" t="s">
        <v>37</v>
      </c>
      <c r="F29" s="17" t="s">
        <v>6</v>
      </c>
      <c r="G29" s="16">
        <v>0</v>
      </c>
      <c r="H29" s="16">
        <v>0</v>
      </c>
      <c r="I29" s="4"/>
      <c r="J29" s="16">
        <f>SUMIF('MUTASI 2026'!$B$5:$B$160,'WS Trial balance'!$D29,'MUTASI 2026'!$G$5:$G$160)</f>
        <v>0</v>
      </c>
      <c r="K29" s="16">
        <f>SUMIF('MUTASI 2026'!$B$5:$B$160,'WS Trial balance'!$D29,'MUTASI 2026'!$H$5:$H$160)</f>
        <v>0</v>
      </c>
      <c r="L29" s="16">
        <f t="shared" si="0"/>
        <v>0</v>
      </c>
      <c r="M29" s="16">
        <f t="shared" si="1"/>
        <v>0</v>
      </c>
      <c r="N29" s="4"/>
      <c r="O29" s="16">
        <f>SUMIF('MUTASI 2026'!$B$162:$B$252,'WS Trial balance'!$D29,'MUTASI 2026'!$G$162:$G$252)</f>
        <v>0</v>
      </c>
      <c r="P29" s="16">
        <f>SUMIF('MUTASI 2026'!$B$162:$B$252,'WS Trial balance'!$D29,'MUTASI 2026'!$H$162:$H$252)</f>
        <v>0</v>
      </c>
      <c r="Q29" s="16">
        <f t="shared" si="2"/>
        <v>0</v>
      </c>
      <c r="R29" s="16">
        <f t="shared" si="3"/>
        <v>0</v>
      </c>
      <c r="S29" s="4"/>
      <c r="T29" s="16">
        <f>SUMIF('MUTASI 2026'!$B$254:$B$356,'WS Trial balance'!$D29,'MUTASI 2026'!$G$254:$G$356)</f>
        <v>0</v>
      </c>
      <c r="U29" s="16">
        <f>SUMIF('MUTASI 2026'!$B$254:$B$356,'WS Trial balance'!$D29,'MUTASI 2026'!$H$254:$H$356)</f>
        <v>0</v>
      </c>
      <c r="V29" s="16">
        <f t="shared" si="4"/>
        <v>0</v>
      </c>
      <c r="W29" s="16">
        <f t="shared" si="5"/>
        <v>0</v>
      </c>
      <c r="X29" s="4"/>
      <c r="Y29" s="16">
        <f>SUMIF('MUTASI 2026'!$B$358:$B$480,'WS Trial balance'!$D29,'MUTASI 2026'!$G$358:$G$480)</f>
        <v>0</v>
      </c>
      <c r="Z29" s="16">
        <f>SUMIF('MUTASI 2026'!$B$358:$B$480,'WS Trial balance'!$D29,'MUTASI 2026'!$H$358:$H$480)</f>
        <v>0</v>
      </c>
      <c r="AA29" s="16">
        <f t="shared" si="6"/>
        <v>0</v>
      </c>
      <c r="AB29" s="16">
        <f t="shared" si="7"/>
        <v>0</v>
      </c>
      <c r="AC29" s="4"/>
      <c r="AD29" s="16">
        <f>SUMIF('MUTASI 2026'!$B$482:$B$655,'WS Trial balance'!$D29,'MUTASI 2026'!$G$482:$G$655)</f>
        <v>0</v>
      </c>
      <c r="AE29" s="16">
        <f>SUMIF('MUTASI 2026'!$B$482:$B$655,'WS Trial balance'!$D29,'MUTASI 2026'!$H$482:$H$655)</f>
        <v>0</v>
      </c>
      <c r="AF29" s="16">
        <f t="shared" si="8"/>
        <v>0</v>
      </c>
      <c r="AG29" s="16">
        <f t="shared" si="9"/>
        <v>0</v>
      </c>
      <c r="AH29" s="4"/>
      <c r="AI29" s="16">
        <f>SUMIF('MUTASI 2026'!$B$657:$B$748,'WS Trial balance'!$D29,'MUTASI 2026'!$G$657:$G$748)</f>
        <v>0</v>
      </c>
      <c r="AJ29" s="16">
        <f>SUMIF('MUTASI 2026'!$B$657:$B$748,'WS Trial balance'!$D29,'MUTASI 2026'!$H$657:$H$748)</f>
        <v>0</v>
      </c>
      <c r="AK29" s="16">
        <f t="shared" si="10"/>
        <v>0</v>
      </c>
      <c r="AL29" s="16">
        <f t="shared" si="11"/>
        <v>0</v>
      </c>
      <c r="AM29" s="4"/>
      <c r="AN29" s="16">
        <f>SUMIF('MUTASI 2026'!$B$750:$B$851,'WS Trial balance'!$D29,'MUTASI 2026'!$G$750:$G$851)</f>
        <v>0</v>
      </c>
      <c r="AO29" s="16">
        <f>SUMIF('MUTASI 2026'!$B$750:$B$851,'WS Trial balance'!$D29,'MUTASI 2026'!$H$750:$H$851)</f>
        <v>0</v>
      </c>
      <c r="AP29" s="16">
        <f t="shared" si="12"/>
        <v>0</v>
      </c>
      <c r="AQ29" s="16">
        <f t="shared" si="13"/>
        <v>0</v>
      </c>
      <c r="AR29" s="4"/>
      <c r="AS29" s="16">
        <f>SUMIF('MUTASI 2026'!$B$853:$B$945,'WS Trial balance'!$D29,'MUTASI 2026'!$G$853:$G$945)</f>
        <v>0</v>
      </c>
      <c r="AT29" s="16">
        <f>SUMIF('MUTASI 2026'!$B$853:$B$945,'WS Trial balance'!$D29,'MUTASI 2026'!$H$853:$H$945)</f>
        <v>0</v>
      </c>
      <c r="AU29" s="16">
        <f t="shared" si="14"/>
        <v>0</v>
      </c>
      <c r="AV29" s="16">
        <f t="shared" si="15"/>
        <v>0</v>
      </c>
      <c r="AW29" s="4"/>
      <c r="AX29" s="16">
        <f>SUMIF('MUTASI 2026'!$B$1274:$B$1379,'WS Trial balance'!$D29,'MUTASI 2026'!$G$1274:$G$1379)</f>
        <v>0</v>
      </c>
      <c r="AY29" s="16">
        <f>SUMIF('MUTASI 2026'!$B$1274:$B$1379,'WS Trial balance'!$D29,'MUTASI 2026'!$H$1274:$H$1379)</f>
        <v>0</v>
      </c>
      <c r="AZ29" s="16">
        <f t="shared" si="16"/>
        <v>0</v>
      </c>
      <c r="BA29" s="16">
        <f t="shared" si="17"/>
        <v>0</v>
      </c>
      <c r="BB29" s="4"/>
      <c r="BC29" s="16">
        <f>SUMIF('MUTASI 2026'!$B$1382:$B$1477,'WS Trial balance'!$D29,'MUTASI 2026'!$G$1382:$G$1477)</f>
        <v>0</v>
      </c>
      <c r="BD29" s="16">
        <f>SUMIF('MUTASI 2026'!$B$1382:$B$1477,'WS Trial balance'!$D29,'MUTASI 2026'!$H$1382:$H$1477)</f>
        <v>0</v>
      </c>
      <c r="BE29" s="16">
        <f t="shared" si="18"/>
        <v>0</v>
      </c>
      <c r="BF29" s="16">
        <f t="shared" si="19"/>
        <v>0</v>
      </c>
      <c r="BG29" s="4"/>
      <c r="BH29" s="16">
        <f>SUMIF('MUTASI 2026'!$B$1480:$B$1600,'WS Trial balance'!$D29,'MUTASI 2026'!$G$1480:$G$1600)</f>
        <v>0</v>
      </c>
      <c r="BI29" s="16">
        <f>SUMIF('MUTASI 2026'!$B$1480:$B$1600,'WS Trial balance'!$D29,'MUTASI 2026'!$H$1480:$H$1600)</f>
        <v>0</v>
      </c>
      <c r="BJ29" s="16">
        <f t="shared" si="20"/>
        <v>0</v>
      </c>
      <c r="BK29" s="16">
        <f t="shared" si="21"/>
        <v>0</v>
      </c>
      <c r="BL29" s="4"/>
      <c r="BM29" s="16">
        <f>SUMIF('MUTASI 2026'!$B$1603:$B$1722,'WS Trial balance'!$D29,'MUTASI 2026'!$G$1603:$G$1722)</f>
        <v>0</v>
      </c>
      <c r="BN29" s="16">
        <f>SUMIF('MUTASI 2026'!$B$1603:$B$1722,'WS Trial balance'!$D29,'MUTASI 2026'!$H$1603:$H$1722)</f>
        <v>0</v>
      </c>
      <c r="BO29" s="16">
        <f t="shared" si="22"/>
        <v>0</v>
      </c>
      <c r="BP29" s="16">
        <f t="shared" si="23"/>
        <v>0</v>
      </c>
      <c r="BQ29" s="4"/>
      <c r="BR29" s="2"/>
      <c r="BS29" s="4"/>
      <c r="BT29" s="16">
        <f t="shared" si="24"/>
        <v>0</v>
      </c>
      <c r="BU29" s="16">
        <f t="shared" si="24"/>
        <v>0</v>
      </c>
      <c r="BV29" s="4"/>
      <c r="BW29" s="16">
        <f t="shared" si="25"/>
        <v>0</v>
      </c>
      <c r="BX29" s="16">
        <f t="shared" si="25"/>
        <v>0</v>
      </c>
      <c r="BY29" s="4"/>
      <c r="BZ29" s="16">
        <f t="shared" si="26"/>
        <v>0</v>
      </c>
      <c r="CA29" s="16">
        <f t="shared" si="27"/>
        <v>0</v>
      </c>
      <c r="CB29" s="4"/>
    </row>
    <row r="30" spans="2:82" s="1" customFormat="1" ht="15" x14ac:dyDescent="0.25">
      <c r="B30" s="3"/>
      <c r="C30" s="15"/>
      <c r="D30" s="15" t="s">
        <v>40</v>
      </c>
      <c r="E30" s="17" t="s">
        <v>335</v>
      </c>
      <c r="F30" s="17" t="s">
        <v>12</v>
      </c>
      <c r="G30" s="16">
        <v>0</v>
      </c>
      <c r="H30" s="16">
        <v>0</v>
      </c>
      <c r="I30" s="4"/>
      <c r="J30" s="16">
        <f>SUMIF('MUTASI 2026'!$B$5:$B$160,'WS Trial balance'!$D30,'MUTASI 2026'!$G$5:$G$160)</f>
        <v>0</v>
      </c>
      <c r="K30" s="16">
        <f>SUMIF('MUTASI 2026'!$B$5:$B$160,'WS Trial balance'!$D30,'MUTASI 2026'!$H$5:$H$160)</f>
        <v>0</v>
      </c>
      <c r="L30" s="16">
        <f t="shared" si="0"/>
        <v>0</v>
      </c>
      <c r="M30" s="16">
        <f t="shared" si="1"/>
        <v>0</v>
      </c>
      <c r="N30" s="4"/>
      <c r="O30" s="16">
        <f>SUMIF('MUTASI 2026'!$B$162:$B$252,'WS Trial balance'!$D30,'MUTASI 2026'!$G$162:$G$252)</f>
        <v>0</v>
      </c>
      <c r="P30" s="16">
        <f>SUMIF('MUTASI 2026'!$B$162:$B$252,'WS Trial balance'!$D30,'MUTASI 2026'!$H$162:$H$252)</f>
        <v>0</v>
      </c>
      <c r="Q30" s="16">
        <f t="shared" si="2"/>
        <v>0</v>
      </c>
      <c r="R30" s="16">
        <f t="shared" si="3"/>
        <v>0</v>
      </c>
      <c r="S30" s="4"/>
      <c r="T30" s="16">
        <f>SUMIF('MUTASI 2026'!$B$254:$B$356,'WS Trial balance'!$D30,'MUTASI 2026'!$G$254:$G$356)</f>
        <v>0</v>
      </c>
      <c r="U30" s="16">
        <f>SUMIF('MUTASI 2026'!$B$254:$B$356,'WS Trial balance'!$D30,'MUTASI 2026'!$H$254:$H$356)</f>
        <v>0</v>
      </c>
      <c r="V30" s="16">
        <f t="shared" si="4"/>
        <v>0</v>
      </c>
      <c r="W30" s="16">
        <f t="shared" si="5"/>
        <v>0</v>
      </c>
      <c r="X30" s="4"/>
      <c r="Y30" s="16">
        <f>SUMIF('MUTASI 2026'!$B$358:$B$480,'WS Trial balance'!$D30,'MUTASI 2026'!$G$358:$G$480)</f>
        <v>0</v>
      </c>
      <c r="Z30" s="16">
        <f>SUMIF('MUTASI 2026'!$B$358:$B$480,'WS Trial balance'!$D30,'MUTASI 2026'!$H$358:$H$480)</f>
        <v>0</v>
      </c>
      <c r="AA30" s="16">
        <f t="shared" si="6"/>
        <v>0</v>
      </c>
      <c r="AB30" s="16">
        <f t="shared" si="7"/>
        <v>0</v>
      </c>
      <c r="AC30" s="4"/>
      <c r="AD30" s="16">
        <f>SUMIF('MUTASI 2026'!$B$482:$B$655,'WS Trial balance'!$D30,'MUTASI 2026'!$G$482:$G$655)</f>
        <v>0</v>
      </c>
      <c r="AE30" s="16">
        <f>SUMIF('MUTASI 2026'!$B$482:$B$655,'WS Trial balance'!$D30,'MUTASI 2026'!$H$482:$H$655)</f>
        <v>0</v>
      </c>
      <c r="AF30" s="16">
        <f t="shared" si="8"/>
        <v>0</v>
      </c>
      <c r="AG30" s="16">
        <f t="shared" si="9"/>
        <v>0</v>
      </c>
      <c r="AH30" s="4"/>
      <c r="AI30" s="16">
        <f>SUMIF('MUTASI 2026'!$B$657:$B$748,'WS Trial balance'!$D30,'MUTASI 2026'!$G$657:$G$748)</f>
        <v>0</v>
      </c>
      <c r="AJ30" s="16">
        <f>SUMIF('MUTASI 2026'!$B$657:$B$748,'WS Trial balance'!$D30,'MUTASI 2026'!$H$657:$H$748)</f>
        <v>0</v>
      </c>
      <c r="AK30" s="16">
        <f t="shared" si="10"/>
        <v>0</v>
      </c>
      <c r="AL30" s="16">
        <f t="shared" si="11"/>
        <v>0</v>
      </c>
      <c r="AM30" s="4"/>
      <c r="AN30" s="16">
        <f>SUMIF('MUTASI 2026'!$B$750:$B$851,'WS Trial balance'!$D30,'MUTASI 2026'!$G$750:$G$851)</f>
        <v>0</v>
      </c>
      <c r="AO30" s="16">
        <f>SUMIF('MUTASI 2026'!$B$750:$B$851,'WS Trial balance'!$D30,'MUTASI 2026'!$H$750:$H$851)</f>
        <v>0</v>
      </c>
      <c r="AP30" s="16">
        <f t="shared" si="12"/>
        <v>0</v>
      </c>
      <c r="AQ30" s="16">
        <f t="shared" si="13"/>
        <v>0</v>
      </c>
      <c r="AR30" s="4"/>
      <c r="AS30" s="16">
        <f>SUMIF('MUTASI 2026'!$B$853:$B$945,'WS Trial balance'!$D30,'MUTASI 2026'!$G$853:$G$945)</f>
        <v>0</v>
      </c>
      <c r="AT30" s="16">
        <f>SUMIF('MUTASI 2026'!$B$853:$B$945,'WS Trial balance'!$D30,'MUTASI 2026'!$H$853:$H$945)</f>
        <v>0</v>
      </c>
      <c r="AU30" s="16">
        <f t="shared" si="14"/>
        <v>0</v>
      </c>
      <c r="AV30" s="16">
        <f t="shared" si="15"/>
        <v>0</v>
      </c>
      <c r="AW30" s="4"/>
      <c r="AX30" s="16">
        <f>SUMIF('MUTASI 2026'!$B$1274:$B$1379,'WS Trial balance'!$D30,'MUTASI 2026'!$G$1274:$G$1379)</f>
        <v>0</v>
      </c>
      <c r="AY30" s="16">
        <f>SUMIF('MUTASI 2026'!$B$1274:$B$1379,'WS Trial balance'!$D30,'MUTASI 2026'!$H$1274:$H$1379)</f>
        <v>0</v>
      </c>
      <c r="AZ30" s="16">
        <f t="shared" si="16"/>
        <v>0</v>
      </c>
      <c r="BA30" s="16">
        <f t="shared" si="17"/>
        <v>0</v>
      </c>
      <c r="BB30" s="4"/>
      <c r="BC30" s="16">
        <f>SUMIF('MUTASI 2026'!$B$1382:$B$1477,'WS Trial balance'!$D30,'MUTASI 2026'!$G$1382:$G$1477)</f>
        <v>0</v>
      </c>
      <c r="BD30" s="16">
        <f>SUMIF('MUTASI 2026'!$B$1382:$B$1477,'WS Trial balance'!$D30,'MUTASI 2026'!$H$1382:$H$1477)</f>
        <v>0</v>
      </c>
      <c r="BE30" s="16">
        <f t="shared" si="18"/>
        <v>0</v>
      </c>
      <c r="BF30" s="16">
        <f t="shared" si="19"/>
        <v>0</v>
      </c>
      <c r="BG30" s="4"/>
      <c r="BH30" s="16">
        <f>SUMIF('MUTASI 2026'!$B$1480:$B$1600,'WS Trial balance'!$D30,'MUTASI 2026'!$G$1480:$G$1600)</f>
        <v>0</v>
      </c>
      <c r="BI30" s="16">
        <f>SUMIF('MUTASI 2026'!$B$1480:$B$1600,'WS Trial balance'!$D30,'MUTASI 2026'!$H$1480:$H$1600)</f>
        <v>0</v>
      </c>
      <c r="BJ30" s="16">
        <f t="shared" si="20"/>
        <v>0</v>
      </c>
      <c r="BK30" s="16">
        <f t="shared" si="21"/>
        <v>0</v>
      </c>
      <c r="BL30" s="4"/>
      <c r="BM30" s="16">
        <f>SUMIF('MUTASI 2026'!$B$1603:$B$1722,'WS Trial balance'!$D30,'MUTASI 2026'!$G$1603:$G$1722)</f>
        <v>0</v>
      </c>
      <c r="BN30" s="16">
        <f>SUMIF('MUTASI 2026'!$B$1603:$B$1722,'WS Trial balance'!$D30,'MUTASI 2026'!$H$1603:$H$1722)</f>
        <v>0</v>
      </c>
      <c r="BO30" s="16">
        <f t="shared" si="22"/>
        <v>0</v>
      </c>
      <c r="BP30" s="16">
        <f t="shared" si="23"/>
        <v>0</v>
      </c>
      <c r="BQ30" s="4"/>
      <c r="BR30" s="2"/>
      <c r="BS30" s="4"/>
      <c r="BT30" s="16">
        <f t="shared" si="24"/>
        <v>0</v>
      </c>
      <c r="BU30" s="16">
        <f t="shared" si="24"/>
        <v>0</v>
      </c>
      <c r="BV30" s="4"/>
      <c r="BW30" s="16">
        <f t="shared" si="25"/>
        <v>0</v>
      </c>
      <c r="BX30" s="16">
        <f t="shared" si="25"/>
        <v>0</v>
      </c>
      <c r="BY30" s="4"/>
      <c r="BZ30" s="16">
        <f t="shared" si="26"/>
        <v>0</v>
      </c>
      <c r="CA30" s="16">
        <f t="shared" si="27"/>
        <v>0</v>
      </c>
      <c r="CB30" s="4"/>
    </row>
    <row r="31" spans="2:82" s="1" customFormat="1" ht="15" x14ac:dyDescent="0.25">
      <c r="B31" s="3"/>
      <c r="C31" s="15"/>
      <c r="D31" s="15" t="s">
        <v>41</v>
      </c>
      <c r="E31" s="17" t="s">
        <v>337</v>
      </c>
      <c r="F31" s="17" t="s">
        <v>12</v>
      </c>
      <c r="G31" s="16">
        <v>0</v>
      </c>
      <c r="H31" s="16">
        <v>300000000</v>
      </c>
      <c r="I31" s="4"/>
      <c r="J31" s="16">
        <f>SUMIF('MUTASI 2026'!$B$5:$B$160,'WS Trial balance'!$D31,'MUTASI 2026'!$G$5:$G$160)</f>
        <v>0</v>
      </c>
      <c r="K31" s="16">
        <f>SUMIF('MUTASI 2026'!$B$5:$B$160,'WS Trial balance'!$D31,'MUTASI 2026'!$H$5:$H$160)</f>
        <v>0</v>
      </c>
      <c r="L31" s="16">
        <f t="shared" si="0"/>
        <v>0</v>
      </c>
      <c r="M31" s="16">
        <f t="shared" si="1"/>
        <v>300000000</v>
      </c>
      <c r="N31" s="4"/>
      <c r="O31" s="16">
        <f>SUMIF('MUTASI 2026'!$B$162:$B$252,'WS Trial balance'!$D31,'MUTASI 2026'!$G$162:$G$252)</f>
        <v>0</v>
      </c>
      <c r="P31" s="16">
        <f>SUMIF('MUTASI 2026'!$B$162:$B$252,'WS Trial balance'!$D31,'MUTASI 2026'!$H$162:$H$252)</f>
        <v>0</v>
      </c>
      <c r="Q31" s="16">
        <f t="shared" si="2"/>
        <v>0</v>
      </c>
      <c r="R31" s="16">
        <f t="shared" si="3"/>
        <v>300000000</v>
      </c>
      <c r="S31" s="4"/>
      <c r="T31" s="16">
        <f>SUMIF('MUTASI 2026'!$B$254:$B$356,'WS Trial balance'!$D31,'MUTASI 2026'!$G$254:$G$356)</f>
        <v>0</v>
      </c>
      <c r="U31" s="16">
        <f>SUMIF('MUTASI 2026'!$B$254:$B$356,'WS Trial balance'!$D31,'MUTASI 2026'!$H$254:$H$356)</f>
        <v>0</v>
      </c>
      <c r="V31" s="16">
        <f t="shared" si="4"/>
        <v>0</v>
      </c>
      <c r="W31" s="16">
        <f t="shared" si="5"/>
        <v>300000000</v>
      </c>
      <c r="X31" s="4"/>
      <c r="Y31" s="16">
        <f>SUMIF('MUTASI 2026'!$B$358:$B$480,'WS Trial balance'!$D31,'MUTASI 2026'!$G$358:$G$480)</f>
        <v>0</v>
      </c>
      <c r="Z31" s="16">
        <f>SUMIF('MUTASI 2026'!$B$358:$B$480,'WS Trial balance'!$D31,'MUTASI 2026'!$H$358:$H$480)</f>
        <v>0</v>
      </c>
      <c r="AA31" s="16">
        <f t="shared" si="6"/>
        <v>0</v>
      </c>
      <c r="AB31" s="16">
        <f t="shared" si="7"/>
        <v>300000000</v>
      </c>
      <c r="AC31" s="4"/>
      <c r="AD31" s="16">
        <f>SUMIF('MUTASI 2026'!$B$482:$B$655,'WS Trial balance'!$D31,'MUTASI 2026'!$G$482:$G$655)</f>
        <v>0</v>
      </c>
      <c r="AE31" s="16">
        <f>SUMIF('MUTASI 2026'!$B$482:$B$655,'WS Trial balance'!$D31,'MUTASI 2026'!$H$482:$H$655)</f>
        <v>0</v>
      </c>
      <c r="AF31" s="16">
        <f t="shared" si="8"/>
        <v>0</v>
      </c>
      <c r="AG31" s="16">
        <f t="shared" si="9"/>
        <v>300000000</v>
      </c>
      <c r="AH31" s="4"/>
      <c r="AI31" s="16">
        <f>SUMIF('MUTASI 2026'!$B$657:$B$748,'WS Trial balance'!$D31,'MUTASI 2026'!$G$657:$G$748)</f>
        <v>0</v>
      </c>
      <c r="AJ31" s="16">
        <f>SUMIF('MUTASI 2026'!$B$657:$B$748,'WS Trial balance'!$D31,'MUTASI 2026'!$H$657:$H$748)</f>
        <v>0</v>
      </c>
      <c r="AK31" s="16">
        <f t="shared" si="10"/>
        <v>0</v>
      </c>
      <c r="AL31" s="16">
        <f t="shared" si="11"/>
        <v>300000000</v>
      </c>
      <c r="AM31" s="4"/>
      <c r="AN31" s="16">
        <f>SUMIF('MUTASI 2026'!$B$750:$B$851,'WS Trial balance'!$D31,'MUTASI 2026'!$G$750:$G$851)</f>
        <v>0</v>
      </c>
      <c r="AO31" s="16">
        <f>SUMIF('MUTASI 2026'!$B$750:$B$851,'WS Trial balance'!$D31,'MUTASI 2026'!$H$750:$H$851)</f>
        <v>0</v>
      </c>
      <c r="AP31" s="16">
        <f t="shared" si="12"/>
        <v>0</v>
      </c>
      <c r="AQ31" s="16">
        <f t="shared" si="13"/>
        <v>300000000</v>
      </c>
      <c r="AR31" s="4"/>
      <c r="AS31" s="16">
        <f>SUMIF('MUTASI 2026'!$B$853:$B$945,'WS Trial balance'!$D31,'MUTASI 2026'!$G$853:$G$945)</f>
        <v>0</v>
      </c>
      <c r="AT31" s="16">
        <f>SUMIF('MUTASI 2026'!$B$853:$B$945,'WS Trial balance'!$D31,'MUTASI 2026'!$H$853:$H$945)</f>
        <v>0</v>
      </c>
      <c r="AU31" s="16">
        <f t="shared" si="14"/>
        <v>0</v>
      </c>
      <c r="AV31" s="16">
        <f t="shared" si="15"/>
        <v>300000000</v>
      </c>
      <c r="AW31" s="4"/>
      <c r="AX31" s="16">
        <f>SUMIF('MUTASI 2026'!$B$1274:$B$1379,'WS Trial balance'!$D31,'MUTASI 2026'!$G$1274:$G$1379)</f>
        <v>0</v>
      </c>
      <c r="AY31" s="16">
        <f>SUMIF('MUTASI 2026'!$B$1274:$B$1379,'WS Trial balance'!$D31,'MUTASI 2026'!$H$1274:$H$1379)</f>
        <v>0</v>
      </c>
      <c r="AZ31" s="16">
        <f t="shared" si="16"/>
        <v>0</v>
      </c>
      <c r="BA31" s="16">
        <f t="shared" si="17"/>
        <v>300000000</v>
      </c>
      <c r="BB31" s="4"/>
      <c r="BC31" s="16">
        <f>SUMIF('MUTASI 2026'!$B$1382:$B$1477,'WS Trial balance'!$D31,'MUTASI 2026'!$G$1382:$G$1477)</f>
        <v>0</v>
      </c>
      <c r="BD31" s="16">
        <f>SUMIF('MUTASI 2026'!$B$1382:$B$1477,'WS Trial balance'!$D31,'MUTASI 2026'!$H$1382:$H$1477)</f>
        <v>0</v>
      </c>
      <c r="BE31" s="16">
        <f t="shared" si="18"/>
        <v>0</v>
      </c>
      <c r="BF31" s="16">
        <f t="shared" si="19"/>
        <v>300000000</v>
      </c>
      <c r="BG31" s="4"/>
      <c r="BH31" s="16">
        <f>SUMIF('MUTASI 2026'!$B$1480:$B$1600,'WS Trial balance'!$D31,'MUTASI 2026'!$G$1480:$G$1600)</f>
        <v>0</v>
      </c>
      <c r="BI31" s="16">
        <f>SUMIF('MUTASI 2026'!$B$1480:$B$1600,'WS Trial balance'!$D31,'MUTASI 2026'!$H$1480:$H$1600)</f>
        <v>0</v>
      </c>
      <c r="BJ31" s="16">
        <f t="shared" si="20"/>
        <v>0</v>
      </c>
      <c r="BK31" s="16">
        <f t="shared" si="21"/>
        <v>300000000</v>
      </c>
      <c r="BL31" s="4"/>
      <c r="BM31" s="16">
        <f>SUMIF('MUTASI 2026'!$B$1603:$B$1722,'WS Trial balance'!$D31,'MUTASI 2026'!$G$1603:$G$1722)</f>
        <v>0</v>
      </c>
      <c r="BN31" s="16">
        <f>SUMIF('MUTASI 2026'!$B$1603:$B$1722,'WS Trial balance'!$D31,'MUTASI 2026'!$H$1603:$H$1722)</f>
        <v>0</v>
      </c>
      <c r="BO31" s="16">
        <f t="shared" si="22"/>
        <v>0</v>
      </c>
      <c r="BP31" s="16">
        <f t="shared" si="23"/>
        <v>300000000</v>
      </c>
      <c r="BQ31" s="4"/>
      <c r="BR31" s="2"/>
      <c r="BS31" s="4"/>
      <c r="BT31" s="16">
        <f t="shared" si="24"/>
        <v>0</v>
      </c>
      <c r="BU31" s="16">
        <f t="shared" si="24"/>
        <v>300000000</v>
      </c>
      <c r="BV31" s="4"/>
      <c r="BW31" s="16">
        <f t="shared" si="25"/>
        <v>0</v>
      </c>
      <c r="BX31" s="16">
        <f t="shared" si="25"/>
        <v>0</v>
      </c>
      <c r="BY31" s="4"/>
      <c r="BZ31" s="16">
        <f t="shared" si="26"/>
        <v>0</v>
      </c>
      <c r="CA31" s="16">
        <f t="shared" si="27"/>
        <v>300000000</v>
      </c>
      <c r="CB31" s="4"/>
    </row>
    <row r="32" spans="2:82" s="1" customFormat="1" ht="15" x14ac:dyDescent="0.25">
      <c r="B32" s="3"/>
      <c r="C32" s="15"/>
      <c r="D32" s="15" t="s">
        <v>42</v>
      </c>
      <c r="E32" s="17" t="s">
        <v>418</v>
      </c>
      <c r="F32" s="17" t="s">
        <v>12</v>
      </c>
      <c r="G32" s="16">
        <v>0</v>
      </c>
      <c r="H32" s="16">
        <v>0</v>
      </c>
      <c r="I32" s="4"/>
      <c r="J32" s="16">
        <f>SUMIF('MUTASI 2026'!$B$5:$B$160,'WS Trial balance'!$D32,'MUTASI 2026'!$G$5:$G$160)</f>
        <v>0</v>
      </c>
      <c r="K32" s="16">
        <f>SUMIF('MUTASI 2026'!$B$5:$B$160,'WS Trial balance'!$D32,'MUTASI 2026'!$H$5:$H$160)</f>
        <v>0</v>
      </c>
      <c r="L32" s="16">
        <f t="shared" si="0"/>
        <v>0</v>
      </c>
      <c r="M32" s="16">
        <f t="shared" si="1"/>
        <v>0</v>
      </c>
      <c r="N32" s="4"/>
      <c r="O32" s="16">
        <f>SUMIF('MUTASI 2026'!$B$162:$B$252,'WS Trial balance'!$D32,'MUTASI 2026'!$G$162:$G$252)</f>
        <v>0</v>
      </c>
      <c r="P32" s="16">
        <f>SUMIF('MUTASI 2026'!$B$162:$B$252,'WS Trial balance'!$D32,'MUTASI 2026'!$H$162:$H$252)</f>
        <v>0</v>
      </c>
      <c r="Q32" s="16">
        <f t="shared" si="2"/>
        <v>0</v>
      </c>
      <c r="R32" s="16">
        <f t="shared" si="3"/>
        <v>0</v>
      </c>
      <c r="S32" s="4"/>
      <c r="T32" s="16">
        <f>SUMIF('MUTASI 2026'!$B$254:$B$356,'WS Trial balance'!$D32,'MUTASI 2026'!$G$254:$G$356)</f>
        <v>0</v>
      </c>
      <c r="U32" s="16">
        <f>SUMIF('MUTASI 2026'!$B$254:$B$356,'WS Trial balance'!$D32,'MUTASI 2026'!$H$254:$H$356)</f>
        <v>0</v>
      </c>
      <c r="V32" s="16">
        <f t="shared" si="4"/>
        <v>0</v>
      </c>
      <c r="W32" s="16">
        <f t="shared" si="5"/>
        <v>0</v>
      </c>
      <c r="X32" s="4"/>
      <c r="Y32" s="16">
        <f>SUMIF('MUTASI 2026'!$B$358:$B$480,'WS Trial balance'!$D32,'MUTASI 2026'!$G$358:$G$480)</f>
        <v>0</v>
      </c>
      <c r="Z32" s="16">
        <f>SUMIF('MUTASI 2026'!$B$358:$B$480,'WS Trial balance'!$D32,'MUTASI 2026'!$H$358:$H$480)</f>
        <v>0</v>
      </c>
      <c r="AA32" s="16">
        <f t="shared" si="6"/>
        <v>0</v>
      </c>
      <c r="AB32" s="16">
        <f t="shared" si="7"/>
        <v>0</v>
      </c>
      <c r="AC32" s="4"/>
      <c r="AD32" s="16">
        <f>SUMIF('MUTASI 2026'!$B$482:$B$655,'WS Trial balance'!$D32,'MUTASI 2026'!$G$482:$G$655)</f>
        <v>0</v>
      </c>
      <c r="AE32" s="16">
        <f>SUMIF('MUTASI 2026'!$B$482:$B$655,'WS Trial balance'!$D32,'MUTASI 2026'!$H$482:$H$655)</f>
        <v>0</v>
      </c>
      <c r="AF32" s="16">
        <f t="shared" si="8"/>
        <v>0</v>
      </c>
      <c r="AG32" s="16">
        <f t="shared" si="9"/>
        <v>0</v>
      </c>
      <c r="AH32" s="4"/>
      <c r="AI32" s="16">
        <f>SUMIF('MUTASI 2026'!$B$657:$B$748,'WS Trial balance'!$D32,'MUTASI 2026'!$G$657:$G$748)</f>
        <v>0</v>
      </c>
      <c r="AJ32" s="16">
        <f>SUMIF('MUTASI 2026'!$B$657:$B$748,'WS Trial balance'!$D32,'MUTASI 2026'!$H$657:$H$748)</f>
        <v>0</v>
      </c>
      <c r="AK32" s="16">
        <f t="shared" si="10"/>
        <v>0</v>
      </c>
      <c r="AL32" s="16">
        <f t="shared" si="11"/>
        <v>0</v>
      </c>
      <c r="AM32" s="4"/>
      <c r="AN32" s="16">
        <f>SUMIF('MUTASI 2026'!$B$750:$B$851,'WS Trial balance'!$D32,'MUTASI 2026'!$G$750:$G$851)</f>
        <v>0</v>
      </c>
      <c r="AO32" s="16">
        <f>SUMIF('MUTASI 2026'!$B$750:$B$851,'WS Trial balance'!$D32,'MUTASI 2026'!$H$750:$H$851)</f>
        <v>0</v>
      </c>
      <c r="AP32" s="16">
        <f t="shared" si="12"/>
        <v>0</v>
      </c>
      <c r="AQ32" s="16">
        <f t="shared" si="13"/>
        <v>0</v>
      </c>
      <c r="AR32" s="4"/>
      <c r="AS32" s="16">
        <f>SUMIF('MUTASI 2026'!$B$853:$B$945,'WS Trial balance'!$D32,'MUTASI 2026'!$G$853:$G$945)</f>
        <v>0</v>
      </c>
      <c r="AT32" s="16">
        <f>SUMIF('MUTASI 2026'!$B$853:$B$945,'WS Trial balance'!$D32,'MUTASI 2026'!$H$853:$H$945)</f>
        <v>0</v>
      </c>
      <c r="AU32" s="16">
        <f t="shared" si="14"/>
        <v>0</v>
      </c>
      <c r="AV32" s="16">
        <f t="shared" si="15"/>
        <v>0</v>
      </c>
      <c r="AW32" s="4"/>
      <c r="AX32" s="16">
        <f>SUMIF('MUTASI 2026'!$B$1274:$B$1379,'WS Trial balance'!$D32,'MUTASI 2026'!$G$1274:$G$1379)</f>
        <v>0</v>
      </c>
      <c r="AY32" s="16">
        <f>SUMIF('MUTASI 2026'!$B$1274:$B$1379,'WS Trial balance'!$D32,'MUTASI 2026'!$H$1274:$H$1379)</f>
        <v>0</v>
      </c>
      <c r="AZ32" s="16">
        <f t="shared" si="16"/>
        <v>0</v>
      </c>
      <c r="BA32" s="16">
        <f t="shared" si="17"/>
        <v>0</v>
      </c>
      <c r="BB32" s="4"/>
      <c r="BC32" s="16">
        <f>SUMIF('MUTASI 2026'!$B$1382:$B$1477,'WS Trial balance'!$D32,'MUTASI 2026'!$G$1382:$G$1477)</f>
        <v>0</v>
      </c>
      <c r="BD32" s="16">
        <f>SUMIF('MUTASI 2026'!$B$1382:$B$1477,'WS Trial balance'!$D32,'MUTASI 2026'!$H$1382:$H$1477)</f>
        <v>0</v>
      </c>
      <c r="BE32" s="16">
        <f t="shared" si="18"/>
        <v>0</v>
      </c>
      <c r="BF32" s="16">
        <f t="shared" si="19"/>
        <v>0</v>
      </c>
      <c r="BG32" s="4"/>
      <c r="BH32" s="16">
        <f>SUMIF('MUTASI 2026'!$B$1480:$B$1600,'WS Trial balance'!$D32,'MUTASI 2026'!$G$1480:$G$1600)</f>
        <v>0</v>
      </c>
      <c r="BI32" s="16">
        <f>SUMIF('MUTASI 2026'!$B$1480:$B$1600,'WS Trial balance'!$D32,'MUTASI 2026'!$H$1480:$H$1600)</f>
        <v>0</v>
      </c>
      <c r="BJ32" s="16">
        <f t="shared" si="20"/>
        <v>0</v>
      </c>
      <c r="BK32" s="16">
        <f t="shared" si="21"/>
        <v>0</v>
      </c>
      <c r="BL32" s="4"/>
      <c r="BM32" s="16">
        <f>SUMIF('MUTASI 2026'!$B$1603:$B$1722,'WS Trial balance'!$D32,'MUTASI 2026'!$G$1603:$G$1722)</f>
        <v>0</v>
      </c>
      <c r="BN32" s="16">
        <f>SUMIF('MUTASI 2026'!$B$1603:$B$1722,'WS Trial balance'!$D32,'MUTASI 2026'!$H$1603:$H$1722)</f>
        <v>0</v>
      </c>
      <c r="BO32" s="16">
        <f t="shared" si="22"/>
        <v>0</v>
      </c>
      <c r="BP32" s="16">
        <f t="shared" si="23"/>
        <v>0</v>
      </c>
      <c r="BQ32" s="4"/>
      <c r="BR32" s="2"/>
      <c r="BS32" s="4"/>
      <c r="BT32" s="16">
        <f t="shared" si="24"/>
        <v>0</v>
      </c>
      <c r="BU32" s="16">
        <f t="shared" si="24"/>
        <v>0</v>
      </c>
      <c r="BV32" s="4"/>
      <c r="BW32" s="16">
        <f t="shared" si="25"/>
        <v>0</v>
      </c>
      <c r="BX32" s="16">
        <f t="shared" si="25"/>
        <v>0</v>
      </c>
      <c r="BY32" s="4"/>
      <c r="BZ32" s="16">
        <f t="shared" si="26"/>
        <v>0</v>
      </c>
      <c r="CA32" s="16">
        <f t="shared" si="27"/>
        <v>0</v>
      </c>
      <c r="CB32" s="4"/>
    </row>
    <row r="33" spans="2:80" s="1" customFormat="1" ht="15" x14ac:dyDescent="0.25">
      <c r="B33" s="3"/>
      <c r="C33" s="15"/>
      <c r="D33" s="15" t="s">
        <v>345</v>
      </c>
      <c r="E33" s="17" t="s">
        <v>419</v>
      </c>
      <c r="F33" s="17" t="s">
        <v>12</v>
      </c>
      <c r="G33" s="16">
        <v>0</v>
      </c>
      <c r="H33" s="16">
        <v>0</v>
      </c>
      <c r="I33" s="4"/>
      <c r="J33" s="16">
        <f>SUMIF('MUTASI 2026'!$B$5:$B$160,'WS Trial balance'!$D33,'MUTASI 2026'!$G$5:$G$160)</f>
        <v>0</v>
      </c>
      <c r="K33" s="16">
        <f>SUMIF('MUTASI 2026'!$B$5:$B$160,'WS Trial balance'!$D33,'MUTASI 2026'!$H$5:$H$160)</f>
        <v>0</v>
      </c>
      <c r="L33" s="16">
        <f t="shared" si="0"/>
        <v>0</v>
      </c>
      <c r="M33" s="16">
        <f t="shared" si="1"/>
        <v>0</v>
      </c>
      <c r="N33" s="4"/>
      <c r="O33" s="16">
        <f>SUMIF('MUTASI 2026'!$B$162:$B$252,'WS Trial balance'!$D33,'MUTASI 2026'!$G$162:$G$252)</f>
        <v>0</v>
      </c>
      <c r="P33" s="16">
        <f>SUMIF('MUTASI 2026'!$B$162:$B$252,'WS Trial balance'!$D33,'MUTASI 2026'!$H$162:$H$252)</f>
        <v>0</v>
      </c>
      <c r="Q33" s="16">
        <f t="shared" si="2"/>
        <v>0</v>
      </c>
      <c r="R33" s="16">
        <f t="shared" si="3"/>
        <v>0</v>
      </c>
      <c r="S33" s="4"/>
      <c r="T33" s="16">
        <f>SUMIF('MUTASI 2026'!$B$254:$B$356,'WS Trial balance'!$D33,'MUTASI 2026'!$G$254:$G$356)</f>
        <v>0</v>
      </c>
      <c r="U33" s="16">
        <f>SUMIF('MUTASI 2026'!$B$254:$B$356,'WS Trial balance'!$D33,'MUTASI 2026'!$H$254:$H$356)</f>
        <v>0</v>
      </c>
      <c r="V33" s="16">
        <f t="shared" si="4"/>
        <v>0</v>
      </c>
      <c r="W33" s="16">
        <f t="shared" si="5"/>
        <v>0</v>
      </c>
      <c r="X33" s="4"/>
      <c r="Y33" s="16">
        <f>SUMIF('MUTASI 2026'!$B$358:$B$480,'WS Trial balance'!$D33,'MUTASI 2026'!$G$358:$G$480)</f>
        <v>0</v>
      </c>
      <c r="Z33" s="16">
        <f>SUMIF('MUTASI 2026'!$B$358:$B$480,'WS Trial balance'!$D33,'MUTASI 2026'!$H$358:$H$480)</f>
        <v>0</v>
      </c>
      <c r="AA33" s="16">
        <f t="shared" si="6"/>
        <v>0</v>
      </c>
      <c r="AB33" s="16">
        <f t="shared" si="7"/>
        <v>0</v>
      </c>
      <c r="AC33" s="4"/>
      <c r="AD33" s="16">
        <f>SUMIF('MUTASI 2026'!$B$482:$B$655,'WS Trial balance'!$D33,'MUTASI 2026'!$G$482:$G$655)</f>
        <v>0</v>
      </c>
      <c r="AE33" s="16">
        <f>SUMIF('MUTASI 2026'!$B$482:$B$655,'WS Trial balance'!$D33,'MUTASI 2026'!$H$482:$H$655)</f>
        <v>0</v>
      </c>
      <c r="AF33" s="16">
        <f t="shared" si="8"/>
        <v>0</v>
      </c>
      <c r="AG33" s="16">
        <f t="shared" si="9"/>
        <v>0</v>
      </c>
      <c r="AH33" s="4"/>
      <c r="AI33" s="16">
        <f>SUMIF('MUTASI 2026'!$B$657:$B$748,'WS Trial balance'!$D33,'MUTASI 2026'!$G$657:$G$748)</f>
        <v>0</v>
      </c>
      <c r="AJ33" s="16">
        <f>SUMIF('MUTASI 2026'!$B$657:$B$748,'WS Trial balance'!$D33,'MUTASI 2026'!$H$657:$H$748)</f>
        <v>0</v>
      </c>
      <c r="AK33" s="16">
        <f t="shared" si="10"/>
        <v>0</v>
      </c>
      <c r="AL33" s="16">
        <f t="shared" si="11"/>
        <v>0</v>
      </c>
      <c r="AM33" s="4"/>
      <c r="AN33" s="16">
        <f>SUMIF('MUTASI 2026'!$B$750:$B$851,'WS Trial balance'!$D33,'MUTASI 2026'!$G$750:$G$851)</f>
        <v>0</v>
      </c>
      <c r="AO33" s="16">
        <f>SUMIF('MUTASI 2026'!$B$750:$B$851,'WS Trial balance'!$D33,'MUTASI 2026'!$H$750:$H$851)</f>
        <v>0</v>
      </c>
      <c r="AP33" s="16">
        <f t="shared" si="12"/>
        <v>0</v>
      </c>
      <c r="AQ33" s="16">
        <f t="shared" si="13"/>
        <v>0</v>
      </c>
      <c r="AR33" s="4"/>
      <c r="AS33" s="16">
        <f>SUMIF('MUTASI 2026'!$B$853:$B$945,'WS Trial balance'!$D33,'MUTASI 2026'!$G$853:$G$945)</f>
        <v>0</v>
      </c>
      <c r="AT33" s="16">
        <f>SUMIF('MUTASI 2026'!$B$853:$B$945,'WS Trial balance'!$D33,'MUTASI 2026'!$H$853:$H$945)</f>
        <v>0</v>
      </c>
      <c r="AU33" s="16">
        <f t="shared" si="14"/>
        <v>0</v>
      </c>
      <c r="AV33" s="16">
        <f t="shared" si="15"/>
        <v>0</v>
      </c>
      <c r="AW33" s="4"/>
      <c r="AX33" s="16">
        <f>SUMIF('MUTASI 2026'!$B$1274:$B$1379,'WS Trial balance'!$D33,'MUTASI 2026'!$G$1274:$G$1379)</f>
        <v>0</v>
      </c>
      <c r="AY33" s="16">
        <f>SUMIF('MUTASI 2026'!$B$1274:$B$1379,'WS Trial balance'!$D33,'MUTASI 2026'!$H$1274:$H$1379)</f>
        <v>0</v>
      </c>
      <c r="AZ33" s="16">
        <f t="shared" si="16"/>
        <v>0</v>
      </c>
      <c r="BA33" s="16">
        <f t="shared" si="17"/>
        <v>0</v>
      </c>
      <c r="BB33" s="4"/>
      <c r="BC33" s="16">
        <f>SUMIF('MUTASI 2026'!$B$1382:$B$1477,'WS Trial balance'!$D33,'MUTASI 2026'!$G$1382:$G$1477)</f>
        <v>0</v>
      </c>
      <c r="BD33" s="16">
        <f>SUMIF('MUTASI 2026'!$B$1382:$B$1477,'WS Trial balance'!$D33,'MUTASI 2026'!$H$1382:$H$1477)</f>
        <v>0</v>
      </c>
      <c r="BE33" s="16">
        <f t="shared" si="18"/>
        <v>0</v>
      </c>
      <c r="BF33" s="16">
        <f t="shared" si="19"/>
        <v>0</v>
      </c>
      <c r="BG33" s="4"/>
      <c r="BH33" s="16">
        <f>SUMIF('MUTASI 2026'!$B$1480:$B$1600,'WS Trial balance'!$D33,'MUTASI 2026'!$G$1480:$G$1600)</f>
        <v>0</v>
      </c>
      <c r="BI33" s="16">
        <f>SUMIF('MUTASI 2026'!$B$1480:$B$1600,'WS Trial balance'!$D33,'MUTASI 2026'!$H$1480:$H$1600)</f>
        <v>0</v>
      </c>
      <c r="BJ33" s="16">
        <f t="shared" si="20"/>
        <v>0</v>
      </c>
      <c r="BK33" s="16">
        <f t="shared" si="21"/>
        <v>0</v>
      </c>
      <c r="BL33" s="4"/>
      <c r="BM33" s="16">
        <f>SUMIF('MUTASI 2026'!$B$1603:$B$1722,'WS Trial balance'!$D33,'MUTASI 2026'!$G$1603:$G$1722)</f>
        <v>0</v>
      </c>
      <c r="BN33" s="16">
        <f>SUMIF('MUTASI 2026'!$B$1603:$B$1722,'WS Trial balance'!$D33,'MUTASI 2026'!$H$1603:$H$1722)</f>
        <v>0</v>
      </c>
      <c r="BO33" s="16">
        <f t="shared" si="22"/>
        <v>0</v>
      </c>
      <c r="BP33" s="16">
        <f t="shared" si="23"/>
        <v>0</v>
      </c>
      <c r="BQ33" s="4"/>
      <c r="BR33" s="2"/>
      <c r="BS33" s="4"/>
      <c r="BT33" s="16">
        <f t="shared" si="24"/>
        <v>0</v>
      </c>
      <c r="BU33" s="16">
        <f t="shared" si="24"/>
        <v>0</v>
      </c>
      <c r="BV33" s="4"/>
      <c r="BW33" s="16">
        <f t="shared" si="25"/>
        <v>0</v>
      </c>
      <c r="BX33" s="16">
        <f t="shared" si="25"/>
        <v>0</v>
      </c>
      <c r="BY33" s="4"/>
      <c r="BZ33" s="16">
        <f t="shared" si="26"/>
        <v>0</v>
      </c>
      <c r="CA33" s="16">
        <f t="shared" si="27"/>
        <v>0</v>
      </c>
      <c r="CB33" s="4"/>
    </row>
    <row r="34" spans="2:80" s="1" customFormat="1" ht="15" x14ac:dyDescent="0.25">
      <c r="B34" s="3"/>
      <c r="C34" s="15"/>
      <c r="D34" s="15" t="s">
        <v>44</v>
      </c>
      <c r="E34" s="17" t="s">
        <v>346</v>
      </c>
      <c r="F34" s="17" t="s">
        <v>12</v>
      </c>
      <c r="G34" s="16">
        <v>0</v>
      </c>
      <c r="H34" s="16">
        <v>0</v>
      </c>
      <c r="I34" s="4"/>
      <c r="J34" s="16">
        <f>SUMIF('MUTASI 2026'!$B$5:$B$160,'WS Trial balance'!$D34,'MUTASI 2026'!$G$5:$G$160)</f>
        <v>0</v>
      </c>
      <c r="K34" s="16">
        <f>SUMIF('MUTASI 2026'!$B$5:$B$160,'WS Trial balance'!$D34,'MUTASI 2026'!$H$5:$H$160)</f>
        <v>0</v>
      </c>
      <c r="L34" s="16">
        <f t="shared" si="0"/>
        <v>0</v>
      </c>
      <c r="M34" s="16">
        <f t="shared" si="1"/>
        <v>0</v>
      </c>
      <c r="N34" s="4"/>
      <c r="O34" s="16">
        <f>SUMIF('MUTASI 2026'!$B$162:$B$252,'WS Trial balance'!$D34,'MUTASI 2026'!$G$162:$G$252)</f>
        <v>0</v>
      </c>
      <c r="P34" s="16">
        <f>SUMIF('MUTASI 2026'!$B$162:$B$252,'WS Trial balance'!$D34,'MUTASI 2026'!$H$162:$H$252)</f>
        <v>0</v>
      </c>
      <c r="Q34" s="16">
        <f t="shared" si="2"/>
        <v>0</v>
      </c>
      <c r="R34" s="16">
        <f t="shared" si="3"/>
        <v>0</v>
      </c>
      <c r="S34" s="4"/>
      <c r="T34" s="16">
        <f>SUMIF('MUTASI 2026'!$B$254:$B$356,'WS Trial balance'!$D34,'MUTASI 2026'!$G$254:$G$356)</f>
        <v>0</v>
      </c>
      <c r="U34" s="16">
        <f>SUMIF('MUTASI 2026'!$B$254:$B$356,'WS Trial balance'!$D34,'MUTASI 2026'!$H$254:$H$356)</f>
        <v>0</v>
      </c>
      <c r="V34" s="16">
        <f t="shared" si="4"/>
        <v>0</v>
      </c>
      <c r="W34" s="16">
        <f t="shared" si="5"/>
        <v>0</v>
      </c>
      <c r="X34" s="4"/>
      <c r="Y34" s="16">
        <f>SUMIF('MUTASI 2026'!$B$358:$B$480,'WS Trial balance'!$D34,'MUTASI 2026'!$G$358:$G$480)</f>
        <v>0</v>
      </c>
      <c r="Z34" s="16">
        <f>SUMIF('MUTASI 2026'!$B$358:$B$480,'WS Trial balance'!$D34,'MUTASI 2026'!$H$358:$H$480)</f>
        <v>0</v>
      </c>
      <c r="AA34" s="16">
        <f t="shared" si="6"/>
        <v>0</v>
      </c>
      <c r="AB34" s="16">
        <f t="shared" si="7"/>
        <v>0</v>
      </c>
      <c r="AC34" s="4"/>
      <c r="AD34" s="16">
        <f>SUMIF('MUTASI 2026'!$B$482:$B$655,'WS Trial balance'!$D34,'MUTASI 2026'!$G$482:$G$655)</f>
        <v>0</v>
      </c>
      <c r="AE34" s="16">
        <f>SUMIF('MUTASI 2026'!$B$482:$B$655,'WS Trial balance'!$D34,'MUTASI 2026'!$H$482:$H$655)</f>
        <v>0</v>
      </c>
      <c r="AF34" s="16">
        <f t="shared" si="8"/>
        <v>0</v>
      </c>
      <c r="AG34" s="16">
        <f t="shared" si="9"/>
        <v>0</v>
      </c>
      <c r="AH34" s="4"/>
      <c r="AI34" s="16">
        <f>SUMIF('MUTASI 2026'!$B$657:$B$748,'WS Trial balance'!$D34,'MUTASI 2026'!$G$657:$G$748)</f>
        <v>0</v>
      </c>
      <c r="AJ34" s="16">
        <f>SUMIF('MUTASI 2026'!$B$657:$B$748,'WS Trial balance'!$D34,'MUTASI 2026'!$H$657:$H$748)</f>
        <v>0</v>
      </c>
      <c r="AK34" s="16">
        <f t="shared" si="10"/>
        <v>0</v>
      </c>
      <c r="AL34" s="16">
        <f t="shared" si="11"/>
        <v>0</v>
      </c>
      <c r="AM34" s="4"/>
      <c r="AN34" s="16">
        <f>SUMIF('MUTASI 2026'!$B$750:$B$851,'WS Trial balance'!$D34,'MUTASI 2026'!$G$750:$G$851)</f>
        <v>0</v>
      </c>
      <c r="AO34" s="16">
        <f>SUMIF('MUTASI 2026'!$B$750:$B$851,'WS Trial balance'!$D34,'MUTASI 2026'!$H$750:$H$851)</f>
        <v>0</v>
      </c>
      <c r="AP34" s="16">
        <f t="shared" si="12"/>
        <v>0</v>
      </c>
      <c r="AQ34" s="16">
        <f t="shared" si="13"/>
        <v>0</v>
      </c>
      <c r="AR34" s="4"/>
      <c r="AS34" s="16">
        <f>SUMIF('MUTASI 2026'!$B$853:$B$945,'WS Trial balance'!$D34,'MUTASI 2026'!$G$853:$G$945)</f>
        <v>0</v>
      </c>
      <c r="AT34" s="16">
        <f>SUMIF('MUTASI 2026'!$B$853:$B$945,'WS Trial balance'!$D34,'MUTASI 2026'!$H$853:$H$945)</f>
        <v>0</v>
      </c>
      <c r="AU34" s="16">
        <f t="shared" si="14"/>
        <v>0</v>
      </c>
      <c r="AV34" s="16">
        <f t="shared" si="15"/>
        <v>0</v>
      </c>
      <c r="AW34" s="4"/>
      <c r="AX34" s="16">
        <f>SUMIF('MUTASI 2026'!$B$1274:$B$1379,'WS Trial balance'!$D34,'MUTASI 2026'!$G$1274:$G$1379)</f>
        <v>0</v>
      </c>
      <c r="AY34" s="16">
        <f>SUMIF('MUTASI 2026'!$B$1274:$B$1379,'WS Trial balance'!$D34,'MUTASI 2026'!$H$1274:$H$1379)</f>
        <v>0</v>
      </c>
      <c r="AZ34" s="16">
        <f t="shared" si="16"/>
        <v>0</v>
      </c>
      <c r="BA34" s="16">
        <f t="shared" si="17"/>
        <v>0</v>
      </c>
      <c r="BB34" s="4"/>
      <c r="BC34" s="16">
        <f>SUMIF('MUTASI 2026'!$B$1382:$B$1477,'WS Trial balance'!$D34,'MUTASI 2026'!$G$1382:$G$1477)</f>
        <v>0</v>
      </c>
      <c r="BD34" s="16">
        <f>SUMIF('MUTASI 2026'!$B$1382:$B$1477,'WS Trial balance'!$D34,'MUTASI 2026'!$H$1382:$H$1477)</f>
        <v>0</v>
      </c>
      <c r="BE34" s="16">
        <f t="shared" si="18"/>
        <v>0</v>
      </c>
      <c r="BF34" s="16">
        <f t="shared" si="19"/>
        <v>0</v>
      </c>
      <c r="BG34" s="4"/>
      <c r="BH34" s="16">
        <f>SUMIF('MUTASI 2026'!$B$1480:$B$1600,'WS Trial balance'!$D34,'MUTASI 2026'!$G$1480:$G$1600)</f>
        <v>0</v>
      </c>
      <c r="BI34" s="16">
        <f>SUMIF('MUTASI 2026'!$B$1480:$B$1600,'WS Trial balance'!$D34,'MUTASI 2026'!$H$1480:$H$1600)</f>
        <v>0</v>
      </c>
      <c r="BJ34" s="16">
        <f t="shared" si="20"/>
        <v>0</v>
      </c>
      <c r="BK34" s="16">
        <f t="shared" si="21"/>
        <v>0</v>
      </c>
      <c r="BL34" s="4"/>
      <c r="BM34" s="16">
        <f>SUMIF('MUTASI 2026'!$B$1603:$B$1722,'WS Trial balance'!$D34,'MUTASI 2026'!$G$1603:$G$1722)</f>
        <v>0</v>
      </c>
      <c r="BN34" s="16">
        <f>SUMIF('MUTASI 2026'!$B$1603:$B$1722,'WS Trial balance'!$D34,'MUTASI 2026'!$H$1603:$H$1722)</f>
        <v>0</v>
      </c>
      <c r="BO34" s="16">
        <f t="shared" si="22"/>
        <v>0</v>
      </c>
      <c r="BP34" s="16">
        <f t="shared" si="23"/>
        <v>0</v>
      </c>
      <c r="BQ34" s="4"/>
      <c r="BR34" s="2"/>
      <c r="BS34" s="4"/>
      <c r="BT34" s="16">
        <f t="shared" si="24"/>
        <v>0</v>
      </c>
      <c r="BU34" s="16">
        <f t="shared" si="24"/>
        <v>0</v>
      </c>
      <c r="BV34" s="4"/>
      <c r="BW34" s="16">
        <f t="shared" si="25"/>
        <v>0</v>
      </c>
      <c r="BX34" s="16">
        <f t="shared" si="25"/>
        <v>0</v>
      </c>
      <c r="BY34" s="4"/>
      <c r="BZ34" s="16">
        <f t="shared" si="26"/>
        <v>0</v>
      </c>
      <c r="CA34" s="16">
        <f t="shared" si="27"/>
        <v>0</v>
      </c>
      <c r="CB34" s="4"/>
    </row>
    <row r="35" spans="2:80" s="1" customFormat="1" ht="15" x14ac:dyDescent="0.25">
      <c r="B35" s="3"/>
      <c r="C35" s="15"/>
      <c r="D35" s="15" t="s">
        <v>39</v>
      </c>
      <c r="E35" s="17" t="s">
        <v>347</v>
      </c>
      <c r="F35" s="17" t="s">
        <v>12</v>
      </c>
      <c r="G35" s="16">
        <v>0</v>
      </c>
      <c r="H35" s="16">
        <v>21680000</v>
      </c>
      <c r="I35" s="4"/>
      <c r="J35" s="16">
        <f>SUMIF('MUTASI 2026'!$B$5:$B$160,'WS Trial balance'!$D35,'MUTASI 2026'!$G$5:$G$160)</f>
        <v>0</v>
      </c>
      <c r="K35" s="16">
        <f>SUMIF('MUTASI 2026'!$B$5:$B$160,'WS Trial balance'!$D35,'MUTASI 2026'!$H$5:$H$160)</f>
        <v>0</v>
      </c>
      <c r="L35" s="16">
        <f t="shared" si="0"/>
        <v>0</v>
      </c>
      <c r="M35" s="16">
        <f t="shared" si="1"/>
        <v>21680000</v>
      </c>
      <c r="N35" s="4"/>
      <c r="O35" s="16">
        <f>SUMIF('MUTASI 2026'!$B$162:$B$252,'WS Trial balance'!$D35,'MUTASI 2026'!$G$162:$G$252)</f>
        <v>0</v>
      </c>
      <c r="P35" s="16">
        <f>SUMIF('MUTASI 2026'!$B$162:$B$252,'WS Trial balance'!$D35,'MUTASI 2026'!$H$162:$H$252)</f>
        <v>0</v>
      </c>
      <c r="Q35" s="16">
        <f t="shared" si="2"/>
        <v>0</v>
      </c>
      <c r="R35" s="16">
        <f t="shared" si="3"/>
        <v>21680000</v>
      </c>
      <c r="S35" s="4"/>
      <c r="T35" s="16">
        <f>SUMIF('MUTASI 2026'!$B$254:$B$356,'WS Trial balance'!$D35,'MUTASI 2026'!$G$254:$G$356)</f>
        <v>0</v>
      </c>
      <c r="U35" s="16">
        <f>SUMIF('MUTASI 2026'!$B$254:$B$356,'WS Trial balance'!$D35,'MUTASI 2026'!$H$254:$H$356)</f>
        <v>0</v>
      </c>
      <c r="V35" s="16">
        <f t="shared" si="4"/>
        <v>0</v>
      </c>
      <c r="W35" s="16">
        <f t="shared" si="5"/>
        <v>21680000</v>
      </c>
      <c r="X35" s="4"/>
      <c r="Y35" s="16">
        <f>SUMIF('MUTASI 2026'!$B$358:$B$480,'WS Trial balance'!$D35,'MUTASI 2026'!$G$358:$G$480)</f>
        <v>0</v>
      </c>
      <c r="Z35" s="16">
        <f>SUMIF('MUTASI 2026'!$B$358:$B$480,'WS Trial balance'!$D35,'MUTASI 2026'!$H$358:$H$480)</f>
        <v>0</v>
      </c>
      <c r="AA35" s="16">
        <f t="shared" si="6"/>
        <v>0</v>
      </c>
      <c r="AB35" s="16">
        <f t="shared" si="7"/>
        <v>21680000</v>
      </c>
      <c r="AC35" s="4"/>
      <c r="AD35" s="16">
        <f>SUMIF('MUTASI 2026'!$B$482:$B$655,'WS Trial balance'!$D35,'MUTASI 2026'!$G$482:$G$655)</f>
        <v>0</v>
      </c>
      <c r="AE35" s="16">
        <f>SUMIF('MUTASI 2026'!$B$482:$B$655,'WS Trial balance'!$D35,'MUTASI 2026'!$H$482:$H$655)</f>
        <v>0</v>
      </c>
      <c r="AF35" s="16">
        <f t="shared" si="8"/>
        <v>0</v>
      </c>
      <c r="AG35" s="16">
        <f t="shared" si="9"/>
        <v>21680000</v>
      </c>
      <c r="AH35" s="4"/>
      <c r="AI35" s="16">
        <f>SUMIF('MUTASI 2026'!$B$657:$B$748,'WS Trial balance'!$D35,'MUTASI 2026'!$G$657:$G$748)</f>
        <v>0</v>
      </c>
      <c r="AJ35" s="16">
        <f>SUMIF('MUTASI 2026'!$B$657:$B$748,'WS Trial balance'!$D35,'MUTASI 2026'!$H$657:$H$748)</f>
        <v>0</v>
      </c>
      <c r="AK35" s="16">
        <f t="shared" si="10"/>
        <v>0</v>
      </c>
      <c r="AL35" s="16">
        <f t="shared" si="11"/>
        <v>21680000</v>
      </c>
      <c r="AM35" s="4"/>
      <c r="AN35" s="16">
        <f>SUMIF('MUTASI 2026'!$B$750:$B$851,'WS Trial balance'!$D35,'MUTASI 2026'!$G$750:$G$851)</f>
        <v>0</v>
      </c>
      <c r="AO35" s="16">
        <f>SUMIF('MUTASI 2026'!$B$750:$B$851,'WS Trial balance'!$D35,'MUTASI 2026'!$H$750:$H$851)</f>
        <v>0</v>
      </c>
      <c r="AP35" s="16">
        <f t="shared" si="12"/>
        <v>0</v>
      </c>
      <c r="AQ35" s="16">
        <f t="shared" si="13"/>
        <v>21680000</v>
      </c>
      <c r="AR35" s="4"/>
      <c r="AS35" s="16">
        <f>SUMIF('MUTASI 2026'!$B$853:$B$945,'WS Trial balance'!$D35,'MUTASI 2026'!$G$853:$G$945)</f>
        <v>0</v>
      </c>
      <c r="AT35" s="16">
        <f>SUMIF('MUTASI 2026'!$B$853:$B$945,'WS Trial balance'!$D35,'MUTASI 2026'!$H$853:$H$945)</f>
        <v>0</v>
      </c>
      <c r="AU35" s="16">
        <f t="shared" si="14"/>
        <v>0</v>
      </c>
      <c r="AV35" s="16">
        <f t="shared" si="15"/>
        <v>21680000</v>
      </c>
      <c r="AW35" s="4"/>
      <c r="AX35" s="16">
        <f>SUMIF('MUTASI 2026'!$B$1274:$B$1379,'WS Trial balance'!$D35,'MUTASI 2026'!$G$1274:$G$1379)</f>
        <v>0</v>
      </c>
      <c r="AY35" s="16">
        <f>SUMIF('MUTASI 2026'!$B$1274:$B$1379,'WS Trial balance'!$D35,'MUTASI 2026'!$H$1274:$H$1379)</f>
        <v>0</v>
      </c>
      <c r="AZ35" s="16">
        <f t="shared" si="16"/>
        <v>0</v>
      </c>
      <c r="BA35" s="16">
        <f t="shared" si="17"/>
        <v>21680000</v>
      </c>
      <c r="BB35" s="4"/>
      <c r="BC35" s="16">
        <f>SUMIF('MUTASI 2026'!$B$1382:$B$1477,'WS Trial balance'!$D35,'MUTASI 2026'!$G$1382:$G$1477)</f>
        <v>0</v>
      </c>
      <c r="BD35" s="16">
        <f>SUMIF('MUTASI 2026'!$B$1382:$B$1477,'WS Trial balance'!$D35,'MUTASI 2026'!$H$1382:$H$1477)</f>
        <v>0</v>
      </c>
      <c r="BE35" s="16">
        <f t="shared" si="18"/>
        <v>0</v>
      </c>
      <c r="BF35" s="16">
        <f t="shared" si="19"/>
        <v>21680000</v>
      </c>
      <c r="BG35" s="4"/>
      <c r="BH35" s="16">
        <f>SUMIF('MUTASI 2026'!$B$1480:$B$1600,'WS Trial balance'!$D35,'MUTASI 2026'!$G$1480:$G$1600)</f>
        <v>0</v>
      </c>
      <c r="BI35" s="16">
        <f>SUMIF('MUTASI 2026'!$B$1480:$B$1600,'WS Trial balance'!$D35,'MUTASI 2026'!$H$1480:$H$1600)</f>
        <v>0</v>
      </c>
      <c r="BJ35" s="16">
        <f t="shared" si="20"/>
        <v>0</v>
      </c>
      <c r="BK35" s="16">
        <f t="shared" si="21"/>
        <v>21680000</v>
      </c>
      <c r="BL35" s="4"/>
      <c r="BM35" s="16">
        <f>SUMIF('MUTASI 2026'!$B$1603:$B$1722,'WS Trial balance'!$D35,'MUTASI 2026'!$G$1603:$G$1722)</f>
        <v>0</v>
      </c>
      <c r="BN35" s="16">
        <f>SUMIF('MUTASI 2026'!$B$1603:$B$1722,'WS Trial balance'!$D35,'MUTASI 2026'!$H$1603:$H$1722)</f>
        <v>0</v>
      </c>
      <c r="BO35" s="16">
        <f t="shared" si="22"/>
        <v>0</v>
      </c>
      <c r="BP35" s="16">
        <f t="shared" si="23"/>
        <v>21680000</v>
      </c>
      <c r="BQ35" s="4"/>
      <c r="BR35" s="2"/>
      <c r="BS35" s="4"/>
      <c r="BT35" s="16">
        <f t="shared" si="24"/>
        <v>0</v>
      </c>
      <c r="BU35" s="16">
        <f t="shared" si="24"/>
        <v>21680000</v>
      </c>
      <c r="BV35" s="4"/>
      <c r="BW35" s="16">
        <f t="shared" si="25"/>
        <v>0</v>
      </c>
      <c r="BX35" s="16">
        <f t="shared" si="25"/>
        <v>0</v>
      </c>
      <c r="BY35" s="4"/>
      <c r="BZ35" s="16">
        <f t="shared" si="26"/>
        <v>0</v>
      </c>
      <c r="CA35" s="16">
        <f t="shared" si="27"/>
        <v>21680000</v>
      </c>
      <c r="CB35" s="4"/>
    </row>
    <row r="36" spans="2:80" s="1" customFormat="1" ht="15" x14ac:dyDescent="0.25">
      <c r="B36" s="3"/>
      <c r="C36" s="15"/>
      <c r="D36" s="15" t="s">
        <v>43</v>
      </c>
      <c r="E36" s="17" t="s">
        <v>348</v>
      </c>
      <c r="F36" s="17" t="s">
        <v>12</v>
      </c>
      <c r="G36" s="16">
        <v>0</v>
      </c>
      <c r="H36" s="16">
        <v>47686535.383781642</v>
      </c>
      <c r="I36" s="4"/>
      <c r="J36" s="16">
        <f>SUMIF('MUTASI 2026'!$B$5:$B$160,'WS Trial balance'!$D36,'MUTASI 2026'!$G$5:$G$160)</f>
        <v>0</v>
      </c>
      <c r="K36" s="16">
        <f>SUMIF('MUTASI 2026'!$B$5:$B$160,'WS Trial balance'!$D36,'MUTASI 2026'!$H$5:$H$160)</f>
        <v>0</v>
      </c>
      <c r="L36" s="16">
        <f t="shared" si="0"/>
        <v>0</v>
      </c>
      <c r="M36" s="16">
        <f t="shared" si="1"/>
        <v>47686535.383781642</v>
      </c>
      <c r="N36" s="4"/>
      <c r="O36" s="16">
        <f>SUMIF('MUTASI 2026'!$B$162:$B$252,'WS Trial balance'!$D36,'MUTASI 2026'!$G$162:$G$252)</f>
        <v>0</v>
      </c>
      <c r="P36" s="16">
        <f>SUMIF('MUTASI 2026'!$B$162:$B$252,'WS Trial balance'!$D36,'MUTASI 2026'!$H$162:$H$252)</f>
        <v>0</v>
      </c>
      <c r="Q36" s="16">
        <f t="shared" si="2"/>
        <v>0</v>
      </c>
      <c r="R36" s="16">
        <f t="shared" si="3"/>
        <v>47686535.383781642</v>
      </c>
      <c r="S36" s="4"/>
      <c r="T36" s="16">
        <f>SUMIF('MUTASI 2026'!$B$254:$B$356,'WS Trial balance'!$D36,'MUTASI 2026'!$G$254:$G$356)</f>
        <v>0</v>
      </c>
      <c r="U36" s="16">
        <f>SUMIF('MUTASI 2026'!$B$254:$B$356,'WS Trial balance'!$D36,'MUTASI 2026'!$H$254:$H$356)</f>
        <v>0</v>
      </c>
      <c r="V36" s="16">
        <f t="shared" si="4"/>
        <v>0</v>
      </c>
      <c r="W36" s="16">
        <f t="shared" si="5"/>
        <v>47686535.383781642</v>
      </c>
      <c r="X36" s="4"/>
      <c r="Y36" s="16">
        <f>SUMIF('MUTASI 2026'!$B$358:$B$480,'WS Trial balance'!$D36,'MUTASI 2026'!$G$358:$G$480)</f>
        <v>0</v>
      </c>
      <c r="Z36" s="16">
        <f>SUMIF('MUTASI 2026'!$B$358:$B$480,'WS Trial balance'!$D36,'MUTASI 2026'!$H$358:$H$480)</f>
        <v>0</v>
      </c>
      <c r="AA36" s="16">
        <f t="shared" si="6"/>
        <v>0</v>
      </c>
      <c r="AB36" s="16">
        <f t="shared" si="7"/>
        <v>47686535.383781642</v>
      </c>
      <c r="AC36" s="4"/>
      <c r="AD36" s="16">
        <f>SUMIF('MUTASI 2026'!$B$482:$B$655,'WS Trial balance'!$D36,'MUTASI 2026'!$G$482:$G$655)</f>
        <v>15817038</v>
      </c>
      <c r="AE36" s="16">
        <f>SUMIF('MUTASI 2026'!$B$482:$B$655,'WS Trial balance'!$D36,'MUTASI 2026'!$H$482:$H$655)</f>
        <v>0</v>
      </c>
      <c r="AF36" s="16">
        <f t="shared" si="8"/>
        <v>0</v>
      </c>
      <c r="AG36" s="16">
        <f t="shared" si="9"/>
        <v>31869497.383781642</v>
      </c>
      <c r="AH36" s="4"/>
      <c r="AI36" s="16">
        <f>SUMIF('MUTASI 2026'!$B$657:$B$748,'WS Trial balance'!$D36,'MUTASI 2026'!$G$657:$G$748)</f>
        <v>0</v>
      </c>
      <c r="AJ36" s="16">
        <f>SUMIF('MUTASI 2026'!$B$657:$B$748,'WS Trial balance'!$D36,'MUTASI 2026'!$H$657:$H$748)</f>
        <v>0</v>
      </c>
      <c r="AK36" s="16">
        <f t="shared" si="10"/>
        <v>0</v>
      </c>
      <c r="AL36" s="16">
        <f t="shared" si="11"/>
        <v>31869497.383781642</v>
      </c>
      <c r="AM36" s="4"/>
      <c r="AN36" s="16">
        <f>SUMIF('MUTASI 2026'!$B$750:$B$851,'WS Trial balance'!$D36,'MUTASI 2026'!$G$750:$G$851)</f>
        <v>0</v>
      </c>
      <c r="AO36" s="16">
        <f>SUMIF('MUTASI 2026'!$B$750:$B$851,'WS Trial balance'!$D36,'MUTASI 2026'!$H$750:$H$851)</f>
        <v>0</v>
      </c>
      <c r="AP36" s="16">
        <f t="shared" si="12"/>
        <v>0</v>
      </c>
      <c r="AQ36" s="16">
        <f t="shared" si="13"/>
        <v>31869497.383781642</v>
      </c>
      <c r="AR36" s="4"/>
      <c r="AS36" s="16">
        <f>SUMIF('MUTASI 2026'!$B$853:$B$945,'WS Trial balance'!$D36,'MUTASI 2026'!$G$853:$G$945)</f>
        <v>14233454</v>
      </c>
      <c r="AT36" s="16">
        <f>SUMIF('MUTASI 2026'!$B$853:$B$945,'WS Trial balance'!$D36,'MUTASI 2026'!$H$853:$H$945)</f>
        <v>0</v>
      </c>
      <c r="AU36" s="16">
        <f t="shared" si="14"/>
        <v>0</v>
      </c>
      <c r="AV36" s="16">
        <f t="shared" si="15"/>
        <v>17636043.383781642</v>
      </c>
      <c r="AW36" s="4"/>
      <c r="AX36" s="16">
        <f>SUMIF('MUTASI 2026'!$B$1274:$B$1379,'WS Trial balance'!$D36,'MUTASI 2026'!$G$1274:$G$1379)</f>
        <v>0</v>
      </c>
      <c r="AY36" s="16">
        <f>SUMIF('MUTASI 2026'!$B$1274:$B$1379,'WS Trial balance'!$D36,'MUTASI 2026'!$H$1274:$H$1379)</f>
        <v>0</v>
      </c>
      <c r="AZ36" s="16">
        <f t="shared" si="16"/>
        <v>0</v>
      </c>
      <c r="BA36" s="16">
        <f t="shared" si="17"/>
        <v>17636043.383781642</v>
      </c>
      <c r="BB36" s="4"/>
      <c r="BC36" s="16">
        <f>SUMIF('MUTASI 2026'!$B$1382:$B$1477,'WS Trial balance'!$D36,'MUTASI 2026'!$G$1382:$G$1477)</f>
        <v>0</v>
      </c>
      <c r="BD36" s="16">
        <f>SUMIF('MUTASI 2026'!$B$1382:$B$1477,'WS Trial balance'!$D36,'MUTASI 2026'!$H$1382:$H$1477)</f>
        <v>0</v>
      </c>
      <c r="BE36" s="16">
        <f t="shared" si="18"/>
        <v>0</v>
      </c>
      <c r="BF36" s="16">
        <f t="shared" si="19"/>
        <v>17636043.383781642</v>
      </c>
      <c r="BG36" s="4"/>
      <c r="BH36" s="16">
        <f>SUMIF('MUTASI 2026'!$B$1480:$B$1600,'WS Trial balance'!$D36,'MUTASI 2026'!$G$1480:$G$1600)</f>
        <v>0</v>
      </c>
      <c r="BI36" s="16">
        <f>SUMIF('MUTASI 2026'!$B$1480:$B$1600,'WS Trial balance'!$D36,'MUTASI 2026'!$H$1480:$H$1600)</f>
        <v>0</v>
      </c>
      <c r="BJ36" s="16">
        <f t="shared" si="20"/>
        <v>0</v>
      </c>
      <c r="BK36" s="16">
        <f t="shared" si="21"/>
        <v>17636043.383781642</v>
      </c>
      <c r="BL36" s="4"/>
      <c r="BM36" s="16">
        <f>SUMIF('MUTASI 2026'!$B$1603:$B$1722,'WS Trial balance'!$D36,'MUTASI 2026'!$G$1603:$G$1722)</f>
        <v>0</v>
      </c>
      <c r="BN36" s="16">
        <f>SUMIF('MUTASI 2026'!$B$1603:$B$1722,'WS Trial balance'!$D36,'MUTASI 2026'!$H$1603:$H$1722)</f>
        <v>0</v>
      </c>
      <c r="BO36" s="16">
        <f t="shared" si="22"/>
        <v>0</v>
      </c>
      <c r="BP36" s="16">
        <f t="shared" si="23"/>
        <v>17636043.383781642</v>
      </c>
      <c r="BQ36" s="4"/>
      <c r="BR36" s="2"/>
      <c r="BS36" s="4"/>
      <c r="BT36" s="16">
        <f t="shared" si="24"/>
        <v>0</v>
      </c>
      <c r="BU36" s="16">
        <f t="shared" si="24"/>
        <v>47686535.383781642</v>
      </c>
      <c r="BV36" s="4"/>
      <c r="BW36" s="16">
        <f t="shared" si="25"/>
        <v>30050492</v>
      </c>
      <c r="BX36" s="16">
        <f t="shared" si="25"/>
        <v>0</v>
      </c>
      <c r="BY36" s="4"/>
      <c r="BZ36" s="16">
        <f t="shared" si="26"/>
        <v>0</v>
      </c>
      <c r="CA36" s="16">
        <f t="shared" si="27"/>
        <v>17636043.383781642</v>
      </c>
      <c r="CB36" s="4"/>
    </row>
    <row r="37" spans="2:80" s="1" customFormat="1" ht="15" x14ac:dyDescent="0.25">
      <c r="B37" s="3"/>
      <c r="C37" s="15"/>
      <c r="D37" s="15" t="s">
        <v>46</v>
      </c>
      <c r="E37" s="17" t="s">
        <v>47</v>
      </c>
      <c r="F37" s="17" t="s">
        <v>12</v>
      </c>
      <c r="G37" s="16">
        <v>0</v>
      </c>
      <c r="H37" s="16">
        <v>0</v>
      </c>
      <c r="I37" s="4"/>
      <c r="J37" s="16">
        <f>SUMIF('MUTASI 2026'!$B$5:$B$160,'WS Trial balance'!$D37,'MUTASI 2026'!$G$5:$G$160)</f>
        <v>37692000</v>
      </c>
      <c r="K37" s="16">
        <f>SUMIF('MUTASI 2026'!$B$5:$B$160,'WS Trial balance'!$D37,'MUTASI 2026'!$H$5:$H$160)</f>
        <v>66642000</v>
      </c>
      <c r="L37" s="16">
        <f t="shared" si="0"/>
        <v>0</v>
      </c>
      <c r="M37" s="16">
        <f t="shared" si="1"/>
        <v>28950000</v>
      </c>
      <c r="N37" s="4"/>
      <c r="O37" s="16">
        <f>SUMIF('MUTASI 2026'!$B$162:$B$252,'WS Trial balance'!$D37,'MUTASI 2026'!$G$162:$G$252)</f>
        <v>26083500</v>
      </c>
      <c r="P37" s="16">
        <f>SUMIF('MUTASI 2026'!$B$162:$B$252,'WS Trial balance'!$D37,'MUTASI 2026'!$H$162:$H$252)</f>
        <v>26083500</v>
      </c>
      <c r="Q37" s="16">
        <f t="shared" si="2"/>
        <v>0</v>
      </c>
      <c r="R37" s="16">
        <f t="shared" si="3"/>
        <v>28950000</v>
      </c>
      <c r="S37" s="4"/>
      <c r="T37" s="16">
        <f>SUMIF('MUTASI 2026'!$B$254:$B$356,'WS Trial balance'!$D37,'MUTASI 2026'!$G$254:$G$356)</f>
        <v>26083500</v>
      </c>
      <c r="U37" s="16">
        <f>SUMIF('MUTASI 2026'!$B$254:$B$356,'WS Trial balance'!$D37,'MUTASI 2026'!$H$254:$H$356)</f>
        <v>26083500</v>
      </c>
      <c r="V37" s="16">
        <f t="shared" si="4"/>
        <v>0</v>
      </c>
      <c r="W37" s="16">
        <f t="shared" si="5"/>
        <v>28950000</v>
      </c>
      <c r="X37" s="4"/>
      <c r="Y37" s="16">
        <f>SUMIF('MUTASI 2026'!$B$358:$B$480,'WS Trial balance'!$D37,'MUTASI 2026'!$G$358:$G$480)</f>
        <v>26083500</v>
      </c>
      <c r="Z37" s="16">
        <f>SUMIF('MUTASI 2026'!$B$358:$B$480,'WS Trial balance'!$D37,'MUTASI 2026'!$H$358:$H$480)</f>
        <v>26083500</v>
      </c>
      <c r="AA37" s="16">
        <f t="shared" si="6"/>
        <v>0</v>
      </c>
      <c r="AB37" s="16">
        <f t="shared" si="7"/>
        <v>28950000</v>
      </c>
      <c r="AC37" s="4"/>
      <c r="AD37" s="16">
        <f>SUMIF('MUTASI 2026'!$B$482:$B$655,'WS Trial balance'!$D37,'MUTASI 2026'!$G$482:$G$655)</f>
        <v>26083500</v>
      </c>
      <c r="AE37" s="16">
        <f>SUMIF('MUTASI 2026'!$B$482:$B$655,'WS Trial balance'!$D37,'MUTASI 2026'!$H$482:$H$655)</f>
        <v>26083500</v>
      </c>
      <c r="AF37" s="16">
        <f t="shared" si="8"/>
        <v>0</v>
      </c>
      <c r="AG37" s="16">
        <f t="shared" si="9"/>
        <v>28950000</v>
      </c>
      <c r="AH37" s="4"/>
      <c r="AI37" s="16">
        <f>SUMIF('MUTASI 2026'!$B$657:$B$748,'WS Trial balance'!$D37,'MUTASI 2026'!$G$657:$G$748)</f>
        <v>14475000</v>
      </c>
      <c r="AJ37" s="16">
        <f>SUMIF('MUTASI 2026'!$B$657:$B$748,'WS Trial balance'!$D37,'MUTASI 2026'!$H$657:$H$748)</f>
        <v>14475000</v>
      </c>
      <c r="AK37" s="16">
        <f t="shared" si="10"/>
        <v>0</v>
      </c>
      <c r="AL37" s="16">
        <f t="shared" si="11"/>
        <v>28950000</v>
      </c>
      <c r="AM37" s="4"/>
      <c r="AN37" s="16">
        <f>SUMIF('MUTASI 2026'!$B$750:$B$851,'WS Trial balance'!$D37,'MUTASI 2026'!$G$750:$G$851)</f>
        <v>14475000</v>
      </c>
      <c r="AO37" s="16">
        <f>SUMIF('MUTASI 2026'!$B$750:$B$851,'WS Trial balance'!$D37,'MUTASI 2026'!$H$750:$H$851)</f>
        <v>14475000</v>
      </c>
      <c r="AP37" s="16">
        <f t="shared" si="12"/>
        <v>0</v>
      </c>
      <c r="AQ37" s="16">
        <f t="shared" si="13"/>
        <v>28950000</v>
      </c>
      <c r="AR37" s="4"/>
      <c r="AS37" s="16">
        <f>SUMIF('MUTASI 2026'!$B$853:$B$945,'WS Trial balance'!$D37,'MUTASI 2026'!$G$853:$G$945)</f>
        <v>14475000</v>
      </c>
      <c r="AT37" s="16">
        <f>SUMIF('MUTASI 2026'!$B$853:$B$945,'WS Trial balance'!$D37,'MUTASI 2026'!$H$853:$H$945)</f>
        <v>14475000</v>
      </c>
      <c r="AU37" s="16">
        <f t="shared" si="14"/>
        <v>0</v>
      </c>
      <c r="AV37" s="16">
        <f t="shared" si="15"/>
        <v>28950000</v>
      </c>
      <c r="AW37" s="4"/>
      <c r="AX37" s="16">
        <f>SUMIF('MUTASI 2026'!$B$1274:$B$1379,'WS Trial balance'!$D37,'MUTASI 2026'!$G$1274:$G$1379)</f>
        <v>0</v>
      </c>
      <c r="AY37" s="16">
        <f>SUMIF('MUTASI 2026'!$B$1274:$B$1379,'WS Trial balance'!$D37,'MUTASI 2026'!$H$1274:$H$1379)</f>
        <v>0</v>
      </c>
      <c r="AZ37" s="16">
        <f t="shared" si="16"/>
        <v>0</v>
      </c>
      <c r="BA37" s="16">
        <f t="shared" si="17"/>
        <v>28950000</v>
      </c>
      <c r="BB37" s="4"/>
      <c r="BC37" s="16">
        <f>SUMIF('MUTASI 2026'!$B$1382:$B$1477,'WS Trial balance'!$D37,'MUTASI 2026'!$G$1382:$G$1477)</f>
        <v>0</v>
      </c>
      <c r="BD37" s="16">
        <f>SUMIF('MUTASI 2026'!$B$1382:$B$1477,'WS Trial balance'!$D37,'MUTASI 2026'!$H$1382:$H$1477)</f>
        <v>0</v>
      </c>
      <c r="BE37" s="16">
        <f t="shared" si="18"/>
        <v>0</v>
      </c>
      <c r="BF37" s="16">
        <f t="shared" si="19"/>
        <v>28950000</v>
      </c>
      <c r="BG37" s="4"/>
      <c r="BH37" s="16">
        <f>SUMIF('MUTASI 2026'!$B$1480:$B$1600,'WS Trial balance'!$D37,'MUTASI 2026'!$G$1480:$G$1600)</f>
        <v>0</v>
      </c>
      <c r="BI37" s="16">
        <f>SUMIF('MUTASI 2026'!$B$1480:$B$1600,'WS Trial balance'!$D37,'MUTASI 2026'!$H$1480:$H$1600)</f>
        <v>0</v>
      </c>
      <c r="BJ37" s="16">
        <f t="shared" si="20"/>
        <v>0</v>
      </c>
      <c r="BK37" s="16">
        <f t="shared" si="21"/>
        <v>28950000</v>
      </c>
      <c r="BL37" s="4"/>
      <c r="BM37" s="16">
        <f>SUMIF('MUTASI 2026'!$B$1603:$B$1722,'WS Trial balance'!$D37,'MUTASI 2026'!$G$1603:$G$1722)</f>
        <v>0</v>
      </c>
      <c r="BN37" s="16">
        <f>SUMIF('MUTASI 2026'!$B$1603:$B$1722,'WS Trial balance'!$D37,'MUTASI 2026'!$H$1603:$H$1722)</f>
        <v>0</v>
      </c>
      <c r="BO37" s="16">
        <f t="shared" si="22"/>
        <v>0</v>
      </c>
      <c r="BP37" s="16">
        <f t="shared" si="23"/>
        <v>28950000</v>
      </c>
      <c r="BQ37" s="4"/>
      <c r="BR37" s="2"/>
      <c r="BS37" s="4"/>
      <c r="BT37" s="16">
        <f t="shared" si="24"/>
        <v>0</v>
      </c>
      <c r="BU37" s="16">
        <f t="shared" si="24"/>
        <v>0</v>
      </c>
      <c r="BV37" s="4"/>
      <c r="BW37" s="16">
        <f t="shared" si="25"/>
        <v>185451000</v>
      </c>
      <c r="BX37" s="16">
        <f t="shared" si="25"/>
        <v>214401000</v>
      </c>
      <c r="BY37" s="4"/>
      <c r="BZ37" s="16">
        <f t="shared" si="26"/>
        <v>0</v>
      </c>
      <c r="CA37" s="16">
        <f t="shared" si="27"/>
        <v>28950000</v>
      </c>
      <c r="CB37" s="4"/>
    </row>
    <row r="38" spans="2:80" s="1" customFormat="1" ht="15" x14ac:dyDescent="0.25">
      <c r="B38" s="3"/>
      <c r="C38" s="15"/>
      <c r="D38" s="15" t="s">
        <v>45</v>
      </c>
      <c r="E38" s="17" t="s">
        <v>285</v>
      </c>
      <c r="F38" s="17" t="s">
        <v>12</v>
      </c>
      <c r="G38" s="16">
        <v>0</v>
      </c>
      <c r="H38" s="16">
        <v>0</v>
      </c>
      <c r="I38" s="4"/>
      <c r="J38" s="16">
        <f>SUMIF('MUTASI 2026'!$B$5:$B$160,'WS Trial balance'!$D38,'MUTASI 2026'!$G$5:$G$160)</f>
        <v>0</v>
      </c>
      <c r="K38" s="16">
        <f>SUMIF('MUTASI 2026'!$B$5:$B$160,'WS Trial balance'!$D38,'MUTASI 2026'!$H$5:$H$160)</f>
        <v>0</v>
      </c>
      <c r="L38" s="16">
        <f t="shared" si="0"/>
        <v>0</v>
      </c>
      <c r="M38" s="16">
        <f t="shared" si="1"/>
        <v>0</v>
      </c>
      <c r="N38" s="4"/>
      <c r="O38" s="16">
        <f>SUMIF('MUTASI 2026'!$B$162:$B$252,'WS Trial balance'!$D38,'MUTASI 2026'!$G$162:$G$252)</f>
        <v>0</v>
      </c>
      <c r="P38" s="16">
        <f>SUMIF('MUTASI 2026'!$B$162:$B$252,'WS Trial balance'!$D38,'MUTASI 2026'!$H$162:$H$252)</f>
        <v>0</v>
      </c>
      <c r="Q38" s="16">
        <f t="shared" si="2"/>
        <v>0</v>
      </c>
      <c r="R38" s="16">
        <f t="shared" si="3"/>
        <v>0</v>
      </c>
      <c r="S38" s="4"/>
      <c r="T38" s="16">
        <f>SUMIF('MUTASI 2026'!$B$254:$B$356,'WS Trial balance'!$D38,'MUTASI 2026'!$G$254:$G$356)</f>
        <v>0</v>
      </c>
      <c r="U38" s="16">
        <f>SUMIF('MUTASI 2026'!$B$254:$B$356,'WS Trial balance'!$D38,'MUTASI 2026'!$H$254:$H$356)</f>
        <v>0</v>
      </c>
      <c r="V38" s="16">
        <f t="shared" si="4"/>
        <v>0</v>
      </c>
      <c r="W38" s="16">
        <f t="shared" si="5"/>
        <v>0</v>
      </c>
      <c r="X38" s="4"/>
      <c r="Y38" s="16">
        <f>SUMIF('MUTASI 2026'!$B$358:$B$480,'WS Trial balance'!$D38,'MUTASI 2026'!$G$358:$G$480)</f>
        <v>0</v>
      </c>
      <c r="Z38" s="16">
        <f>SUMIF('MUTASI 2026'!$B$358:$B$480,'WS Trial balance'!$D38,'MUTASI 2026'!$H$358:$H$480)</f>
        <v>0</v>
      </c>
      <c r="AA38" s="16">
        <f t="shared" si="6"/>
        <v>0</v>
      </c>
      <c r="AB38" s="16">
        <f t="shared" si="7"/>
        <v>0</v>
      </c>
      <c r="AC38" s="4"/>
      <c r="AD38" s="16">
        <f>SUMIF('MUTASI 2026'!$B$482:$B$655,'WS Trial balance'!$D38,'MUTASI 2026'!$G$482:$G$655)</f>
        <v>35000000</v>
      </c>
      <c r="AE38" s="16">
        <f>SUMIF('MUTASI 2026'!$B$482:$B$655,'WS Trial balance'!$D38,'MUTASI 2026'!$H$482:$H$655)</f>
        <v>35000000</v>
      </c>
      <c r="AF38" s="16">
        <f t="shared" si="8"/>
        <v>0</v>
      </c>
      <c r="AG38" s="16">
        <f t="shared" si="9"/>
        <v>0</v>
      </c>
      <c r="AH38" s="4"/>
      <c r="AI38" s="16">
        <f>SUMIF('MUTASI 2026'!$B$657:$B$748,'WS Trial balance'!$D38,'MUTASI 2026'!$G$657:$G$748)</f>
        <v>160719913</v>
      </c>
      <c r="AJ38" s="16">
        <f>SUMIF('MUTASI 2026'!$B$657:$B$748,'WS Trial balance'!$D38,'MUTASI 2026'!$H$657:$H$748)</f>
        <v>160719913</v>
      </c>
      <c r="AK38" s="16">
        <f t="shared" si="10"/>
        <v>0</v>
      </c>
      <c r="AL38" s="16">
        <f t="shared" si="11"/>
        <v>0</v>
      </c>
      <c r="AM38" s="4"/>
      <c r="AN38" s="16">
        <f>SUMIF('MUTASI 2026'!$B$750:$B$851,'WS Trial balance'!$D38,'MUTASI 2026'!$G$750:$G$851)</f>
        <v>0</v>
      </c>
      <c r="AO38" s="16">
        <f>SUMIF('MUTASI 2026'!$B$750:$B$851,'WS Trial balance'!$D38,'MUTASI 2026'!$H$750:$H$851)</f>
        <v>0</v>
      </c>
      <c r="AP38" s="16">
        <f t="shared" si="12"/>
        <v>0</v>
      </c>
      <c r="AQ38" s="16">
        <f t="shared" si="13"/>
        <v>0</v>
      </c>
      <c r="AR38" s="4"/>
      <c r="AS38" s="16">
        <f>SUMIF('MUTASI 2026'!$B$853:$B$945,'WS Trial balance'!$D38,'MUTASI 2026'!$G$853:$G$945)</f>
        <v>0</v>
      </c>
      <c r="AT38" s="16">
        <f>SUMIF('MUTASI 2026'!$B$853:$B$945,'WS Trial balance'!$D38,'MUTASI 2026'!$H$853:$H$945)</f>
        <v>0</v>
      </c>
      <c r="AU38" s="16">
        <f t="shared" si="14"/>
        <v>0</v>
      </c>
      <c r="AV38" s="16">
        <f t="shared" si="15"/>
        <v>0</v>
      </c>
      <c r="AW38" s="4"/>
      <c r="AX38" s="16">
        <f>SUMIF('MUTASI 2026'!$B$1274:$B$1379,'WS Trial balance'!$D38,'MUTASI 2026'!$G$1274:$G$1379)</f>
        <v>0</v>
      </c>
      <c r="AY38" s="16">
        <f>SUMIF('MUTASI 2026'!$B$1274:$B$1379,'WS Trial balance'!$D38,'MUTASI 2026'!$H$1274:$H$1379)</f>
        <v>0</v>
      </c>
      <c r="AZ38" s="16">
        <f t="shared" si="16"/>
        <v>0</v>
      </c>
      <c r="BA38" s="16">
        <f t="shared" si="17"/>
        <v>0</v>
      </c>
      <c r="BB38" s="4"/>
      <c r="BC38" s="16">
        <f>SUMIF('MUTASI 2026'!$B$1382:$B$1477,'WS Trial balance'!$D38,'MUTASI 2026'!$G$1382:$G$1477)</f>
        <v>0</v>
      </c>
      <c r="BD38" s="16">
        <f>SUMIF('MUTASI 2026'!$B$1382:$B$1477,'WS Trial balance'!$D38,'MUTASI 2026'!$H$1382:$H$1477)</f>
        <v>0</v>
      </c>
      <c r="BE38" s="16">
        <f t="shared" si="18"/>
        <v>0</v>
      </c>
      <c r="BF38" s="16">
        <f t="shared" si="19"/>
        <v>0</v>
      </c>
      <c r="BG38" s="4"/>
      <c r="BH38" s="16">
        <f>SUMIF('MUTASI 2026'!$B$1480:$B$1600,'WS Trial balance'!$D38,'MUTASI 2026'!$G$1480:$G$1600)</f>
        <v>0</v>
      </c>
      <c r="BI38" s="16">
        <f>SUMIF('MUTASI 2026'!$B$1480:$B$1600,'WS Trial balance'!$D38,'MUTASI 2026'!$H$1480:$H$1600)</f>
        <v>0</v>
      </c>
      <c r="BJ38" s="16">
        <f t="shared" si="20"/>
        <v>0</v>
      </c>
      <c r="BK38" s="16">
        <f t="shared" si="21"/>
        <v>0</v>
      </c>
      <c r="BL38" s="4"/>
      <c r="BM38" s="16">
        <f>SUMIF('MUTASI 2026'!$B$1603:$B$1722,'WS Trial balance'!$D38,'MUTASI 2026'!$G$1603:$G$1722)</f>
        <v>0</v>
      </c>
      <c r="BN38" s="16">
        <f>SUMIF('MUTASI 2026'!$B$1603:$B$1722,'WS Trial balance'!$D38,'MUTASI 2026'!$H$1603:$H$1722)</f>
        <v>0</v>
      </c>
      <c r="BO38" s="16">
        <f t="shared" si="22"/>
        <v>0</v>
      </c>
      <c r="BP38" s="16">
        <f t="shared" si="23"/>
        <v>0</v>
      </c>
      <c r="BQ38" s="4"/>
      <c r="BR38" s="2"/>
      <c r="BS38" s="4"/>
      <c r="BT38" s="16">
        <f t="shared" si="24"/>
        <v>0</v>
      </c>
      <c r="BU38" s="16">
        <f t="shared" si="24"/>
        <v>0</v>
      </c>
      <c r="BV38" s="4"/>
      <c r="BW38" s="16">
        <f t="shared" si="25"/>
        <v>195719913</v>
      </c>
      <c r="BX38" s="16">
        <f t="shared" si="25"/>
        <v>195719913</v>
      </c>
      <c r="BY38" s="4"/>
      <c r="BZ38" s="16">
        <f t="shared" si="26"/>
        <v>0</v>
      </c>
      <c r="CA38" s="16">
        <f t="shared" si="27"/>
        <v>0</v>
      </c>
      <c r="CB38" s="4"/>
    </row>
    <row r="39" spans="2:80" s="1" customFormat="1" ht="15" x14ac:dyDescent="0.25">
      <c r="B39" s="3"/>
      <c r="C39" s="15"/>
      <c r="D39" s="15" t="s">
        <v>48</v>
      </c>
      <c r="E39" s="17" t="s">
        <v>351</v>
      </c>
      <c r="F39" s="17" t="s">
        <v>12</v>
      </c>
      <c r="G39" s="16">
        <v>0</v>
      </c>
      <c r="H39" s="16">
        <v>0</v>
      </c>
      <c r="I39" s="4"/>
      <c r="J39" s="16">
        <f>SUMIF('MUTASI 2026'!$B$5:$B$160,'WS Trial balance'!$D39,'MUTASI 2026'!$G$5:$G$160)</f>
        <v>0</v>
      </c>
      <c r="K39" s="16">
        <f>SUMIF('MUTASI 2026'!$B$5:$B$160,'WS Trial balance'!$D39,'MUTASI 2026'!$H$5:$H$160)</f>
        <v>0</v>
      </c>
      <c r="L39" s="16">
        <f t="shared" si="0"/>
        <v>0</v>
      </c>
      <c r="M39" s="16">
        <f t="shared" si="1"/>
        <v>0</v>
      </c>
      <c r="N39" s="4"/>
      <c r="O39" s="16">
        <f>SUMIF('MUTASI 2026'!$B$162:$B$252,'WS Trial balance'!$D39,'MUTASI 2026'!$G$162:$G$252)</f>
        <v>0</v>
      </c>
      <c r="P39" s="16">
        <f>SUMIF('MUTASI 2026'!$B$162:$B$252,'WS Trial balance'!$D39,'MUTASI 2026'!$H$162:$H$252)</f>
        <v>0</v>
      </c>
      <c r="Q39" s="16">
        <f t="shared" si="2"/>
        <v>0</v>
      </c>
      <c r="R39" s="16">
        <f t="shared" si="3"/>
        <v>0</v>
      </c>
      <c r="S39" s="4"/>
      <c r="T39" s="16">
        <f>SUMIF('MUTASI 2026'!$B$254:$B$356,'WS Trial balance'!$D39,'MUTASI 2026'!$G$254:$G$356)</f>
        <v>0</v>
      </c>
      <c r="U39" s="16">
        <f>SUMIF('MUTASI 2026'!$B$254:$B$356,'WS Trial balance'!$D39,'MUTASI 2026'!$H$254:$H$356)</f>
        <v>0</v>
      </c>
      <c r="V39" s="16">
        <f t="shared" si="4"/>
        <v>0</v>
      </c>
      <c r="W39" s="16">
        <f t="shared" si="5"/>
        <v>0</v>
      </c>
      <c r="X39" s="4"/>
      <c r="Y39" s="16">
        <f>SUMIF('MUTASI 2026'!$B$358:$B$480,'WS Trial balance'!$D39,'MUTASI 2026'!$G$358:$G$480)</f>
        <v>0</v>
      </c>
      <c r="Z39" s="16">
        <f>SUMIF('MUTASI 2026'!$B$358:$B$480,'WS Trial balance'!$D39,'MUTASI 2026'!$H$358:$H$480)</f>
        <v>0</v>
      </c>
      <c r="AA39" s="16">
        <f t="shared" si="6"/>
        <v>0</v>
      </c>
      <c r="AB39" s="16">
        <f t="shared" si="7"/>
        <v>0</v>
      </c>
      <c r="AC39" s="4"/>
      <c r="AD39" s="16">
        <f>SUMIF('MUTASI 2026'!$B$482:$B$655,'WS Trial balance'!$D39,'MUTASI 2026'!$G$482:$G$655)</f>
        <v>0</v>
      </c>
      <c r="AE39" s="16">
        <f>SUMIF('MUTASI 2026'!$B$482:$B$655,'WS Trial balance'!$D39,'MUTASI 2026'!$H$482:$H$655)</f>
        <v>0</v>
      </c>
      <c r="AF39" s="16">
        <f t="shared" si="8"/>
        <v>0</v>
      </c>
      <c r="AG39" s="16">
        <f t="shared" si="9"/>
        <v>0</v>
      </c>
      <c r="AH39" s="4"/>
      <c r="AI39" s="16">
        <f>SUMIF('MUTASI 2026'!$B$657:$B$748,'WS Trial balance'!$D39,'MUTASI 2026'!$G$657:$G$748)</f>
        <v>0</v>
      </c>
      <c r="AJ39" s="16">
        <f>SUMIF('MUTASI 2026'!$B$657:$B$748,'WS Trial balance'!$D39,'MUTASI 2026'!$H$657:$H$748)</f>
        <v>0</v>
      </c>
      <c r="AK39" s="16">
        <f t="shared" si="10"/>
        <v>0</v>
      </c>
      <c r="AL39" s="16">
        <f t="shared" si="11"/>
        <v>0</v>
      </c>
      <c r="AM39" s="4"/>
      <c r="AN39" s="16">
        <f>SUMIF('MUTASI 2026'!$B$750:$B$851,'WS Trial balance'!$D39,'MUTASI 2026'!$G$750:$G$851)</f>
        <v>0</v>
      </c>
      <c r="AO39" s="16">
        <f>SUMIF('MUTASI 2026'!$B$750:$B$851,'WS Trial balance'!$D39,'MUTASI 2026'!$H$750:$H$851)</f>
        <v>0</v>
      </c>
      <c r="AP39" s="16">
        <f t="shared" si="12"/>
        <v>0</v>
      </c>
      <c r="AQ39" s="16">
        <f t="shared" si="13"/>
        <v>0</v>
      </c>
      <c r="AR39" s="4"/>
      <c r="AS39" s="16">
        <f>SUMIF('MUTASI 2026'!$B$853:$B$945,'WS Trial balance'!$D39,'MUTASI 2026'!$G$853:$G$945)</f>
        <v>0</v>
      </c>
      <c r="AT39" s="16">
        <f>SUMIF('MUTASI 2026'!$B$853:$B$945,'WS Trial balance'!$D39,'MUTASI 2026'!$H$853:$H$945)</f>
        <v>0</v>
      </c>
      <c r="AU39" s="16">
        <f t="shared" si="14"/>
        <v>0</v>
      </c>
      <c r="AV39" s="16">
        <f t="shared" si="15"/>
        <v>0</v>
      </c>
      <c r="AW39" s="4"/>
      <c r="AX39" s="16">
        <f>SUMIF('MUTASI 2026'!$B$1274:$B$1379,'WS Trial balance'!$D39,'MUTASI 2026'!$G$1274:$G$1379)</f>
        <v>0</v>
      </c>
      <c r="AY39" s="16">
        <f>SUMIF('MUTASI 2026'!$B$1274:$B$1379,'WS Trial balance'!$D39,'MUTASI 2026'!$H$1274:$H$1379)</f>
        <v>0</v>
      </c>
      <c r="AZ39" s="16">
        <f t="shared" si="16"/>
        <v>0</v>
      </c>
      <c r="BA39" s="16">
        <f t="shared" si="17"/>
        <v>0</v>
      </c>
      <c r="BB39" s="4"/>
      <c r="BC39" s="16">
        <f>SUMIF('MUTASI 2026'!$B$1382:$B$1477,'WS Trial balance'!$D39,'MUTASI 2026'!$G$1382:$G$1477)</f>
        <v>0</v>
      </c>
      <c r="BD39" s="16">
        <f>SUMIF('MUTASI 2026'!$B$1382:$B$1477,'WS Trial balance'!$D39,'MUTASI 2026'!$H$1382:$H$1477)</f>
        <v>0</v>
      </c>
      <c r="BE39" s="16">
        <f t="shared" si="18"/>
        <v>0</v>
      </c>
      <c r="BF39" s="16">
        <f t="shared" si="19"/>
        <v>0</v>
      </c>
      <c r="BG39" s="4"/>
      <c r="BH39" s="16">
        <f>SUMIF('MUTASI 2026'!$B$1480:$B$1600,'WS Trial balance'!$D39,'MUTASI 2026'!$G$1480:$G$1600)</f>
        <v>0</v>
      </c>
      <c r="BI39" s="16">
        <f>SUMIF('MUTASI 2026'!$B$1480:$B$1600,'WS Trial balance'!$D39,'MUTASI 2026'!$H$1480:$H$1600)</f>
        <v>0</v>
      </c>
      <c r="BJ39" s="16">
        <f t="shared" si="20"/>
        <v>0</v>
      </c>
      <c r="BK39" s="16">
        <f t="shared" si="21"/>
        <v>0</v>
      </c>
      <c r="BL39" s="4"/>
      <c r="BM39" s="16">
        <f>SUMIF('MUTASI 2026'!$B$1603:$B$1722,'WS Trial balance'!$D39,'MUTASI 2026'!$G$1603:$G$1722)</f>
        <v>0</v>
      </c>
      <c r="BN39" s="16">
        <f>SUMIF('MUTASI 2026'!$B$1603:$B$1722,'WS Trial balance'!$D39,'MUTASI 2026'!$H$1603:$H$1722)</f>
        <v>0</v>
      </c>
      <c r="BO39" s="16">
        <f t="shared" si="22"/>
        <v>0</v>
      </c>
      <c r="BP39" s="16">
        <f t="shared" si="23"/>
        <v>0</v>
      </c>
      <c r="BQ39" s="4"/>
      <c r="BR39" s="2"/>
      <c r="BS39" s="4"/>
      <c r="BT39" s="16">
        <f t="shared" si="24"/>
        <v>0</v>
      </c>
      <c r="BU39" s="16">
        <f t="shared" si="24"/>
        <v>0</v>
      </c>
      <c r="BV39" s="4"/>
      <c r="BW39" s="16">
        <f t="shared" si="25"/>
        <v>0</v>
      </c>
      <c r="BX39" s="16">
        <f t="shared" si="25"/>
        <v>0</v>
      </c>
      <c r="BY39" s="4"/>
      <c r="BZ39" s="16">
        <f t="shared" si="26"/>
        <v>0</v>
      </c>
      <c r="CA39" s="16">
        <f t="shared" si="27"/>
        <v>0</v>
      </c>
      <c r="CB39" s="4"/>
    </row>
    <row r="40" spans="2:80" s="1" customFormat="1" ht="15" x14ac:dyDescent="0.25">
      <c r="B40" s="3"/>
      <c r="C40" s="15"/>
      <c r="D40" s="15" t="s">
        <v>49</v>
      </c>
      <c r="E40" s="17" t="s">
        <v>352</v>
      </c>
      <c r="F40" s="17" t="s">
        <v>12</v>
      </c>
      <c r="G40" s="16">
        <v>0</v>
      </c>
      <c r="H40" s="16">
        <v>0</v>
      </c>
      <c r="I40" s="4"/>
      <c r="J40" s="16">
        <f>SUMIF('MUTASI 2026'!$B$5:$B$160,'WS Trial balance'!$D40,'MUTASI 2026'!$G$5:$G$160)</f>
        <v>0</v>
      </c>
      <c r="K40" s="16">
        <f>SUMIF('MUTASI 2026'!$B$5:$B$160,'WS Trial balance'!$D40,'MUTASI 2026'!$H$5:$H$160)</f>
        <v>0</v>
      </c>
      <c r="L40" s="16">
        <f t="shared" si="0"/>
        <v>0</v>
      </c>
      <c r="M40" s="16">
        <f t="shared" si="1"/>
        <v>0</v>
      </c>
      <c r="N40" s="4"/>
      <c r="O40" s="16">
        <f>SUMIF('MUTASI 2026'!$B$162:$B$252,'WS Trial balance'!$D40,'MUTASI 2026'!$G$162:$G$252)</f>
        <v>0</v>
      </c>
      <c r="P40" s="16">
        <f>SUMIF('MUTASI 2026'!$B$162:$B$252,'WS Trial balance'!$D40,'MUTASI 2026'!$H$162:$H$252)</f>
        <v>0</v>
      </c>
      <c r="Q40" s="16">
        <f t="shared" si="2"/>
        <v>0</v>
      </c>
      <c r="R40" s="16">
        <f t="shared" si="3"/>
        <v>0</v>
      </c>
      <c r="S40" s="4"/>
      <c r="T40" s="16">
        <f>SUMIF('MUTASI 2026'!$B$254:$B$356,'WS Trial balance'!$D40,'MUTASI 2026'!$G$254:$G$356)</f>
        <v>0</v>
      </c>
      <c r="U40" s="16">
        <f>SUMIF('MUTASI 2026'!$B$254:$B$356,'WS Trial balance'!$D40,'MUTASI 2026'!$H$254:$H$356)</f>
        <v>0</v>
      </c>
      <c r="V40" s="16">
        <f t="shared" si="4"/>
        <v>0</v>
      </c>
      <c r="W40" s="16">
        <f t="shared" si="5"/>
        <v>0</v>
      </c>
      <c r="X40" s="4"/>
      <c r="Y40" s="16">
        <f>SUMIF('MUTASI 2026'!$B$358:$B$480,'WS Trial balance'!$D40,'MUTASI 2026'!$G$358:$G$480)</f>
        <v>0</v>
      </c>
      <c r="Z40" s="16">
        <f>SUMIF('MUTASI 2026'!$B$358:$B$480,'WS Trial balance'!$D40,'MUTASI 2026'!$H$358:$H$480)</f>
        <v>0</v>
      </c>
      <c r="AA40" s="16">
        <f t="shared" si="6"/>
        <v>0</v>
      </c>
      <c r="AB40" s="16">
        <f t="shared" si="7"/>
        <v>0</v>
      </c>
      <c r="AC40" s="4"/>
      <c r="AD40" s="16">
        <f>SUMIF('MUTASI 2026'!$B$482:$B$655,'WS Trial balance'!$D40,'MUTASI 2026'!$G$482:$G$655)</f>
        <v>0</v>
      </c>
      <c r="AE40" s="16">
        <f>SUMIF('MUTASI 2026'!$B$482:$B$655,'WS Trial balance'!$D40,'MUTASI 2026'!$H$482:$H$655)</f>
        <v>0</v>
      </c>
      <c r="AF40" s="16">
        <f t="shared" si="8"/>
        <v>0</v>
      </c>
      <c r="AG40" s="16">
        <f t="shared" si="9"/>
        <v>0</v>
      </c>
      <c r="AH40" s="4"/>
      <c r="AI40" s="16">
        <f>SUMIF('MUTASI 2026'!$B$657:$B$748,'WS Trial balance'!$D40,'MUTASI 2026'!$G$657:$G$748)</f>
        <v>0</v>
      </c>
      <c r="AJ40" s="16">
        <f>SUMIF('MUTASI 2026'!$B$657:$B$748,'WS Trial balance'!$D40,'MUTASI 2026'!$H$657:$H$748)</f>
        <v>0</v>
      </c>
      <c r="AK40" s="16">
        <f t="shared" si="10"/>
        <v>0</v>
      </c>
      <c r="AL40" s="16">
        <f t="shared" si="11"/>
        <v>0</v>
      </c>
      <c r="AM40" s="4"/>
      <c r="AN40" s="16">
        <f>SUMIF('MUTASI 2026'!$B$750:$B$851,'WS Trial balance'!$D40,'MUTASI 2026'!$G$750:$G$851)</f>
        <v>0</v>
      </c>
      <c r="AO40" s="16">
        <f>SUMIF('MUTASI 2026'!$B$750:$B$851,'WS Trial balance'!$D40,'MUTASI 2026'!$H$750:$H$851)</f>
        <v>0</v>
      </c>
      <c r="AP40" s="16">
        <f t="shared" si="12"/>
        <v>0</v>
      </c>
      <c r="AQ40" s="16">
        <f t="shared" si="13"/>
        <v>0</v>
      </c>
      <c r="AR40" s="4"/>
      <c r="AS40" s="16">
        <f>SUMIF('MUTASI 2026'!$B$853:$B$945,'WS Trial balance'!$D40,'MUTASI 2026'!$G$853:$G$945)</f>
        <v>0</v>
      </c>
      <c r="AT40" s="16">
        <f>SUMIF('MUTASI 2026'!$B$853:$B$945,'WS Trial balance'!$D40,'MUTASI 2026'!$H$853:$H$945)</f>
        <v>0</v>
      </c>
      <c r="AU40" s="16">
        <f t="shared" si="14"/>
        <v>0</v>
      </c>
      <c r="AV40" s="16">
        <f t="shared" si="15"/>
        <v>0</v>
      </c>
      <c r="AW40" s="4"/>
      <c r="AX40" s="16">
        <f>SUMIF('MUTASI 2026'!$B$1274:$B$1379,'WS Trial balance'!$D40,'MUTASI 2026'!$G$1274:$G$1379)</f>
        <v>0</v>
      </c>
      <c r="AY40" s="16">
        <f>SUMIF('MUTASI 2026'!$B$1274:$B$1379,'WS Trial balance'!$D40,'MUTASI 2026'!$H$1274:$H$1379)</f>
        <v>0</v>
      </c>
      <c r="AZ40" s="16">
        <f t="shared" si="16"/>
        <v>0</v>
      </c>
      <c r="BA40" s="16">
        <f t="shared" si="17"/>
        <v>0</v>
      </c>
      <c r="BB40" s="4"/>
      <c r="BC40" s="16">
        <f>SUMIF('MUTASI 2026'!$B$1382:$B$1477,'WS Trial balance'!$D40,'MUTASI 2026'!$G$1382:$G$1477)</f>
        <v>0</v>
      </c>
      <c r="BD40" s="16">
        <f>SUMIF('MUTASI 2026'!$B$1382:$B$1477,'WS Trial balance'!$D40,'MUTASI 2026'!$H$1382:$H$1477)</f>
        <v>0</v>
      </c>
      <c r="BE40" s="16">
        <f t="shared" si="18"/>
        <v>0</v>
      </c>
      <c r="BF40" s="16">
        <f t="shared" si="19"/>
        <v>0</v>
      </c>
      <c r="BG40" s="4"/>
      <c r="BH40" s="16">
        <f>SUMIF('MUTASI 2026'!$B$1480:$B$1600,'WS Trial balance'!$D40,'MUTASI 2026'!$G$1480:$G$1600)</f>
        <v>0</v>
      </c>
      <c r="BI40" s="16">
        <f>SUMIF('MUTASI 2026'!$B$1480:$B$1600,'WS Trial balance'!$D40,'MUTASI 2026'!$H$1480:$H$1600)</f>
        <v>0</v>
      </c>
      <c r="BJ40" s="16">
        <f t="shared" si="20"/>
        <v>0</v>
      </c>
      <c r="BK40" s="16">
        <f t="shared" si="21"/>
        <v>0</v>
      </c>
      <c r="BL40" s="4"/>
      <c r="BM40" s="16">
        <f>SUMIF('MUTASI 2026'!$B$1603:$B$1722,'WS Trial balance'!$D40,'MUTASI 2026'!$G$1603:$G$1722)</f>
        <v>0</v>
      </c>
      <c r="BN40" s="16">
        <f>SUMIF('MUTASI 2026'!$B$1603:$B$1722,'WS Trial balance'!$D40,'MUTASI 2026'!$H$1603:$H$1722)</f>
        <v>0</v>
      </c>
      <c r="BO40" s="16">
        <f t="shared" si="22"/>
        <v>0</v>
      </c>
      <c r="BP40" s="16">
        <f t="shared" si="23"/>
        <v>0</v>
      </c>
      <c r="BQ40" s="4"/>
      <c r="BR40" s="2"/>
      <c r="BS40" s="4"/>
      <c r="BT40" s="16">
        <f t="shared" si="24"/>
        <v>0</v>
      </c>
      <c r="BU40" s="16">
        <f t="shared" si="24"/>
        <v>0</v>
      </c>
      <c r="BV40" s="4"/>
      <c r="BW40" s="16">
        <f t="shared" si="25"/>
        <v>0</v>
      </c>
      <c r="BX40" s="16">
        <f t="shared" si="25"/>
        <v>0</v>
      </c>
      <c r="BY40" s="4"/>
      <c r="BZ40" s="16">
        <f t="shared" si="26"/>
        <v>0</v>
      </c>
      <c r="CA40" s="16">
        <f t="shared" si="27"/>
        <v>0</v>
      </c>
      <c r="CB40" s="4"/>
    </row>
    <row r="41" spans="2:80" s="1" customFormat="1" ht="15" x14ac:dyDescent="0.25">
      <c r="B41" s="3"/>
      <c r="C41" s="15"/>
      <c r="D41" s="15" t="s">
        <v>50</v>
      </c>
      <c r="E41" s="17" t="s">
        <v>353</v>
      </c>
      <c r="F41" s="17" t="s">
        <v>12</v>
      </c>
      <c r="G41" s="16">
        <v>0</v>
      </c>
      <c r="H41" s="16">
        <v>0</v>
      </c>
      <c r="I41" s="4"/>
      <c r="J41" s="16">
        <f>SUMIF('MUTASI 2026'!$B$5:$B$160,'WS Trial balance'!$D41,'MUTASI 2026'!$G$5:$G$160)</f>
        <v>0</v>
      </c>
      <c r="K41" s="16">
        <f>SUMIF('MUTASI 2026'!$B$5:$B$160,'WS Trial balance'!$D41,'MUTASI 2026'!$H$5:$H$160)</f>
        <v>0</v>
      </c>
      <c r="L41" s="16">
        <f t="shared" si="0"/>
        <v>0</v>
      </c>
      <c r="M41" s="16">
        <f t="shared" si="1"/>
        <v>0</v>
      </c>
      <c r="N41" s="4"/>
      <c r="O41" s="16">
        <f>SUMIF('MUTASI 2026'!$B$162:$B$252,'WS Trial balance'!$D41,'MUTASI 2026'!$G$162:$G$252)</f>
        <v>0</v>
      </c>
      <c r="P41" s="16">
        <f>SUMIF('MUTASI 2026'!$B$162:$B$252,'WS Trial balance'!$D41,'MUTASI 2026'!$H$162:$H$252)</f>
        <v>0</v>
      </c>
      <c r="Q41" s="16">
        <f t="shared" si="2"/>
        <v>0</v>
      </c>
      <c r="R41" s="16">
        <f t="shared" si="3"/>
        <v>0</v>
      </c>
      <c r="S41" s="4"/>
      <c r="T41" s="16">
        <f>SUMIF('MUTASI 2026'!$B$254:$B$356,'WS Trial balance'!$D41,'MUTASI 2026'!$G$254:$G$356)</f>
        <v>0</v>
      </c>
      <c r="U41" s="16">
        <f>SUMIF('MUTASI 2026'!$B$254:$B$356,'WS Trial balance'!$D41,'MUTASI 2026'!$H$254:$H$356)</f>
        <v>0</v>
      </c>
      <c r="V41" s="16">
        <f t="shared" si="4"/>
        <v>0</v>
      </c>
      <c r="W41" s="16">
        <f t="shared" si="5"/>
        <v>0</v>
      </c>
      <c r="X41" s="4"/>
      <c r="Y41" s="16">
        <f>SUMIF('MUTASI 2026'!$B$358:$B$480,'WS Trial balance'!$D41,'MUTASI 2026'!$G$358:$G$480)</f>
        <v>0</v>
      </c>
      <c r="Z41" s="16">
        <f>SUMIF('MUTASI 2026'!$B$358:$B$480,'WS Trial balance'!$D41,'MUTASI 2026'!$H$358:$H$480)</f>
        <v>0</v>
      </c>
      <c r="AA41" s="16">
        <f t="shared" si="6"/>
        <v>0</v>
      </c>
      <c r="AB41" s="16">
        <f t="shared" si="7"/>
        <v>0</v>
      </c>
      <c r="AC41" s="4"/>
      <c r="AD41" s="16">
        <f>SUMIF('MUTASI 2026'!$B$482:$B$655,'WS Trial balance'!$D41,'MUTASI 2026'!$G$482:$G$655)</f>
        <v>0</v>
      </c>
      <c r="AE41" s="16">
        <f>SUMIF('MUTASI 2026'!$B$482:$B$655,'WS Trial balance'!$D41,'MUTASI 2026'!$H$482:$H$655)</f>
        <v>0</v>
      </c>
      <c r="AF41" s="16">
        <f t="shared" si="8"/>
        <v>0</v>
      </c>
      <c r="AG41" s="16">
        <f t="shared" si="9"/>
        <v>0</v>
      </c>
      <c r="AH41" s="4"/>
      <c r="AI41" s="16">
        <f>SUMIF('MUTASI 2026'!$B$657:$B$748,'WS Trial balance'!$D41,'MUTASI 2026'!$G$657:$G$748)</f>
        <v>0</v>
      </c>
      <c r="AJ41" s="16">
        <f>SUMIF('MUTASI 2026'!$B$657:$B$748,'WS Trial balance'!$D41,'MUTASI 2026'!$H$657:$H$748)</f>
        <v>0</v>
      </c>
      <c r="AK41" s="16">
        <f t="shared" si="10"/>
        <v>0</v>
      </c>
      <c r="AL41" s="16">
        <f t="shared" si="11"/>
        <v>0</v>
      </c>
      <c r="AM41" s="4"/>
      <c r="AN41" s="16">
        <f>SUMIF('MUTASI 2026'!$B$750:$B$851,'WS Trial balance'!$D41,'MUTASI 2026'!$G$750:$G$851)</f>
        <v>0</v>
      </c>
      <c r="AO41" s="16">
        <f>SUMIF('MUTASI 2026'!$B$750:$B$851,'WS Trial balance'!$D41,'MUTASI 2026'!$H$750:$H$851)</f>
        <v>0</v>
      </c>
      <c r="AP41" s="16">
        <f t="shared" si="12"/>
        <v>0</v>
      </c>
      <c r="AQ41" s="16">
        <f t="shared" si="13"/>
        <v>0</v>
      </c>
      <c r="AR41" s="4"/>
      <c r="AS41" s="16">
        <f>SUMIF('MUTASI 2026'!$B$853:$B$945,'WS Trial balance'!$D41,'MUTASI 2026'!$G$853:$G$945)</f>
        <v>0</v>
      </c>
      <c r="AT41" s="16">
        <f>SUMIF('MUTASI 2026'!$B$853:$B$945,'WS Trial balance'!$D41,'MUTASI 2026'!$H$853:$H$945)</f>
        <v>0</v>
      </c>
      <c r="AU41" s="16">
        <f t="shared" si="14"/>
        <v>0</v>
      </c>
      <c r="AV41" s="16">
        <f t="shared" si="15"/>
        <v>0</v>
      </c>
      <c r="AW41" s="4"/>
      <c r="AX41" s="16">
        <f>SUMIF('MUTASI 2026'!$B$1274:$B$1379,'WS Trial balance'!$D41,'MUTASI 2026'!$G$1274:$G$1379)</f>
        <v>0</v>
      </c>
      <c r="AY41" s="16">
        <f>SUMIF('MUTASI 2026'!$B$1274:$B$1379,'WS Trial balance'!$D41,'MUTASI 2026'!$H$1274:$H$1379)</f>
        <v>0</v>
      </c>
      <c r="AZ41" s="16">
        <f t="shared" si="16"/>
        <v>0</v>
      </c>
      <c r="BA41" s="16">
        <f t="shared" si="17"/>
        <v>0</v>
      </c>
      <c r="BB41" s="4"/>
      <c r="BC41" s="16">
        <f>SUMIF('MUTASI 2026'!$B$1382:$B$1477,'WS Trial balance'!$D41,'MUTASI 2026'!$G$1382:$G$1477)</f>
        <v>0</v>
      </c>
      <c r="BD41" s="16">
        <f>SUMIF('MUTASI 2026'!$B$1382:$B$1477,'WS Trial balance'!$D41,'MUTASI 2026'!$H$1382:$H$1477)</f>
        <v>0</v>
      </c>
      <c r="BE41" s="16">
        <f t="shared" si="18"/>
        <v>0</v>
      </c>
      <c r="BF41" s="16">
        <f t="shared" si="19"/>
        <v>0</v>
      </c>
      <c r="BG41" s="4"/>
      <c r="BH41" s="16">
        <f>SUMIF('MUTASI 2026'!$B$1480:$B$1600,'WS Trial balance'!$D41,'MUTASI 2026'!$G$1480:$G$1600)</f>
        <v>0</v>
      </c>
      <c r="BI41" s="16">
        <f>SUMIF('MUTASI 2026'!$B$1480:$B$1600,'WS Trial balance'!$D41,'MUTASI 2026'!$H$1480:$H$1600)</f>
        <v>0</v>
      </c>
      <c r="BJ41" s="16">
        <f t="shared" si="20"/>
        <v>0</v>
      </c>
      <c r="BK41" s="16">
        <f t="shared" si="21"/>
        <v>0</v>
      </c>
      <c r="BL41" s="4"/>
      <c r="BM41" s="16">
        <f>SUMIF('MUTASI 2026'!$B$1603:$B$1722,'WS Trial balance'!$D41,'MUTASI 2026'!$G$1603:$G$1722)</f>
        <v>0</v>
      </c>
      <c r="BN41" s="16">
        <f>SUMIF('MUTASI 2026'!$B$1603:$B$1722,'WS Trial balance'!$D41,'MUTASI 2026'!$H$1603:$H$1722)</f>
        <v>0</v>
      </c>
      <c r="BO41" s="16">
        <f t="shared" si="22"/>
        <v>0</v>
      </c>
      <c r="BP41" s="16">
        <f t="shared" si="23"/>
        <v>0</v>
      </c>
      <c r="BQ41" s="4"/>
      <c r="BR41" s="2"/>
      <c r="BS41" s="4"/>
      <c r="BT41" s="16">
        <f t="shared" si="24"/>
        <v>0</v>
      </c>
      <c r="BU41" s="16">
        <f t="shared" si="24"/>
        <v>0</v>
      </c>
      <c r="BV41" s="4"/>
      <c r="BW41" s="16">
        <f t="shared" si="25"/>
        <v>0</v>
      </c>
      <c r="BX41" s="16">
        <f t="shared" si="25"/>
        <v>0</v>
      </c>
      <c r="BY41" s="4"/>
      <c r="BZ41" s="16">
        <f t="shared" si="26"/>
        <v>0</v>
      </c>
      <c r="CA41" s="16">
        <f t="shared" si="27"/>
        <v>0</v>
      </c>
      <c r="CB41" s="4"/>
    </row>
    <row r="42" spans="2:80" s="1" customFormat="1" ht="15" x14ac:dyDescent="0.25">
      <c r="B42" s="3"/>
      <c r="C42" s="15"/>
      <c r="D42" s="15" t="s">
        <v>51</v>
      </c>
      <c r="E42" s="17" t="s">
        <v>286</v>
      </c>
      <c r="F42" s="17" t="s">
        <v>12</v>
      </c>
      <c r="G42" s="16">
        <v>0</v>
      </c>
      <c r="H42" s="16">
        <v>0</v>
      </c>
      <c r="I42" s="4"/>
      <c r="J42" s="16">
        <f>SUMIF('MUTASI 2026'!$B$5:$B$160,'WS Trial balance'!$D42,'MUTASI 2026'!$G$5:$G$160)</f>
        <v>0</v>
      </c>
      <c r="K42" s="16">
        <f>SUMIF('MUTASI 2026'!$B$5:$B$160,'WS Trial balance'!$D42,'MUTASI 2026'!$H$5:$H$160)</f>
        <v>0</v>
      </c>
      <c r="L42" s="16">
        <f t="shared" si="0"/>
        <v>0</v>
      </c>
      <c r="M42" s="16">
        <f t="shared" si="1"/>
        <v>0</v>
      </c>
      <c r="N42" s="4"/>
      <c r="O42" s="16">
        <f>SUMIF('MUTASI 2026'!$B$162:$B$252,'WS Trial balance'!$D42,'MUTASI 2026'!$G$162:$G$252)</f>
        <v>0</v>
      </c>
      <c r="P42" s="16">
        <f>SUMIF('MUTASI 2026'!$B$162:$B$252,'WS Trial balance'!$D42,'MUTASI 2026'!$H$162:$H$252)</f>
        <v>0</v>
      </c>
      <c r="Q42" s="16">
        <f t="shared" si="2"/>
        <v>0</v>
      </c>
      <c r="R42" s="16">
        <f t="shared" si="3"/>
        <v>0</v>
      </c>
      <c r="S42" s="4"/>
      <c r="T42" s="16">
        <f>SUMIF('MUTASI 2026'!$B$254:$B$356,'WS Trial balance'!$D42,'MUTASI 2026'!$G$254:$G$356)</f>
        <v>0</v>
      </c>
      <c r="U42" s="16">
        <f>SUMIF('MUTASI 2026'!$B$254:$B$356,'WS Trial balance'!$D42,'MUTASI 2026'!$H$254:$H$356)</f>
        <v>0</v>
      </c>
      <c r="V42" s="16">
        <f t="shared" si="4"/>
        <v>0</v>
      </c>
      <c r="W42" s="16">
        <f t="shared" si="5"/>
        <v>0</v>
      </c>
      <c r="X42" s="4"/>
      <c r="Y42" s="16">
        <f>SUMIF('MUTASI 2026'!$B$358:$B$480,'WS Trial balance'!$D42,'MUTASI 2026'!$G$358:$G$480)</f>
        <v>0</v>
      </c>
      <c r="Z42" s="16">
        <f>SUMIF('MUTASI 2026'!$B$358:$B$480,'WS Trial balance'!$D42,'MUTASI 2026'!$H$358:$H$480)</f>
        <v>0</v>
      </c>
      <c r="AA42" s="16">
        <f t="shared" si="6"/>
        <v>0</v>
      </c>
      <c r="AB42" s="16">
        <f t="shared" si="7"/>
        <v>0</v>
      </c>
      <c r="AC42" s="4"/>
      <c r="AD42" s="16">
        <f>SUMIF('MUTASI 2026'!$B$482:$B$655,'WS Trial balance'!$D42,'MUTASI 2026'!$G$482:$G$655)</f>
        <v>0</v>
      </c>
      <c r="AE42" s="16">
        <f>SUMIF('MUTASI 2026'!$B$482:$B$655,'WS Trial balance'!$D42,'MUTASI 2026'!$H$482:$H$655)</f>
        <v>0</v>
      </c>
      <c r="AF42" s="16">
        <f t="shared" si="8"/>
        <v>0</v>
      </c>
      <c r="AG42" s="16">
        <f t="shared" si="9"/>
        <v>0</v>
      </c>
      <c r="AH42" s="4"/>
      <c r="AI42" s="16">
        <f>SUMIF('MUTASI 2026'!$B$657:$B$748,'WS Trial balance'!$D42,'MUTASI 2026'!$G$657:$G$748)</f>
        <v>0</v>
      </c>
      <c r="AJ42" s="16">
        <f>SUMIF('MUTASI 2026'!$B$657:$B$748,'WS Trial balance'!$D42,'MUTASI 2026'!$H$657:$H$748)</f>
        <v>0</v>
      </c>
      <c r="AK42" s="16">
        <f t="shared" si="10"/>
        <v>0</v>
      </c>
      <c r="AL42" s="16">
        <f t="shared" si="11"/>
        <v>0</v>
      </c>
      <c r="AM42" s="4"/>
      <c r="AN42" s="16">
        <f>SUMIF('MUTASI 2026'!$B$750:$B$851,'WS Trial balance'!$D42,'MUTASI 2026'!$G$750:$G$851)</f>
        <v>0</v>
      </c>
      <c r="AO42" s="16">
        <f>SUMIF('MUTASI 2026'!$B$750:$B$851,'WS Trial balance'!$D42,'MUTASI 2026'!$H$750:$H$851)</f>
        <v>0</v>
      </c>
      <c r="AP42" s="16">
        <f t="shared" si="12"/>
        <v>0</v>
      </c>
      <c r="AQ42" s="16">
        <f t="shared" si="13"/>
        <v>0</v>
      </c>
      <c r="AR42" s="4"/>
      <c r="AS42" s="16">
        <f>SUMIF('MUTASI 2026'!$B$853:$B$945,'WS Trial balance'!$D42,'MUTASI 2026'!$G$853:$G$945)</f>
        <v>0</v>
      </c>
      <c r="AT42" s="16">
        <f>SUMIF('MUTASI 2026'!$B$853:$B$945,'WS Trial balance'!$D42,'MUTASI 2026'!$H$853:$H$945)</f>
        <v>0</v>
      </c>
      <c r="AU42" s="16">
        <f t="shared" si="14"/>
        <v>0</v>
      </c>
      <c r="AV42" s="16">
        <f t="shared" si="15"/>
        <v>0</v>
      </c>
      <c r="AW42" s="4"/>
      <c r="AX42" s="16">
        <f>SUMIF('MUTASI 2026'!$B$1274:$B$1379,'WS Trial balance'!$D42,'MUTASI 2026'!$G$1274:$G$1379)</f>
        <v>0</v>
      </c>
      <c r="AY42" s="16">
        <f>SUMIF('MUTASI 2026'!$B$1274:$B$1379,'WS Trial balance'!$D42,'MUTASI 2026'!$H$1274:$H$1379)</f>
        <v>0</v>
      </c>
      <c r="AZ42" s="16">
        <f t="shared" si="16"/>
        <v>0</v>
      </c>
      <c r="BA42" s="16">
        <f t="shared" si="17"/>
        <v>0</v>
      </c>
      <c r="BB42" s="4"/>
      <c r="BC42" s="16">
        <f>SUMIF('MUTASI 2026'!$B$1382:$B$1477,'WS Trial balance'!$D42,'MUTASI 2026'!$G$1382:$G$1477)</f>
        <v>0</v>
      </c>
      <c r="BD42" s="16">
        <f>SUMIF('MUTASI 2026'!$B$1382:$B$1477,'WS Trial balance'!$D42,'MUTASI 2026'!$H$1382:$H$1477)</f>
        <v>0</v>
      </c>
      <c r="BE42" s="16">
        <f t="shared" si="18"/>
        <v>0</v>
      </c>
      <c r="BF42" s="16">
        <f t="shared" si="19"/>
        <v>0</v>
      </c>
      <c r="BG42" s="4"/>
      <c r="BH42" s="16">
        <f>SUMIF('MUTASI 2026'!$B$1480:$B$1600,'WS Trial balance'!$D42,'MUTASI 2026'!$G$1480:$G$1600)</f>
        <v>0</v>
      </c>
      <c r="BI42" s="16">
        <f>SUMIF('MUTASI 2026'!$B$1480:$B$1600,'WS Trial balance'!$D42,'MUTASI 2026'!$H$1480:$H$1600)</f>
        <v>0</v>
      </c>
      <c r="BJ42" s="16">
        <f t="shared" si="20"/>
        <v>0</v>
      </c>
      <c r="BK42" s="16">
        <f t="shared" si="21"/>
        <v>0</v>
      </c>
      <c r="BL42" s="4"/>
      <c r="BM42" s="16">
        <f>SUMIF('MUTASI 2026'!$B$1603:$B$1722,'WS Trial balance'!$D42,'MUTASI 2026'!$G$1603:$G$1722)</f>
        <v>0</v>
      </c>
      <c r="BN42" s="16">
        <f>SUMIF('MUTASI 2026'!$B$1603:$B$1722,'WS Trial balance'!$D42,'MUTASI 2026'!$H$1603:$H$1722)</f>
        <v>0</v>
      </c>
      <c r="BO42" s="16">
        <f t="shared" si="22"/>
        <v>0</v>
      </c>
      <c r="BP42" s="16">
        <f t="shared" si="23"/>
        <v>0</v>
      </c>
      <c r="BQ42" s="4"/>
      <c r="BR42" s="2"/>
      <c r="BS42" s="4"/>
      <c r="BT42" s="16">
        <f t="shared" si="24"/>
        <v>0</v>
      </c>
      <c r="BU42" s="16">
        <f t="shared" si="24"/>
        <v>0</v>
      </c>
      <c r="BV42" s="4"/>
      <c r="BW42" s="16">
        <f t="shared" si="25"/>
        <v>0</v>
      </c>
      <c r="BX42" s="16">
        <f t="shared" si="25"/>
        <v>0</v>
      </c>
      <c r="BY42" s="4"/>
      <c r="BZ42" s="16">
        <f t="shared" si="26"/>
        <v>0</v>
      </c>
      <c r="CA42" s="16">
        <f t="shared" si="27"/>
        <v>0</v>
      </c>
      <c r="CB42" s="4"/>
    </row>
    <row r="43" spans="2:80" s="1" customFormat="1" ht="15" x14ac:dyDescent="0.25">
      <c r="B43" s="3"/>
      <c r="C43" s="15"/>
      <c r="D43" s="15" t="s">
        <v>52</v>
      </c>
      <c r="E43" s="17" t="s">
        <v>396</v>
      </c>
      <c r="F43" s="17" t="s">
        <v>12</v>
      </c>
      <c r="G43" s="16">
        <v>0</v>
      </c>
      <c r="H43" s="16">
        <v>7900000</v>
      </c>
      <c r="I43" s="4"/>
      <c r="J43" s="16">
        <f>SUMIF('MUTASI 2026'!$B$5:$B$160,'WS Trial balance'!$D43,'MUTASI 2026'!$G$5:$G$160)</f>
        <v>0</v>
      </c>
      <c r="K43" s="16">
        <f>SUMIF('MUTASI 2026'!$B$5:$B$160,'WS Trial balance'!$D43,'MUTASI 2026'!$H$5:$H$160)</f>
        <v>0</v>
      </c>
      <c r="L43" s="16">
        <f t="shared" si="0"/>
        <v>0</v>
      </c>
      <c r="M43" s="16">
        <f t="shared" si="1"/>
        <v>7900000</v>
      </c>
      <c r="N43" s="4"/>
      <c r="O43" s="16">
        <f>SUMIF('MUTASI 2026'!$B$162:$B$252,'WS Trial balance'!$D43,'MUTASI 2026'!$G$162:$G$252)</f>
        <v>0</v>
      </c>
      <c r="P43" s="16">
        <f>SUMIF('MUTASI 2026'!$B$162:$B$252,'WS Trial balance'!$D43,'MUTASI 2026'!$H$162:$H$252)</f>
        <v>300000</v>
      </c>
      <c r="Q43" s="16">
        <f t="shared" si="2"/>
        <v>0</v>
      </c>
      <c r="R43" s="16">
        <f t="shared" si="3"/>
        <v>8200000</v>
      </c>
      <c r="S43" s="4"/>
      <c r="T43" s="16">
        <f>SUMIF('MUTASI 2026'!$B$254:$B$356,'WS Trial balance'!$D43,'MUTASI 2026'!$G$254:$G$356)</f>
        <v>0</v>
      </c>
      <c r="U43" s="16">
        <f>SUMIF('MUTASI 2026'!$B$254:$B$356,'WS Trial balance'!$D43,'MUTASI 2026'!$H$254:$H$356)</f>
        <v>0</v>
      </c>
      <c r="V43" s="16">
        <f t="shared" si="4"/>
        <v>0</v>
      </c>
      <c r="W43" s="16">
        <f t="shared" si="5"/>
        <v>8200000</v>
      </c>
      <c r="X43" s="4"/>
      <c r="Y43" s="16">
        <f>SUMIF('MUTASI 2026'!$B$358:$B$480,'WS Trial balance'!$D43,'MUTASI 2026'!$G$358:$G$480)</f>
        <v>0</v>
      </c>
      <c r="Z43" s="16">
        <f>SUMIF('MUTASI 2026'!$B$358:$B$480,'WS Trial balance'!$D43,'MUTASI 2026'!$H$358:$H$480)</f>
        <v>0</v>
      </c>
      <c r="AA43" s="16">
        <f t="shared" si="6"/>
        <v>0</v>
      </c>
      <c r="AB43" s="16">
        <f t="shared" si="7"/>
        <v>8200000</v>
      </c>
      <c r="AC43" s="4"/>
      <c r="AD43" s="16">
        <f>SUMIF('MUTASI 2026'!$B$482:$B$655,'WS Trial balance'!$D43,'MUTASI 2026'!$G$482:$G$655)</f>
        <v>300000</v>
      </c>
      <c r="AE43" s="16">
        <f>SUMIF('MUTASI 2026'!$B$482:$B$655,'WS Trial balance'!$D43,'MUTASI 2026'!$H$482:$H$655)</f>
        <v>0</v>
      </c>
      <c r="AF43" s="16">
        <f t="shared" si="8"/>
        <v>0</v>
      </c>
      <c r="AG43" s="16">
        <f t="shared" si="9"/>
        <v>7900000</v>
      </c>
      <c r="AH43" s="4"/>
      <c r="AI43" s="16">
        <f>SUMIF('MUTASI 2026'!$B$657:$B$748,'WS Trial balance'!$D43,'MUTASI 2026'!$G$657:$G$748)</f>
        <v>0</v>
      </c>
      <c r="AJ43" s="16">
        <f>SUMIF('MUTASI 2026'!$B$657:$B$748,'WS Trial balance'!$D43,'MUTASI 2026'!$H$657:$H$748)</f>
        <v>0</v>
      </c>
      <c r="AK43" s="16">
        <f t="shared" si="10"/>
        <v>0</v>
      </c>
      <c r="AL43" s="16">
        <f t="shared" si="11"/>
        <v>7900000</v>
      </c>
      <c r="AM43" s="4"/>
      <c r="AN43" s="16">
        <f>SUMIF('MUTASI 2026'!$B$750:$B$851,'WS Trial balance'!$D43,'MUTASI 2026'!$G$750:$G$851)</f>
        <v>0</v>
      </c>
      <c r="AO43" s="16">
        <f>SUMIF('MUTASI 2026'!$B$750:$B$851,'WS Trial balance'!$D43,'MUTASI 2026'!$H$750:$H$851)</f>
        <v>0</v>
      </c>
      <c r="AP43" s="16">
        <f t="shared" si="12"/>
        <v>0</v>
      </c>
      <c r="AQ43" s="16">
        <f t="shared" si="13"/>
        <v>7900000</v>
      </c>
      <c r="AR43" s="4"/>
      <c r="AS43" s="16">
        <f>SUMIF('MUTASI 2026'!$B$853:$B$945,'WS Trial balance'!$D43,'MUTASI 2026'!$G$853:$G$945)</f>
        <v>0</v>
      </c>
      <c r="AT43" s="16">
        <f>SUMIF('MUTASI 2026'!$B$853:$B$945,'WS Trial balance'!$D43,'MUTASI 2026'!$H$853:$H$945)</f>
        <v>0</v>
      </c>
      <c r="AU43" s="16">
        <f t="shared" si="14"/>
        <v>0</v>
      </c>
      <c r="AV43" s="16">
        <f t="shared" si="15"/>
        <v>7900000</v>
      </c>
      <c r="AW43" s="4"/>
      <c r="AX43" s="16">
        <f>SUMIF('MUTASI 2026'!$B$1274:$B$1379,'WS Trial balance'!$D43,'MUTASI 2026'!$G$1274:$G$1379)</f>
        <v>0</v>
      </c>
      <c r="AY43" s="16">
        <f>SUMIF('MUTASI 2026'!$B$1274:$B$1379,'WS Trial balance'!$D43,'MUTASI 2026'!$H$1274:$H$1379)</f>
        <v>0</v>
      </c>
      <c r="AZ43" s="16">
        <f t="shared" si="16"/>
        <v>0</v>
      </c>
      <c r="BA43" s="16">
        <f t="shared" si="17"/>
        <v>7900000</v>
      </c>
      <c r="BB43" s="4"/>
      <c r="BC43" s="16">
        <f>SUMIF('MUTASI 2026'!$B$1382:$B$1477,'WS Trial balance'!$D43,'MUTASI 2026'!$G$1382:$G$1477)</f>
        <v>0</v>
      </c>
      <c r="BD43" s="16">
        <f>SUMIF('MUTASI 2026'!$B$1382:$B$1477,'WS Trial balance'!$D43,'MUTASI 2026'!$H$1382:$H$1477)</f>
        <v>0</v>
      </c>
      <c r="BE43" s="16">
        <f t="shared" si="18"/>
        <v>0</v>
      </c>
      <c r="BF43" s="16">
        <f t="shared" si="19"/>
        <v>7900000</v>
      </c>
      <c r="BG43" s="4"/>
      <c r="BH43" s="16">
        <f>SUMIF('MUTASI 2026'!$B$1480:$B$1600,'WS Trial balance'!$D43,'MUTASI 2026'!$G$1480:$G$1600)</f>
        <v>0</v>
      </c>
      <c r="BI43" s="16">
        <f>SUMIF('MUTASI 2026'!$B$1480:$B$1600,'WS Trial balance'!$D43,'MUTASI 2026'!$H$1480:$H$1600)</f>
        <v>0</v>
      </c>
      <c r="BJ43" s="16">
        <f t="shared" si="20"/>
        <v>0</v>
      </c>
      <c r="BK43" s="16">
        <f t="shared" si="21"/>
        <v>7900000</v>
      </c>
      <c r="BL43" s="4"/>
      <c r="BM43" s="16">
        <f>SUMIF('MUTASI 2026'!$B$1603:$B$1722,'WS Trial balance'!$D43,'MUTASI 2026'!$G$1603:$G$1722)</f>
        <v>0</v>
      </c>
      <c r="BN43" s="16">
        <f>SUMIF('MUTASI 2026'!$B$1603:$B$1722,'WS Trial balance'!$D43,'MUTASI 2026'!$H$1603:$H$1722)</f>
        <v>0</v>
      </c>
      <c r="BO43" s="16">
        <f t="shared" si="22"/>
        <v>0</v>
      </c>
      <c r="BP43" s="16">
        <f t="shared" si="23"/>
        <v>7900000</v>
      </c>
      <c r="BQ43" s="4"/>
      <c r="BR43" s="2"/>
      <c r="BS43" s="4"/>
      <c r="BT43" s="16">
        <f t="shared" si="24"/>
        <v>0</v>
      </c>
      <c r="BU43" s="16">
        <f t="shared" si="24"/>
        <v>7900000</v>
      </c>
      <c r="BV43" s="4"/>
      <c r="BW43" s="16">
        <f t="shared" si="25"/>
        <v>300000</v>
      </c>
      <c r="BX43" s="16">
        <f t="shared" si="25"/>
        <v>300000</v>
      </c>
      <c r="BY43" s="4"/>
      <c r="BZ43" s="16">
        <f t="shared" si="26"/>
        <v>0</v>
      </c>
      <c r="CA43" s="16">
        <f t="shared" si="27"/>
        <v>7900000</v>
      </c>
      <c r="CB43" s="4"/>
    </row>
    <row r="44" spans="2:80" s="1" customFormat="1" ht="15" x14ac:dyDescent="0.25">
      <c r="B44" s="3"/>
      <c r="C44" s="15"/>
      <c r="D44" s="15" t="s">
        <v>354</v>
      </c>
      <c r="E44" s="17" t="s">
        <v>397</v>
      </c>
      <c r="F44" s="17" t="s">
        <v>12</v>
      </c>
      <c r="G44" s="16">
        <v>0</v>
      </c>
      <c r="H44" s="16">
        <v>339030000</v>
      </c>
      <c r="I44" s="4"/>
      <c r="J44" s="16">
        <f>SUMIF('MUTASI 2026'!$B$5:$B$160,'WS Trial balance'!$D44,'MUTASI 2026'!$G$5:$G$160)</f>
        <v>0</v>
      </c>
      <c r="K44" s="16">
        <f>SUMIF('MUTASI 2026'!$B$5:$B$160,'WS Trial balance'!$D44,'MUTASI 2026'!$H$5:$H$160)</f>
        <v>3800000</v>
      </c>
      <c r="L44" s="16">
        <f t="shared" si="0"/>
        <v>0</v>
      </c>
      <c r="M44" s="16">
        <f t="shared" si="1"/>
        <v>342830000</v>
      </c>
      <c r="N44" s="4"/>
      <c r="O44" s="16">
        <f>SUMIF('MUTASI 2026'!$B$162:$B$252,'WS Trial balance'!$D44,'MUTASI 2026'!$G$162:$G$252)</f>
        <v>0</v>
      </c>
      <c r="P44" s="16">
        <f>SUMIF('MUTASI 2026'!$B$162:$B$252,'WS Trial balance'!$D44,'MUTASI 2026'!$H$162:$H$252)</f>
        <v>4100000</v>
      </c>
      <c r="Q44" s="16">
        <f t="shared" si="2"/>
        <v>0</v>
      </c>
      <c r="R44" s="16">
        <f t="shared" si="3"/>
        <v>346930000</v>
      </c>
      <c r="S44" s="4"/>
      <c r="T44" s="16">
        <f>SUMIF('MUTASI 2026'!$B$254:$B$356,'WS Trial balance'!$D44,'MUTASI 2026'!$G$254:$G$356)</f>
        <v>0</v>
      </c>
      <c r="U44" s="16">
        <f>SUMIF('MUTASI 2026'!$B$254:$B$356,'WS Trial balance'!$D44,'MUTASI 2026'!$H$254:$H$356)</f>
        <v>3850000</v>
      </c>
      <c r="V44" s="16">
        <f t="shared" si="4"/>
        <v>0</v>
      </c>
      <c r="W44" s="16">
        <f t="shared" si="5"/>
        <v>350780000</v>
      </c>
      <c r="X44" s="4"/>
      <c r="Y44" s="16">
        <f>SUMIF('MUTASI 2026'!$B$358:$B$480,'WS Trial balance'!$D44,'MUTASI 2026'!$G$358:$G$480)</f>
        <v>0</v>
      </c>
      <c r="Z44" s="16">
        <f>SUMIF('MUTASI 2026'!$B$358:$B$480,'WS Trial balance'!$D44,'MUTASI 2026'!$H$358:$H$480)</f>
        <v>3800000</v>
      </c>
      <c r="AA44" s="16">
        <f t="shared" si="6"/>
        <v>0</v>
      </c>
      <c r="AB44" s="16">
        <f t="shared" si="7"/>
        <v>354580000</v>
      </c>
      <c r="AC44" s="4"/>
      <c r="AD44" s="16">
        <f>SUMIF('MUTASI 2026'!$B$482:$B$655,'WS Trial balance'!$D44,'MUTASI 2026'!$G$482:$G$655)</f>
        <v>15320000</v>
      </c>
      <c r="AE44" s="16">
        <f>SUMIF('MUTASI 2026'!$B$482:$B$655,'WS Trial balance'!$D44,'MUTASI 2026'!$H$482:$H$655)</f>
        <v>3800000</v>
      </c>
      <c r="AF44" s="16">
        <f t="shared" si="8"/>
        <v>0</v>
      </c>
      <c r="AG44" s="16">
        <f t="shared" si="9"/>
        <v>343060000</v>
      </c>
      <c r="AH44" s="4"/>
      <c r="AI44" s="16">
        <f>SUMIF('MUTASI 2026'!$B$657:$B$748,'WS Trial balance'!$D44,'MUTASI 2026'!$G$657:$G$748)</f>
        <v>0</v>
      </c>
      <c r="AJ44" s="16">
        <f>SUMIF('MUTASI 2026'!$B$657:$B$748,'WS Trial balance'!$D44,'MUTASI 2026'!$H$657:$H$748)</f>
        <v>3850000</v>
      </c>
      <c r="AK44" s="16">
        <f t="shared" si="10"/>
        <v>0</v>
      </c>
      <c r="AL44" s="16">
        <f t="shared" si="11"/>
        <v>346910000</v>
      </c>
      <c r="AM44" s="4"/>
      <c r="AN44" s="16">
        <f>SUMIF('MUTASI 2026'!$B$750:$B$851,'WS Trial balance'!$D44,'MUTASI 2026'!$G$750:$G$851)</f>
        <v>0</v>
      </c>
      <c r="AO44" s="16">
        <f>SUMIF('MUTASI 2026'!$B$750:$B$851,'WS Trial balance'!$D44,'MUTASI 2026'!$H$750:$H$851)</f>
        <v>3850000</v>
      </c>
      <c r="AP44" s="16">
        <f t="shared" si="12"/>
        <v>0</v>
      </c>
      <c r="AQ44" s="16">
        <f t="shared" si="13"/>
        <v>350760000</v>
      </c>
      <c r="AR44" s="4"/>
      <c r="AS44" s="16">
        <f>SUMIF('MUTASI 2026'!$B$853:$B$945,'WS Trial balance'!$D44,'MUTASI 2026'!$G$853:$G$945)</f>
        <v>0</v>
      </c>
      <c r="AT44" s="16">
        <f>SUMIF('MUTASI 2026'!$B$853:$B$945,'WS Trial balance'!$D44,'MUTASI 2026'!$H$853:$H$945)</f>
        <v>3850000</v>
      </c>
      <c r="AU44" s="16">
        <f t="shared" si="14"/>
        <v>0</v>
      </c>
      <c r="AV44" s="16">
        <f t="shared" si="15"/>
        <v>354610000</v>
      </c>
      <c r="AW44" s="4"/>
      <c r="AX44" s="16">
        <f>SUMIF('MUTASI 2026'!$B$1274:$B$1379,'WS Trial balance'!$D44,'MUTASI 2026'!$G$1274:$G$1379)</f>
        <v>0</v>
      </c>
      <c r="AY44" s="16">
        <f>SUMIF('MUTASI 2026'!$B$1274:$B$1379,'WS Trial balance'!$D44,'MUTASI 2026'!$H$1274:$H$1379)</f>
        <v>0</v>
      </c>
      <c r="AZ44" s="16">
        <f t="shared" si="16"/>
        <v>0</v>
      </c>
      <c r="BA44" s="16">
        <f t="shared" si="17"/>
        <v>354610000</v>
      </c>
      <c r="BB44" s="4"/>
      <c r="BC44" s="16">
        <f>SUMIF('MUTASI 2026'!$B$1382:$B$1477,'WS Trial balance'!$D44,'MUTASI 2026'!$G$1382:$G$1477)</f>
        <v>0</v>
      </c>
      <c r="BD44" s="16">
        <f>SUMIF('MUTASI 2026'!$B$1382:$B$1477,'WS Trial balance'!$D44,'MUTASI 2026'!$H$1382:$H$1477)</f>
        <v>0</v>
      </c>
      <c r="BE44" s="16">
        <f t="shared" si="18"/>
        <v>0</v>
      </c>
      <c r="BF44" s="16">
        <f t="shared" si="19"/>
        <v>354610000</v>
      </c>
      <c r="BG44" s="4"/>
      <c r="BH44" s="16">
        <f>SUMIF('MUTASI 2026'!$B$1480:$B$1600,'WS Trial balance'!$D44,'MUTASI 2026'!$G$1480:$G$1600)</f>
        <v>0</v>
      </c>
      <c r="BI44" s="16">
        <f>SUMIF('MUTASI 2026'!$B$1480:$B$1600,'WS Trial balance'!$D44,'MUTASI 2026'!$H$1480:$H$1600)</f>
        <v>0</v>
      </c>
      <c r="BJ44" s="16">
        <f t="shared" si="20"/>
        <v>0</v>
      </c>
      <c r="BK44" s="16">
        <f t="shared" si="21"/>
        <v>354610000</v>
      </c>
      <c r="BL44" s="4"/>
      <c r="BM44" s="16">
        <f>SUMIF('MUTASI 2026'!$B$1603:$B$1722,'WS Trial balance'!$D44,'MUTASI 2026'!$G$1603:$G$1722)</f>
        <v>0</v>
      </c>
      <c r="BN44" s="16">
        <f>SUMIF('MUTASI 2026'!$B$1603:$B$1722,'WS Trial balance'!$D44,'MUTASI 2026'!$H$1603:$H$1722)</f>
        <v>0</v>
      </c>
      <c r="BO44" s="16">
        <f t="shared" si="22"/>
        <v>0</v>
      </c>
      <c r="BP44" s="16">
        <f t="shared" si="23"/>
        <v>354610000</v>
      </c>
      <c r="BQ44" s="4"/>
      <c r="BR44" s="2"/>
      <c r="BS44" s="4"/>
      <c r="BT44" s="16">
        <f t="shared" si="24"/>
        <v>0</v>
      </c>
      <c r="BU44" s="16">
        <f t="shared" si="24"/>
        <v>339030000</v>
      </c>
      <c r="BV44" s="4"/>
      <c r="BW44" s="16">
        <f t="shared" si="25"/>
        <v>15320000</v>
      </c>
      <c r="BX44" s="16">
        <f t="shared" si="25"/>
        <v>30900000</v>
      </c>
      <c r="BY44" s="4"/>
      <c r="BZ44" s="16">
        <f t="shared" si="26"/>
        <v>0</v>
      </c>
      <c r="CA44" s="16">
        <f t="shared" si="27"/>
        <v>354610000</v>
      </c>
      <c r="CB44" s="4"/>
    </row>
    <row r="45" spans="2:80" s="1" customFormat="1" ht="15" x14ac:dyDescent="0.25">
      <c r="B45" s="3"/>
      <c r="C45" s="15"/>
      <c r="D45" s="15" t="s">
        <v>53</v>
      </c>
      <c r="E45" s="17" t="s">
        <v>398</v>
      </c>
      <c r="F45" s="17" t="s">
        <v>12</v>
      </c>
      <c r="G45" s="16">
        <v>0</v>
      </c>
      <c r="H45" s="16">
        <v>0</v>
      </c>
      <c r="I45" s="4"/>
      <c r="J45" s="16">
        <f>SUMIF('MUTASI 2026'!$B$5:$B$160,'WS Trial balance'!$D45,'MUTASI 2026'!$G$5:$G$160)</f>
        <v>0</v>
      </c>
      <c r="K45" s="16">
        <f>SUMIF('MUTASI 2026'!$B$5:$B$160,'WS Trial balance'!$D45,'MUTASI 2026'!$H$5:$H$160)</f>
        <v>0</v>
      </c>
      <c r="L45" s="16">
        <f t="shared" si="0"/>
        <v>0</v>
      </c>
      <c r="M45" s="16">
        <f t="shared" si="1"/>
        <v>0</v>
      </c>
      <c r="N45" s="4"/>
      <c r="O45" s="16">
        <f>SUMIF('MUTASI 2026'!$B$162:$B$252,'WS Trial balance'!$D45,'MUTASI 2026'!$G$162:$G$252)</f>
        <v>0</v>
      </c>
      <c r="P45" s="16">
        <f>SUMIF('MUTASI 2026'!$B$162:$B$252,'WS Trial balance'!$D45,'MUTASI 2026'!$H$162:$H$252)</f>
        <v>0</v>
      </c>
      <c r="Q45" s="16">
        <f t="shared" si="2"/>
        <v>0</v>
      </c>
      <c r="R45" s="16">
        <f t="shared" si="3"/>
        <v>0</v>
      </c>
      <c r="S45" s="4"/>
      <c r="T45" s="16">
        <f>SUMIF('MUTASI 2026'!$B$254:$B$356,'WS Trial balance'!$D45,'MUTASI 2026'!$G$254:$G$356)</f>
        <v>0</v>
      </c>
      <c r="U45" s="16">
        <f>SUMIF('MUTASI 2026'!$B$254:$B$356,'WS Trial balance'!$D45,'MUTASI 2026'!$H$254:$H$356)</f>
        <v>0</v>
      </c>
      <c r="V45" s="16">
        <f t="shared" si="4"/>
        <v>0</v>
      </c>
      <c r="W45" s="16">
        <f t="shared" si="5"/>
        <v>0</v>
      </c>
      <c r="X45" s="4"/>
      <c r="Y45" s="16">
        <f>SUMIF('MUTASI 2026'!$B$358:$B$480,'WS Trial balance'!$D45,'MUTASI 2026'!$G$358:$G$480)</f>
        <v>0</v>
      </c>
      <c r="Z45" s="16">
        <f>SUMIF('MUTASI 2026'!$B$358:$B$480,'WS Trial balance'!$D45,'MUTASI 2026'!$H$358:$H$480)</f>
        <v>0</v>
      </c>
      <c r="AA45" s="16">
        <f t="shared" si="6"/>
        <v>0</v>
      </c>
      <c r="AB45" s="16">
        <f t="shared" si="7"/>
        <v>0</v>
      </c>
      <c r="AC45" s="4"/>
      <c r="AD45" s="16">
        <f>SUMIF('MUTASI 2026'!$B$482:$B$655,'WS Trial balance'!$D45,'MUTASI 2026'!$G$482:$G$655)</f>
        <v>0</v>
      </c>
      <c r="AE45" s="16">
        <f>SUMIF('MUTASI 2026'!$B$482:$B$655,'WS Trial balance'!$D45,'MUTASI 2026'!$H$482:$H$655)</f>
        <v>0</v>
      </c>
      <c r="AF45" s="16">
        <f t="shared" si="8"/>
        <v>0</v>
      </c>
      <c r="AG45" s="16">
        <f t="shared" si="9"/>
        <v>0</v>
      </c>
      <c r="AH45" s="4"/>
      <c r="AI45" s="16">
        <f>SUMIF('MUTASI 2026'!$B$657:$B$748,'WS Trial balance'!$D45,'MUTASI 2026'!$G$657:$G$748)</f>
        <v>0</v>
      </c>
      <c r="AJ45" s="16">
        <f>SUMIF('MUTASI 2026'!$B$657:$B$748,'WS Trial balance'!$D45,'MUTASI 2026'!$H$657:$H$748)</f>
        <v>0</v>
      </c>
      <c r="AK45" s="16">
        <f t="shared" si="10"/>
        <v>0</v>
      </c>
      <c r="AL45" s="16">
        <f t="shared" si="11"/>
        <v>0</v>
      </c>
      <c r="AM45" s="4"/>
      <c r="AN45" s="16">
        <f>SUMIF('MUTASI 2026'!$B$750:$B$851,'WS Trial balance'!$D45,'MUTASI 2026'!$G$750:$G$851)</f>
        <v>0</v>
      </c>
      <c r="AO45" s="16">
        <f>SUMIF('MUTASI 2026'!$B$750:$B$851,'WS Trial balance'!$D45,'MUTASI 2026'!$H$750:$H$851)</f>
        <v>0</v>
      </c>
      <c r="AP45" s="16">
        <f t="shared" si="12"/>
        <v>0</v>
      </c>
      <c r="AQ45" s="16">
        <f t="shared" si="13"/>
        <v>0</v>
      </c>
      <c r="AR45" s="4"/>
      <c r="AS45" s="16">
        <f>SUMIF('MUTASI 2026'!$B$853:$B$945,'WS Trial balance'!$D45,'MUTASI 2026'!$G$853:$G$945)</f>
        <v>0</v>
      </c>
      <c r="AT45" s="16">
        <f>SUMIF('MUTASI 2026'!$B$853:$B$945,'WS Trial balance'!$D45,'MUTASI 2026'!$H$853:$H$945)</f>
        <v>0</v>
      </c>
      <c r="AU45" s="16">
        <f t="shared" si="14"/>
        <v>0</v>
      </c>
      <c r="AV45" s="16">
        <f t="shared" si="15"/>
        <v>0</v>
      </c>
      <c r="AW45" s="4"/>
      <c r="AX45" s="16">
        <f>SUMIF('MUTASI 2026'!$B$1274:$B$1379,'WS Trial balance'!$D45,'MUTASI 2026'!$G$1274:$G$1379)</f>
        <v>0</v>
      </c>
      <c r="AY45" s="16">
        <f>SUMIF('MUTASI 2026'!$B$1274:$B$1379,'WS Trial balance'!$D45,'MUTASI 2026'!$H$1274:$H$1379)</f>
        <v>0</v>
      </c>
      <c r="AZ45" s="16">
        <f t="shared" si="16"/>
        <v>0</v>
      </c>
      <c r="BA45" s="16">
        <f t="shared" si="17"/>
        <v>0</v>
      </c>
      <c r="BB45" s="4"/>
      <c r="BC45" s="16">
        <f>SUMIF('MUTASI 2026'!$B$1382:$B$1477,'WS Trial balance'!$D45,'MUTASI 2026'!$G$1382:$G$1477)</f>
        <v>0</v>
      </c>
      <c r="BD45" s="16">
        <f>SUMIF('MUTASI 2026'!$B$1382:$B$1477,'WS Trial balance'!$D45,'MUTASI 2026'!$H$1382:$H$1477)</f>
        <v>0</v>
      </c>
      <c r="BE45" s="16">
        <f t="shared" si="18"/>
        <v>0</v>
      </c>
      <c r="BF45" s="16">
        <f t="shared" si="19"/>
        <v>0</v>
      </c>
      <c r="BG45" s="4"/>
      <c r="BH45" s="16">
        <f>SUMIF('MUTASI 2026'!$B$1480:$B$1600,'WS Trial balance'!$D45,'MUTASI 2026'!$G$1480:$G$1600)</f>
        <v>0</v>
      </c>
      <c r="BI45" s="16">
        <f>SUMIF('MUTASI 2026'!$B$1480:$B$1600,'WS Trial balance'!$D45,'MUTASI 2026'!$H$1480:$H$1600)</f>
        <v>0</v>
      </c>
      <c r="BJ45" s="16">
        <f t="shared" si="20"/>
        <v>0</v>
      </c>
      <c r="BK45" s="16">
        <f t="shared" si="21"/>
        <v>0</v>
      </c>
      <c r="BL45" s="4"/>
      <c r="BM45" s="16">
        <f>SUMIF('MUTASI 2026'!$B$1603:$B$1722,'WS Trial balance'!$D45,'MUTASI 2026'!$G$1603:$G$1722)</f>
        <v>0</v>
      </c>
      <c r="BN45" s="16">
        <f>SUMIF('MUTASI 2026'!$B$1603:$B$1722,'WS Trial balance'!$D45,'MUTASI 2026'!$H$1603:$H$1722)</f>
        <v>0</v>
      </c>
      <c r="BO45" s="16">
        <f t="shared" si="22"/>
        <v>0</v>
      </c>
      <c r="BP45" s="16">
        <f t="shared" si="23"/>
        <v>0</v>
      </c>
      <c r="BQ45" s="4"/>
      <c r="BR45" s="2"/>
      <c r="BS45" s="4"/>
      <c r="BT45" s="16">
        <f t="shared" si="24"/>
        <v>0</v>
      </c>
      <c r="BU45" s="16">
        <f t="shared" si="24"/>
        <v>0</v>
      </c>
      <c r="BV45" s="4"/>
      <c r="BW45" s="16">
        <f t="shared" si="25"/>
        <v>0</v>
      </c>
      <c r="BX45" s="16">
        <f t="shared" si="25"/>
        <v>0</v>
      </c>
      <c r="BY45" s="4"/>
      <c r="BZ45" s="16">
        <f t="shared" si="26"/>
        <v>0</v>
      </c>
      <c r="CA45" s="16">
        <f t="shared" si="27"/>
        <v>0</v>
      </c>
      <c r="CB45" s="4"/>
    </row>
    <row r="46" spans="2:80" s="1" customFormat="1" ht="15" x14ac:dyDescent="0.25">
      <c r="B46" s="3"/>
      <c r="C46" s="15"/>
      <c r="D46" s="15" t="s">
        <v>54</v>
      </c>
      <c r="E46" s="17" t="s">
        <v>287</v>
      </c>
      <c r="F46" s="17" t="s">
        <v>12</v>
      </c>
      <c r="G46" s="16">
        <v>0</v>
      </c>
      <c r="H46" s="16">
        <v>1827910535.5656493</v>
      </c>
      <c r="I46" s="4"/>
      <c r="J46" s="16">
        <f>SUMIF('MUTASI 2026'!$B$5:$B$160,'WS Trial balance'!$D46,'MUTASI 2026'!$G$5:$G$160)</f>
        <v>0</v>
      </c>
      <c r="K46" s="16">
        <f>SUMIF('MUTASI 2026'!$B$5:$B$160,'WS Trial balance'!$D46,'MUTASI 2026'!$H$5:$H$160)</f>
        <v>0</v>
      </c>
      <c r="L46" s="16">
        <f t="shared" si="0"/>
        <v>0</v>
      </c>
      <c r="M46" s="16">
        <f t="shared" si="1"/>
        <v>1827910535.5656493</v>
      </c>
      <c r="N46" s="4"/>
      <c r="O46" s="16">
        <f>SUMIF('MUTASI 2026'!$B$162:$B$252,'WS Trial balance'!$D46,'MUTASI 2026'!$G$162:$G$252)</f>
        <v>0</v>
      </c>
      <c r="P46" s="16">
        <f>SUMIF('MUTASI 2026'!$B$162:$B$252,'WS Trial balance'!$D46,'MUTASI 2026'!$H$162:$H$252)</f>
        <v>0</v>
      </c>
      <c r="Q46" s="16">
        <f t="shared" si="2"/>
        <v>0</v>
      </c>
      <c r="R46" s="16">
        <f t="shared" si="3"/>
        <v>1827910535.5656493</v>
      </c>
      <c r="S46" s="4"/>
      <c r="T46" s="16">
        <f>SUMIF('MUTASI 2026'!$B$254:$B$356,'WS Trial balance'!$D46,'MUTASI 2026'!$G$254:$G$356)</f>
        <v>0</v>
      </c>
      <c r="U46" s="16">
        <f>SUMIF('MUTASI 2026'!$B$254:$B$356,'WS Trial balance'!$D46,'MUTASI 2026'!$H$254:$H$356)</f>
        <v>63489852.091553897</v>
      </c>
      <c r="V46" s="16">
        <f t="shared" si="4"/>
        <v>0</v>
      </c>
      <c r="W46" s="16">
        <f t="shared" si="5"/>
        <v>1891400387.6572032</v>
      </c>
      <c r="X46" s="4"/>
      <c r="Y46" s="16">
        <f>SUMIF('MUTASI 2026'!$B$358:$B$480,'WS Trial balance'!$D46,'MUTASI 2026'!$G$358:$G$480)</f>
        <v>0</v>
      </c>
      <c r="Z46" s="16">
        <f>SUMIF('MUTASI 2026'!$B$358:$B$480,'WS Trial balance'!$D46,'MUTASI 2026'!$H$358:$H$480)</f>
        <v>0</v>
      </c>
      <c r="AA46" s="16">
        <f t="shared" si="6"/>
        <v>0</v>
      </c>
      <c r="AB46" s="16">
        <f t="shared" si="7"/>
        <v>1891400387.6572032</v>
      </c>
      <c r="AC46" s="4"/>
      <c r="AD46" s="16">
        <f>SUMIF('MUTASI 2026'!$B$482:$B$655,'WS Trial balance'!$D46,'MUTASI 2026'!$G$482:$G$655)</f>
        <v>0</v>
      </c>
      <c r="AE46" s="16">
        <f>SUMIF('MUTASI 2026'!$B$482:$B$655,'WS Trial balance'!$D46,'MUTASI 2026'!$H$482:$H$655)</f>
        <v>0</v>
      </c>
      <c r="AF46" s="16">
        <f t="shared" si="8"/>
        <v>0</v>
      </c>
      <c r="AG46" s="16">
        <f t="shared" si="9"/>
        <v>1891400387.6572032</v>
      </c>
      <c r="AH46" s="4"/>
      <c r="AI46" s="16">
        <f>SUMIF('MUTASI 2026'!$B$657:$B$748,'WS Trial balance'!$D46,'MUTASI 2026'!$G$657:$G$748)</f>
        <v>0</v>
      </c>
      <c r="AJ46" s="16">
        <f>SUMIF('MUTASI 2026'!$B$657:$B$748,'WS Trial balance'!$D46,'MUTASI 2026'!$H$657:$H$748)</f>
        <v>0</v>
      </c>
      <c r="AK46" s="16">
        <f t="shared" si="10"/>
        <v>0</v>
      </c>
      <c r="AL46" s="16">
        <f t="shared" si="11"/>
        <v>1891400387.6572032</v>
      </c>
      <c r="AM46" s="4"/>
      <c r="AN46" s="16">
        <f>SUMIF('MUTASI 2026'!$B$750:$B$851,'WS Trial balance'!$D46,'MUTASI 2026'!$G$750:$G$851)</f>
        <v>0</v>
      </c>
      <c r="AO46" s="16">
        <f>SUMIF('MUTASI 2026'!$B$750:$B$851,'WS Trial balance'!$D46,'MUTASI 2026'!$H$750:$H$851)</f>
        <v>0</v>
      </c>
      <c r="AP46" s="16">
        <f t="shared" si="12"/>
        <v>0</v>
      </c>
      <c r="AQ46" s="16">
        <f t="shared" si="13"/>
        <v>1891400387.6572032</v>
      </c>
      <c r="AR46" s="4"/>
      <c r="AS46" s="16">
        <f>SUMIF('MUTASI 2026'!$B$853:$B$945,'WS Trial balance'!$D46,'MUTASI 2026'!$G$853:$G$945)</f>
        <v>0</v>
      </c>
      <c r="AT46" s="16">
        <f>SUMIF('MUTASI 2026'!$B$853:$B$945,'WS Trial balance'!$D46,'MUTASI 2026'!$H$853:$H$945)</f>
        <v>0</v>
      </c>
      <c r="AU46" s="16">
        <f t="shared" si="14"/>
        <v>0</v>
      </c>
      <c r="AV46" s="16">
        <f t="shared" si="15"/>
        <v>1891400387.6572032</v>
      </c>
      <c r="AW46" s="4"/>
      <c r="AX46" s="16">
        <f>SUMIF('MUTASI 2026'!$B$1274:$B$1379,'WS Trial balance'!$D46,'MUTASI 2026'!$G$1274:$G$1379)</f>
        <v>0</v>
      </c>
      <c r="AY46" s="16">
        <f>SUMIF('MUTASI 2026'!$B$1274:$B$1379,'WS Trial balance'!$D46,'MUTASI 2026'!$H$1274:$H$1379)</f>
        <v>0</v>
      </c>
      <c r="AZ46" s="16">
        <f t="shared" si="16"/>
        <v>0</v>
      </c>
      <c r="BA46" s="16">
        <f t="shared" si="17"/>
        <v>1891400387.6572032</v>
      </c>
      <c r="BB46" s="4"/>
      <c r="BC46" s="16">
        <f>SUMIF('MUTASI 2026'!$B$1382:$B$1477,'WS Trial balance'!$D46,'MUTASI 2026'!$G$1382:$G$1477)</f>
        <v>0</v>
      </c>
      <c r="BD46" s="16">
        <f>SUMIF('MUTASI 2026'!$B$1382:$B$1477,'WS Trial balance'!$D46,'MUTASI 2026'!$H$1382:$H$1477)</f>
        <v>0</v>
      </c>
      <c r="BE46" s="16">
        <f t="shared" si="18"/>
        <v>0</v>
      </c>
      <c r="BF46" s="16">
        <f t="shared" si="19"/>
        <v>1891400387.6572032</v>
      </c>
      <c r="BG46" s="4"/>
      <c r="BH46" s="16">
        <f>SUMIF('MUTASI 2026'!$B$1480:$B$1600,'WS Trial balance'!$D46,'MUTASI 2026'!$G$1480:$G$1600)</f>
        <v>0</v>
      </c>
      <c r="BI46" s="16">
        <f>SUMIF('MUTASI 2026'!$B$1480:$B$1600,'WS Trial balance'!$D46,'MUTASI 2026'!$H$1480:$H$1600)</f>
        <v>0</v>
      </c>
      <c r="BJ46" s="16">
        <f t="shared" si="20"/>
        <v>0</v>
      </c>
      <c r="BK46" s="16">
        <f t="shared" si="21"/>
        <v>1891400387.6572032</v>
      </c>
      <c r="BL46" s="4"/>
      <c r="BM46" s="16">
        <f>SUMIF('MUTASI 2026'!$B$1603:$B$1722,'WS Trial balance'!$D46,'MUTASI 2026'!$G$1603:$G$1722)</f>
        <v>0</v>
      </c>
      <c r="BN46" s="16">
        <f>SUMIF('MUTASI 2026'!$B$1603:$B$1722,'WS Trial balance'!$D46,'MUTASI 2026'!$H$1603:$H$1722)</f>
        <v>0</v>
      </c>
      <c r="BO46" s="16">
        <f t="shared" si="22"/>
        <v>0</v>
      </c>
      <c r="BP46" s="16">
        <f t="shared" si="23"/>
        <v>1891400387.6572032</v>
      </c>
      <c r="BQ46" s="4"/>
      <c r="BR46" s="2"/>
      <c r="BS46" s="4"/>
      <c r="BT46" s="16">
        <f t="shared" si="24"/>
        <v>0</v>
      </c>
      <c r="BU46" s="16">
        <f t="shared" si="24"/>
        <v>1827910535.5656493</v>
      </c>
      <c r="BV46" s="4"/>
      <c r="BW46" s="16">
        <f t="shared" si="25"/>
        <v>0</v>
      </c>
      <c r="BX46" s="16">
        <f t="shared" si="25"/>
        <v>63489852.091553897</v>
      </c>
      <c r="BY46" s="4"/>
      <c r="BZ46" s="16">
        <f t="shared" si="26"/>
        <v>0</v>
      </c>
      <c r="CA46" s="16">
        <f t="shared" si="27"/>
        <v>1891400387.6572032</v>
      </c>
      <c r="CB46" s="4"/>
    </row>
    <row r="47" spans="2:80" s="1" customFormat="1" ht="15" x14ac:dyDescent="0.25">
      <c r="B47" s="3"/>
      <c r="C47" s="15"/>
      <c r="D47" s="15" t="s">
        <v>55</v>
      </c>
      <c r="E47" s="17" t="s">
        <v>56</v>
      </c>
      <c r="F47" s="17" t="s">
        <v>12</v>
      </c>
      <c r="G47" s="16">
        <v>0</v>
      </c>
      <c r="H47" s="16">
        <v>155164673.13514504</v>
      </c>
      <c r="I47" s="4"/>
      <c r="J47" s="16">
        <f>SUMIF('MUTASI 2026'!$B$5:$B$160,'WS Trial balance'!$D47,'MUTASI 2026'!$G$5:$G$160)</f>
        <v>0</v>
      </c>
      <c r="K47" s="16">
        <f>SUMIF('MUTASI 2026'!$B$5:$B$160,'WS Trial balance'!$D47,'MUTASI 2026'!$H$5:$H$160)</f>
        <v>0</v>
      </c>
      <c r="L47" s="16">
        <f t="shared" si="0"/>
        <v>0</v>
      </c>
      <c r="M47" s="16">
        <f t="shared" si="1"/>
        <v>155164673.13514504</v>
      </c>
      <c r="N47" s="4"/>
      <c r="O47" s="16">
        <f>SUMIF('MUTASI 2026'!$B$162:$B$252,'WS Trial balance'!$D47,'MUTASI 2026'!$G$162:$G$252)</f>
        <v>0</v>
      </c>
      <c r="P47" s="16">
        <f>SUMIF('MUTASI 2026'!$B$162:$B$252,'WS Trial balance'!$D47,'MUTASI 2026'!$H$162:$H$252)</f>
        <v>0</v>
      </c>
      <c r="Q47" s="16">
        <f t="shared" si="2"/>
        <v>0</v>
      </c>
      <c r="R47" s="16">
        <f t="shared" si="3"/>
        <v>155164673.13514504</v>
      </c>
      <c r="S47" s="4"/>
      <c r="T47" s="16">
        <f>SUMIF('MUTASI 2026'!$B$254:$B$356,'WS Trial balance'!$D47,'MUTASI 2026'!$G$254:$G$356)</f>
        <v>155611996.0915539</v>
      </c>
      <c r="U47" s="16">
        <f>SUMIF('MUTASI 2026'!$B$254:$B$356,'WS Trial balance'!$D47,'MUTASI 2026'!$H$254:$H$356)</f>
        <v>0</v>
      </c>
      <c r="V47" s="16">
        <f t="shared" si="4"/>
        <v>0</v>
      </c>
      <c r="W47" s="16">
        <f t="shared" si="5"/>
        <v>-447322.9564088583</v>
      </c>
      <c r="X47" s="4"/>
      <c r="Y47" s="16">
        <f>SUMIF('MUTASI 2026'!$B$358:$B$480,'WS Trial balance'!$D47,'MUTASI 2026'!$G$358:$G$480)</f>
        <v>0</v>
      </c>
      <c r="Z47" s="16">
        <f>SUMIF('MUTASI 2026'!$B$358:$B$480,'WS Trial balance'!$D47,'MUTASI 2026'!$H$358:$H$480)</f>
        <v>0</v>
      </c>
      <c r="AA47" s="16">
        <f t="shared" si="6"/>
        <v>0</v>
      </c>
      <c r="AB47" s="16">
        <f t="shared" si="7"/>
        <v>-447322.9564088583</v>
      </c>
      <c r="AC47" s="4"/>
      <c r="AD47" s="16">
        <f>SUMIF('MUTASI 2026'!$B$482:$B$655,'WS Trial balance'!$D47,'MUTASI 2026'!$G$482:$G$655)</f>
        <v>0</v>
      </c>
      <c r="AE47" s="16">
        <f>SUMIF('MUTASI 2026'!$B$482:$B$655,'WS Trial balance'!$D47,'MUTASI 2026'!$H$482:$H$655)</f>
        <v>0</v>
      </c>
      <c r="AF47" s="16">
        <f t="shared" si="8"/>
        <v>0</v>
      </c>
      <c r="AG47" s="16">
        <f t="shared" si="9"/>
        <v>-447322.9564088583</v>
      </c>
      <c r="AH47" s="4"/>
      <c r="AI47" s="16">
        <f>SUMIF('MUTASI 2026'!$B$657:$B$748,'WS Trial balance'!$D47,'MUTASI 2026'!$G$657:$G$748)</f>
        <v>0</v>
      </c>
      <c r="AJ47" s="16">
        <f>SUMIF('MUTASI 2026'!$B$657:$B$748,'WS Trial balance'!$D47,'MUTASI 2026'!$H$657:$H$748)</f>
        <v>0</v>
      </c>
      <c r="AK47" s="16">
        <f t="shared" si="10"/>
        <v>0</v>
      </c>
      <c r="AL47" s="16">
        <f t="shared" si="11"/>
        <v>-447322.9564088583</v>
      </c>
      <c r="AM47" s="4"/>
      <c r="AN47" s="16">
        <f>SUMIF('MUTASI 2026'!$B$750:$B$851,'WS Trial balance'!$D47,'MUTASI 2026'!$G$750:$G$851)</f>
        <v>0</v>
      </c>
      <c r="AO47" s="16">
        <f>SUMIF('MUTASI 2026'!$B$750:$B$851,'WS Trial balance'!$D47,'MUTASI 2026'!$H$750:$H$851)</f>
        <v>0</v>
      </c>
      <c r="AP47" s="16">
        <f t="shared" si="12"/>
        <v>0</v>
      </c>
      <c r="AQ47" s="16">
        <f t="shared" si="13"/>
        <v>-447322.9564088583</v>
      </c>
      <c r="AR47" s="4"/>
      <c r="AS47" s="16">
        <f>SUMIF('MUTASI 2026'!$B$853:$B$945,'WS Trial balance'!$D47,'MUTASI 2026'!$G$853:$G$945)</f>
        <v>0</v>
      </c>
      <c r="AT47" s="16">
        <f>SUMIF('MUTASI 2026'!$B$853:$B$945,'WS Trial balance'!$D47,'MUTASI 2026'!$H$853:$H$945)</f>
        <v>0</v>
      </c>
      <c r="AU47" s="16">
        <f t="shared" si="14"/>
        <v>0</v>
      </c>
      <c r="AV47" s="16">
        <f t="shared" si="15"/>
        <v>-447322.9564088583</v>
      </c>
      <c r="AW47" s="4"/>
      <c r="AX47" s="16">
        <f>SUMIF('MUTASI 2026'!$B$1274:$B$1379,'WS Trial balance'!$D47,'MUTASI 2026'!$G$1274:$G$1379)</f>
        <v>0</v>
      </c>
      <c r="AY47" s="16">
        <f>SUMIF('MUTASI 2026'!$B$1274:$B$1379,'WS Trial balance'!$D47,'MUTASI 2026'!$H$1274:$H$1379)</f>
        <v>0</v>
      </c>
      <c r="AZ47" s="16">
        <f t="shared" si="16"/>
        <v>0</v>
      </c>
      <c r="BA47" s="16">
        <f t="shared" si="17"/>
        <v>-447322.9564088583</v>
      </c>
      <c r="BB47" s="4"/>
      <c r="BC47" s="16">
        <f>SUMIF('MUTASI 2026'!$B$1382:$B$1477,'WS Trial balance'!$D47,'MUTASI 2026'!$G$1382:$G$1477)</f>
        <v>0</v>
      </c>
      <c r="BD47" s="16">
        <f>SUMIF('MUTASI 2026'!$B$1382:$B$1477,'WS Trial balance'!$D47,'MUTASI 2026'!$H$1382:$H$1477)</f>
        <v>0</v>
      </c>
      <c r="BE47" s="16">
        <f t="shared" si="18"/>
        <v>0</v>
      </c>
      <c r="BF47" s="16">
        <f t="shared" si="19"/>
        <v>-447322.9564088583</v>
      </c>
      <c r="BG47" s="4"/>
      <c r="BH47" s="16">
        <f>SUMIF('MUTASI 2026'!$B$1480:$B$1600,'WS Trial balance'!$D47,'MUTASI 2026'!$G$1480:$G$1600)</f>
        <v>0</v>
      </c>
      <c r="BI47" s="16">
        <f>SUMIF('MUTASI 2026'!$B$1480:$B$1600,'WS Trial balance'!$D47,'MUTASI 2026'!$H$1480:$H$1600)</f>
        <v>0</v>
      </c>
      <c r="BJ47" s="16">
        <f t="shared" si="20"/>
        <v>0</v>
      </c>
      <c r="BK47" s="16">
        <f t="shared" si="21"/>
        <v>-447322.9564088583</v>
      </c>
      <c r="BL47" s="4"/>
      <c r="BM47" s="16">
        <f>SUMIF('MUTASI 2026'!$B$1603:$B$1722,'WS Trial balance'!$D47,'MUTASI 2026'!$G$1603:$G$1722)</f>
        <v>0</v>
      </c>
      <c r="BN47" s="16">
        <f>SUMIF('MUTASI 2026'!$B$1603:$B$1722,'WS Trial balance'!$D47,'MUTASI 2026'!$H$1603:$H$1722)</f>
        <v>0</v>
      </c>
      <c r="BO47" s="16">
        <f t="shared" si="22"/>
        <v>0</v>
      </c>
      <c r="BP47" s="16">
        <f t="shared" si="23"/>
        <v>-447322.9564088583</v>
      </c>
      <c r="BQ47" s="4"/>
      <c r="BR47" s="2"/>
      <c r="BS47" s="4"/>
      <c r="BT47" s="16">
        <f t="shared" si="24"/>
        <v>0</v>
      </c>
      <c r="BU47" s="16">
        <f t="shared" si="24"/>
        <v>155164673.13514504</v>
      </c>
      <c r="BV47" s="4"/>
      <c r="BW47" s="16">
        <f t="shared" si="25"/>
        <v>155611996.0915539</v>
      </c>
      <c r="BX47" s="16">
        <f t="shared" si="25"/>
        <v>0</v>
      </c>
      <c r="BY47" s="4"/>
      <c r="BZ47" s="16">
        <f t="shared" si="26"/>
        <v>0</v>
      </c>
      <c r="CA47" s="16">
        <f t="shared" si="27"/>
        <v>-447322.9564088583</v>
      </c>
      <c r="CB47" s="4"/>
    </row>
    <row r="48" spans="2:80" s="1" customFormat="1" ht="15" x14ac:dyDescent="0.25">
      <c r="B48" s="3"/>
      <c r="C48" s="15"/>
      <c r="D48" s="15" t="s">
        <v>399</v>
      </c>
      <c r="E48" s="17" t="s">
        <v>288</v>
      </c>
      <c r="F48" s="17" t="s">
        <v>12</v>
      </c>
      <c r="G48" s="16">
        <v>0</v>
      </c>
      <c r="H48" s="16">
        <v>0</v>
      </c>
      <c r="I48" s="4"/>
      <c r="J48" s="16">
        <f>SUMIF('MUTASI 2026'!$B$5:$B$160,'WS Trial balance'!$D48,'MUTASI 2026'!$G$5:$G$160)</f>
        <v>0</v>
      </c>
      <c r="K48" s="16">
        <f>SUMIF('MUTASI 2026'!$B$5:$B$160,'WS Trial balance'!$D48,'MUTASI 2026'!$H$5:$H$160)</f>
        <v>0</v>
      </c>
      <c r="L48" s="16">
        <f t="shared" si="0"/>
        <v>0</v>
      </c>
      <c r="M48" s="16">
        <f t="shared" si="1"/>
        <v>0</v>
      </c>
      <c r="N48" s="4"/>
      <c r="O48" s="16">
        <f>SUMIF('MUTASI 2026'!$B$162:$B$252,'WS Trial balance'!$D48,'MUTASI 2026'!$G$162:$G$252)</f>
        <v>0</v>
      </c>
      <c r="P48" s="16">
        <f>SUMIF('MUTASI 2026'!$B$162:$B$252,'WS Trial balance'!$D48,'MUTASI 2026'!$H$162:$H$252)</f>
        <v>0</v>
      </c>
      <c r="Q48" s="16">
        <f t="shared" si="2"/>
        <v>0</v>
      </c>
      <c r="R48" s="16">
        <f t="shared" si="3"/>
        <v>0</v>
      </c>
      <c r="S48" s="4"/>
      <c r="T48" s="16">
        <f>SUMIF('MUTASI 2026'!$B$254:$B$356,'WS Trial balance'!$D48,'MUTASI 2026'!$G$254:$G$356)</f>
        <v>0</v>
      </c>
      <c r="U48" s="16">
        <f>SUMIF('MUTASI 2026'!$B$254:$B$356,'WS Trial balance'!$D48,'MUTASI 2026'!$H$254:$H$356)</f>
        <v>0</v>
      </c>
      <c r="V48" s="16">
        <f t="shared" si="4"/>
        <v>0</v>
      </c>
      <c r="W48" s="16">
        <f t="shared" si="5"/>
        <v>0</v>
      </c>
      <c r="X48" s="4"/>
      <c r="Y48" s="16">
        <f>SUMIF('MUTASI 2026'!$B$358:$B$480,'WS Trial balance'!$D48,'MUTASI 2026'!$G$358:$G$480)</f>
        <v>0</v>
      </c>
      <c r="Z48" s="16">
        <f>SUMIF('MUTASI 2026'!$B$358:$B$480,'WS Trial balance'!$D48,'MUTASI 2026'!$H$358:$H$480)</f>
        <v>0</v>
      </c>
      <c r="AA48" s="16">
        <f t="shared" si="6"/>
        <v>0</v>
      </c>
      <c r="AB48" s="16">
        <f t="shared" si="7"/>
        <v>0</v>
      </c>
      <c r="AC48" s="4"/>
      <c r="AD48" s="16">
        <f>SUMIF('MUTASI 2026'!$B$482:$B$655,'WS Trial balance'!$D48,'MUTASI 2026'!$G$482:$G$655)</f>
        <v>0</v>
      </c>
      <c r="AE48" s="16">
        <f>SUMIF('MUTASI 2026'!$B$482:$B$655,'WS Trial balance'!$D48,'MUTASI 2026'!$H$482:$H$655)</f>
        <v>0</v>
      </c>
      <c r="AF48" s="16">
        <f t="shared" si="8"/>
        <v>0</v>
      </c>
      <c r="AG48" s="16">
        <f t="shared" si="9"/>
        <v>0</v>
      </c>
      <c r="AH48" s="4"/>
      <c r="AI48" s="16">
        <f>SUMIF('MUTASI 2026'!$B$657:$B$748,'WS Trial balance'!$D48,'MUTASI 2026'!$G$657:$G$748)</f>
        <v>0</v>
      </c>
      <c r="AJ48" s="16">
        <f>SUMIF('MUTASI 2026'!$B$657:$B$748,'WS Trial balance'!$D48,'MUTASI 2026'!$H$657:$H$748)</f>
        <v>0</v>
      </c>
      <c r="AK48" s="16">
        <f t="shared" si="10"/>
        <v>0</v>
      </c>
      <c r="AL48" s="16">
        <f t="shared" si="11"/>
        <v>0</v>
      </c>
      <c r="AM48" s="4"/>
      <c r="AN48" s="16">
        <f>SUMIF('MUTASI 2026'!$B$750:$B$851,'WS Trial balance'!$D48,'MUTASI 2026'!$G$750:$G$851)</f>
        <v>0</v>
      </c>
      <c r="AO48" s="16">
        <f>SUMIF('MUTASI 2026'!$B$750:$B$851,'WS Trial balance'!$D48,'MUTASI 2026'!$H$750:$H$851)</f>
        <v>0</v>
      </c>
      <c r="AP48" s="16">
        <f t="shared" si="12"/>
        <v>0</v>
      </c>
      <c r="AQ48" s="16">
        <f t="shared" si="13"/>
        <v>0</v>
      </c>
      <c r="AR48" s="4"/>
      <c r="AS48" s="16">
        <f>SUMIF('MUTASI 2026'!$B$853:$B$945,'WS Trial balance'!$D48,'MUTASI 2026'!$G$853:$G$945)</f>
        <v>0</v>
      </c>
      <c r="AT48" s="16">
        <f>SUMIF('MUTASI 2026'!$B$853:$B$945,'WS Trial balance'!$D48,'MUTASI 2026'!$H$853:$H$945)</f>
        <v>0</v>
      </c>
      <c r="AU48" s="16">
        <f t="shared" si="14"/>
        <v>0</v>
      </c>
      <c r="AV48" s="16">
        <f t="shared" si="15"/>
        <v>0</v>
      </c>
      <c r="AW48" s="4"/>
      <c r="AX48" s="16">
        <f>SUMIF('MUTASI 2026'!$B$1274:$B$1379,'WS Trial balance'!$D48,'MUTASI 2026'!$G$1274:$G$1379)</f>
        <v>0</v>
      </c>
      <c r="AY48" s="16">
        <f>SUMIF('MUTASI 2026'!$B$1274:$B$1379,'WS Trial balance'!$D48,'MUTASI 2026'!$H$1274:$H$1379)</f>
        <v>0</v>
      </c>
      <c r="AZ48" s="16">
        <f t="shared" si="16"/>
        <v>0</v>
      </c>
      <c r="BA48" s="16">
        <f t="shared" si="17"/>
        <v>0</v>
      </c>
      <c r="BB48" s="4"/>
      <c r="BC48" s="16">
        <f>SUMIF('MUTASI 2026'!$B$1382:$B$1477,'WS Trial balance'!$D48,'MUTASI 2026'!$G$1382:$G$1477)</f>
        <v>0</v>
      </c>
      <c r="BD48" s="16">
        <f>SUMIF('MUTASI 2026'!$B$1382:$B$1477,'WS Trial balance'!$D48,'MUTASI 2026'!$H$1382:$H$1477)</f>
        <v>0</v>
      </c>
      <c r="BE48" s="16">
        <f t="shared" si="18"/>
        <v>0</v>
      </c>
      <c r="BF48" s="16">
        <f t="shared" si="19"/>
        <v>0</v>
      </c>
      <c r="BG48" s="4"/>
      <c r="BH48" s="16">
        <f>SUMIF('MUTASI 2026'!$B$1480:$B$1600,'WS Trial balance'!$D48,'MUTASI 2026'!$G$1480:$G$1600)</f>
        <v>0</v>
      </c>
      <c r="BI48" s="16">
        <f>SUMIF('MUTASI 2026'!$B$1480:$B$1600,'WS Trial balance'!$D48,'MUTASI 2026'!$H$1480:$H$1600)</f>
        <v>0</v>
      </c>
      <c r="BJ48" s="16">
        <f t="shared" si="20"/>
        <v>0</v>
      </c>
      <c r="BK48" s="16">
        <f t="shared" si="21"/>
        <v>0</v>
      </c>
      <c r="BL48" s="4"/>
      <c r="BM48" s="16">
        <f>SUMIF('MUTASI 2026'!$B$1603:$B$1722,'WS Trial balance'!$D48,'MUTASI 2026'!$G$1603:$G$1722)</f>
        <v>0</v>
      </c>
      <c r="BN48" s="16">
        <f>SUMIF('MUTASI 2026'!$B$1603:$B$1722,'WS Trial balance'!$D48,'MUTASI 2026'!$H$1603:$H$1722)</f>
        <v>0</v>
      </c>
      <c r="BO48" s="16">
        <f t="shared" si="22"/>
        <v>0</v>
      </c>
      <c r="BP48" s="16">
        <f t="shared" si="23"/>
        <v>0</v>
      </c>
      <c r="BQ48" s="4"/>
      <c r="BR48" s="2"/>
      <c r="BS48" s="4"/>
      <c r="BT48" s="16">
        <f t="shared" si="24"/>
        <v>0</v>
      </c>
      <c r="BU48" s="16">
        <f t="shared" si="24"/>
        <v>0</v>
      </c>
      <c r="BV48" s="4"/>
      <c r="BW48" s="16">
        <f t="shared" si="25"/>
        <v>0</v>
      </c>
      <c r="BX48" s="16">
        <f t="shared" si="25"/>
        <v>0</v>
      </c>
      <c r="BY48" s="4"/>
      <c r="BZ48" s="16">
        <f t="shared" si="26"/>
        <v>0</v>
      </c>
      <c r="CA48" s="16">
        <f t="shared" si="27"/>
        <v>0</v>
      </c>
      <c r="CB48" s="4"/>
    </row>
    <row r="49" spans="2:84" s="1" customFormat="1" ht="6.75" customHeight="1" x14ac:dyDescent="0.25">
      <c r="B49" s="3"/>
      <c r="C49" s="18"/>
      <c r="D49" s="18"/>
      <c r="E49" s="18"/>
      <c r="F49" s="18"/>
      <c r="G49" s="19"/>
      <c r="H49" s="19"/>
      <c r="I49" s="4"/>
      <c r="J49" s="16"/>
      <c r="K49" s="16"/>
      <c r="L49" s="19"/>
      <c r="M49" s="19"/>
      <c r="N49" s="4"/>
      <c r="O49" s="16"/>
      <c r="P49" s="16"/>
      <c r="Q49" s="19"/>
      <c r="R49" s="19"/>
      <c r="S49" s="4"/>
      <c r="T49" s="16"/>
      <c r="U49" s="16"/>
      <c r="V49" s="19"/>
      <c r="W49" s="19"/>
      <c r="X49" s="4"/>
      <c r="Y49" s="16"/>
      <c r="Z49" s="16"/>
      <c r="AA49" s="19"/>
      <c r="AB49" s="19"/>
      <c r="AC49" s="4"/>
      <c r="AD49" s="16"/>
      <c r="AE49" s="16"/>
      <c r="AF49" s="19"/>
      <c r="AG49" s="19"/>
      <c r="AH49" s="4"/>
      <c r="AI49" s="16"/>
      <c r="AJ49" s="16"/>
      <c r="AK49" s="19"/>
      <c r="AL49" s="19"/>
      <c r="AM49" s="4"/>
      <c r="AN49" s="16"/>
      <c r="AO49" s="16"/>
      <c r="AP49" s="19"/>
      <c r="AQ49" s="19"/>
      <c r="AR49" s="4"/>
      <c r="AS49" s="16"/>
      <c r="AT49" s="16"/>
      <c r="AU49" s="19"/>
      <c r="AV49" s="19"/>
      <c r="AW49" s="4"/>
      <c r="AX49" s="16"/>
      <c r="AY49" s="16"/>
      <c r="AZ49" s="19"/>
      <c r="BA49" s="19"/>
      <c r="BB49" s="4"/>
      <c r="BC49" s="16"/>
      <c r="BD49" s="16"/>
      <c r="BE49" s="19"/>
      <c r="BF49" s="19"/>
      <c r="BG49" s="4"/>
      <c r="BH49" s="16"/>
      <c r="BI49" s="16"/>
      <c r="BJ49" s="19"/>
      <c r="BK49" s="19"/>
      <c r="BL49" s="4"/>
      <c r="BM49" s="16"/>
      <c r="BN49" s="16"/>
      <c r="BO49" s="19"/>
      <c r="BP49" s="19"/>
      <c r="BQ49" s="4"/>
      <c r="BR49" s="2"/>
      <c r="BS49" s="4"/>
      <c r="BT49" s="19"/>
      <c r="BU49" s="19"/>
      <c r="BV49" s="4"/>
      <c r="BW49" s="16"/>
      <c r="BX49" s="16"/>
      <c r="BY49" s="4"/>
      <c r="BZ49" s="19"/>
      <c r="CA49" s="19"/>
      <c r="CB49" s="4"/>
    </row>
    <row r="50" spans="2:84" s="1" customFormat="1" ht="15" x14ac:dyDescent="0.25">
      <c r="B50" s="3"/>
      <c r="C50" s="20"/>
      <c r="D50" s="20"/>
      <c r="E50" s="20" t="s">
        <v>57</v>
      </c>
      <c r="F50" s="20"/>
      <c r="G50" s="21">
        <f>SUM(G7:G29)-SUM(H7:H29)</f>
        <v>2699371744.0845761</v>
      </c>
      <c r="H50" s="21">
        <f>SUM(H30:H48)-SUM(G30:G48)</f>
        <v>2699371744.0845761</v>
      </c>
      <c r="I50" s="4"/>
      <c r="J50" s="22">
        <f>SUM(J7:J49)</f>
        <v>558578843.29999995</v>
      </c>
      <c r="K50" s="22">
        <f>SUM(K7:K49)</f>
        <v>538087668.66333294</v>
      </c>
      <c r="L50" s="21">
        <f>SUM(L7:L29)-SUM(M7:M29)</f>
        <v>2752612918.7212434</v>
      </c>
      <c r="M50" s="21">
        <f>SUM(M30:M48)-SUM(L30:L48)</f>
        <v>2732121744.0845761</v>
      </c>
      <c r="N50" s="4"/>
      <c r="O50" s="22">
        <f>SUM(O7:O49)</f>
        <v>351091226.03333277</v>
      </c>
      <c r="P50" s="22">
        <f>SUM(P7:P49)</f>
        <v>333210150</v>
      </c>
      <c r="Q50" s="21">
        <f>SUM(Q7:Q29)-SUM(R7:R29)</f>
        <v>2774893994.7545757</v>
      </c>
      <c r="R50" s="21">
        <f>SUM(R30:R48)-SUM(Q30:Q48)</f>
        <v>2736521744.0845761</v>
      </c>
      <c r="S50" s="4"/>
      <c r="T50" s="22">
        <f>SUM(T7:T49)</f>
        <v>461734825.09155393</v>
      </c>
      <c r="U50" s="22">
        <f>SUM(U7:U49)</f>
        <v>471811583.45710981</v>
      </c>
      <c r="V50" s="21">
        <f>SUM(V7:V29)-SUM(W7:W29)</f>
        <v>2676545092.38902</v>
      </c>
      <c r="W50" s="21">
        <f>SUM(W30:W48)-SUM(V30:V48)</f>
        <v>2648249600.0845761</v>
      </c>
      <c r="X50" s="4"/>
      <c r="Y50" s="22">
        <f>SUM(Y7:Y49)</f>
        <v>309937368.25</v>
      </c>
      <c r="Z50" s="22">
        <f>SUM(Z7:Z49)</f>
        <v>292416038.88888836</v>
      </c>
      <c r="AA50" s="21">
        <f>SUM(AA7:AA29)-SUM(AB7:AB29)</f>
        <v>2697866421.7501316</v>
      </c>
      <c r="AB50" s="21">
        <f>SUM(AB30:AB48)-SUM(AA30:AA48)</f>
        <v>2652049600.0845761</v>
      </c>
      <c r="AC50" s="4"/>
      <c r="AD50" s="22">
        <f>SUM(AD7:AD49)</f>
        <v>607551666.29999995</v>
      </c>
      <c r="AE50" s="22">
        <f>SUM(AE7:AE49)</f>
        <v>629277965.77777779</v>
      </c>
      <c r="AF50" s="21">
        <f>SUM(AF7:AF29)-SUM(AG7:AG29)</f>
        <v>2648503084.2723541</v>
      </c>
      <c r="AG50" s="21">
        <f>SUM(AG30:AG48)-SUM(AF30:AF48)</f>
        <v>2624412562.0845761</v>
      </c>
      <c r="AH50" s="4"/>
      <c r="AI50" s="22">
        <f>SUM(AI7:AI49)</f>
        <v>485476489</v>
      </c>
      <c r="AJ50" s="22">
        <f>SUM(AJ7:AJ49)</f>
        <v>470022165.01111108</v>
      </c>
      <c r="AK50" s="21">
        <f>SUM(AK7:AK29)-SUM(AL7:AL29)</f>
        <v>2667807408.2612429</v>
      </c>
      <c r="AL50" s="21">
        <f>SUM(AL30:AL48)-SUM(AK30:AK48)</f>
        <v>2628262562.0845761</v>
      </c>
      <c r="AM50" s="4"/>
      <c r="AN50" s="22">
        <f>SUM(AN7:AN49)</f>
        <v>436426996</v>
      </c>
      <c r="AO50" s="22">
        <f>SUM(AO7:AO49)</f>
        <v>418698149.15444446</v>
      </c>
      <c r="AP50" s="21">
        <f>SUM(AP7:AP29)-SUM(AQ7:AQ29)</f>
        <v>2689386255.1067982</v>
      </c>
      <c r="AQ50" s="21">
        <f>SUM(AQ30:AQ48)-SUM(AP30:AP48)</f>
        <v>2632112562.0845761</v>
      </c>
      <c r="AR50" s="4"/>
      <c r="AS50" s="22">
        <f>SUM(AS7:AS49)</f>
        <v>285800477.79000002</v>
      </c>
      <c r="AT50" s="22">
        <f>SUM(AT7:AT49)</f>
        <v>268626648.44444442</v>
      </c>
      <c r="AU50" s="21">
        <f>SUM(AU7:AU29)-SUM(AV7:AV29)</f>
        <v>2696176630.452354</v>
      </c>
      <c r="AV50" s="21">
        <f>SUM(AV30:AV48)-SUM(AU30:AU48)</f>
        <v>2621729108.0845761</v>
      </c>
      <c r="AW50" s="4"/>
      <c r="AX50" s="22">
        <f>SUM(AX7:AX49)</f>
        <v>0</v>
      </c>
      <c r="AY50" s="22">
        <f>SUM(AY7:AY49)</f>
        <v>0</v>
      </c>
      <c r="AZ50" s="21">
        <f>SUM(AZ7:AZ29)-SUM(BA7:BA29)</f>
        <v>2696176630.452354</v>
      </c>
      <c r="BA50" s="21">
        <f>SUM(BA30:BA48)-SUM(AZ30:AZ48)</f>
        <v>2621729108.0845761</v>
      </c>
      <c r="BB50" s="4"/>
      <c r="BC50" s="22">
        <f>SUM(BC7:BC49)</f>
        <v>0</v>
      </c>
      <c r="BD50" s="22">
        <f>SUM(BD7:BD49)</f>
        <v>0</v>
      </c>
      <c r="BE50" s="21">
        <f>SUM(BE7:BE29)-SUM(BF7:BF29)</f>
        <v>2696176630.452354</v>
      </c>
      <c r="BF50" s="21">
        <f>SUM(BF30:BF48)-SUM(BE30:BE48)</f>
        <v>2621729108.0845761</v>
      </c>
      <c r="BG50" s="4"/>
      <c r="BH50" s="22">
        <f>SUM(BH7:BH49)</f>
        <v>0</v>
      </c>
      <c r="BI50" s="22">
        <f>SUM(BI7:BI49)</f>
        <v>0</v>
      </c>
      <c r="BJ50" s="21">
        <f>SUM(BJ7:BJ29)-SUM(BK7:BK29)</f>
        <v>2696176630.452354</v>
      </c>
      <c r="BK50" s="21">
        <f>SUM(BK30:BK48)-SUM(BJ30:BJ48)</f>
        <v>2621729108.0845761</v>
      </c>
      <c r="BL50" s="4"/>
      <c r="BM50" s="22">
        <f>SUM(BM7:BM49)</f>
        <v>0</v>
      </c>
      <c r="BN50" s="22">
        <f>SUM(BN7:BN49)</f>
        <v>0</v>
      </c>
      <c r="BO50" s="21">
        <f>SUM(BO7:BO29)-SUM(BP7:BP29)</f>
        <v>2696176630.452354</v>
      </c>
      <c r="BP50" s="21">
        <f>SUM(BP30:BP48)-SUM(BO30:BO48)</f>
        <v>2621729108.0845761</v>
      </c>
      <c r="BQ50" s="4"/>
      <c r="BR50" s="2"/>
      <c r="BS50" s="4"/>
      <c r="BT50" s="21">
        <f>SUM(BT7:BT29)-SUM(BU7:BU29)</f>
        <v>2699371744.0845761</v>
      </c>
      <c r="BU50" s="21">
        <f>SUM(BU30:BU48)-SUM(BT30:BT48)</f>
        <v>2699371744.0845761</v>
      </c>
      <c r="BV50" s="4"/>
      <c r="BW50" s="22">
        <f>SUM(BW7:BW49)</f>
        <v>3496597891.7648864</v>
      </c>
      <c r="BX50" s="22">
        <f>SUM(BX7:BX49)</f>
        <v>3422150369.3971086</v>
      </c>
      <c r="BY50" s="4"/>
      <c r="BZ50" s="21">
        <f>SUM(BZ7:BZ29)-SUM(CA7:CA29)</f>
        <v>2696176630.4523544</v>
      </c>
      <c r="CA50" s="21">
        <f>SUM(CA30:CA48)-SUM(BZ30:BZ48)</f>
        <v>2621729108.0845761</v>
      </c>
      <c r="CB50" s="4"/>
    </row>
    <row r="51" spans="2:84" s="1" customFormat="1" ht="15.75" thickBot="1" x14ac:dyDescent="0.3">
      <c r="B51" s="3"/>
      <c r="C51" s="23"/>
      <c r="D51" s="23"/>
      <c r="E51" s="23" t="s">
        <v>58</v>
      </c>
      <c r="F51" s="23"/>
      <c r="G51" s="24"/>
      <c r="H51" s="25">
        <f>G50-H50</f>
        <v>0</v>
      </c>
      <c r="I51" s="4"/>
      <c r="J51" s="26"/>
      <c r="K51" s="25">
        <f>J50-K50</f>
        <v>20491174.636667013</v>
      </c>
      <c r="L51" s="27"/>
      <c r="M51" s="25">
        <f>L50-M50</f>
        <v>20491174.636667252</v>
      </c>
      <c r="N51" s="4"/>
      <c r="O51" s="26"/>
      <c r="P51" s="25">
        <f>O50-P50</f>
        <v>17881076.033332765</v>
      </c>
      <c r="Q51" s="27"/>
      <c r="R51" s="25">
        <f>Q50-R50</f>
        <v>38372250.669999599</v>
      </c>
      <c r="S51" s="4"/>
      <c r="T51" s="26"/>
      <c r="U51" s="25">
        <f>T50-U50</f>
        <v>-10076758.365555882</v>
      </c>
      <c r="V51" s="27"/>
      <c r="W51" s="25">
        <f>V50-W50</f>
        <v>28295492.304443836</v>
      </c>
      <c r="X51" s="4"/>
      <c r="Y51" s="26"/>
      <c r="Z51" s="25">
        <f>Y50-Z50</f>
        <v>17521329.361111641</v>
      </c>
      <c r="AA51" s="27"/>
      <c r="AB51" s="25">
        <f>AA50-AB50</f>
        <v>45816821.665555477</v>
      </c>
      <c r="AC51" s="4"/>
      <c r="AD51" s="26"/>
      <c r="AE51" s="25">
        <f>AD50-AE50</f>
        <v>-21726299.477777839</v>
      </c>
      <c r="AF51" s="27"/>
      <c r="AG51" s="25">
        <f>AF50-AG50</f>
        <v>24090522.187777996</v>
      </c>
      <c r="AH51" s="4"/>
      <c r="AI51" s="26"/>
      <c r="AJ51" s="25">
        <f>AI50-AJ50</f>
        <v>15454323.988888919</v>
      </c>
      <c r="AK51" s="27"/>
      <c r="AL51" s="25">
        <f>AK50-AL50</f>
        <v>39544846.176666737</v>
      </c>
      <c r="AM51" s="4"/>
      <c r="AN51" s="26"/>
      <c r="AO51" s="25">
        <f>AN50-AO50</f>
        <v>17728846.845555544</v>
      </c>
      <c r="AP51" s="27"/>
      <c r="AQ51" s="25">
        <f>AP50-AQ50</f>
        <v>57273693.022222042</v>
      </c>
      <c r="AR51" s="4"/>
      <c r="AS51" s="26"/>
      <c r="AT51" s="25">
        <f>AS50-AT50</f>
        <v>17173829.345555604</v>
      </c>
      <c r="AU51" s="27"/>
      <c r="AV51" s="25">
        <f>AU50-AV50</f>
        <v>74447522.367777824</v>
      </c>
      <c r="AW51" s="4"/>
      <c r="AX51" s="26"/>
      <c r="AY51" s="25">
        <f>AX50-AY50</f>
        <v>0</v>
      </c>
      <c r="AZ51" s="27"/>
      <c r="BA51" s="25">
        <f>AZ50-BA50</f>
        <v>74447522.367777824</v>
      </c>
      <c r="BB51" s="4"/>
      <c r="BC51" s="26"/>
      <c r="BD51" s="25">
        <f>BC50-BD50</f>
        <v>0</v>
      </c>
      <c r="BE51" s="27"/>
      <c r="BF51" s="25">
        <f>BE50-BF50</f>
        <v>74447522.367777824</v>
      </c>
      <c r="BG51" s="4"/>
      <c r="BH51" s="26"/>
      <c r="BI51" s="25">
        <f>BH50-BI50</f>
        <v>0</v>
      </c>
      <c r="BJ51" s="27"/>
      <c r="BK51" s="25">
        <f>BJ50-BK50</f>
        <v>74447522.367777824</v>
      </c>
      <c r="BL51" s="4"/>
      <c r="BM51" s="26"/>
      <c r="BN51" s="25">
        <f>BM50-BN50</f>
        <v>0</v>
      </c>
      <c r="BO51" s="27"/>
      <c r="BP51" s="25">
        <f>BO50-BP50</f>
        <v>74447522.367777824</v>
      </c>
      <c r="BQ51" s="4"/>
      <c r="BR51" s="2"/>
      <c r="BS51" s="4"/>
      <c r="BT51" s="24"/>
      <c r="BU51" s="25">
        <f>BT50-BU50</f>
        <v>0</v>
      </c>
      <c r="BV51" s="4"/>
      <c r="BW51" s="26"/>
      <c r="BX51" s="25">
        <f>BW50-BX50</f>
        <v>74447522.367777824</v>
      </c>
      <c r="BY51" s="4"/>
      <c r="BZ51" s="27"/>
      <c r="CA51" s="25">
        <f>BZ50-CA50</f>
        <v>74447522.367778301</v>
      </c>
      <c r="CB51" s="4"/>
    </row>
    <row r="52" spans="2:84" s="1" customFormat="1" ht="15.75" thickTop="1" x14ac:dyDescent="0.25">
      <c r="B52" s="3"/>
      <c r="C52" s="28"/>
      <c r="D52" s="28"/>
      <c r="E52" s="28"/>
      <c r="F52" s="28"/>
      <c r="G52" s="29"/>
      <c r="H52" s="29"/>
      <c r="I52" s="4"/>
      <c r="J52" s="30"/>
      <c r="K52" s="30"/>
      <c r="L52" s="29"/>
      <c r="M52" s="28"/>
      <c r="N52" s="4"/>
      <c r="O52" s="30"/>
      <c r="P52" s="30"/>
      <c r="Q52" s="29"/>
      <c r="R52" s="28"/>
      <c r="S52" s="4"/>
      <c r="T52" s="30"/>
      <c r="U52" s="30"/>
      <c r="V52" s="29"/>
      <c r="W52" s="28"/>
      <c r="X52" s="4"/>
      <c r="Y52" s="30"/>
      <c r="Z52" s="30"/>
      <c r="AA52" s="29"/>
      <c r="AB52" s="28"/>
      <c r="AC52" s="4"/>
      <c r="AD52" s="30"/>
      <c r="AE52" s="30"/>
      <c r="AF52" s="29"/>
      <c r="AG52" s="28"/>
      <c r="AH52" s="4"/>
      <c r="AI52" s="30"/>
      <c r="AJ52" s="30"/>
      <c r="AK52" s="29"/>
      <c r="AL52" s="28"/>
      <c r="AM52" s="4"/>
      <c r="AN52" s="30"/>
      <c r="AO52" s="30"/>
      <c r="AP52" s="29"/>
      <c r="AQ52" s="28"/>
      <c r="AR52" s="4"/>
      <c r="AS52" s="30"/>
      <c r="AT52" s="30"/>
      <c r="AU52" s="29"/>
      <c r="AV52" s="28"/>
      <c r="AW52" s="4"/>
      <c r="AX52" s="30"/>
      <c r="AY52" s="30"/>
      <c r="AZ52" s="29"/>
      <c r="BA52" s="28"/>
      <c r="BB52" s="4"/>
      <c r="BC52" s="30"/>
      <c r="BD52" s="30"/>
      <c r="BE52" s="29"/>
      <c r="BF52" s="28"/>
      <c r="BG52" s="4"/>
      <c r="BH52" s="30"/>
      <c r="BI52" s="30"/>
      <c r="BJ52" s="29"/>
      <c r="BK52" s="28"/>
      <c r="BL52" s="4"/>
      <c r="BM52" s="30"/>
      <c r="BN52" s="30"/>
      <c r="BO52" s="29"/>
      <c r="BP52" s="28"/>
      <c r="BQ52" s="4"/>
      <c r="BR52" s="2"/>
      <c r="BS52" s="4"/>
      <c r="BT52" s="29"/>
      <c r="BU52" s="29"/>
      <c r="BV52" s="4"/>
      <c r="BW52" s="30"/>
      <c r="BX52" s="30"/>
      <c r="BY52" s="4"/>
      <c r="BZ52" s="29"/>
      <c r="CA52" s="28"/>
      <c r="CB52" s="4"/>
    </row>
    <row r="53" spans="2:84" s="1" customFormat="1" ht="7.5" customHeight="1" x14ac:dyDescent="0.25">
      <c r="B53" s="3"/>
      <c r="C53" s="31"/>
      <c r="D53" s="31"/>
      <c r="E53" s="31"/>
      <c r="F53" s="31"/>
      <c r="G53" s="31"/>
      <c r="H53" s="31"/>
      <c r="I53" s="4"/>
      <c r="J53" s="32"/>
      <c r="K53" s="32"/>
      <c r="L53" s="31"/>
      <c r="M53" s="31"/>
      <c r="N53" s="4"/>
      <c r="O53" s="32"/>
      <c r="P53" s="32"/>
      <c r="Q53" s="31"/>
      <c r="R53" s="31"/>
      <c r="S53" s="4"/>
      <c r="T53" s="32"/>
      <c r="U53" s="32"/>
      <c r="V53" s="31"/>
      <c r="W53" s="31"/>
      <c r="X53" s="4"/>
      <c r="Y53" s="32"/>
      <c r="Z53" s="32"/>
      <c r="AA53" s="31"/>
      <c r="AB53" s="31"/>
      <c r="AC53" s="4"/>
      <c r="AD53" s="32"/>
      <c r="AE53" s="32"/>
      <c r="AF53" s="31"/>
      <c r="AG53" s="31"/>
      <c r="AH53" s="4"/>
      <c r="AI53" s="32"/>
      <c r="AJ53" s="32"/>
      <c r="AK53" s="31"/>
      <c r="AL53" s="31"/>
      <c r="AM53" s="4"/>
      <c r="AN53" s="32"/>
      <c r="AO53" s="32"/>
      <c r="AP53" s="31"/>
      <c r="AQ53" s="31"/>
      <c r="AR53" s="4"/>
      <c r="AS53" s="32"/>
      <c r="AT53" s="32"/>
      <c r="AU53" s="31"/>
      <c r="AV53" s="31"/>
      <c r="AW53" s="4"/>
      <c r="AX53" s="32"/>
      <c r="AY53" s="32"/>
      <c r="AZ53" s="31"/>
      <c r="BA53" s="31"/>
      <c r="BB53" s="4"/>
      <c r="BC53" s="32"/>
      <c r="BD53" s="32"/>
      <c r="BE53" s="31"/>
      <c r="BF53" s="31"/>
      <c r="BG53" s="4"/>
      <c r="BH53" s="32"/>
      <c r="BI53" s="32"/>
      <c r="BJ53" s="31"/>
      <c r="BK53" s="31"/>
      <c r="BL53" s="4"/>
      <c r="BM53" s="32"/>
      <c r="BN53" s="32"/>
      <c r="BO53" s="31"/>
      <c r="BP53" s="31"/>
      <c r="BQ53" s="4"/>
      <c r="BR53" s="2"/>
      <c r="BS53" s="4"/>
      <c r="BT53" s="31"/>
      <c r="BU53" s="31"/>
      <c r="BV53" s="4"/>
      <c r="BW53" s="32"/>
      <c r="BX53" s="32"/>
      <c r="BY53" s="4"/>
      <c r="BZ53" s="31"/>
      <c r="CA53" s="31"/>
      <c r="CB53" s="4"/>
    </row>
    <row r="54" spans="2:84" s="1" customFormat="1" ht="20.25" x14ac:dyDescent="0.3">
      <c r="B54" s="3"/>
      <c r="C54" s="6" t="str">
        <f>C3</f>
        <v>KOPERASI KARYAWAN CIPTA SEJAHTERA</v>
      </c>
      <c r="D54" s="6"/>
      <c r="E54" s="6"/>
      <c r="F54" s="33"/>
      <c r="G54" s="33"/>
      <c r="H54" s="34"/>
      <c r="I54" s="4"/>
      <c r="J54" s="35"/>
      <c r="K54" s="36"/>
      <c r="L54" s="37"/>
      <c r="M54" s="36"/>
      <c r="N54" s="4"/>
      <c r="O54" s="35"/>
      <c r="P54" s="36"/>
      <c r="Q54" s="37"/>
      <c r="R54" s="36"/>
      <c r="S54" s="4"/>
      <c r="T54" s="35"/>
      <c r="U54" s="36"/>
      <c r="V54" s="37"/>
      <c r="W54" s="36"/>
      <c r="X54" s="4"/>
      <c r="Y54" s="35"/>
      <c r="Z54" s="36"/>
      <c r="AA54" s="37"/>
      <c r="AB54" s="36"/>
      <c r="AC54" s="4"/>
      <c r="AD54" s="35"/>
      <c r="AE54" s="36"/>
      <c r="AF54" s="37"/>
      <c r="AG54" s="36"/>
      <c r="AH54" s="4"/>
      <c r="AI54" s="35"/>
      <c r="AJ54" s="36"/>
      <c r="AK54" s="37"/>
      <c r="AL54" s="36"/>
      <c r="AM54" s="4"/>
      <c r="AN54" s="35"/>
      <c r="AO54" s="36"/>
      <c r="AP54" s="37"/>
      <c r="AQ54" s="36"/>
      <c r="AR54" s="4"/>
      <c r="AS54" s="35"/>
      <c r="AT54" s="36"/>
      <c r="AU54" s="37"/>
      <c r="AV54" s="36"/>
      <c r="AW54" s="4"/>
      <c r="AX54" s="35"/>
      <c r="AY54" s="36"/>
      <c r="AZ54" s="37"/>
      <c r="BA54" s="36"/>
      <c r="BB54" s="4"/>
      <c r="BC54" s="35"/>
      <c r="BD54" s="36"/>
      <c r="BE54" s="37"/>
      <c r="BF54" s="36"/>
      <c r="BG54" s="4"/>
      <c r="BH54" s="35"/>
      <c r="BI54" s="36"/>
      <c r="BJ54" s="37"/>
      <c r="BK54" s="36"/>
      <c r="BL54" s="4"/>
      <c r="BM54" s="35"/>
      <c r="BN54" s="36"/>
      <c r="BO54" s="37"/>
      <c r="BP54" s="36"/>
      <c r="BQ54" s="4"/>
      <c r="BR54" s="2"/>
      <c r="BS54" s="4"/>
      <c r="BT54" s="33"/>
      <c r="BU54" s="34"/>
      <c r="BV54" s="4"/>
      <c r="BW54" s="35"/>
      <c r="BX54" s="36"/>
      <c r="BY54" s="4"/>
      <c r="BZ54" s="37"/>
      <c r="CA54" s="36"/>
      <c r="CB54" s="4"/>
    </row>
    <row r="55" spans="2:84" s="1" customFormat="1" ht="20.25" x14ac:dyDescent="0.3">
      <c r="B55" s="3"/>
      <c r="C55" s="97" t="s">
        <v>576</v>
      </c>
      <c r="D55" s="97"/>
      <c r="E55" s="38"/>
      <c r="F55" s="39"/>
      <c r="G55" s="39"/>
      <c r="H55" s="40"/>
      <c r="I55" s="4"/>
      <c r="J55" s="41"/>
      <c r="K55" s="41"/>
      <c r="L55" s="42"/>
      <c r="M55" s="43"/>
      <c r="N55" s="4"/>
      <c r="O55" s="41"/>
      <c r="P55" s="41"/>
      <c r="Q55" s="42"/>
      <c r="R55" s="43"/>
      <c r="S55" s="4"/>
      <c r="T55" s="41"/>
      <c r="U55" s="41"/>
      <c r="V55" s="42"/>
      <c r="W55" s="43"/>
      <c r="X55" s="4"/>
      <c r="Y55" s="41"/>
      <c r="Z55" s="41"/>
      <c r="AA55" s="42"/>
      <c r="AB55" s="43"/>
      <c r="AC55" s="4"/>
      <c r="AD55" s="41"/>
      <c r="AE55" s="41"/>
      <c r="AF55" s="42"/>
      <c r="AG55" s="43"/>
      <c r="AH55" s="4"/>
      <c r="AI55" s="41"/>
      <c r="AJ55" s="41"/>
      <c r="AK55" s="42"/>
      <c r="AL55" s="43"/>
      <c r="AM55" s="4"/>
      <c r="AN55" s="41"/>
      <c r="AO55" s="41"/>
      <c r="AP55" s="42"/>
      <c r="AQ55" s="43"/>
      <c r="AR55" s="4"/>
      <c r="AS55" s="41"/>
      <c r="AT55" s="41"/>
      <c r="AU55" s="42"/>
      <c r="AV55" s="43"/>
      <c r="AW55" s="4"/>
      <c r="AX55" s="41"/>
      <c r="AY55" s="41"/>
      <c r="AZ55" s="42"/>
      <c r="BA55" s="43"/>
      <c r="BB55" s="4"/>
      <c r="BC55" s="41"/>
      <c r="BD55" s="41"/>
      <c r="BE55" s="42"/>
      <c r="BF55" s="43"/>
      <c r="BG55" s="4"/>
      <c r="BH55" s="41"/>
      <c r="BI55" s="41"/>
      <c r="BJ55" s="42"/>
      <c r="BK55" s="43"/>
      <c r="BL55" s="4"/>
      <c r="BM55" s="41"/>
      <c r="BN55" s="41"/>
      <c r="BO55" s="42"/>
      <c r="BP55" s="43"/>
      <c r="BQ55" s="4"/>
      <c r="BR55" s="2"/>
      <c r="BS55" s="4"/>
      <c r="BT55" s="39"/>
      <c r="BU55" s="40"/>
      <c r="BV55" s="4"/>
      <c r="BW55" s="41"/>
      <c r="BX55" s="41"/>
      <c r="BY55" s="4"/>
      <c r="BZ55" s="42"/>
      <c r="CA55" s="43"/>
      <c r="CB55" s="4"/>
    </row>
    <row r="56" spans="2:84" s="12" customFormat="1" ht="15" customHeight="1" x14ac:dyDescent="0.25">
      <c r="B56" s="8"/>
      <c r="C56" s="225" t="s">
        <v>0</v>
      </c>
      <c r="D56" s="226"/>
      <c r="E56" s="227"/>
      <c r="F56" s="232" t="str">
        <f>F5</f>
        <v>KODE</v>
      </c>
      <c r="G56" s="44" t="str">
        <f>G5</f>
        <v>SALDO AWAL 2026</v>
      </c>
      <c r="H56" s="45"/>
      <c r="I56" s="4"/>
      <c r="J56" s="11" t="str">
        <f>J5</f>
        <v>MUTASI JANUARI 2026</v>
      </c>
      <c r="K56" s="11"/>
      <c r="L56" s="44" t="str">
        <f>L5</f>
        <v>SALDO AKHIR JANUARI 2026</v>
      </c>
      <c r="M56" s="45"/>
      <c r="N56" s="4"/>
      <c r="O56" s="11" t="str">
        <f>O5</f>
        <v>MUTASI FEBRUARI 2026</v>
      </c>
      <c r="P56" s="11"/>
      <c r="Q56" s="44" t="str">
        <f>Q5</f>
        <v>SALDO AKHIR FEBRUARI 2026</v>
      </c>
      <c r="R56" s="45"/>
      <c r="S56" s="4"/>
      <c r="T56" s="11" t="str">
        <f>T5</f>
        <v>MUTASI MARET 2026</v>
      </c>
      <c r="U56" s="11"/>
      <c r="V56" s="44" t="str">
        <f>V5</f>
        <v>SALDO AKHIR MARET 2026</v>
      </c>
      <c r="W56" s="45"/>
      <c r="X56" s="4"/>
      <c r="Y56" s="11" t="str">
        <f>Y5</f>
        <v>MUTASI APRIL 2026</v>
      </c>
      <c r="Z56" s="11"/>
      <c r="AA56" s="44" t="str">
        <f>AA5</f>
        <v>SALDO AKHIR APRIL 2026</v>
      </c>
      <c r="AB56" s="45"/>
      <c r="AC56" s="4"/>
      <c r="AD56" s="11" t="str">
        <f>AD5</f>
        <v>MUTASI MEI 2026</v>
      </c>
      <c r="AE56" s="11"/>
      <c r="AF56" s="44" t="str">
        <f>AF5</f>
        <v>SALDO AKHIR MEI 2026</v>
      </c>
      <c r="AG56" s="45"/>
      <c r="AH56" s="4"/>
      <c r="AI56" s="11" t="str">
        <f>AI5</f>
        <v>MUTASI JUNI 2026</v>
      </c>
      <c r="AJ56" s="11"/>
      <c r="AK56" s="44" t="str">
        <f>AK5</f>
        <v>SALDO AKHIR JUNI 2026</v>
      </c>
      <c r="AL56" s="45"/>
      <c r="AM56" s="4"/>
      <c r="AN56" s="11" t="str">
        <f>AN5</f>
        <v>MUTASI JULI 2026</v>
      </c>
      <c r="AO56" s="11"/>
      <c r="AP56" s="44" t="str">
        <f>AP5</f>
        <v>SALDO AKHIR JULI 2026</v>
      </c>
      <c r="AQ56" s="45"/>
      <c r="AR56" s="4"/>
      <c r="AS56" s="11" t="str">
        <f>AS5</f>
        <v>MUTASI AGUSTUS 2026</v>
      </c>
      <c r="AT56" s="11"/>
      <c r="AU56" s="44" t="str">
        <f>AU5</f>
        <v>SALDO AKHIR AGUSTUS 2026</v>
      </c>
      <c r="AV56" s="45"/>
      <c r="AW56" s="4"/>
      <c r="AX56" s="11" t="str">
        <f>AX5</f>
        <v>MUTASI SEPTEMBER 2026</v>
      </c>
      <c r="AY56" s="11"/>
      <c r="AZ56" s="44" t="str">
        <f>AZ5</f>
        <v>SALDO AKHIR SEPTEMBER 2026</v>
      </c>
      <c r="BA56" s="45"/>
      <c r="BB56" s="4"/>
      <c r="BC56" s="11" t="str">
        <f>BC5</f>
        <v>MUTASI OKTOBER 2026</v>
      </c>
      <c r="BD56" s="11"/>
      <c r="BE56" s="44" t="str">
        <f>BE5</f>
        <v>SALDO AKHIR OKTOBER 2026</v>
      </c>
      <c r="BF56" s="45"/>
      <c r="BG56" s="4"/>
      <c r="BH56" s="11" t="str">
        <f>BH5</f>
        <v>MUTASI NOPEMBER 2026</v>
      </c>
      <c r="BI56" s="11"/>
      <c r="BJ56" s="44" t="str">
        <f>BJ5</f>
        <v>SALDO AKHIR NOPEMBER 2026</v>
      </c>
      <c r="BK56" s="45"/>
      <c r="BL56" s="4"/>
      <c r="BM56" s="11" t="str">
        <f>BM5</f>
        <v>MUTASI DESEMBER 2026</v>
      </c>
      <c r="BN56" s="11"/>
      <c r="BO56" s="44" t="str">
        <f>BO5</f>
        <v>SALDO AKHIR DESEMBER 2026</v>
      </c>
      <c r="BP56" s="45"/>
      <c r="BQ56" s="4"/>
      <c r="BR56" s="2"/>
      <c r="BS56" s="4"/>
      <c r="BT56" s="44" t="str">
        <f>BT5</f>
        <v>SALDO AWAL 2026</v>
      </c>
      <c r="BU56" s="45"/>
      <c r="BV56" s="4"/>
      <c r="BW56" s="11" t="str">
        <f>BW5</f>
        <v>MUTASI 2026</v>
      </c>
      <c r="BX56" s="11"/>
      <c r="BY56" s="4"/>
      <c r="BZ56" s="44" t="str">
        <f>BZ5</f>
        <v>SALDO AKHIR 2026</v>
      </c>
      <c r="CA56" s="45"/>
      <c r="CB56" s="4"/>
    </row>
    <row r="57" spans="2:84" s="12" customFormat="1" ht="15" customHeight="1" x14ac:dyDescent="0.25">
      <c r="B57" s="8"/>
      <c r="C57" s="228"/>
      <c r="D57" s="228"/>
      <c r="E57" s="229"/>
      <c r="F57" s="231"/>
      <c r="G57" s="46" t="s">
        <v>2</v>
      </c>
      <c r="H57" s="46" t="s">
        <v>3</v>
      </c>
      <c r="I57" s="4"/>
      <c r="J57" s="47" t="s">
        <v>2</v>
      </c>
      <c r="K57" s="47" t="s">
        <v>3</v>
      </c>
      <c r="L57" s="46" t="s">
        <v>2</v>
      </c>
      <c r="M57" s="46" t="s">
        <v>3</v>
      </c>
      <c r="N57" s="4"/>
      <c r="O57" s="47" t="s">
        <v>2</v>
      </c>
      <c r="P57" s="47" t="s">
        <v>3</v>
      </c>
      <c r="Q57" s="46" t="s">
        <v>2</v>
      </c>
      <c r="R57" s="46" t="s">
        <v>3</v>
      </c>
      <c r="S57" s="4"/>
      <c r="T57" s="47" t="s">
        <v>2</v>
      </c>
      <c r="U57" s="47" t="s">
        <v>3</v>
      </c>
      <c r="V57" s="46" t="s">
        <v>2</v>
      </c>
      <c r="W57" s="46" t="s">
        <v>3</v>
      </c>
      <c r="X57" s="4"/>
      <c r="Y57" s="47" t="s">
        <v>2</v>
      </c>
      <c r="Z57" s="47" t="s">
        <v>3</v>
      </c>
      <c r="AA57" s="46" t="s">
        <v>2</v>
      </c>
      <c r="AB57" s="46" t="s">
        <v>3</v>
      </c>
      <c r="AC57" s="4"/>
      <c r="AD57" s="47" t="s">
        <v>2</v>
      </c>
      <c r="AE57" s="47" t="s">
        <v>3</v>
      </c>
      <c r="AF57" s="46" t="s">
        <v>2</v>
      </c>
      <c r="AG57" s="46" t="s">
        <v>3</v>
      </c>
      <c r="AH57" s="4"/>
      <c r="AI57" s="47" t="s">
        <v>2</v>
      </c>
      <c r="AJ57" s="47" t="s">
        <v>3</v>
      </c>
      <c r="AK57" s="46" t="s">
        <v>2</v>
      </c>
      <c r="AL57" s="46" t="s">
        <v>3</v>
      </c>
      <c r="AM57" s="4"/>
      <c r="AN57" s="47" t="s">
        <v>2</v>
      </c>
      <c r="AO57" s="47" t="s">
        <v>3</v>
      </c>
      <c r="AP57" s="46" t="s">
        <v>2</v>
      </c>
      <c r="AQ57" s="46" t="s">
        <v>3</v>
      </c>
      <c r="AR57" s="4"/>
      <c r="AS57" s="47" t="s">
        <v>2</v>
      </c>
      <c r="AT57" s="47" t="s">
        <v>3</v>
      </c>
      <c r="AU57" s="46" t="s">
        <v>2</v>
      </c>
      <c r="AV57" s="46" t="s">
        <v>3</v>
      </c>
      <c r="AW57" s="4"/>
      <c r="AX57" s="47" t="s">
        <v>2</v>
      </c>
      <c r="AY57" s="47" t="s">
        <v>3</v>
      </c>
      <c r="AZ57" s="46" t="s">
        <v>2</v>
      </c>
      <c r="BA57" s="46" t="s">
        <v>3</v>
      </c>
      <c r="BB57" s="4"/>
      <c r="BC57" s="47" t="s">
        <v>2</v>
      </c>
      <c r="BD57" s="47" t="s">
        <v>3</v>
      </c>
      <c r="BE57" s="46" t="s">
        <v>2</v>
      </c>
      <c r="BF57" s="46" t="s">
        <v>3</v>
      </c>
      <c r="BG57" s="4"/>
      <c r="BH57" s="47" t="s">
        <v>2</v>
      </c>
      <c r="BI57" s="47" t="s">
        <v>3</v>
      </c>
      <c r="BJ57" s="46" t="s">
        <v>2</v>
      </c>
      <c r="BK57" s="46" t="s">
        <v>3</v>
      </c>
      <c r="BL57" s="4"/>
      <c r="BM57" s="47" t="s">
        <v>2</v>
      </c>
      <c r="BN57" s="47" t="s">
        <v>3</v>
      </c>
      <c r="BO57" s="46" t="s">
        <v>2</v>
      </c>
      <c r="BP57" s="46" t="s">
        <v>3</v>
      </c>
      <c r="BQ57" s="4"/>
      <c r="BR57" s="2"/>
      <c r="BS57" s="4"/>
      <c r="BT57" s="46" t="s">
        <v>2</v>
      </c>
      <c r="BU57" s="46" t="s">
        <v>3</v>
      </c>
      <c r="BV57" s="4"/>
      <c r="BW57" s="47" t="s">
        <v>2</v>
      </c>
      <c r="BX57" s="47" t="s">
        <v>3</v>
      </c>
      <c r="BY57" s="4"/>
      <c r="BZ57" s="46" t="s">
        <v>2</v>
      </c>
      <c r="CA57" s="46" t="s">
        <v>3</v>
      </c>
      <c r="CB57" s="4"/>
    </row>
    <row r="58" spans="2:84" s="1" customFormat="1" ht="15" x14ac:dyDescent="0.25">
      <c r="B58" s="3"/>
      <c r="C58" s="18"/>
      <c r="D58" s="18" t="s">
        <v>356</v>
      </c>
      <c r="E58" s="18" t="s">
        <v>361</v>
      </c>
      <c r="F58" s="18" t="s">
        <v>12</v>
      </c>
      <c r="G58" s="16">
        <v>0</v>
      </c>
      <c r="H58" s="16">
        <v>0</v>
      </c>
      <c r="I58" s="4"/>
      <c r="J58" s="16">
        <f>SUMIF('MUTASI 2026'!$B$5:$B$160,'WS Trial balance'!$D58,'MUTASI 2026'!$G$5:$G$160)</f>
        <v>0</v>
      </c>
      <c r="K58" s="16">
        <f>SUMIF('MUTASI 2026'!$B$5:$B$160,'WS Trial balance'!$D58,'MUTASI 2026'!$H$5:$H$160)</f>
        <v>78721704.861111134</v>
      </c>
      <c r="L58" s="16">
        <f t="shared" ref="L58:L67" si="28">IF(F58="D",(G58-H58+J58-K58),0)</f>
        <v>0</v>
      </c>
      <c r="M58" s="16">
        <f t="shared" ref="M58:M67" si="29">IF(F58="K",(-G58+H58-J58+K58),0)</f>
        <v>78721704.861111134</v>
      </c>
      <c r="N58" s="4"/>
      <c r="O58" s="16">
        <f>SUMIF('MUTASI 2026'!$B$162:$B$252,'WS Trial balance'!$D58,'MUTASI 2026'!$G$162:$G$252)</f>
        <v>0</v>
      </c>
      <c r="P58" s="16">
        <f>SUMIF('MUTASI 2026'!$B$162:$B$252,'WS Trial balance'!$D58,'MUTASI 2026'!$H$162:$H$252)</f>
        <v>80206565.972222239</v>
      </c>
      <c r="Q58" s="16">
        <f t="shared" ref="Q58:Q67" si="30">IF(F58="D",(L58-M58+O58-P58),0)</f>
        <v>0</v>
      </c>
      <c r="R58" s="16">
        <f t="shared" ref="R58:R67" si="31">IF(F58="K",(-L58+M58-O58+P58),0)</f>
        <v>158928270.83333337</v>
      </c>
      <c r="S58" s="4"/>
      <c r="T58" s="16">
        <f>SUMIF('MUTASI 2026'!$B$254:$B$356,'WS Trial balance'!$D58,'MUTASI 2026'!$G$254:$G$356)</f>
        <v>0</v>
      </c>
      <c r="U58" s="16">
        <f>SUMIF('MUTASI 2026'!$B$254:$B$356,'WS Trial balance'!$D58,'MUTASI 2026'!$H$254:$H$356)</f>
        <v>81022329.861111134</v>
      </c>
      <c r="V58" s="16">
        <f t="shared" ref="V58:V67" si="32">IF(F58="D",(Q58-R58+T58-U58),0)</f>
        <v>0</v>
      </c>
      <c r="W58" s="16">
        <f t="shared" ref="W58:W67" si="33">IF(F58="K",(-Q58+R58-T58+U58),0)</f>
        <v>239950600.69444451</v>
      </c>
      <c r="X58" s="4"/>
      <c r="Y58" s="16">
        <f>SUMIF('MUTASI 2026'!$B$358:$B$480,'WS Trial balance'!$D58,'MUTASI 2026'!$G$358:$G$480)</f>
        <v>0</v>
      </c>
      <c r="Z58" s="16">
        <f>SUMIF('MUTASI 2026'!$B$358:$B$480,'WS Trial balance'!$D58,'MUTASI 2026'!$H$358:$H$480)</f>
        <v>77958440.972222224</v>
      </c>
      <c r="AA58" s="16">
        <f t="shared" ref="AA58:AA67" si="34">IF(F58="D",(V58-W58+Y58-Z58),0)</f>
        <v>0</v>
      </c>
      <c r="AB58" s="16">
        <f t="shared" ref="AB58:AB67" si="35">IF(F58="K",(-V58+W58-Y58+Z58),0)</f>
        <v>317909041.66666675</v>
      </c>
      <c r="AC58" s="4"/>
      <c r="AD58" s="16">
        <f>SUMIF('MUTASI 2026'!$B$482:$B$655,'WS Trial balance'!$D58,'MUTASI 2026'!$G$482:$G$655)</f>
        <v>0</v>
      </c>
      <c r="AE58" s="16">
        <f>SUMIF('MUTASI 2026'!$B$482:$B$655,'WS Trial balance'!$D58,'MUTASI 2026'!$H$482:$H$655)</f>
        <v>81143163.194444463</v>
      </c>
      <c r="AF58" s="16">
        <f t="shared" ref="AF58:AF67" si="36">IF(F58="D",(AA58-AB58+AD58-AE58),0)</f>
        <v>0</v>
      </c>
      <c r="AG58" s="16">
        <f t="shared" ref="AG58:AG67" si="37">IF(F58="K",(-AA58+AB58-AD58+AE58),0)</f>
        <v>399052204.86111122</v>
      </c>
      <c r="AH58" s="4"/>
      <c r="AI58" s="16">
        <f>SUMIF('MUTASI 2026'!$B$657:$B$748,'WS Trial balance'!$D58,'MUTASI 2026'!$G$657:$G$748)</f>
        <v>0</v>
      </c>
      <c r="AJ58" s="16">
        <f>SUMIF('MUTASI 2026'!$B$657:$B$748,'WS Trial balance'!$D58,'MUTASI 2026'!$H$657:$H$748)</f>
        <v>82725663.194444463</v>
      </c>
      <c r="AK58" s="16">
        <f t="shared" ref="AK58:AK67" si="38">IF(F58="D",(AF58-AG58+AI58-AJ58),0)</f>
        <v>0</v>
      </c>
      <c r="AL58" s="16">
        <f t="shared" ref="AL58:AL67" si="39">IF(F58="K",(-AF58+AG58-AI58+AJ58),0)</f>
        <v>481777868.0555557</v>
      </c>
      <c r="AM58" s="4"/>
      <c r="AN58" s="16">
        <f>SUMIF('MUTASI 2026'!$B$750:$B$851,'WS Trial balance'!$D58,'MUTASI 2026'!$G$750:$G$851)</f>
        <v>0</v>
      </c>
      <c r="AO58" s="16">
        <f>SUMIF('MUTASI 2026'!$B$750:$B$851,'WS Trial balance'!$D58,'MUTASI 2026'!$H$750:$H$851)</f>
        <v>84316496.527777776</v>
      </c>
      <c r="AP58" s="16">
        <f t="shared" ref="AP58:AP67" si="40">IF(F58="D",(AK58-AL58+AN58-AO58),0)</f>
        <v>0</v>
      </c>
      <c r="AQ58" s="16">
        <f t="shared" ref="AQ58:AQ67" si="41">IF(F58="K",(-AK58+AL58-AN58+AO58),0)</f>
        <v>566094364.58333349</v>
      </c>
      <c r="AR58" s="4"/>
      <c r="AS58" s="16">
        <f>SUMIF('MUTASI 2026'!$B$853:$B$945,'WS Trial balance'!$D58,'MUTASI 2026'!$G$853:$G$945)</f>
        <v>0</v>
      </c>
      <c r="AT58" s="16">
        <f>SUMIF('MUTASI 2026'!$B$853:$B$945,'WS Trial balance'!$D58,'MUTASI 2026'!$H$853:$H$945)</f>
        <v>84316496.527777776</v>
      </c>
      <c r="AU58" s="16">
        <f t="shared" ref="AU58:AU67" si="42">IF(F58="D",(AP58-AQ58+AS58-AT58),0)</f>
        <v>0</v>
      </c>
      <c r="AV58" s="16">
        <f t="shared" ref="AV58:AV67" si="43">IF(F58="K",(-AP58+AQ58-AS58+AT58),0)</f>
        <v>650410861.11111128</v>
      </c>
      <c r="AW58" s="4"/>
      <c r="AX58" s="16">
        <f>SUMIF('MUTASI 2026'!$B$1274:$B$1379,'WS Trial balance'!$D58,'MUTASI 2026'!$G$1274:$G$1379)</f>
        <v>0</v>
      </c>
      <c r="AY58" s="16">
        <f>SUMIF('MUTASI 2026'!$B$1274:$B$1379,'WS Trial balance'!$D58,'MUTASI 2026'!$H$1274:$H$1379)</f>
        <v>0</v>
      </c>
      <c r="AZ58" s="16">
        <f t="shared" ref="AZ58:AZ67" si="44">IF(F58="D",(AU58-AV58+AX58-AY58),0)</f>
        <v>0</v>
      </c>
      <c r="BA58" s="16">
        <f t="shared" ref="BA58:BA67" si="45">IF(F58="K",(-AU58+AV58-AX58+AY58),0)</f>
        <v>650410861.11111128</v>
      </c>
      <c r="BB58" s="4"/>
      <c r="BC58" s="16">
        <f>SUMIF('MUTASI 2026'!$B$1382:$B$1477,'WS Trial balance'!$D58,'MUTASI 2026'!$G$1382:$G$1477)</f>
        <v>0</v>
      </c>
      <c r="BD58" s="16">
        <f>SUMIF('MUTASI 2026'!$B$1382:$B$1477,'WS Trial balance'!$D58,'MUTASI 2026'!$H$1382:$H$1477)</f>
        <v>0</v>
      </c>
      <c r="BE58" s="16">
        <f t="shared" ref="BE58:BE67" si="46">IF(F58="D",(AZ58-BA58+BC58-BD58),0)</f>
        <v>0</v>
      </c>
      <c r="BF58" s="16">
        <f t="shared" ref="BF58:BF67" si="47">IF(F58="K",(-AZ58+BA58-BC58+BD58),0)</f>
        <v>650410861.11111128</v>
      </c>
      <c r="BG58" s="4"/>
      <c r="BH58" s="16">
        <f>SUMIF('MUTASI 2026'!$B$1480:$B$1600,'WS Trial balance'!$D58,'MUTASI 2026'!$G$1480:$G$1600)</f>
        <v>0</v>
      </c>
      <c r="BI58" s="16">
        <f>SUMIF('MUTASI 2026'!$B$1480:$B$1600,'WS Trial balance'!$D58,'MUTASI 2026'!$H$1480:$H$1600)</f>
        <v>0</v>
      </c>
      <c r="BJ58" s="16">
        <f t="shared" ref="BJ58:BJ67" si="48">IF(F58="D",(BE58-BF58+BH58-BI58),0)</f>
        <v>0</v>
      </c>
      <c r="BK58" s="16">
        <f t="shared" ref="BK58:BK67" si="49">IF(F58="K",(-BE58+BF58-BH58+BI58),0)</f>
        <v>650410861.11111128</v>
      </c>
      <c r="BL58" s="4"/>
      <c r="BM58" s="16">
        <f>SUMIF('MUTASI 2026'!$B$1603:$B$1722,'WS Trial balance'!$D58,'MUTASI 2026'!$G$1603:$G$1722)</f>
        <v>0</v>
      </c>
      <c r="BN58" s="16">
        <f>SUMIF('MUTASI 2026'!$B$1603:$B$1722,'WS Trial balance'!$D58,'MUTASI 2026'!$H$1603:$H$1722)</f>
        <v>0</v>
      </c>
      <c r="BO58" s="16">
        <f t="shared" ref="BO58:BO67" si="50">IF(F58="D",(BJ58-BK58+BM58-BN58),0)</f>
        <v>0</v>
      </c>
      <c r="BP58" s="16">
        <f t="shared" ref="BP58:BP67" si="51">IF(F58="K",(-BJ58+BK58-BM58+BN58),0)</f>
        <v>650410861.11111128</v>
      </c>
      <c r="BQ58" s="4"/>
      <c r="BR58" s="2"/>
      <c r="BS58" s="4"/>
      <c r="BT58" s="16">
        <f t="shared" ref="BT58:BU67" si="52">G58</f>
        <v>0</v>
      </c>
      <c r="BU58" s="16">
        <f t="shared" si="52"/>
        <v>0</v>
      </c>
      <c r="BV58" s="4"/>
      <c r="BW58" s="16">
        <f t="shared" ref="BW58:BX67" si="53">J58+O58+T58+Y58+AD58+AI58+AN58+AS58+AX58+BC58+BH58+BM58</f>
        <v>0</v>
      </c>
      <c r="BX58" s="16">
        <f t="shared" si="53"/>
        <v>650410861.11111128</v>
      </c>
      <c r="BY58" s="4"/>
      <c r="BZ58" s="16">
        <f t="shared" ref="BZ58:BZ67" si="54">IF(F58="D",(BT58-BU58+BW58-BX58),0)</f>
        <v>0</v>
      </c>
      <c r="CA58" s="16">
        <f t="shared" ref="CA58:CA67" si="55">IF(F58="K",(-BT58+BU58-BW58+BX58),0)</f>
        <v>650410861.11111128</v>
      </c>
      <c r="CB58" s="4"/>
      <c r="CE58" s="110">
        <f>SUM(CA58:CA60)-SUM(BZ61:BZ63)</f>
        <v>151294861.11111134</v>
      </c>
      <c r="CF58" s="110">
        <f>+CA58-BZ61</f>
        <v>149065861.11111134</v>
      </c>
    </row>
    <row r="59" spans="2:84" s="1" customFormat="1" ht="15" x14ac:dyDescent="0.25">
      <c r="B59" s="3"/>
      <c r="C59" s="17"/>
      <c r="D59" s="17" t="s">
        <v>357</v>
      </c>
      <c r="E59" s="17" t="s">
        <v>362</v>
      </c>
      <c r="F59" s="17" t="s">
        <v>12</v>
      </c>
      <c r="G59" s="16">
        <v>0</v>
      </c>
      <c r="H59" s="16">
        <v>0</v>
      </c>
      <c r="I59" s="4"/>
      <c r="J59" s="16">
        <f>SUMIF('MUTASI 2026'!$B$5:$B$160,'WS Trial balance'!$D59,'MUTASI 2026'!$G$5:$G$160)</f>
        <v>0</v>
      </c>
      <c r="K59" s="16">
        <f>SUMIF('MUTASI 2026'!$B$5:$B$160,'WS Trial balance'!$D59,'MUTASI 2026'!$H$5:$H$160)</f>
        <v>0</v>
      </c>
      <c r="L59" s="16">
        <f t="shared" si="28"/>
        <v>0</v>
      </c>
      <c r="M59" s="16">
        <f t="shared" si="29"/>
        <v>0</v>
      </c>
      <c r="N59" s="4"/>
      <c r="O59" s="16">
        <f>SUMIF('MUTASI 2026'!$B$162:$B$252,'WS Trial balance'!$D59,'MUTASI 2026'!$G$162:$G$252)</f>
        <v>0</v>
      </c>
      <c r="P59" s="16">
        <f>SUMIF('MUTASI 2026'!$B$162:$B$252,'WS Trial balance'!$D59,'MUTASI 2026'!$H$162:$H$252)</f>
        <v>0</v>
      </c>
      <c r="Q59" s="16">
        <f t="shared" si="30"/>
        <v>0</v>
      </c>
      <c r="R59" s="16">
        <f t="shared" si="31"/>
        <v>0</v>
      </c>
      <c r="S59" s="4"/>
      <c r="T59" s="16">
        <f>SUMIF('MUTASI 2026'!$B$254:$B$356,'WS Trial balance'!$D59,'MUTASI 2026'!$G$254:$G$356)</f>
        <v>0</v>
      </c>
      <c r="U59" s="16">
        <f>SUMIF('MUTASI 2026'!$B$254:$B$356,'WS Trial balance'!$D59,'MUTASI 2026'!$H$254:$H$356)</f>
        <v>0</v>
      </c>
      <c r="V59" s="16">
        <f t="shared" si="32"/>
        <v>0</v>
      </c>
      <c r="W59" s="16">
        <f t="shared" si="33"/>
        <v>0</v>
      </c>
      <c r="X59" s="4"/>
      <c r="Y59" s="16">
        <f>SUMIF('MUTASI 2026'!$B$358:$B$480,'WS Trial balance'!$D59,'MUTASI 2026'!$G$358:$G$480)</f>
        <v>0</v>
      </c>
      <c r="Z59" s="16">
        <f>SUMIF('MUTASI 2026'!$B$358:$B$480,'WS Trial balance'!$D59,'MUTASI 2026'!$H$358:$H$480)</f>
        <v>0</v>
      </c>
      <c r="AA59" s="16">
        <f t="shared" si="34"/>
        <v>0</v>
      </c>
      <c r="AB59" s="16">
        <f t="shared" si="35"/>
        <v>0</v>
      </c>
      <c r="AC59" s="4"/>
      <c r="AD59" s="16">
        <f>SUMIF('MUTASI 2026'!$B$482:$B$655,'WS Trial balance'!$D59,'MUTASI 2026'!$G$482:$G$655)</f>
        <v>0</v>
      </c>
      <c r="AE59" s="16">
        <f>SUMIF('MUTASI 2026'!$B$482:$B$655,'WS Trial balance'!$D59,'MUTASI 2026'!$H$482:$H$655)</f>
        <v>0</v>
      </c>
      <c r="AF59" s="16">
        <f t="shared" si="36"/>
        <v>0</v>
      </c>
      <c r="AG59" s="16">
        <f t="shared" si="37"/>
        <v>0</v>
      </c>
      <c r="AH59" s="4"/>
      <c r="AI59" s="16">
        <f>SUMIF('MUTASI 2026'!$B$657:$B$748,'WS Trial balance'!$D59,'MUTASI 2026'!$G$657:$G$748)</f>
        <v>0</v>
      </c>
      <c r="AJ59" s="16">
        <f>SUMIF('MUTASI 2026'!$B$657:$B$748,'WS Trial balance'!$D59,'MUTASI 2026'!$H$657:$H$748)</f>
        <v>0</v>
      </c>
      <c r="AK59" s="16">
        <f t="shared" si="38"/>
        <v>0</v>
      </c>
      <c r="AL59" s="16">
        <f t="shared" si="39"/>
        <v>0</v>
      </c>
      <c r="AM59" s="4"/>
      <c r="AN59" s="16">
        <f>SUMIF('MUTASI 2026'!$B$750:$B$851,'WS Trial balance'!$D59,'MUTASI 2026'!$G$750:$G$851)</f>
        <v>0</v>
      </c>
      <c r="AO59" s="16">
        <f>SUMIF('MUTASI 2026'!$B$750:$B$851,'WS Trial balance'!$D59,'MUTASI 2026'!$H$750:$H$851)</f>
        <v>0</v>
      </c>
      <c r="AP59" s="16">
        <f t="shared" si="40"/>
        <v>0</v>
      </c>
      <c r="AQ59" s="16">
        <f t="shared" si="41"/>
        <v>0</v>
      </c>
      <c r="AR59" s="4"/>
      <c r="AS59" s="16">
        <f>SUMIF('MUTASI 2026'!$B$853:$B$945,'WS Trial balance'!$D59,'MUTASI 2026'!$G$853:$G$945)</f>
        <v>0</v>
      </c>
      <c r="AT59" s="16">
        <f>SUMIF('MUTASI 2026'!$B$853:$B$945,'WS Trial balance'!$D59,'MUTASI 2026'!$H$853:$H$945)</f>
        <v>0</v>
      </c>
      <c r="AU59" s="16">
        <f t="shared" si="42"/>
        <v>0</v>
      </c>
      <c r="AV59" s="16">
        <f t="shared" si="43"/>
        <v>0</v>
      </c>
      <c r="AW59" s="4"/>
      <c r="AX59" s="16">
        <f>SUMIF('MUTASI 2026'!$B$1274:$B$1379,'WS Trial balance'!$D59,'MUTASI 2026'!$G$1274:$G$1379)</f>
        <v>0</v>
      </c>
      <c r="AY59" s="16">
        <f>SUMIF('MUTASI 2026'!$B$1274:$B$1379,'WS Trial balance'!$D59,'MUTASI 2026'!$H$1274:$H$1379)</f>
        <v>0</v>
      </c>
      <c r="AZ59" s="16">
        <f t="shared" si="44"/>
        <v>0</v>
      </c>
      <c r="BA59" s="16">
        <f t="shared" si="45"/>
        <v>0</v>
      </c>
      <c r="BB59" s="4"/>
      <c r="BC59" s="16">
        <f>SUMIF('MUTASI 2026'!$B$1382:$B$1477,'WS Trial balance'!$D59,'MUTASI 2026'!$G$1382:$G$1477)</f>
        <v>0</v>
      </c>
      <c r="BD59" s="16">
        <f>SUMIF('MUTASI 2026'!$B$1382:$B$1477,'WS Trial balance'!$D59,'MUTASI 2026'!$H$1382:$H$1477)</f>
        <v>0</v>
      </c>
      <c r="BE59" s="16">
        <f t="shared" si="46"/>
        <v>0</v>
      </c>
      <c r="BF59" s="16">
        <f t="shared" si="47"/>
        <v>0</v>
      </c>
      <c r="BG59" s="4"/>
      <c r="BH59" s="16">
        <f>SUMIF('MUTASI 2026'!$B$1480:$B$1600,'WS Trial balance'!$D59,'MUTASI 2026'!$G$1480:$G$1600)</f>
        <v>0</v>
      </c>
      <c r="BI59" s="16">
        <f>SUMIF('MUTASI 2026'!$B$1480:$B$1600,'WS Trial balance'!$D59,'MUTASI 2026'!$H$1480:$H$1600)</f>
        <v>0</v>
      </c>
      <c r="BJ59" s="16">
        <f t="shared" si="48"/>
        <v>0</v>
      </c>
      <c r="BK59" s="16">
        <f t="shared" si="49"/>
        <v>0</v>
      </c>
      <c r="BL59" s="4"/>
      <c r="BM59" s="16">
        <f>SUMIF('MUTASI 2026'!$B$1603:$B$1722,'WS Trial balance'!$D59,'MUTASI 2026'!$G$1603:$G$1722)</f>
        <v>0</v>
      </c>
      <c r="BN59" s="16">
        <f>SUMIF('MUTASI 2026'!$B$1603:$B$1722,'WS Trial balance'!$D59,'MUTASI 2026'!$H$1603:$H$1722)</f>
        <v>0</v>
      </c>
      <c r="BO59" s="16">
        <f t="shared" si="50"/>
        <v>0</v>
      </c>
      <c r="BP59" s="16">
        <f t="shared" si="51"/>
        <v>0</v>
      </c>
      <c r="BQ59" s="4"/>
      <c r="BR59" s="2"/>
      <c r="BS59" s="4"/>
      <c r="BT59" s="16">
        <f t="shared" si="52"/>
        <v>0</v>
      </c>
      <c r="BU59" s="16">
        <f t="shared" si="52"/>
        <v>0</v>
      </c>
      <c r="BV59" s="4"/>
      <c r="BW59" s="16">
        <f t="shared" si="53"/>
        <v>0</v>
      </c>
      <c r="BX59" s="16">
        <f t="shared" si="53"/>
        <v>0</v>
      </c>
      <c r="BY59" s="4"/>
      <c r="BZ59" s="16">
        <f t="shared" si="54"/>
        <v>0</v>
      </c>
      <c r="CA59" s="16">
        <f t="shared" si="55"/>
        <v>0</v>
      </c>
      <c r="CB59" s="4"/>
    </row>
    <row r="60" spans="2:84" s="1" customFormat="1" ht="15" x14ac:dyDescent="0.25">
      <c r="B60" s="3"/>
      <c r="C60" s="17"/>
      <c r="D60" s="17" t="s">
        <v>358</v>
      </c>
      <c r="E60" s="17" t="s">
        <v>363</v>
      </c>
      <c r="F60" s="17" t="s">
        <v>12</v>
      </c>
      <c r="G60" s="16">
        <v>0</v>
      </c>
      <c r="H60" s="16">
        <v>0</v>
      </c>
      <c r="I60" s="4"/>
      <c r="J60" s="16">
        <f>SUMIF('MUTASI 2026'!$B$5:$B$160,'WS Trial balance'!$D60,'MUTASI 2026'!$G$5:$G$160)</f>
        <v>0</v>
      </c>
      <c r="K60" s="16">
        <f>SUMIF('MUTASI 2026'!$B$5:$B$160,'WS Trial balance'!$D60,'MUTASI 2026'!$H$5:$H$160)</f>
        <v>525000</v>
      </c>
      <c r="L60" s="16">
        <f t="shared" si="28"/>
        <v>0</v>
      </c>
      <c r="M60" s="16">
        <f t="shared" si="29"/>
        <v>525000</v>
      </c>
      <c r="N60" s="4"/>
      <c r="O60" s="16">
        <f>SUMIF('MUTASI 2026'!$B$162:$B$252,'WS Trial balance'!$D60,'MUTASI 2026'!$G$162:$G$252)</f>
        <v>0</v>
      </c>
      <c r="P60" s="16">
        <f>SUMIF('MUTASI 2026'!$B$162:$B$252,'WS Trial balance'!$D60,'MUTASI 2026'!$H$162:$H$252)</f>
        <v>350000</v>
      </c>
      <c r="Q60" s="16">
        <f t="shared" si="30"/>
        <v>0</v>
      </c>
      <c r="R60" s="16">
        <f t="shared" si="31"/>
        <v>875000</v>
      </c>
      <c r="S60" s="4"/>
      <c r="T60" s="16">
        <f>SUMIF('MUTASI 2026'!$B$254:$B$356,'WS Trial balance'!$D60,'MUTASI 2026'!$G$254:$G$356)</f>
        <v>92500</v>
      </c>
      <c r="U60" s="16">
        <f>SUMIF('MUTASI 2026'!$B$254:$B$356,'WS Trial balance'!$D60,'MUTASI 2026'!$H$254:$H$356)</f>
        <v>0</v>
      </c>
      <c r="V60" s="16">
        <f t="shared" si="32"/>
        <v>0</v>
      </c>
      <c r="W60" s="16">
        <f t="shared" si="33"/>
        <v>782500</v>
      </c>
      <c r="X60" s="4"/>
      <c r="Y60" s="16">
        <f>SUMIF('MUTASI 2026'!$B$358:$B$480,'WS Trial balance'!$D60,'MUTASI 2026'!$G$358:$G$480)</f>
        <v>0</v>
      </c>
      <c r="Z60" s="16">
        <f>SUMIF('MUTASI 2026'!$B$358:$B$480,'WS Trial balance'!$D60,'MUTASI 2026'!$H$358:$H$480)</f>
        <v>385000</v>
      </c>
      <c r="AA60" s="16">
        <f t="shared" si="34"/>
        <v>0</v>
      </c>
      <c r="AB60" s="16">
        <f t="shared" si="35"/>
        <v>1167500</v>
      </c>
      <c r="AC60" s="4"/>
      <c r="AD60" s="16">
        <f>SUMIF('MUTASI 2026'!$B$482:$B$655,'WS Trial balance'!$D60,'MUTASI 2026'!$G$482:$G$655)</f>
        <v>0</v>
      </c>
      <c r="AE60" s="16">
        <f>SUMIF('MUTASI 2026'!$B$482:$B$655,'WS Trial balance'!$D60,'MUTASI 2026'!$H$482:$H$655)</f>
        <v>630000</v>
      </c>
      <c r="AF60" s="16">
        <f t="shared" si="36"/>
        <v>0</v>
      </c>
      <c r="AG60" s="16">
        <f t="shared" si="37"/>
        <v>1797500</v>
      </c>
      <c r="AH60" s="4"/>
      <c r="AI60" s="16">
        <f>SUMIF('MUTASI 2026'!$B$657:$B$748,'WS Trial balance'!$D60,'MUTASI 2026'!$G$657:$G$748)</f>
        <v>0</v>
      </c>
      <c r="AJ60" s="16">
        <f>SUMIF('MUTASI 2026'!$B$657:$B$748,'WS Trial balance'!$D60,'MUTASI 2026'!$H$657:$H$748)</f>
        <v>221500</v>
      </c>
      <c r="AK60" s="16">
        <f t="shared" si="38"/>
        <v>0</v>
      </c>
      <c r="AL60" s="16">
        <f t="shared" si="39"/>
        <v>2019000</v>
      </c>
      <c r="AM60" s="4"/>
      <c r="AN60" s="16">
        <f>SUMIF('MUTASI 2026'!$B$750:$B$851,'WS Trial balance'!$D60,'MUTASI 2026'!$G$750:$G$851)</f>
        <v>0</v>
      </c>
      <c r="AO60" s="16">
        <f>SUMIF('MUTASI 2026'!$B$750:$B$851,'WS Trial balance'!$D60,'MUTASI 2026'!$H$750:$H$851)</f>
        <v>0</v>
      </c>
      <c r="AP60" s="16">
        <f t="shared" si="40"/>
        <v>0</v>
      </c>
      <c r="AQ60" s="16">
        <f t="shared" si="41"/>
        <v>2019000</v>
      </c>
      <c r="AR60" s="4"/>
      <c r="AS60" s="16">
        <f>SUMIF('MUTASI 2026'!$B$853:$B$945,'WS Trial balance'!$D60,'MUTASI 2026'!$G$853:$G$945)</f>
        <v>0</v>
      </c>
      <c r="AT60" s="16">
        <f>SUMIF('MUTASI 2026'!$B$853:$B$945,'WS Trial balance'!$D60,'MUTASI 2026'!$H$853:$H$945)</f>
        <v>210000</v>
      </c>
      <c r="AU60" s="16">
        <f t="shared" si="42"/>
        <v>0</v>
      </c>
      <c r="AV60" s="16">
        <f t="shared" si="43"/>
        <v>2229000</v>
      </c>
      <c r="AW60" s="4"/>
      <c r="AX60" s="16">
        <f>SUMIF('MUTASI 2026'!$B$1274:$B$1379,'WS Trial balance'!$D60,'MUTASI 2026'!$G$1274:$G$1379)</f>
        <v>0</v>
      </c>
      <c r="AY60" s="16">
        <f>SUMIF('MUTASI 2026'!$B$1274:$B$1379,'WS Trial balance'!$D60,'MUTASI 2026'!$H$1274:$H$1379)</f>
        <v>0</v>
      </c>
      <c r="AZ60" s="16">
        <f t="shared" si="44"/>
        <v>0</v>
      </c>
      <c r="BA60" s="16">
        <f t="shared" si="45"/>
        <v>2229000</v>
      </c>
      <c r="BB60" s="4"/>
      <c r="BC60" s="16">
        <f>SUMIF('MUTASI 2026'!$B$1382:$B$1477,'WS Trial balance'!$D60,'MUTASI 2026'!$G$1382:$G$1477)</f>
        <v>0</v>
      </c>
      <c r="BD60" s="16">
        <f>SUMIF('MUTASI 2026'!$B$1382:$B$1477,'WS Trial balance'!$D60,'MUTASI 2026'!$H$1382:$H$1477)</f>
        <v>0</v>
      </c>
      <c r="BE60" s="16">
        <f t="shared" si="46"/>
        <v>0</v>
      </c>
      <c r="BF60" s="16">
        <f t="shared" si="47"/>
        <v>2229000</v>
      </c>
      <c r="BG60" s="4"/>
      <c r="BH60" s="16">
        <f>SUMIF('MUTASI 2026'!$B$1480:$B$1600,'WS Trial balance'!$D60,'MUTASI 2026'!$G$1480:$G$1600)</f>
        <v>0</v>
      </c>
      <c r="BI60" s="16">
        <f>SUMIF('MUTASI 2026'!$B$1480:$B$1600,'WS Trial balance'!$D60,'MUTASI 2026'!$H$1480:$H$1600)</f>
        <v>0</v>
      </c>
      <c r="BJ60" s="16">
        <f t="shared" si="48"/>
        <v>0</v>
      </c>
      <c r="BK60" s="16">
        <f t="shared" si="49"/>
        <v>2229000</v>
      </c>
      <c r="BL60" s="4"/>
      <c r="BM60" s="16">
        <f>SUMIF('MUTASI 2026'!$B$1603:$B$1722,'WS Trial balance'!$D60,'MUTASI 2026'!$G$1603:$G$1722)</f>
        <v>0</v>
      </c>
      <c r="BN60" s="16">
        <f>SUMIF('MUTASI 2026'!$B$1603:$B$1722,'WS Trial balance'!$D60,'MUTASI 2026'!$H$1603:$H$1722)</f>
        <v>0</v>
      </c>
      <c r="BO60" s="16">
        <f t="shared" si="50"/>
        <v>0</v>
      </c>
      <c r="BP60" s="16">
        <f t="shared" si="51"/>
        <v>2229000</v>
      </c>
      <c r="BQ60" s="4"/>
      <c r="BR60" s="2"/>
      <c r="BS60" s="4"/>
      <c r="BT60" s="16">
        <f t="shared" si="52"/>
        <v>0</v>
      </c>
      <c r="BU60" s="16">
        <f t="shared" si="52"/>
        <v>0</v>
      </c>
      <c r="BV60" s="4"/>
      <c r="BW60" s="16">
        <f t="shared" si="53"/>
        <v>92500</v>
      </c>
      <c r="BX60" s="16">
        <f t="shared" si="53"/>
        <v>2321500</v>
      </c>
      <c r="BY60" s="4"/>
      <c r="BZ60" s="16">
        <f t="shared" si="54"/>
        <v>0</v>
      </c>
      <c r="CA60" s="16">
        <f t="shared" si="55"/>
        <v>2229000</v>
      </c>
      <c r="CB60" s="4"/>
    </row>
    <row r="61" spans="2:84" s="1" customFormat="1" ht="15" x14ac:dyDescent="0.25">
      <c r="B61" s="3"/>
      <c r="C61" s="17"/>
      <c r="D61" s="17" t="s">
        <v>360</v>
      </c>
      <c r="E61" s="17" t="s">
        <v>364</v>
      </c>
      <c r="F61" s="17" t="s">
        <v>6</v>
      </c>
      <c r="G61" s="16">
        <v>0</v>
      </c>
      <c r="H61" s="16">
        <v>0</v>
      </c>
      <c r="I61" s="4"/>
      <c r="J61" s="16">
        <f>SUMIF('MUTASI 2026'!$B$5:$B$160,'WS Trial balance'!$D61,'MUTASI 2026'!$G$5:$G$160)</f>
        <v>60419861.111111104</v>
      </c>
      <c r="K61" s="16">
        <f>SUMIF('MUTASI 2026'!$B$5:$B$160,'WS Trial balance'!$D61,'MUTASI 2026'!$H$5:$H$160)</f>
        <v>0</v>
      </c>
      <c r="L61" s="16">
        <f t="shared" si="28"/>
        <v>60419861.111111104</v>
      </c>
      <c r="M61" s="16">
        <f t="shared" si="29"/>
        <v>0</v>
      </c>
      <c r="N61" s="4"/>
      <c r="O61" s="16">
        <f>SUMIF('MUTASI 2026'!$B$162:$B$252,'WS Trial balance'!$D61,'MUTASI 2026'!$G$162:$G$252)</f>
        <v>61858750</v>
      </c>
      <c r="P61" s="16">
        <f>SUMIF('MUTASI 2026'!$B$162:$B$252,'WS Trial balance'!$D61,'MUTASI 2026'!$H$162:$H$252)</f>
        <v>0</v>
      </c>
      <c r="Q61" s="16">
        <f t="shared" si="30"/>
        <v>122278611.1111111</v>
      </c>
      <c r="R61" s="16">
        <f t="shared" si="31"/>
        <v>0</v>
      </c>
      <c r="S61" s="4"/>
      <c r="T61" s="16">
        <f>SUMIF('MUTASI 2026'!$B$254:$B$356,'WS Trial balance'!$D61,'MUTASI 2026'!$G$254:$G$356)</f>
        <v>62264305.555555552</v>
      </c>
      <c r="U61" s="16">
        <f>SUMIF('MUTASI 2026'!$B$254:$B$356,'WS Trial balance'!$D61,'MUTASI 2026'!$H$254:$H$356)</f>
        <v>0</v>
      </c>
      <c r="V61" s="16">
        <f t="shared" si="32"/>
        <v>184542916.66666666</v>
      </c>
      <c r="W61" s="16">
        <f t="shared" si="33"/>
        <v>0</v>
      </c>
      <c r="X61" s="4"/>
      <c r="Y61" s="16">
        <f>SUMIF('MUTASI 2026'!$B$358:$B$480,'WS Trial balance'!$D61,'MUTASI 2026'!$G$358:$G$480)</f>
        <v>59901805.555555552</v>
      </c>
      <c r="Z61" s="16">
        <f>SUMIF('MUTASI 2026'!$B$358:$B$480,'WS Trial balance'!$D61,'MUTASI 2026'!$H$358:$H$480)</f>
        <v>0</v>
      </c>
      <c r="AA61" s="16">
        <f t="shared" si="34"/>
        <v>244444722.22222221</v>
      </c>
      <c r="AB61" s="16">
        <f t="shared" si="35"/>
        <v>0</v>
      </c>
      <c r="AC61" s="4"/>
      <c r="AD61" s="16">
        <f>SUMIF('MUTASI 2026'!$B$482:$B$655,'WS Trial balance'!$D61,'MUTASI 2026'!$G$482:$G$655)</f>
        <v>62749027.777777769</v>
      </c>
      <c r="AE61" s="16">
        <f>SUMIF('MUTASI 2026'!$B$482:$B$655,'WS Trial balance'!$D61,'MUTASI 2026'!$H$482:$H$655)</f>
        <v>0</v>
      </c>
      <c r="AF61" s="16">
        <f t="shared" si="36"/>
        <v>307193750</v>
      </c>
      <c r="AG61" s="16">
        <f t="shared" si="37"/>
        <v>0</v>
      </c>
      <c r="AH61" s="4"/>
      <c r="AI61" s="16">
        <f>SUMIF('MUTASI 2026'!$B$657:$B$748,'WS Trial balance'!$D61,'MUTASI 2026'!$G$657:$G$748)</f>
        <v>63894861.111111097</v>
      </c>
      <c r="AJ61" s="16">
        <f>SUMIF('MUTASI 2026'!$B$657:$B$748,'WS Trial balance'!$D61,'MUTASI 2026'!$H$657:$H$748)</f>
        <v>0</v>
      </c>
      <c r="AK61" s="16">
        <f t="shared" si="38"/>
        <v>371088611.1111111</v>
      </c>
      <c r="AL61" s="16">
        <f t="shared" si="39"/>
        <v>0</v>
      </c>
      <c r="AM61" s="4"/>
      <c r="AN61" s="16">
        <f>SUMIF('MUTASI 2026'!$B$750:$B$851,'WS Trial balance'!$D61,'MUTASI 2026'!$G$750:$G$851)</f>
        <v>65128194.44444444</v>
      </c>
      <c r="AO61" s="16">
        <f>SUMIF('MUTASI 2026'!$B$750:$B$851,'WS Trial balance'!$D61,'MUTASI 2026'!$H$750:$H$851)</f>
        <v>0</v>
      </c>
      <c r="AP61" s="16">
        <f t="shared" si="40"/>
        <v>436216805.55555552</v>
      </c>
      <c r="AQ61" s="16">
        <f t="shared" si="41"/>
        <v>0</v>
      </c>
      <c r="AR61" s="4"/>
      <c r="AS61" s="16">
        <f>SUMIF('MUTASI 2026'!$B$853:$B$945,'WS Trial balance'!$D61,'MUTASI 2026'!$G$853:$G$945)</f>
        <v>65128194.44444444</v>
      </c>
      <c r="AT61" s="16">
        <f>SUMIF('MUTASI 2026'!$B$853:$B$945,'WS Trial balance'!$D61,'MUTASI 2026'!$H$853:$H$945)</f>
        <v>0</v>
      </c>
      <c r="AU61" s="16">
        <f t="shared" si="42"/>
        <v>501344999.99999994</v>
      </c>
      <c r="AV61" s="16">
        <f t="shared" si="43"/>
        <v>0</v>
      </c>
      <c r="AW61" s="4"/>
      <c r="AX61" s="16">
        <f>SUMIF('MUTASI 2026'!$B$1274:$B$1379,'WS Trial balance'!$D61,'MUTASI 2026'!$G$1274:$G$1379)</f>
        <v>0</v>
      </c>
      <c r="AY61" s="16">
        <f>SUMIF('MUTASI 2026'!$B$1274:$B$1379,'WS Trial balance'!$D61,'MUTASI 2026'!$H$1274:$H$1379)</f>
        <v>0</v>
      </c>
      <c r="AZ61" s="16">
        <f t="shared" si="44"/>
        <v>501344999.99999994</v>
      </c>
      <c r="BA61" s="16">
        <f t="shared" si="45"/>
        <v>0</v>
      </c>
      <c r="BB61" s="4"/>
      <c r="BC61" s="16">
        <f>SUMIF('MUTASI 2026'!$B$1382:$B$1477,'WS Trial balance'!$D61,'MUTASI 2026'!$G$1382:$G$1477)</f>
        <v>0</v>
      </c>
      <c r="BD61" s="16">
        <f>SUMIF('MUTASI 2026'!$B$1382:$B$1477,'WS Trial balance'!$D61,'MUTASI 2026'!$H$1382:$H$1477)</f>
        <v>0</v>
      </c>
      <c r="BE61" s="16">
        <f t="shared" si="46"/>
        <v>501344999.99999994</v>
      </c>
      <c r="BF61" s="16">
        <f t="shared" si="47"/>
        <v>0</v>
      </c>
      <c r="BG61" s="4"/>
      <c r="BH61" s="16">
        <f>SUMIF('MUTASI 2026'!$B$1480:$B$1600,'WS Trial balance'!$D61,'MUTASI 2026'!$G$1480:$G$1600)</f>
        <v>0</v>
      </c>
      <c r="BI61" s="16">
        <f>SUMIF('MUTASI 2026'!$B$1480:$B$1600,'WS Trial balance'!$D61,'MUTASI 2026'!$H$1480:$H$1600)</f>
        <v>0</v>
      </c>
      <c r="BJ61" s="16">
        <f t="shared" si="48"/>
        <v>501344999.99999994</v>
      </c>
      <c r="BK61" s="16">
        <f t="shared" si="49"/>
        <v>0</v>
      </c>
      <c r="BL61" s="4"/>
      <c r="BM61" s="16">
        <f>SUMIF('MUTASI 2026'!$B$1603:$B$1722,'WS Trial balance'!$D61,'MUTASI 2026'!$G$1603:$G$1722)</f>
        <v>0</v>
      </c>
      <c r="BN61" s="16">
        <f>SUMIF('MUTASI 2026'!$B$1603:$B$1722,'WS Trial balance'!$D61,'MUTASI 2026'!$H$1603:$H$1722)</f>
        <v>0</v>
      </c>
      <c r="BO61" s="16">
        <f t="shared" si="50"/>
        <v>501344999.99999994</v>
      </c>
      <c r="BP61" s="16">
        <f t="shared" si="51"/>
        <v>0</v>
      </c>
      <c r="BQ61" s="4"/>
      <c r="BR61" s="2"/>
      <c r="BS61" s="4"/>
      <c r="BT61" s="16">
        <f t="shared" si="52"/>
        <v>0</v>
      </c>
      <c r="BU61" s="16">
        <f t="shared" si="52"/>
        <v>0</v>
      </c>
      <c r="BV61" s="4"/>
      <c r="BW61" s="16">
        <f t="shared" si="53"/>
        <v>501344999.99999994</v>
      </c>
      <c r="BX61" s="16">
        <f t="shared" si="53"/>
        <v>0</v>
      </c>
      <c r="BY61" s="4"/>
      <c r="BZ61" s="16">
        <f t="shared" si="54"/>
        <v>501344999.99999994</v>
      </c>
      <c r="CA61" s="16">
        <f t="shared" si="55"/>
        <v>0</v>
      </c>
      <c r="CB61" s="4"/>
    </row>
    <row r="62" spans="2:84" s="1" customFormat="1" ht="15" x14ac:dyDescent="0.25">
      <c r="B62" s="3"/>
      <c r="C62" s="17"/>
      <c r="D62" s="17" t="s">
        <v>367</v>
      </c>
      <c r="E62" s="17" t="s">
        <v>365</v>
      </c>
      <c r="F62" s="17" t="s">
        <v>6</v>
      </c>
      <c r="G62" s="16">
        <v>0</v>
      </c>
      <c r="H62" s="16">
        <v>0</v>
      </c>
      <c r="I62" s="4"/>
      <c r="J62" s="16">
        <f>SUMIF('MUTASI 2026'!$B$5:$B$160,'WS Trial balance'!$D62,'MUTASI 2026'!$G$5:$G$160)</f>
        <v>0</v>
      </c>
      <c r="K62" s="16">
        <f>SUMIF('MUTASI 2026'!$B$5:$B$160,'WS Trial balance'!$D62,'MUTASI 2026'!$H$5:$H$160)</f>
        <v>0</v>
      </c>
      <c r="L62" s="16">
        <f t="shared" si="28"/>
        <v>0</v>
      </c>
      <c r="M62" s="16">
        <f t="shared" si="29"/>
        <v>0</v>
      </c>
      <c r="N62" s="4"/>
      <c r="O62" s="16">
        <f>SUMIF('MUTASI 2026'!$B$162:$B$252,'WS Trial balance'!$D62,'MUTASI 2026'!$G$162:$G$252)</f>
        <v>0</v>
      </c>
      <c r="P62" s="16">
        <f>SUMIF('MUTASI 2026'!$B$162:$B$252,'WS Trial balance'!$D62,'MUTASI 2026'!$H$162:$H$252)</f>
        <v>0</v>
      </c>
      <c r="Q62" s="16">
        <f t="shared" si="30"/>
        <v>0</v>
      </c>
      <c r="R62" s="16">
        <f t="shared" si="31"/>
        <v>0</v>
      </c>
      <c r="S62" s="4"/>
      <c r="T62" s="16">
        <f>SUMIF('MUTASI 2026'!$B$254:$B$356,'WS Trial balance'!$D62,'MUTASI 2026'!$G$254:$G$356)</f>
        <v>0</v>
      </c>
      <c r="U62" s="16">
        <f>SUMIF('MUTASI 2026'!$B$254:$B$356,'WS Trial balance'!$D62,'MUTASI 2026'!$H$254:$H$356)</f>
        <v>0</v>
      </c>
      <c r="V62" s="16">
        <f t="shared" si="32"/>
        <v>0</v>
      </c>
      <c r="W62" s="16">
        <f t="shared" si="33"/>
        <v>0</v>
      </c>
      <c r="X62" s="4"/>
      <c r="Y62" s="16">
        <f>SUMIF('MUTASI 2026'!$B$358:$B$480,'WS Trial balance'!$D62,'MUTASI 2026'!$G$358:$G$480)</f>
        <v>0</v>
      </c>
      <c r="Z62" s="16">
        <f>SUMIF('MUTASI 2026'!$B$358:$B$480,'WS Trial balance'!$D62,'MUTASI 2026'!$H$358:$H$480)</f>
        <v>0</v>
      </c>
      <c r="AA62" s="16">
        <f t="shared" si="34"/>
        <v>0</v>
      </c>
      <c r="AB62" s="16">
        <f t="shared" si="35"/>
        <v>0</v>
      </c>
      <c r="AC62" s="4"/>
      <c r="AD62" s="16">
        <f>SUMIF('MUTASI 2026'!$B$482:$B$655,'WS Trial balance'!$D62,'MUTASI 2026'!$G$482:$G$655)</f>
        <v>0</v>
      </c>
      <c r="AE62" s="16">
        <f>SUMIF('MUTASI 2026'!$B$482:$B$655,'WS Trial balance'!$D62,'MUTASI 2026'!$H$482:$H$655)</f>
        <v>0</v>
      </c>
      <c r="AF62" s="16">
        <f t="shared" si="36"/>
        <v>0</v>
      </c>
      <c r="AG62" s="16">
        <f t="shared" si="37"/>
        <v>0</v>
      </c>
      <c r="AH62" s="4"/>
      <c r="AI62" s="16">
        <f>SUMIF('MUTASI 2026'!$B$657:$B$748,'WS Trial balance'!$D62,'MUTASI 2026'!$G$657:$G$748)</f>
        <v>0</v>
      </c>
      <c r="AJ62" s="16">
        <f>SUMIF('MUTASI 2026'!$B$657:$B$748,'WS Trial balance'!$D62,'MUTASI 2026'!$H$657:$H$748)</f>
        <v>0</v>
      </c>
      <c r="AK62" s="16">
        <f t="shared" si="38"/>
        <v>0</v>
      </c>
      <c r="AL62" s="16">
        <f t="shared" si="39"/>
        <v>0</v>
      </c>
      <c r="AM62" s="4"/>
      <c r="AN62" s="16">
        <f>SUMIF('MUTASI 2026'!$B$750:$B$851,'WS Trial balance'!$D62,'MUTASI 2026'!$G$750:$G$851)</f>
        <v>0</v>
      </c>
      <c r="AO62" s="16">
        <f>SUMIF('MUTASI 2026'!$B$750:$B$851,'WS Trial balance'!$D62,'MUTASI 2026'!$H$750:$H$851)</f>
        <v>0</v>
      </c>
      <c r="AP62" s="16">
        <f t="shared" si="40"/>
        <v>0</v>
      </c>
      <c r="AQ62" s="16">
        <f t="shared" si="41"/>
        <v>0</v>
      </c>
      <c r="AR62" s="4"/>
      <c r="AS62" s="16">
        <f>SUMIF('MUTASI 2026'!$B$853:$B$945,'WS Trial balance'!$D62,'MUTASI 2026'!$G$853:$G$945)</f>
        <v>0</v>
      </c>
      <c r="AT62" s="16">
        <f>SUMIF('MUTASI 2026'!$B$853:$B$945,'WS Trial balance'!$D62,'MUTASI 2026'!$H$853:$H$945)</f>
        <v>0</v>
      </c>
      <c r="AU62" s="16">
        <f t="shared" si="42"/>
        <v>0</v>
      </c>
      <c r="AV62" s="16">
        <f t="shared" si="43"/>
        <v>0</v>
      </c>
      <c r="AW62" s="4"/>
      <c r="AX62" s="16">
        <f>SUMIF('MUTASI 2026'!$B$1274:$B$1379,'WS Trial balance'!$D62,'MUTASI 2026'!$G$1274:$G$1379)</f>
        <v>0</v>
      </c>
      <c r="AY62" s="16">
        <f>SUMIF('MUTASI 2026'!$B$1274:$B$1379,'WS Trial balance'!$D62,'MUTASI 2026'!$H$1274:$H$1379)</f>
        <v>0</v>
      </c>
      <c r="AZ62" s="16">
        <f t="shared" si="44"/>
        <v>0</v>
      </c>
      <c r="BA62" s="16">
        <f t="shared" si="45"/>
        <v>0</v>
      </c>
      <c r="BB62" s="4"/>
      <c r="BC62" s="16">
        <f>SUMIF('MUTASI 2026'!$B$1382:$B$1477,'WS Trial balance'!$D62,'MUTASI 2026'!$G$1382:$G$1477)</f>
        <v>0</v>
      </c>
      <c r="BD62" s="16">
        <f>SUMIF('MUTASI 2026'!$B$1382:$B$1477,'WS Trial balance'!$D62,'MUTASI 2026'!$H$1382:$H$1477)</f>
        <v>0</v>
      </c>
      <c r="BE62" s="16">
        <f t="shared" si="46"/>
        <v>0</v>
      </c>
      <c r="BF62" s="16">
        <f t="shared" si="47"/>
        <v>0</v>
      </c>
      <c r="BG62" s="4"/>
      <c r="BH62" s="16">
        <f>SUMIF('MUTASI 2026'!$B$1480:$B$1600,'WS Trial balance'!$D62,'MUTASI 2026'!$G$1480:$G$1600)</f>
        <v>0</v>
      </c>
      <c r="BI62" s="16">
        <f>SUMIF('MUTASI 2026'!$B$1480:$B$1600,'WS Trial balance'!$D62,'MUTASI 2026'!$H$1480:$H$1600)</f>
        <v>0</v>
      </c>
      <c r="BJ62" s="16">
        <f t="shared" si="48"/>
        <v>0</v>
      </c>
      <c r="BK62" s="16">
        <f t="shared" si="49"/>
        <v>0</v>
      </c>
      <c r="BL62" s="4"/>
      <c r="BM62" s="16">
        <f>SUMIF('MUTASI 2026'!$B$1603:$B$1722,'WS Trial balance'!$D62,'MUTASI 2026'!$G$1603:$G$1722)</f>
        <v>0</v>
      </c>
      <c r="BN62" s="16">
        <f>SUMIF('MUTASI 2026'!$B$1603:$B$1722,'WS Trial balance'!$D62,'MUTASI 2026'!$H$1603:$H$1722)</f>
        <v>0</v>
      </c>
      <c r="BO62" s="16">
        <f t="shared" si="50"/>
        <v>0</v>
      </c>
      <c r="BP62" s="16">
        <f t="shared" si="51"/>
        <v>0</v>
      </c>
      <c r="BQ62" s="4"/>
      <c r="BR62" s="2"/>
      <c r="BS62" s="4"/>
      <c r="BT62" s="16">
        <f t="shared" si="52"/>
        <v>0</v>
      </c>
      <c r="BU62" s="16">
        <f t="shared" si="52"/>
        <v>0</v>
      </c>
      <c r="BV62" s="4"/>
      <c r="BW62" s="16">
        <f t="shared" si="53"/>
        <v>0</v>
      </c>
      <c r="BX62" s="16">
        <f t="shared" si="53"/>
        <v>0</v>
      </c>
      <c r="BY62" s="4"/>
      <c r="BZ62" s="16">
        <f t="shared" si="54"/>
        <v>0</v>
      </c>
      <c r="CA62" s="16">
        <f t="shared" si="55"/>
        <v>0</v>
      </c>
      <c r="CB62" s="4"/>
    </row>
    <row r="63" spans="2:84" s="1" customFormat="1" ht="15" x14ac:dyDescent="0.25">
      <c r="B63" s="3"/>
      <c r="C63" s="17"/>
      <c r="D63" s="17" t="s">
        <v>368</v>
      </c>
      <c r="E63" s="17" t="s">
        <v>366</v>
      </c>
      <c r="F63" s="17" t="s">
        <v>6</v>
      </c>
      <c r="G63" s="16">
        <v>0</v>
      </c>
      <c r="H63" s="16">
        <v>0</v>
      </c>
      <c r="I63" s="4"/>
      <c r="J63" s="16">
        <f>SUMIF('MUTASI 2026'!$B$5:$B$160,'WS Trial balance'!$D63,'MUTASI 2026'!$G$5:$G$160)</f>
        <v>0</v>
      </c>
      <c r="K63" s="16">
        <f>SUMIF('MUTASI 2026'!$B$5:$B$160,'WS Trial balance'!$D63,'MUTASI 2026'!$H$5:$H$160)</f>
        <v>0</v>
      </c>
      <c r="L63" s="16">
        <f t="shared" si="28"/>
        <v>0</v>
      </c>
      <c r="M63" s="16">
        <f t="shared" si="29"/>
        <v>0</v>
      </c>
      <c r="N63" s="4"/>
      <c r="O63" s="16">
        <f>SUMIF('MUTASI 2026'!$B$162:$B$252,'WS Trial balance'!$D63,'MUTASI 2026'!$G$162:$G$252)</f>
        <v>0</v>
      </c>
      <c r="P63" s="16">
        <f>SUMIF('MUTASI 2026'!$B$162:$B$252,'WS Trial balance'!$D63,'MUTASI 2026'!$H$162:$H$252)</f>
        <v>0</v>
      </c>
      <c r="Q63" s="16">
        <f t="shared" si="30"/>
        <v>0</v>
      </c>
      <c r="R63" s="16">
        <f t="shared" si="31"/>
        <v>0</v>
      </c>
      <c r="S63" s="4"/>
      <c r="T63" s="16">
        <f>SUMIF('MUTASI 2026'!$B$254:$B$356,'WS Trial balance'!$D63,'MUTASI 2026'!$G$254:$G$356)</f>
        <v>0</v>
      </c>
      <c r="U63" s="16">
        <f>SUMIF('MUTASI 2026'!$B$254:$B$356,'WS Trial balance'!$D63,'MUTASI 2026'!$H$254:$H$356)</f>
        <v>0</v>
      </c>
      <c r="V63" s="16">
        <f t="shared" si="32"/>
        <v>0</v>
      </c>
      <c r="W63" s="16">
        <f t="shared" si="33"/>
        <v>0</v>
      </c>
      <c r="X63" s="4"/>
      <c r="Y63" s="16">
        <f>SUMIF('MUTASI 2026'!$B$358:$B$480,'WS Trial balance'!$D63,'MUTASI 2026'!$G$358:$G$480)</f>
        <v>0</v>
      </c>
      <c r="Z63" s="16">
        <f>SUMIF('MUTASI 2026'!$B$358:$B$480,'WS Trial balance'!$D63,'MUTASI 2026'!$H$358:$H$480)</f>
        <v>0</v>
      </c>
      <c r="AA63" s="16">
        <f t="shared" si="34"/>
        <v>0</v>
      </c>
      <c r="AB63" s="16">
        <f t="shared" si="35"/>
        <v>0</v>
      </c>
      <c r="AC63" s="4"/>
      <c r="AD63" s="16">
        <f>SUMIF('MUTASI 2026'!$B$482:$B$655,'WS Trial balance'!$D63,'MUTASI 2026'!$G$482:$G$655)</f>
        <v>0</v>
      </c>
      <c r="AE63" s="16">
        <f>SUMIF('MUTASI 2026'!$B$482:$B$655,'WS Trial balance'!$D63,'MUTASI 2026'!$H$482:$H$655)</f>
        <v>0</v>
      </c>
      <c r="AF63" s="16">
        <f t="shared" si="36"/>
        <v>0</v>
      </c>
      <c r="AG63" s="16">
        <f t="shared" si="37"/>
        <v>0</v>
      </c>
      <c r="AH63" s="4"/>
      <c r="AI63" s="16">
        <f>SUMIF('MUTASI 2026'!$B$657:$B$748,'WS Trial balance'!$D63,'MUTASI 2026'!$G$657:$G$748)</f>
        <v>0</v>
      </c>
      <c r="AJ63" s="16">
        <f>SUMIF('MUTASI 2026'!$B$657:$B$748,'WS Trial balance'!$D63,'MUTASI 2026'!$H$657:$H$748)</f>
        <v>0</v>
      </c>
      <c r="AK63" s="16">
        <f t="shared" si="38"/>
        <v>0</v>
      </c>
      <c r="AL63" s="16">
        <f t="shared" si="39"/>
        <v>0</v>
      </c>
      <c r="AM63" s="4"/>
      <c r="AN63" s="16">
        <f>SUMIF('MUTASI 2026'!$B$750:$B$851,'WS Trial balance'!$D63,'MUTASI 2026'!$G$750:$G$851)</f>
        <v>0</v>
      </c>
      <c r="AO63" s="16">
        <f>SUMIF('MUTASI 2026'!$B$750:$B$851,'WS Trial balance'!$D63,'MUTASI 2026'!$H$750:$H$851)</f>
        <v>0</v>
      </c>
      <c r="AP63" s="16">
        <f t="shared" si="40"/>
        <v>0</v>
      </c>
      <c r="AQ63" s="16">
        <f t="shared" si="41"/>
        <v>0</v>
      </c>
      <c r="AR63" s="4"/>
      <c r="AS63" s="16">
        <f>SUMIF('MUTASI 2026'!$B$853:$B$945,'WS Trial balance'!$D63,'MUTASI 2026'!$G$853:$G$945)</f>
        <v>0</v>
      </c>
      <c r="AT63" s="16">
        <f>SUMIF('MUTASI 2026'!$B$853:$B$945,'WS Trial balance'!$D63,'MUTASI 2026'!$H$853:$H$945)</f>
        <v>0</v>
      </c>
      <c r="AU63" s="16">
        <f t="shared" si="42"/>
        <v>0</v>
      </c>
      <c r="AV63" s="16">
        <f t="shared" si="43"/>
        <v>0</v>
      </c>
      <c r="AW63" s="4"/>
      <c r="AX63" s="16">
        <f>SUMIF('MUTASI 2026'!$B$1274:$B$1379,'WS Trial balance'!$D63,'MUTASI 2026'!$G$1274:$G$1379)</f>
        <v>0</v>
      </c>
      <c r="AY63" s="16">
        <f>SUMIF('MUTASI 2026'!$B$1274:$B$1379,'WS Trial balance'!$D63,'MUTASI 2026'!$H$1274:$H$1379)</f>
        <v>0</v>
      </c>
      <c r="AZ63" s="16">
        <f t="shared" si="44"/>
        <v>0</v>
      </c>
      <c r="BA63" s="16">
        <f t="shared" si="45"/>
        <v>0</v>
      </c>
      <c r="BB63" s="4"/>
      <c r="BC63" s="16">
        <f>SUMIF('MUTASI 2026'!$B$1382:$B$1477,'WS Trial balance'!$D63,'MUTASI 2026'!$G$1382:$G$1477)</f>
        <v>0</v>
      </c>
      <c r="BD63" s="16">
        <f>SUMIF('MUTASI 2026'!$B$1382:$B$1477,'WS Trial balance'!$D63,'MUTASI 2026'!$H$1382:$H$1477)</f>
        <v>0</v>
      </c>
      <c r="BE63" s="16">
        <f t="shared" si="46"/>
        <v>0</v>
      </c>
      <c r="BF63" s="16">
        <f t="shared" si="47"/>
        <v>0</v>
      </c>
      <c r="BG63" s="4"/>
      <c r="BH63" s="16">
        <f>SUMIF('MUTASI 2026'!$B$1480:$B$1600,'WS Trial balance'!$D63,'MUTASI 2026'!$G$1480:$G$1600)</f>
        <v>0</v>
      </c>
      <c r="BI63" s="16">
        <f>SUMIF('MUTASI 2026'!$B$1480:$B$1600,'WS Trial balance'!$D63,'MUTASI 2026'!$H$1480:$H$1600)</f>
        <v>0</v>
      </c>
      <c r="BJ63" s="16">
        <f t="shared" si="48"/>
        <v>0</v>
      </c>
      <c r="BK63" s="16">
        <f t="shared" si="49"/>
        <v>0</v>
      </c>
      <c r="BL63" s="4"/>
      <c r="BM63" s="16">
        <f>SUMIF('MUTASI 2026'!$B$1603:$B$1722,'WS Trial balance'!$D63,'MUTASI 2026'!$G$1603:$G$1722)</f>
        <v>0</v>
      </c>
      <c r="BN63" s="16">
        <f>SUMIF('MUTASI 2026'!$B$1603:$B$1722,'WS Trial balance'!$D63,'MUTASI 2026'!$H$1603:$H$1722)</f>
        <v>0</v>
      </c>
      <c r="BO63" s="16">
        <f t="shared" si="50"/>
        <v>0</v>
      </c>
      <c r="BP63" s="16">
        <f t="shared" si="51"/>
        <v>0</v>
      </c>
      <c r="BQ63" s="4"/>
      <c r="BR63" s="2"/>
      <c r="BS63" s="4"/>
      <c r="BT63" s="16">
        <f t="shared" si="52"/>
        <v>0</v>
      </c>
      <c r="BU63" s="16">
        <f t="shared" si="52"/>
        <v>0</v>
      </c>
      <c r="BV63" s="4"/>
      <c r="BW63" s="16">
        <f t="shared" si="53"/>
        <v>0</v>
      </c>
      <c r="BX63" s="16">
        <f t="shared" si="53"/>
        <v>0</v>
      </c>
      <c r="BY63" s="4"/>
      <c r="BZ63" s="16">
        <f t="shared" si="54"/>
        <v>0</v>
      </c>
      <c r="CA63" s="16">
        <f t="shared" si="55"/>
        <v>0</v>
      </c>
      <c r="CB63" s="4"/>
    </row>
    <row r="64" spans="2:84" s="1" customFormat="1" ht="15" x14ac:dyDescent="0.25">
      <c r="B64" s="3"/>
      <c r="C64" s="17"/>
      <c r="D64" s="17" t="s">
        <v>61</v>
      </c>
      <c r="E64" s="17" t="s">
        <v>62</v>
      </c>
      <c r="F64" s="17" t="s">
        <v>6</v>
      </c>
      <c r="G64" s="16">
        <v>0</v>
      </c>
      <c r="H64" s="16">
        <v>0</v>
      </c>
      <c r="I64" s="4"/>
      <c r="J64" s="16">
        <f>SUMIF('MUTASI 2026'!$B$5:$B$160,'WS Trial balance'!$D64,'MUTASI 2026'!$G$5:$G$160)</f>
        <v>758000</v>
      </c>
      <c r="K64" s="16">
        <f>SUMIF('MUTASI 2026'!$B$5:$B$160,'WS Trial balance'!$D64,'MUTASI 2026'!$H$5:$H$160)</f>
        <v>0</v>
      </c>
      <c r="L64" s="16">
        <f t="shared" si="28"/>
        <v>758000</v>
      </c>
      <c r="M64" s="16">
        <f t="shared" si="29"/>
        <v>0</v>
      </c>
      <c r="N64" s="4"/>
      <c r="O64" s="16">
        <f>SUMIF('MUTASI 2026'!$B$162:$B$252,'WS Trial balance'!$D64,'MUTASI 2026'!$G$162:$G$252)</f>
        <v>750000</v>
      </c>
      <c r="P64" s="16">
        <f>SUMIF('MUTASI 2026'!$B$162:$B$252,'WS Trial balance'!$D64,'MUTASI 2026'!$H$162:$H$252)</f>
        <v>0</v>
      </c>
      <c r="Q64" s="16">
        <f t="shared" si="30"/>
        <v>1508000</v>
      </c>
      <c r="R64" s="16">
        <f t="shared" si="31"/>
        <v>0</v>
      </c>
      <c r="S64" s="4"/>
      <c r="T64" s="16">
        <f>SUMIF('MUTASI 2026'!$B$254:$B$356,'WS Trial balance'!$D64,'MUTASI 2026'!$G$254:$G$356)</f>
        <v>28557000</v>
      </c>
      <c r="U64" s="16">
        <f>SUMIF('MUTASI 2026'!$B$254:$B$356,'WS Trial balance'!$D64,'MUTASI 2026'!$H$254:$H$356)</f>
        <v>0</v>
      </c>
      <c r="V64" s="16">
        <f t="shared" si="32"/>
        <v>30065000</v>
      </c>
      <c r="W64" s="16">
        <f t="shared" si="33"/>
        <v>0</v>
      </c>
      <c r="X64" s="4"/>
      <c r="Y64" s="16">
        <f>SUMIF('MUTASI 2026'!$B$358:$B$480,'WS Trial balance'!$D64,'MUTASI 2026'!$G$358:$G$480)</f>
        <v>750000</v>
      </c>
      <c r="Z64" s="16">
        <f>SUMIF('MUTASI 2026'!$B$358:$B$480,'WS Trial balance'!$D64,'MUTASI 2026'!$H$358:$H$480)</f>
        <v>0</v>
      </c>
      <c r="AA64" s="16">
        <f t="shared" si="34"/>
        <v>30815000</v>
      </c>
      <c r="AB64" s="16">
        <f t="shared" si="35"/>
        <v>0</v>
      </c>
      <c r="AC64" s="4"/>
      <c r="AD64" s="16">
        <f>SUMIF('MUTASI 2026'!$B$482:$B$655,'WS Trial balance'!$D64,'MUTASI 2026'!$G$482:$G$655)</f>
        <v>42362600</v>
      </c>
      <c r="AE64" s="16">
        <f>SUMIF('MUTASI 2026'!$B$482:$B$655,'WS Trial balance'!$D64,'MUTASI 2026'!$H$482:$H$655)</f>
        <v>0</v>
      </c>
      <c r="AF64" s="16">
        <f t="shared" si="36"/>
        <v>73177600</v>
      </c>
      <c r="AG64" s="16">
        <f t="shared" si="37"/>
        <v>0</v>
      </c>
      <c r="AH64" s="4"/>
      <c r="AI64" s="16">
        <f>SUMIF('MUTASI 2026'!$B$657:$B$748,'WS Trial balance'!$D64,'MUTASI 2026'!$G$657:$G$748)</f>
        <v>3250000</v>
      </c>
      <c r="AJ64" s="16">
        <f>SUMIF('MUTASI 2026'!$B$657:$B$748,'WS Trial balance'!$D64,'MUTASI 2026'!$H$657:$H$748)</f>
        <v>0</v>
      </c>
      <c r="AK64" s="16">
        <f t="shared" si="38"/>
        <v>76427600</v>
      </c>
      <c r="AL64" s="16">
        <f t="shared" si="39"/>
        <v>0</v>
      </c>
      <c r="AM64" s="4"/>
      <c r="AN64" s="16">
        <f>SUMIF('MUTASI 2026'!$B$750:$B$851,'WS Trial balance'!$D64,'MUTASI 2026'!$G$750:$G$851)</f>
        <v>1120000</v>
      </c>
      <c r="AO64" s="16">
        <f>SUMIF('MUTASI 2026'!$B$750:$B$851,'WS Trial balance'!$D64,'MUTASI 2026'!$H$750:$H$851)</f>
        <v>0</v>
      </c>
      <c r="AP64" s="16">
        <f t="shared" si="40"/>
        <v>77547600</v>
      </c>
      <c r="AQ64" s="16">
        <f t="shared" si="41"/>
        <v>0</v>
      </c>
      <c r="AR64" s="4"/>
      <c r="AS64" s="16">
        <f>SUMIF('MUTASI 2026'!$B$853:$B$945,'WS Trial balance'!$D64,'MUTASI 2026'!$G$853:$G$945)</f>
        <v>1900000</v>
      </c>
      <c r="AT64" s="16">
        <f>SUMIF('MUTASI 2026'!$B$853:$B$945,'WS Trial balance'!$D64,'MUTASI 2026'!$H$853:$H$945)</f>
        <v>0</v>
      </c>
      <c r="AU64" s="16">
        <f t="shared" si="42"/>
        <v>79447600</v>
      </c>
      <c r="AV64" s="16">
        <f t="shared" si="43"/>
        <v>0</v>
      </c>
      <c r="AW64" s="4"/>
      <c r="AX64" s="16">
        <f>SUMIF('MUTASI 2026'!$B$1274:$B$1379,'WS Trial balance'!$D64,'MUTASI 2026'!$G$1274:$G$1379)</f>
        <v>0</v>
      </c>
      <c r="AY64" s="16">
        <f>SUMIF('MUTASI 2026'!$B$1274:$B$1379,'WS Trial balance'!$D64,'MUTASI 2026'!$H$1274:$H$1379)</f>
        <v>0</v>
      </c>
      <c r="AZ64" s="16">
        <f t="shared" si="44"/>
        <v>79447600</v>
      </c>
      <c r="BA64" s="16">
        <f t="shared" si="45"/>
        <v>0</v>
      </c>
      <c r="BB64" s="4"/>
      <c r="BC64" s="16">
        <f>SUMIF('MUTASI 2026'!$B$1382:$B$1477,'WS Trial balance'!$D64,'MUTASI 2026'!$G$1382:$G$1477)</f>
        <v>0</v>
      </c>
      <c r="BD64" s="16">
        <f>SUMIF('MUTASI 2026'!$B$1382:$B$1477,'WS Trial balance'!$D64,'MUTASI 2026'!$H$1382:$H$1477)</f>
        <v>0</v>
      </c>
      <c r="BE64" s="16">
        <f t="shared" si="46"/>
        <v>79447600</v>
      </c>
      <c r="BF64" s="16">
        <f t="shared" si="47"/>
        <v>0</v>
      </c>
      <c r="BG64" s="4"/>
      <c r="BH64" s="16">
        <f>SUMIF('MUTASI 2026'!$B$1480:$B$1600,'WS Trial balance'!$D64,'MUTASI 2026'!$G$1480:$G$1600)</f>
        <v>0</v>
      </c>
      <c r="BI64" s="16">
        <f>SUMIF('MUTASI 2026'!$B$1480:$B$1600,'WS Trial balance'!$D64,'MUTASI 2026'!$H$1480:$H$1600)</f>
        <v>0</v>
      </c>
      <c r="BJ64" s="16">
        <f t="shared" si="48"/>
        <v>79447600</v>
      </c>
      <c r="BK64" s="16">
        <f t="shared" si="49"/>
        <v>0</v>
      </c>
      <c r="BL64" s="4"/>
      <c r="BM64" s="16">
        <f>SUMIF('MUTASI 2026'!$B$1603:$B$1722,'WS Trial balance'!$D64,'MUTASI 2026'!$G$1603:$G$1722)</f>
        <v>0</v>
      </c>
      <c r="BN64" s="16">
        <f>SUMIF('MUTASI 2026'!$B$1603:$B$1722,'WS Trial balance'!$D64,'MUTASI 2026'!$H$1603:$H$1722)</f>
        <v>0</v>
      </c>
      <c r="BO64" s="16">
        <f t="shared" si="50"/>
        <v>79447600</v>
      </c>
      <c r="BP64" s="16">
        <f t="shared" si="51"/>
        <v>0</v>
      </c>
      <c r="BQ64" s="4"/>
      <c r="BR64" s="2"/>
      <c r="BS64" s="4"/>
      <c r="BT64" s="16">
        <f t="shared" si="52"/>
        <v>0</v>
      </c>
      <c r="BU64" s="16">
        <f t="shared" si="52"/>
        <v>0</v>
      </c>
      <c r="BV64" s="4"/>
      <c r="BW64" s="16">
        <f t="shared" si="53"/>
        <v>79447600</v>
      </c>
      <c r="BX64" s="16">
        <f t="shared" si="53"/>
        <v>0</v>
      </c>
      <c r="BY64" s="4"/>
      <c r="BZ64" s="16">
        <f t="shared" si="54"/>
        <v>79447600</v>
      </c>
      <c r="CA64" s="16">
        <f t="shared" si="55"/>
        <v>0</v>
      </c>
      <c r="CB64" s="4"/>
    </row>
    <row r="65" spans="2:80" s="1" customFormat="1" ht="15" x14ac:dyDescent="0.25">
      <c r="B65" s="3"/>
      <c r="C65" s="17"/>
      <c r="D65" s="17" t="s">
        <v>63</v>
      </c>
      <c r="E65" s="17" t="s">
        <v>65</v>
      </c>
      <c r="F65" s="17" t="s">
        <v>12</v>
      </c>
      <c r="G65" s="16">
        <v>0</v>
      </c>
      <c r="H65" s="16">
        <v>0</v>
      </c>
      <c r="I65" s="4"/>
      <c r="J65" s="16">
        <f>SUMIF('MUTASI 2026'!$B$5:$B$160,'WS Trial balance'!$D65,'MUTASI 2026'!$G$5:$G$160)</f>
        <v>0</v>
      </c>
      <c r="K65" s="16">
        <f>SUMIF('MUTASI 2026'!$B$5:$B$160,'WS Trial balance'!$D65,'MUTASI 2026'!$H$5:$H$160)</f>
        <v>3918000</v>
      </c>
      <c r="L65" s="16">
        <f t="shared" si="28"/>
        <v>0</v>
      </c>
      <c r="M65" s="16">
        <f t="shared" si="29"/>
        <v>3918000</v>
      </c>
      <c r="N65" s="4"/>
      <c r="O65" s="16">
        <f>SUMIF('MUTASI 2026'!$B$162:$B$252,'WS Trial balance'!$D65,'MUTASI 2026'!$G$162:$G$252)</f>
        <v>0</v>
      </c>
      <c r="P65" s="16">
        <f>SUMIF('MUTASI 2026'!$B$162:$B$252,'WS Trial balance'!$D65,'MUTASI 2026'!$H$162:$H$252)</f>
        <v>1423167.333332777</v>
      </c>
      <c r="Q65" s="16">
        <f t="shared" si="30"/>
        <v>0</v>
      </c>
      <c r="R65" s="16">
        <f t="shared" si="31"/>
        <v>5341167.333332777</v>
      </c>
      <c r="S65" s="4"/>
      <c r="T65" s="16">
        <f>SUMIF('MUTASI 2026'!$B$254:$B$356,'WS Trial balance'!$D65,'MUTASI 2026'!$G$254:$G$356)</f>
        <v>0</v>
      </c>
      <c r="U65" s="16">
        <f>SUMIF('MUTASI 2026'!$B$254:$B$356,'WS Trial balance'!$D65,'MUTASI 2026'!$H$254:$H$356)</f>
        <v>1356500</v>
      </c>
      <c r="V65" s="16">
        <f t="shared" si="32"/>
        <v>0</v>
      </c>
      <c r="W65" s="16">
        <f t="shared" si="33"/>
        <v>6697667.333332777</v>
      </c>
      <c r="X65" s="4"/>
      <c r="Y65" s="16">
        <f>SUMIF('MUTASI 2026'!$B$358:$B$480,'WS Trial balance'!$D65,'MUTASI 2026'!$G$358:$G$480)</f>
        <v>0</v>
      </c>
      <c r="Z65" s="16">
        <f>SUMIF('MUTASI 2026'!$B$358:$B$480,'WS Trial balance'!$D65,'MUTASI 2026'!$H$358:$H$480)</f>
        <v>1356500</v>
      </c>
      <c r="AA65" s="16">
        <f t="shared" si="34"/>
        <v>0</v>
      </c>
      <c r="AB65" s="16">
        <f t="shared" si="35"/>
        <v>8054167.333332777</v>
      </c>
      <c r="AC65" s="4"/>
      <c r="AD65" s="16">
        <f>SUMIF('MUTASI 2026'!$B$482:$B$655,'WS Trial balance'!$D65,'MUTASI 2026'!$G$482:$G$655)</f>
        <v>0</v>
      </c>
      <c r="AE65" s="16">
        <f>SUMIF('MUTASI 2026'!$B$482:$B$655,'WS Trial balance'!$D65,'MUTASI 2026'!$H$482:$H$655)</f>
        <v>3146500</v>
      </c>
      <c r="AF65" s="16">
        <f t="shared" si="36"/>
        <v>0</v>
      </c>
      <c r="AG65" s="16">
        <f t="shared" si="37"/>
        <v>11200667.333332777</v>
      </c>
      <c r="AH65" s="4"/>
      <c r="AI65" s="16">
        <f>SUMIF('MUTASI 2026'!$B$657:$B$748,'WS Trial balance'!$D65,'MUTASI 2026'!$G$657:$G$748)</f>
        <v>0</v>
      </c>
      <c r="AJ65" s="16">
        <f>SUMIF('MUTASI 2026'!$B$657:$B$748,'WS Trial balance'!$D65,'MUTASI 2026'!$H$657:$H$748)</f>
        <v>1205000</v>
      </c>
      <c r="AK65" s="16">
        <f t="shared" si="38"/>
        <v>0</v>
      </c>
      <c r="AL65" s="16">
        <f t="shared" si="39"/>
        <v>12405667.333332777</v>
      </c>
      <c r="AM65" s="4"/>
      <c r="AN65" s="16">
        <f>SUMIF('MUTASI 2026'!$B$750:$B$851,'WS Trial balance'!$D65,'MUTASI 2026'!$G$750:$G$851)</f>
        <v>0</v>
      </c>
      <c r="AO65" s="16">
        <f>SUMIF('MUTASI 2026'!$B$750:$B$851,'WS Trial balance'!$D65,'MUTASI 2026'!$H$750:$H$851)</f>
        <v>1205000</v>
      </c>
      <c r="AP65" s="16">
        <f t="shared" si="40"/>
        <v>0</v>
      </c>
      <c r="AQ65" s="16">
        <f t="shared" si="41"/>
        <v>13610667.333332777</v>
      </c>
      <c r="AR65" s="4"/>
      <c r="AS65" s="16">
        <f>SUMIF('MUTASI 2026'!$B$853:$B$945,'WS Trial balance'!$D65,'MUTASI 2026'!$G$853:$G$945)</f>
        <v>0</v>
      </c>
      <c r="AT65" s="16">
        <f>SUMIF('MUTASI 2026'!$B$853:$B$945,'WS Trial balance'!$D65,'MUTASI 2026'!$H$853:$H$945)</f>
        <v>1205000</v>
      </c>
      <c r="AU65" s="16">
        <f t="shared" si="42"/>
        <v>0</v>
      </c>
      <c r="AV65" s="16">
        <f t="shared" si="43"/>
        <v>14815667.333332777</v>
      </c>
      <c r="AW65" s="4"/>
      <c r="AX65" s="16">
        <f>SUMIF('MUTASI 2026'!$B$1274:$B$1379,'WS Trial balance'!$D65,'MUTASI 2026'!$G$1274:$G$1379)</f>
        <v>0</v>
      </c>
      <c r="AY65" s="16">
        <f>SUMIF('MUTASI 2026'!$B$1274:$B$1379,'WS Trial balance'!$D65,'MUTASI 2026'!$H$1274:$H$1379)</f>
        <v>0</v>
      </c>
      <c r="AZ65" s="16">
        <f t="shared" si="44"/>
        <v>0</v>
      </c>
      <c r="BA65" s="16">
        <f t="shared" si="45"/>
        <v>14815667.333332777</v>
      </c>
      <c r="BB65" s="4"/>
      <c r="BC65" s="16">
        <f>SUMIF('MUTASI 2026'!$B$1382:$B$1477,'WS Trial balance'!$D65,'MUTASI 2026'!$G$1382:$G$1477)</f>
        <v>0</v>
      </c>
      <c r="BD65" s="16">
        <f>SUMIF('MUTASI 2026'!$B$1382:$B$1477,'WS Trial balance'!$D65,'MUTASI 2026'!$H$1382:$H$1477)</f>
        <v>0</v>
      </c>
      <c r="BE65" s="16">
        <f t="shared" si="46"/>
        <v>0</v>
      </c>
      <c r="BF65" s="16">
        <f t="shared" si="47"/>
        <v>14815667.333332777</v>
      </c>
      <c r="BG65" s="4"/>
      <c r="BH65" s="16">
        <f>SUMIF('MUTASI 2026'!$B$1480:$B$1600,'WS Trial balance'!$D65,'MUTASI 2026'!$G$1480:$G$1600)</f>
        <v>0</v>
      </c>
      <c r="BI65" s="16">
        <f>SUMIF('MUTASI 2026'!$B$1480:$B$1600,'WS Trial balance'!$D65,'MUTASI 2026'!$H$1480:$H$1600)</f>
        <v>0</v>
      </c>
      <c r="BJ65" s="16">
        <f t="shared" si="48"/>
        <v>0</v>
      </c>
      <c r="BK65" s="16">
        <f t="shared" si="49"/>
        <v>14815667.333332777</v>
      </c>
      <c r="BL65" s="4"/>
      <c r="BM65" s="16">
        <f>SUMIF('MUTASI 2026'!$B$1603:$B$1722,'WS Trial balance'!$D65,'MUTASI 2026'!$G$1603:$G$1722)</f>
        <v>0</v>
      </c>
      <c r="BN65" s="16">
        <f>SUMIF('MUTASI 2026'!$B$1603:$B$1722,'WS Trial balance'!$D65,'MUTASI 2026'!$H$1603:$H$1722)</f>
        <v>0</v>
      </c>
      <c r="BO65" s="16">
        <f t="shared" si="50"/>
        <v>0</v>
      </c>
      <c r="BP65" s="16">
        <f t="shared" si="51"/>
        <v>14815667.333332777</v>
      </c>
      <c r="BQ65" s="4"/>
      <c r="BR65" s="2"/>
      <c r="BS65" s="4"/>
      <c r="BT65" s="16">
        <f t="shared" si="52"/>
        <v>0</v>
      </c>
      <c r="BU65" s="16">
        <f t="shared" si="52"/>
        <v>0</v>
      </c>
      <c r="BV65" s="4"/>
      <c r="BW65" s="16">
        <f t="shared" si="53"/>
        <v>0</v>
      </c>
      <c r="BX65" s="16">
        <f t="shared" si="53"/>
        <v>14815667.333332777</v>
      </c>
      <c r="BY65" s="4"/>
      <c r="BZ65" s="16">
        <f t="shared" si="54"/>
        <v>0</v>
      </c>
      <c r="CA65" s="16">
        <f t="shared" si="55"/>
        <v>14815667.333332777</v>
      </c>
      <c r="CB65" s="4"/>
    </row>
    <row r="66" spans="2:80" s="1" customFormat="1" ht="15" x14ac:dyDescent="0.25">
      <c r="B66" s="3"/>
      <c r="C66" s="17"/>
      <c r="D66" s="17" t="s">
        <v>64</v>
      </c>
      <c r="E66" s="17" t="s">
        <v>66</v>
      </c>
      <c r="F66" s="17" t="s">
        <v>6</v>
      </c>
      <c r="G66" s="16">
        <v>0</v>
      </c>
      <c r="H66" s="16">
        <v>0</v>
      </c>
      <c r="I66" s="4"/>
      <c r="J66" s="16">
        <f>SUMIF('MUTASI 2026'!$B$5:$B$160,'WS Trial balance'!$D66,'MUTASI 2026'!$G$5:$G$160)</f>
        <v>1577093.2333329094</v>
      </c>
      <c r="K66" s="16">
        <f>SUMIF('MUTASI 2026'!$B$5:$B$160,'WS Trial balance'!$D66,'MUTASI 2026'!$H$5:$H$160)</f>
        <v>81424.12</v>
      </c>
      <c r="L66" s="16">
        <f t="shared" si="28"/>
        <v>1495669.1133329095</v>
      </c>
      <c r="M66" s="16">
        <f t="shared" si="29"/>
        <v>0</v>
      </c>
      <c r="N66" s="4"/>
      <c r="O66" s="16">
        <f>SUMIF('MUTASI 2026'!$B$162:$B$252,'WS Trial balance'!$D66,'MUTASI 2026'!$G$162:$G$252)</f>
        <v>1574899.4022222387</v>
      </c>
      <c r="P66" s="16">
        <f>SUMIF('MUTASI 2026'!$B$162:$B$252,'WS Trial balance'!$D66,'MUTASI 2026'!$H$162:$H$252)</f>
        <v>84992.13</v>
      </c>
      <c r="Q66" s="16">
        <f t="shared" si="30"/>
        <v>2985576.3855551481</v>
      </c>
      <c r="R66" s="16">
        <f t="shared" si="31"/>
        <v>0</v>
      </c>
      <c r="S66" s="4"/>
      <c r="T66" s="16">
        <f>SUMIF('MUTASI 2026'!$B$254:$B$356,'WS Trial balance'!$D66,'MUTASI 2026'!$G$254:$G$356)</f>
        <v>1565556.251111449</v>
      </c>
      <c r="U66" s="16">
        <f>SUMIF('MUTASI 2026'!$B$254:$B$356,'WS Trial balance'!$D66,'MUTASI 2026'!$H$254:$H$356)</f>
        <v>23773.58</v>
      </c>
      <c r="V66" s="16">
        <f t="shared" si="32"/>
        <v>4527359.0566665968</v>
      </c>
      <c r="W66" s="16">
        <f t="shared" si="33"/>
        <v>0</v>
      </c>
      <c r="X66" s="4"/>
      <c r="Y66" s="16">
        <f>SUMIF('MUTASI 2026'!$B$358:$B$480,'WS Trial balance'!$D66,'MUTASI 2026'!$G$358:$G$480)</f>
        <v>1565675.115555001</v>
      </c>
      <c r="Z66" s="16">
        <f>SUMIF('MUTASI 2026'!$B$358:$B$480,'WS Trial balance'!$D66,'MUTASI 2026'!$H$358:$H$480)</f>
        <v>38869.06</v>
      </c>
      <c r="AA66" s="16">
        <f t="shared" si="34"/>
        <v>6054165.1122215977</v>
      </c>
      <c r="AB66" s="16">
        <f t="shared" si="35"/>
        <v>0</v>
      </c>
      <c r="AC66" s="4"/>
      <c r="AD66" s="16">
        <f>SUMIF('MUTASI 2026'!$B$482:$B$655,'WS Trial balance'!$D66,'MUTASI 2026'!$G$482:$G$655)</f>
        <v>1567416.5244444627</v>
      </c>
      <c r="AE66" s="16">
        <f>SUMIF('MUTASI 2026'!$B$482:$B$655,'WS Trial balance'!$D66,'MUTASI 2026'!$H$482:$H$655)</f>
        <v>33081.629999999997</v>
      </c>
      <c r="AF66" s="16">
        <f t="shared" si="36"/>
        <v>7588500.0066660605</v>
      </c>
      <c r="AG66" s="16">
        <f t="shared" si="37"/>
        <v>0</v>
      </c>
      <c r="AH66" s="4"/>
      <c r="AI66" s="16">
        <f>SUMIF('MUTASI 2026'!$B$657:$B$748,'WS Trial balance'!$D66,'MUTASI 2026'!$G$657:$G$748)</f>
        <v>1559130.7244444627</v>
      </c>
      <c r="AJ66" s="16">
        <f>SUMIF('MUTASI 2026'!$B$657:$B$748,'WS Trial balance'!$D66,'MUTASI 2026'!$H$657:$H$748)</f>
        <v>6152.63</v>
      </c>
      <c r="AK66" s="16">
        <f t="shared" si="38"/>
        <v>9141478.1011105217</v>
      </c>
      <c r="AL66" s="16">
        <f t="shared" si="39"/>
        <v>0</v>
      </c>
      <c r="AM66" s="4"/>
      <c r="AN66" s="16">
        <f>SUMIF('MUTASI 2026'!$B$750:$B$851,'WS Trial balance'!$D66,'MUTASI 2026'!$G$750:$G$851)</f>
        <v>1557636.8477777762</v>
      </c>
      <c r="AO66" s="16">
        <f>SUMIF('MUTASI 2026'!$B$750:$B$851,'WS Trial balance'!$D66,'MUTASI 2026'!$H$750:$H$851)</f>
        <v>13181.61</v>
      </c>
      <c r="AP66" s="16">
        <f t="shared" si="40"/>
        <v>10685933.338888299</v>
      </c>
      <c r="AQ66" s="16">
        <f t="shared" si="41"/>
        <v>0</v>
      </c>
      <c r="AR66" s="4"/>
      <c r="AS66" s="16">
        <f>SUMIF('MUTASI 2026'!$B$853:$B$945,'WS Trial balance'!$D66,'MUTASI 2026'!$G$853:$G$945)</f>
        <v>1561382.4777777761</v>
      </c>
      <c r="AT66" s="16">
        <f>SUMIF('MUTASI 2026'!$B$853:$B$945,'WS Trial balance'!$D66,'MUTASI 2026'!$H$853:$H$945)</f>
        <v>31909.74</v>
      </c>
      <c r="AU66" s="16">
        <f t="shared" si="42"/>
        <v>12215406.076666074</v>
      </c>
      <c r="AV66" s="16">
        <f t="shared" si="43"/>
        <v>0</v>
      </c>
      <c r="AW66" s="4"/>
      <c r="AX66" s="16">
        <f>SUMIF('MUTASI 2026'!$B$1274:$B$1379,'WS Trial balance'!$D66,'MUTASI 2026'!$G$1274:$G$1379)</f>
        <v>0</v>
      </c>
      <c r="AY66" s="16">
        <f>SUMIF('MUTASI 2026'!$B$1274:$B$1379,'WS Trial balance'!$D66,'MUTASI 2026'!$H$1274:$H$1379)</f>
        <v>0</v>
      </c>
      <c r="AZ66" s="16">
        <f t="shared" si="44"/>
        <v>12215406.076666074</v>
      </c>
      <c r="BA66" s="16">
        <f t="shared" si="45"/>
        <v>0</v>
      </c>
      <c r="BB66" s="4"/>
      <c r="BC66" s="16">
        <f>SUMIF('MUTASI 2026'!$B$1382:$B$1477,'WS Trial balance'!$D66,'MUTASI 2026'!$G$1382:$G$1477)</f>
        <v>0</v>
      </c>
      <c r="BD66" s="16">
        <f>SUMIF('MUTASI 2026'!$B$1382:$B$1477,'WS Trial balance'!$D66,'MUTASI 2026'!$H$1382:$H$1477)</f>
        <v>0</v>
      </c>
      <c r="BE66" s="16">
        <f t="shared" si="46"/>
        <v>12215406.076666074</v>
      </c>
      <c r="BF66" s="16">
        <f t="shared" si="47"/>
        <v>0</v>
      </c>
      <c r="BG66" s="4"/>
      <c r="BH66" s="16">
        <f>SUMIF('MUTASI 2026'!$B$1480:$B$1600,'WS Trial balance'!$D66,'MUTASI 2026'!$G$1480:$G$1600)</f>
        <v>0</v>
      </c>
      <c r="BI66" s="16">
        <f>SUMIF('MUTASI 2026'!$B$1480:$B$1600,'WS Trial balance'!$D66,'MUTASI 2026'!$H$1480:$H$1600)</f>
        <v>0</v>
      </c>
      <c r="BJ66" s="16">
        <f t="shared" si="48"/>
        <v>12215406.076666074</v>
      </c>
      <c r="BK66" s="16">
        <f t="shared" si="49"/>
        <v>0</v>
      </c>
      <c r="BL66" s="4"/>
      <c r="BM66" s="16">
        <f>SUMIF('MUTASI 2026'!$B$1603:$B$1722,'WS Trial balance'!$D66,'MUTASI 2026'!$G$1603:$G$1722)</f>
        <v>0</v>
      </c>
      <c r="BN66" s="16">
        <f>SUMIF('MUTASI 2026'!$B$1603:$B$1722,'WS Trial balance'!$D66,'MUTASI 2026'!$H$1603:$H$1722)</f>
        <v>0</v>
      </c>
      <c r="BO66" s="16">
        <f t="shared" si="50"/>
        <v>12215406.076666074</v>
      </c>
      <c r="BP66" s="16">
        <f t="shared" si="51"/>
        <v>0</v>
      </c>
      <c r="BQ66" s="4"/>
      <c r="BR66" s="2"/>
      <c r="BS66" s="4"/>
      <c r="BT66" s="16">
        <f t="shared" si="52"/>
        <v>0</v>
      </c>
      <c r="BU66" s="16">
        <f t="shared" si="52"/>
        <v>0</v>
      </c>
      <c r="BV66" s="4"/>
      <c r="BW66" s="16">
        <f t="shared" si="53"/>
        <v>12528790.576666074</v>
      </c>
      <c r="BX66" s="16">
        <f t="shared" si="53"/>
        <v>313384.5</v>
      </c>
      <c r="BY66" s="4"/>
      <c r="BZ66" s="16">
        <f t="shared" si="54"/>
        <v>12215406.076666074</v>
      </c>
      <c r="CA66" s="16">
        <f t="shared" si="55"/>
        <v>0</v>
      </c>
      <c r="CB66" s="4"/>
    </row>
    <row r="67" spans="2:80" s="1" customFormat="1" ht="15" x14ac:dyDescent="0.25">
      <c r="B67" s="3"/>
      <c r="C67" s="17"/>
      <c r="D67" s="17" t="s">
        <v>301</v>
      </c>
      <c r="E67" s="17" t="s">
        <v>67</v>
      </c>
      <c r="F67" s="17" t="s">
        <v>6</v>
      </c>
      <c r="G67" s="16">
        <v>0</v>
      </c>
      <c r="H67" s="16">
        <v>0</v>
      </c>
      <c r="I67" s="4"/>
      <c r="J67" s="16">
        <f>SUMIF('MUTASI 2026'!$B$5:$B$160,'WS Trial balance'!$D67,'MUTASI 2026'!$G$5:$G$160)</f>
        <v>0</v>
      </c>
      <c r="K67" s="16">
        <f>SUMIF('MUTASI 2026'!$B$5:$B$160,'WS Trial balance'!$D67,'MUTASI 2026'!$H$5:$H$160)</f>
        <v>0</v>
      </c>
      <c r="L67" s="16">
        <f t="shared" si="28"/>
        <v>0</v>
      </c>
      <c r="M67" s="16">
        <f t="shared" si="29"/>
        <v>0</v>
      </c>
      <c r="N67" s="4"/>
      <c r="O67" s="16">
        <f>SUMIF('MUTASI 2026'!$B$162:$B$252,'WS Trial balance'!$D67,'MUTASI 2026'!$G$162:$G$252)</f>
        <v>0</v>
      </c>
      <c r="P67" s="16">
        <f>SUMIF('MUTASI 2026'!$B$162:$B$252,'WS Trial balance'!$D67,'MUTASI 2026'!$H$162:$H$252)</f>
        <v>0</v>
      </c>
      <c r="Q67" s="16">
        <f t="shared" si="30"/>
        <v>0</v>
      </c>
      <c r="R67" s="16">
        <f t="shared" si="31"/>
        <v>0</v>
      </c>
      <c r="S67" s="4"/>
      <c r="T67" s="16">
        <f>SUMIF('MUTASI 2026'!$B$254:$B$356,'WS Trial balance'!$D67,'MUTASI 2026'!$G$254:$G$356)</f>
        <v>0</v>
      </c>
      <c r="U67" s="16">
        <f>SUMIF('MUTASI 2026'!$B$254:$B$356,'WS Trial balance'!$D67,'MUTASI 2026'!$H$254:$H$356)</f>
        <v>0</v>
      </c>
      <c r="V67" s="16">
        <f t="shared" si="32"/>
        <v>0</v>
      </c>
      <c r="W67" s="16">
        <f t="shared" si="33"/>
        <v>0</v>
      </c>
      <c r="X67" s="4"/>
      <c r="Y67" s="16">
        <f>SUMIF('MUTASI 2026'!$B$358:$B$480,'WS Trial balance'!$D67,'MUTASI 2026'!$G$358:$G$480)</f>
        <v>0</v>
      </c>
      <c r="Z67" s="16">
        <f>SUMIF('MUTASI 2026'!$B$358:$B$480,'WS Trial balance'!$D67,'MUTASI 2026'!$H$358:$H$480)</f>
        <v>0</v>
      </c>
      <c r="AA67" s="16">
        <f t="shared" si="34"/>
        <v>0</v>
      </c>
      <c r="AB67" s="16">
        <f t="shared" si="35"/>
        <v>0</v>
      </c>
      <c r="AC67" s="4"/>
      <c r="AD67" s="16">
        <f>SUMIF('MUTASI 2026'!$B$482:$B$655,'WS Trial balance'!$D67,'MUTASI 2026'!$G$482:$G$655)</f>
        <v>0</v>
      </c>
      <c r="AE67" s="16">
        <f>SUMIF('MUTASI 2026'!$B$482:$B$655,'WS Trial balance'!$D67,'MUTASI 2026'!$H$482:$H$655)</f>
        <v>0</v>
      </c>
      <c r="AF67" s="16">
        <f t="shared" si="36"/>
        <v>0</v>
      </c>
      <c r="AG67" s="16">
        <f t="shared" si="37"/>
        <v>0</v>
      </c>
      <c r="AH67" s="4"/>
      <c r="AI67" s="16">
        <f>SUMIF('MUTASI 2026'!$B$657:$B$748,'WS Trial balance'!$D67,'MUTASI 2026'!$G$657:$G$748)</f>
        <v>0</v>
      </c>
      <c r="AJ67" s="16">
        <f>SUMIF('MUTASI 2026'!$B$657:$B$748,'WS Trial balance'!$D67,'MUTASI 2026'!$H$657:$H$748)</f>
        <v>0</v>
      </c>
      <c r="AK67" s="16">
        <f t="shared" si="38"/>
        <v>0</v>
      </c>
      <c r="AL67" s="16">
        <f t="shared" si="39"/>
        <v>0</v>
      </c>
      <c r="AM67" s="4"/>
      <c r="AN67" s="16">
        <f>SUMIF('MUTASI 2026'!$B$750:$B$851,'WS Trial balance'!$D67,'MUTASI 2026'!$G$750:$G$851)</f>
        <v>0</v>
      </c>
      <c r="AO67" s="16">
        <f>SUMIF('MUTASI 2026'!$B$750:$B$851,'WS Trial balance'!$D67,'MUTASI 2026'!$H$750:$H$851)</f>
        <v>0</v>
      </c>
      <c r="AP67" s="16">
        <f t="shared" si="40"/>
        <v>0</v>
      </c>
      <c r="AQ67" s="16">
        <f t="shared" si="41"/>
        <v>0</v>
      </c>
      <c r="AR67" s="4"/>
      <c r="AS67" s="16">
        <f>SUMIF('MUTASI 2026'!$B$853:$B$945,'WS Trial balance'!$D67,'MUTASI 2026'!$G$853:$G$945)</f>
        <v>0</v>
      </c>
      <c r="AT67" s="16">
        <f>SUMIF('MUTASI 2026'!$B$853:$B$945,'WS Trial balance'!$D67,'MUTASI 2026'!$H$853:$H$945)</f>
        <v>0</v>
      </c>
      <c r="AU67" s="16">
        <f t="shared" si="42"/>
        <v>0</v>
      </c>
      <c r="AV67" s="16">
        <f t="shared" si="43"/>
        <v>0</v>
      </c>
      <c r="AW67" s="4"/>
      <c r="AX67" s="16">
        <f>SUMIF('MUTASI 2026'!$B$1274:$B$1379,'WS Trial balance'!$D67,'MUTASI 2026'!$G$1274:$G$1379)</f>
        <v>0</v>
      </c>
      <c r="AY67" s="16">
        <f>SUMIF('MUTASI 2026'!$B$1274:$B$1379,'WS Trial balance'!$D67,'MUTASI 2026'!$H$1274:$H$1379)</f>
        <v>0</v>
      </c>
      <c r="AZ67" s="16">
        <f t="shared" si="44"/>
        <v>0</v>
      </c>
      <c r="BA67" s="16">
        <f t="shared" si="45"/>
        <v>0</v>
      </c>
      <c r="BB67" s="4"/>
      <c r="BC67" s="16">
        <f>SUMIF('MUTASI 2026'!$B$1382:$B$1477,'WS Trial balance'!$D67,'MUTASI 2026'!$G$1382:$G$1477)</f>
        <v>0</v>
      </c>
      <c r="BD67" s="16">
        <f>SUMIF('MUTASI 2026'!$B$1382:$B$1477,'WS Trial balance'!$D67,'MUTASI 2026'!$H$1382:$H$1477)</f>
        <v>0</v>
      </c>
      <c r="BE67" s="16">
        <f t="shared" si="46"/>
        <v>0</v>
      </c>
      <c r="BF67" s="16">
        <f t="shared" si="47"/>
        <v>0</v>
      </c>
      <c r="BG67" s="4"/>
      <c r="BH67" s="16">
        <f>SUMIF('MUTASI 2026'!$B$1480:$B$1600,'WS Trial balance'!$D67,'MUTASI 2026'!$G$1480:$G$1600)</f>
        <v>0</v>
      </c>
      <c r="BI67" s="16">
        <f>SUMIF('MUTASI 2026'!$B$1480:$B$1600,'WS Trial balance'!$D67,'MUTASI 2026'!$H$1480:$H$1600)</f>
        <v>0</v>
      </c>
      <c r="BJ67" s="16">
        <f t="shared" si="48"/>
        <v>0</v>
      </c>
      <c r="BK67" s="16">
        <f t="shared" si="49"/>
        <v>0</v>
      </c>
      <c r="BL67" s="4"/>
      <c r="BM67" s="16">
        <f>SUMIF('MUTASI 2026'!$B$1603:$B$1722,'WS Trial balance'!$D67,'MUTASI 2026'!$G$1603:$G$1722)</f>
        <v>0</v>
      </c>
      <c r="BN67" s="16">
        <f>SUMIF('MUTASI 2026'!$B$1603:$B$1722,'WS Trial balance'!$D67,'MUTASI 2026'!$H$1603:$H$1722)</f>
        <v>0</v>
      </c>
      <c r="BO67" s="16">
        <f t="shared" si="50"/>
        <v>0</v>
      </c>
      <c r="BP67" s="16">
        <f t="shared" si="51"/>
        <v>0</v>
      </c>
      <c r="BQ67" s="4"/>
      <c r="BR67" s="2"/>
      <c r="BS67" s="4"/>
      <c r="BT67" s="16">
        <f t="shared" si="52"/>
        <v>0</v>
      </c>
      <c r="BU67" s="16">
        <f t="shared" si="52"/>
        <v>0</v>
      </c>
      <c r="BV67" s="4"/>
      <c r="BW67" s="16">
        <f t="shared" si="53"/>
        <v>0</v>
      </c>
      <c r="BX67" s="16">
        <f t="shared" si="53"/>
        <v>0</v>
      </c>
      <c r="BY67" s="4"/>
      <c r="BZ67" s="16">
        <f t="shared" si="54"/>
        <v>0</v>
      </c>
      <c r="CA67" s="16">
        <f t="shared" si="55"/>
        <v>0</v>
      </c>
      <c r="CB67" s="4"/>
    </row>
    <row r="68" spans="2:80" s="1" customFormat="1" ht="6" customHeight="1" x14ac:dyDescent="0.25">
      <c r="B68" s="3"/>
      <c r="C68" s="18"/>
      <c r="D68" s="48"/>
      <c r="E68" s="18"/>
      <c r="F68" s="18"/>
      <c r="G68" s="19"/>
      <c r="H68" s="19"/>
      <c r="I68" s="4"/>
      <c r="J68" s="16"/>
      <c r="K68" s="16"/>
      <c r="L68" s="19"/>
      <c r="M68" s="19"/>
      <c r="N68" s="4"/>
      <c r="O68" s="16"/>
      <c r="P68" s="16"/>
      <c r="Q68" s="19"/>
      <c r="R68" s="19"/>
      <c r="S68" s="4"/>
      <c r="T68" s="16"/>
      <c r="U68" s="16"/>
      <c r="V68" s="19"/>
      <c r="W68" s="19"/>
      <c r="X68" s="4"/>
      <c r="Y68" s="16"/>
      <c r="Z68" s="16"/>
      <c r="AA68" s="19"/>
      <c r="AB68" s="19"/>
      <c r="AC68" s="4"/>
      <c r="AD68" s="16"/>
      <c r="AE68" s="16"/>
      <c r="AF68" s="19"/>
      <c r="AG68" s="19"/>
      <c r="AH68" s="4"/>
      <c r="AI68" s="16"/>
      <c r="AJ68" s="16"/>
      <c r="AK68" s="19"/>
      <c r="AL68" s="19"/>
      <c r="AM68" s="4"/>
      <c r="AN68" s="16"/>
      <c r="AO68" s="16"/>
      <c r="AP68" s="19"/>
      <c r="AQ68" s="19"/>
      <c r="AR68" s="4"/>
      <c r="AS68" s="16"/>
      <c r="AT68" s="16"/>
      <c r="AU68" s="19"/>
      <c r="AV68" s="19"/>
      <c r="AW68" s="4"/>
      <c r="AX68" s="16"/>
      <c r="AY68" s="16"/>
      <c r="AZ68" s="19"/>
      <c r="BA68" s="19"/>
      <c r="BB68" s="4"/>
      <c r="BC68" s="16"/>
      <c r="BD68" s="16"/>
      <c r="BE68" s="19"/>
      <c r="BF68" s="19"/>
      <c r="BG68" s="4"/>
      <c r="BH68" s="16"/>
      <c r="BI68" s="16"/>
      <c r="BJ68" s="19"/>
      <c r="BK68" s="19"/>
      <c r="BL68" s="4"/>
      <c r="BM68" s="16"/>
      <c r="BN68" s="16"/>
      <c r="BO68" s="19"/>
      <c r="BP68" s="19"/>
      <c r="BQ68" s="4"/>
      <c r="BR68" s="2"/>
      <c r="BS68" s="4"/>
      <c r="BT68" s="19"/>
      <c r="BU68" s="19"/>
      <c r="BV68" s="4"/>
      <c r="BW68" s="16"/>
      <c r="BX68" s="16"/>
      <c r="BY68" s="4"/>
      <c r="BZ68" s="19"/>
      <c r="CA68" s="19"/>
      <c r="CB68" s="4"/>
    </row>
    <row r="69" spans="2:80" s="1" customFormat="1" ht="15.75" thickBot="1" x14ac:dyDescent="0.3">
      <c r="B69" s="3"/>
      <c r="C69" s="49"/>
      <c r="D69" s="50"/>
      <c r="E69" s="49"/>
      <c r="F69" s="23"/>
      <c r="G69" s="25">
        <f>SUM(G58:G68)</f>
        <v>0</v>
      </c>
      <c r="H69" s="25">
        <f>SUM(H58:H68)</f>
        <v>0</v>
      </c>
      <c r="I69" s="4"/>
      <c r="J69" s="25">
        <f>SUM(J58:J68)</f>
        <v>62754954.344444014</v>
      </c>
      <c r="K69" s="25">
        <f>SUM(K58:K68)</f>
        <v>83246128.981111139</v>
      </c>
      <c r="L69" s="25">
        <f>SUM(L58:L68)</f>
        <v>62673530.224444017</v>
      </c>
      <c r="M69" s="25">
        <f>SUM(M58:M68)</f>
        <v>83164704.861111134</v>
      </c>
      <c r="N69" s="4"/>
      <c r="O69" s="25">
        <f>SUM(O58:O68)</f>
        <v>64183649.402222238</v>
      </c>
      <c r="P69" s="25">
        <f>SUM(P58:P68)</f>
        <v>82064725.435555011</v>
      </c>
      <c r="Q69" s="25">
        <f>SUM(Q58:Q68)</f>
        <v>126772187.49666625</v>
      </c>
      <c r="R69" s="25">
        <f>SUM(R58:R68)</f>
        <v>165144438.16666615</v>
      </c>
      <c r="S69" s="4"/>
      <c r="T69" s="25">
        <f>SUM(T58:T68)</f>
        <v>92479361.806667</v>
      </c>
      <c r="U69" s="25">
        <f>SUM(U58:U68)</f>
        <v>82402603.441111133</v>
      </c>
      <c r="V69" s="25">
        <f>SUM(V58:V68)</f>
        <v>219135275.72333324</v>
      </c>
      <c r="W69" s="25">
        <f>SUM(W58:W68)</f>
        <v>247430768.02777728</v>
      </c>
      <c r="X69" s="4"/>
      <c r="Y69" s="25">
        <f>SUM(Y58:Y68)</f>
        <v>62217480.671110556</v>
      </c>
      <c r="Z69" s="25">
        <f>SUM(Z58:Z68)</f>
        <v>79738810.032222226</v>
      </c>
      <c r="AA69" s="25">
        <f>SUM(AA58:AA68)</f>
        <v>281313887.33444381</v>
      </c>
      <c r="AB69" s="25">
        <f>SUM(AB58:AB68)</f>
        <v>327130708.99999952</v>
      </c>
      <c r="AC69" s="4"/>
      <c r="AD69" s="25">
        <f>SUM(AD58:AD68)</f>
        <v>106679044.30222222</v>
      </c>
      <c r="AE69" s="25">
        <f>SUM(AE58:AE68)</f>
        <v>84952744.824444458</v>
      </c>
      <c r="AF69" s="25">
        <f>SUM(AF58:AF68)</f>
        <v>387959850.00666606</v>
      </c>
      <c r="AG69" s="25">
        <f>SUM(AG58:AG68)</f>
        <v>412050372.194444</v>
      </c>
      <c r="AH69" s="4"/>
      <c r="AI69" s="25">
        <f>SUM(AI58:AI68)</f>
        <v>68703991.835555568</v>
      </c>
      <c r="AJ69" s="25">
        <f>SUM(AJ58:AJ68)</f>
        <v>84158315.824444458</v>
      </c>
      <c r="AK69" s="25">
        <f>SUM(AK58:AK68)</f>
        <v>456657689.21222162</v>
      </c>
      <c r="AL69" s="25">
        <f>SUM(AL58:AL68)</f>
        <v>496202535.38888848</v>
      </c>
      <c r="AM69" s="4"/>
      <c r="AN69" s="25">
        <f>SUM(AN58:AN68)</f>
        <v>67805831.292222217</v>
      </c>
      <c r="AO69" s="25">
        <f>SUM(AO58:AO68)</f>
        <v>85534678.137777776</v>
      </c>
      <c r="AP69" s="25">
        <f>SUM(AP58:AP68)</f>
        <v>524450338.89444381</v>
      </c>
      <c r="AQ69" s="25">
        <f>SUM(AQ58:AQ68)</f>
        <v>581724031.91666627</v>
      </c>
      <c r="AR69" s="4"/>
      <c r="AS69" s="25">
        <f>SUM(AS58:AS68)</f>
        <v>68589576.922222212</v>
      </c>
      <c r="AT69" s="25">
        <f>SUM(AT58:AT68)</f>
        <v>85763406.267777771</v>
      </c>
      <c r="AU69" s="25">
        <f>SUM(AU58:AU68)</f>
        <v>593008006.07666612</v>
      </c>
      <c r="AV69" s="25">
        <f>SUM(AV58:AV68)</f>
        <v>667455528.44444406</v>
      </c>
      <c r="AW69" s="4"/>
      <c r="AX69" s="25">
        <f>SUM(AX58:AX68)</f>
        <v>0</v>
      </c>
      <c r="AY69" s="25">
        <f>SUM(AY58:AY68)</f>
        <v>0</v>
      </c>
      <c r="AZ69" s="25">
        <f>SUM(AZ58:AZ68)</f>
        <v>593008006.07666612</v>
      </c>
      <c r="BA69" s="25">
        <f>SUM(BA58:BA68)</f>
        <v>667455528.44444406</v>
      </c>
      <c r="BB69" s="4"/>
      <c r="BC69" s="25">
        <f>SUM(BC58:BC68)</f>
        <v>0</v>
      </c>
      <c r="BD69" s="25">
        <f>SUM(BD58:BD68)</f>
        <v>0</v>
      </c>
      <c r="BE69" s="25">
        <f>SUM(BE58:BE68)</f>
        <v>593008006.07666612</v>
      </c>
      <c r="BF69" s="25">
        <f>SUM(BF58:BF68)</f>
        <v>667455528.44444406</v>
      </c>
      <c r="BG69" s="4"/>
      <c r="BH69" s="25">
        <f>SUM(BH58:BH68)</f>
        <v>0</v>
      </c>
      <c r="BI69" s="25">
        <f>SUM(BI58:BI68)</f>
        <v>0</v>
      </c>
      <c r="BJ69" s="25">
        <f>SUM(BJ58:BJ68)</f>
        <v>593008006.07666612</v>
      </c>
      <c r="BK69" s="25">
        <f>SUM(BK58:BK68)</f>
        <v>667455528.44444406</v>
      </c>
      <c r="BL69" s="4"/>
      <c r="BM69" s="25">
        <f>SUM(BM58:BM68)</f>
        <v>0</v>
      </c>
      <c r="BN69" s="25">
        <f>SUM(BN58:BN68)</f>
        <v>0</v>
      </c>
      <c r="BO69" s="25">
        <f>SUM(BO58:BO68)</f>
        <v>593008006.07666612</v>
      </c>
      <c r="BP69" s="25">
        <f>SUM(BP58:BP68)</f>
        <v>667455528.44444406</v>
      </c>
      <c r="BQ69" s="4"/>
      <c r="BR69" s="2"/>
      <c r="BS69" s="4"/>
      <c r="BT69" s="25">
        <f>SUM(BT58:BT68)</f>
        <v>0</v>
      </c>
      <c r="BU69" s="25">
        <f>SUM(BU58:BU68)</f>
        <v>0</v>
      </c>
      <c r="BV69" s="4"/>
      <c r="BW69" s="25">
        <f>SUM(BW58:BW68)</f>
        <v>593413890.57666612</v>
      </c>
      <c r="BX69" s="25">
        <f>SUM(BX58:BX68)</f>
        <v>667861412.94444406</v>
      </c>
      <c r="BY69" s="4"/>
      <c r="BZ69" s="25">
        <f>SUM(BZ58:BZ68)</f>
        <v>593008006.07666612</v>
      </c>
      <c r="CA69" s="25">
        <f>SUM(CA58:CA68)</f>
        <v>667455528.44444406</v>
      </c>
      <c r="CB69" s="4"/>
    </row>
    <row r="70" spans="2:80" s="1" customFormat="1" ht="16.5" thickTop="1" thickBot="1" x14ac:dyDescent="0.3">
      <c r="B70" s="3"/>
      <c r="C70" s="18"/>
      <c r="D70" s="48"/>
      <c r="E70" s="18" t="s">
        <v>58</v>
      </c>
      <c r="F70" s="23"/>
      <c r="G70" s="25">
        <f>H69-G69</f>
        <v>0</v>
      </c>
      <c r="H70" s="24"/>
      <c r="I70" s="4"/>
      <c r="J70" s="25">
        <f>K51</f>
        <v>20491174.636667013</v>
      </c>
      <c r="K70" s="26"/>
      <c r="L70" s="25">
        <f>M69-L69</f>
        <v>20491174.636667117</v>
      </c>
      <c r="M70" s="27"/>
      <c r="N70" s="4"/>
      <c r="O70" s="25">
        <f>P51</f>
        <v>17881076.033332765</v>
      </c>
      <c r="P70" s="26"/>
      <c r="Q70" s="25">
        <f>R69-Q69</f>
        <v>38372250.669999897</v>
      </c>
      <c r="R70" s="27"/>
      <c r="S70" s="4"/>
      <c r="T70" s="25">
        <f>U51</f>
        <v>-10076758.365555882</v>
      </c>
      <c r="U70" s="26"/>
      <c r="V70" s="25">
        <f>W69-V69</f>
        <v>28295492.304444045</v>
      </c>
      <c r="W70" s="27"/>
      <c r="X70" s="4"/>
      <c r="Y70" s="25">
        <f>Z51</f>
        <v>17521329.361111641</v>
      </c>
      <c r="Z70" s="26"/>
      <c r="AA70" s="25">
        <f>AB69-AA69</f>
        <v>45816821.665555716</v>
      </c>
      <c r="AB70" s="27"/>
      <c r="AC70" s="4"/>
      <c r="AD70" s="25">
        <f>AE51</f>
        <v>-21726299.477777839</v>
      </c>
      <c r="AE70" s="26"/>
      <c r="AF70" s="25">
        <f>AG69-AF69</f>
        <v>24090522.187777936</v>
      </c>
      <c r="AG70" s="27"/>
      <c r="AH70" s="4"/>
      <c r="AI70" s="25">
        <f>AJ51</f>
        <v>15454323.988888919</v>
      </c>
      <c r="AJ70" s="26"/>
      <c r="AK70" s="25">
        <f>AL69-AK69</f>
        <v>39544846.176666856</v>
      </c>
      <c r="AL70" s="27"/>
      <c r="AM70" s="4"/>
      <c r="AN70" s="25">
        <f>AO51</f>
        <v>17728846.845555544</v>
      </c>
      <c r="AO70" s="26"/>
      <c r="AP70" s="25">
        <f>AQ69-AP69</f>
        <v>57273693.022222459</v>
      </c>
      <c r="AQ70" s="27"/>
      <c r="AR70" s="4"/>
      <c r="AS70" s="25">
        <f>AT51</f>
        <v>17173829.345555604</v>
      </c>
      <c r="AT70" s="26"/>
      <c r="AU70" s="25">
        <f>AV69-AU69</f>
        <v>74447522.367777944</v>
      </c>
      <c r="AV70" s="27"/>
      <c r="AW70" s="4"/>
      <c r="AX70" s="25">
        <f>AY51</f>
        <v>0</v>
      </c>
      <c r="AY70" s="26"/>
      <c r="AZ70" s="25">
        <f>BA69-AZ69</f>
        <v>74447522.367777944</v>
      </c>
      <c r="BA70" s="27"/>
      <c r="BB70" s="4"/>
      <c r="BC70" s="25">
        <f>BD51</f>
        <v>0</v>
      </c>
      <c r="BD70" s="26"/>
      <c r="BE70" s="25">
        <f>BF69-BE69</f>
        <v>74447522.367777944</v>
      </c>
      <c r="BF70" s="27"/>
      <c r="BG70" s="4"/>
      <c r="BH70" s="25">
        <f>BI51</f>
        <v>0</v>
      </c>
      <c r="BI70" s="26"/>
      <c r="BJ70" s="25">
        <f>BK69-BJ69</f>
        <v>74447522.367777944</v>
      </c>
      <c r="BK70" s="27"/>
      <c r="BL70" s="4"/>
      <c r="BM70" s="25">
        <f>BN51</f>
        <v>0</v>
      </c>
      <c r="BN70" s="26"/>
      <c r="BO70" s="25">
        <f>BP69-BO69</f>
        <v>74447522.367777944</v>
      </c>
      <c r="BP70" s="27"/>
      <c r="BQ70" s="4"/>
      <c r="BR70" s="2"/>
      <c r="BS70" s="4"/>
      <c r="BT70" s="25">
        <f>BU69-BT69</f>
        <v>0</v>
      </c>
      <c r="BU70" s="24"/>
      <c r="BV70" s="4"/>
      <c r="BW70" s="25">
        <f>BX51</f>
        <v>74447522.367777824</v>
      </c>
      <c r="BX70" s="26"/>
      <c r="BY70" s="4"/>
      <c r="BZ70" s="25">
        <f>CA69-BZ69</f>
        <v>74447522.367777944</v>
      </c>
      <c r="CA70" s="27"/>
      <c r="CB70" s="4"/>
    </row>
    <row r="71" spans="2:80" s="1" customFormat="1" ht="16.5" thickTop="1" thickBot="1" x14ac:dyDescent="0.3">
      <c r="B71" s="3"/>
      <c r="C71" s="23"/>
      <c r="D71" s="23"/>
      <c r="E71" s="23" t="s">
        <v>57</v>
      </c>
      <c r="F71" s="51"/>
      <c r="G71" s="52">
        <f t="shared" ref="G71:H71" si="56">G69+G70</f>
        <v>0</v>
      </c>
      <c r="H71" s="52">
        <f t="shared" si="56"/>
        <v>0</v>
      </c>
      <c r="I71" s="4"/>
      <c r="J71" s="52">
        <f t="shared" ref="J71:M71" si="57">J69+J70</f>
        <v>83246128.98111102</v>
      </c>
      <c r="K71" s="52">
        <f t="shared" si="57"/>
        <v>83246128.981111139</v>
      </c>
      <c r="L71" s="52">
        <f t="shared" si="57"/>
        <v>83164704.861111134</v>
      </c>
      <c r="M71" s="52">
        <f t="shared" si="57"/>
        <v>83164704.861111134</v>
      </c>
      <c r="N71" s="4"/>
      <c r="O71" s="52">
        <f>O69+O70</f>
        <v>82064725.435555011</v>
      </c>
      <c r="P71" s="52">
        <f>P69+P70</f>
        <v>82064725.435555011</v>
      </c>
      <c r="Q71" s="52">
        <f>Q69+Q70</f>
        <v>165144438.16666615</v>
      </c>
      <c r="R71" s="52">
        <f>R69+R70</f>
        <v>165144438.16666615</v>
      </c>
      <c r="S71" s="4"/>
      <c r="T71" s="52">
        <f>T69+T70</f>
        <v>82402603.441111118</v>
      </c>
      <c r="U71" s="52">
        <f>U69+U70</f>
        <v>82402603.441111133</v>
      </c>
      <c r="V71" s="52">
        <f>V69+V70</f>
        <v>247430768.02777728</v>
      </c>
      <c r="W71" s="52">
        <f>W69+W70</f>
        <v>247430768.02777728</v>
      </c>
      <c r="X71" s="4"/>
      <c r="Y71" s="52">
        <f>Y69+Y70</f>
        <v>79738810.032222196</v>
      </c>
      <c r="Z71" s="52">
        <f>Z69+Z70</f>
        <v>79738810.032222226</v>
      </c>
      <c r="AA71" s="52">
        <f>AA69+AA70</f>
        <v>327130708.99999952</v>
      </c>
      <c r="AB71" s="52">
        <f>AB69+AB70</f>
        <v>327130708.99999952</v>
      </c>
      <c r="AC71" s="4"/>
      <c r="AD71" s="52">
        <f>AD69+AD70</f>
        <v>84952744.824444383</v>
      </c>
      <c r="AE71" s="52">
        <f>AE69+AE70</f>
        <v>84952744.824444458</v>
      </c>
      <c r="AF71" s="52">
        <f>AF69+AF70</f>
        <v>412050372.194444</v>
      </c>
      <c r="AG71" s="52">
        <f>AG69+AG70</f>
        <v>412050372.194444</v>
      </c>
      <c r="AH71" s="4"/>
      <c r="AI71" s="52">
        <f>AI69+AI70</f>
        <v>84158315.824444488</v>
      </c>
      <c r="AJ71" s="52">
        <f>AJ69+AJ70</f>
        <v>84158315.824444458</v>
      </c>
      <c r="AK71" s="52">
        <f>AK69+AK70</f>
        <v>496202535.38888848</v>
      </c>
      <c r="AL71" s="52">
        <f>AL69+AL70</f>
        <v>496202535.38888848</v>
      </c>
      <c r="AM71" s="4"/>
      <c r="AN71" s="52">
        <f>AN69+AN70</f>
        <v>85534678.137777761</v>
      </c>
      <c r="AO71" s="52">
        <f>AO69+AO70</f>
        <v>85534678.137777776</v>
      </c>
      <c r="AP71" s="52">
        <f>AP69+AP70</f>
        <v>581724031.91666627</v>
      </c>
      <c r="AQ71" s="52">
        <f>AQ69+AQ70</f>
        <v>581724031.91666627</v>
      </c>
      <c r="AR71" s="4"/>
      <c r="AS71" s="52">
        <f>AS69+AS70</f>
        <v>85763406.267777815</v>
      </c>
      <c r="AT71" s="52">
        <f>AT69+AT70</f>
        <v>85763406.267777771</v>
      </c>
      <c r="AU71" s="52">
        <f>AU69+AU70</f>
        <v>667455528.44444406</v>
      </c>
      <c r="AV71" s="52">
        <f>AV69+AV70</f>
        <v>667455528.44444406</v>
      </c>
      <c r="AW71" s="4"/>
      <c r="AX71" s="52">
        <f>AX69+AX70</f>
        <v>0</v>
      </c>
      <c r="AY71" s="52">
        <f>AY69+AY70</f>
        <v>0</v>
      </c>
      <c r="AZ71" s="52">
        <f>AZ69+AZ70</f>
        <v>667455528.44444406</v>
      </c>
      <c r="BA71" s="52">
        <f>BA69+BA70</f>
        <v>667455528.44444406</v>
      </c>
      <c r="BB71" s="4"/>
      <c r="BC71" s="52">
        <f>BC69+BC70</f>
        <v>0</v>
      </c>
      <c r="BD71" s="52">
        <f>BD69+BD70</f>
        <v>0</v>
      </c>
      <c r="BE71" s="52">
        <f>BE69+BE70</f>
        <v>667455528.44444406</v>
      </c>
      <c r="BF71" s="52">
        <f>BF69+BF70</f>
        <v>667455528.44444406</v>
      </c>
      <c r="BG71" s="4"/>
      <c r="BH71" s="52">
        <f>BH69+BH70</f>
        <v>0</v>
      </c>
      <c r="BI71" s="52">
        <f>BI69+BI70</f>
        <v>0</v>
      </c>
      <c r="BJ71" s="52">
        <f>BJ69+BJ70</f>
        <v>667455528.44444406</v>
      </c>
      <c r="BK71" s="52">
        <f>BK69+BK70</f>
        <v>667455528.44444406</v>
      </c>
      <c r="BL71" s="4"/>
      <c r="BM71" s="52">
        <f>BM69+BM70</f>
        <v>0</v>
      </c>
      <c r="BN71" s="52">
        <f>BN69+BN70</f>
        <v>0</v>
      </c>
      <c r="BO71" s="52">
        <f>BO69+BO70</f>
        <v>667455528.44444406</v>
      </c>
      <c r="BP71" s="52">
        <f>BP69+BP70</f>
        <v>667455528.44444406</v>
      </c>
      <c r="BQ71" s="4"/>
      <c r="BR71" s="2"/>
      <c r="BS71" s="4"/>
      <c r="BT71" s="52">
        <f>BT69+BT70</f>
        <v>0</v>
      </c>
      <c r="BU71" s="52">
        <f>BU69+BU70</f>
        <v>0</v>
      </c>
      <c r="BV71" s="4"/>
      <c r="BW71" s="52">
        <f>BW69+BW70</f>
        <v>667861412.94444394</v>
      </c>
      <c r="BX71" s="52">
        <f>BX69+BX70</f>
        <v>667861412.94444406</v>
      </c>
      <c r="BY71" s="4"/>
      <c r="BZ71" s="52">
        <f>BZ69+BZ70</f>
        <v>667455528.44444406</v>
      </c>
      <c r="CA71" s="52">
        <f>CA69+CA70</f>
        <v>667455528.44444406</v>
      </c>
      <c r="CB71" s="4"/>
    </row>
    <row r="72" spans="2:80" s="58" customFormat="1" ht="15.75" thickTop="1" x14ac:dyDescent="0.25">
      <c r="B72" s="53"/>
      <c r="C72" s="54"/>
      <c r="D72" s="54"/>
      <c r="E72" s="54" t="s">
        <v>68</v>
      </c>
      <c r="F72" s="55"/>
      <c r="G72" s="55"/>
      <c r="H72" s="55"/>
      <c r="I72" s="57"/>
      <c r="J72" s="56"/>
      <c r="K72" s="56">
        <f>J71-K71</f>
        <v>-1.1920928955078125E-7</v>
      </c>
      <c r="L72" s="56">
        <f>L71-M71</f>
        <v>0</v>
      </c>
      <c r="M72" s="56">
        <f>L50-(M50+M51)</f>
        <v>0</v>
      </c>
      <c r="N72" s="57"/>
      <c r="O72" s="56"/>
      <c r="P72" s="56">
        <f>O71-P71</f>
        <v>0</v>
      </c>
      <c r="Q72" s="56">
        <f>Q71-R71</f>
        <v>0</v>
      </c>
      <c r="R72" s="56">
        <f>Q50-(R50+R51)</f>
        <v>0</v>
      </c>
      <c r="S72" s="57"/>
      <c r="T72" s="56"/>
      <c r="U72" s="56">
        <f>T71-U71</f>
        <v>0</v>
      </c>
      <c r="V72" s="56">
        <f>V71-W71</f>
        <v>0</v>
      </c>
      <c r="W72" s="56">
        <f>V50-(W50+W51)</f>
        <v>0</v>
      </c>
      <c r="X72" s="57"/>
      <c r="Y72" s="56"/>
      <c r="Z72" s="56">
        <f>Y71-Z71</f>
        <v>0</v>
      </c>
      <c r="AA72" s="56">
        <f>AA71-AB71</f>
        <v>0</v>
      </c>
      <c r="AB72" s="56">
        <f>AA50-(AB50+AB51)</f>
        <v>0</v>
      </c>
      <c r="AC72" s="57"/>
      <c r="AD72" s="56"/>
      <c r="AE72" s="56">
        <f>AD71-AE71</f>
        <v>0</v>
      </c>
      <c r="AF72" s="56">
        <f>AF71-AG71</f>
        <v>0</v>
      </c>
      <c r="AG72" s="56">
        <f>AF50-(AG50+AG51)</f>
        <v>0</v>
      </c>
      <c r="AH72" s="57"/>
      <c r="AI72" s="56"/>
      <c r="AJ72" s="56">
        <f>AI71-AJ71</f>
        <v>0</v>
      </c>
      <c r="AK72" s="56">
        <f>AK71-AL71</f>
        <v>0</v>
      </c>
      <c r="AL72" s="56">
        <f>AK50-(AL50+AL51)</f>
        <v>0</v>
      </c>
      <c r="AM72" s="57"/>
      <c r="AN72" s="56"/>
      <c r="AO72" s="56">
        <f>AN71-AO71</f>
        <v>0</v>
      </c>
      <c r="AP72" s="56">
        <f>AP71-AQ71</f>
        <v>0</v>
      </c>
      <c r="AQ72" s="56">
        <f>AP50-(AQ50+AQ51)</f>
        <v>0</v>
      </c>
      <c r="AR72" s="57"/>
      <c r="AS72" s="56"/>
      <c r="AT72" s="56">
        <f>AS71-AT71</f>
        <v>0</v>
      </c>
      <c r="AU72" s="56">
        <f>AU71-AV71</f>
        <v>0</v>
      </c>
      <c r="AV72" s="56">
        <f>AU50-(AV50+AV51)</f>
        <v>0</v>
      </c>
      <c r="AW72" s="57"/>
      <c r="AX72" s="56"/>
      <c r="AY72" s="56">
        <f>AX71-AY71</f>
        <v>0</v>
      </c>
      <c r="AZ72" s="56">
        <f>AZ71-BA71</f>
        <v>0</v>
      </c>
      <c r="BA72" s="56">
        <f>AZ50-(BA50+BA51)</f>
        <v>0</v>
      </c>
      <c r="BB72" s="57"/>
      <c r="BC72" s="56"/>
      <c r="BD72" s="56">
        <f>BC71-BD71</f>
        <v>0</v>
      </c>
      <c r="BE72" s="56">
        <f>BE71-BF71</f>
        <v>0</v>
      </c>
      <c r="BF72" s="56">
        <f>BE50-(BF50+BF51)</f>
        <v>0</v>
      </c>
      <c r="BG72" s="57"/>
      <c r="BH72" s="56"/>
      <c r="BI72" s="56">
        <f>BH71-BI71</f>
        <v>0</v>
      </c>
      <c r="BJ72" s="56">
        <f>BJ71-BK71</f>
        <v>0</v>
      </c>
      <c r="BK72" s="56">
        <f>BJ50-(BK50+BK51)</f>
        <v>0</v>
      </c>
      <c r="BL72" s="57"/>
      <c r="BM72" s="56"/>
      <c r="BN72" s="56">
        <f>BM71-BN71</f>
        <v>0</v>
      </c>
      <c r="BO72" s="56">
        <f>BO71-BP71</f>
        <v>0</v>
      </c>
      <c r="BP72" s="56">
        <f>BO50-(BP50+BP51)</f>
        <v>0</v>
      </c>
      <c r="BQ72" s="57"/>
      <c r="BR72" s="96"/>
      <c r="BS72" s="57"/>
      <c r="BT72" s="55"/>
      <c r="BU72" s="55"/>
      <c r="BV72" s="57"/>
      <c r="BW72" s="56"/>
      <c r="BX72" s="56">
        <f>BW71-BX71</f>
        <v>0</v>
      </c>
      <c r="BY72" s="57"/>
      <c r="BZ72" s="56">
        <f>BZ71-CA71</f>
        <v>0</v>
      </c>
      <c r="CA72" s="56">
        <f>BZ50-(CA50+CA51)</f>
        <v>0</v>
      </c>
      <c r="CB72" s="57"/>
    </row>
    <row r="73" spans="2:80" s="1" customFormat="1" ht="15" x14ac:dyDescent="0.25">
      <c r="B73" s="3"/>
      <c r="C73" s="2"/>
      <c r="D73" s="2"/>
      <c r="E73" s="2"/>
      <c r="F73" s="2"/>
      <c r="G73" s="2"/>
      <c r="H73" s="2"/>
      <c r="I73" s="4"/>
      <c r="J73" s="59"/>
      <c r="K73" s="60"/>
      <c r="L73" s="2"/>
      <c r="M73" s="2"/>
      <c r="N73" s="4"/>
      <c r="O73" s="59"/>
      <c r="P73" s="60"/>
      <c r="Q73" s="2"/>
      <c r="R73" s="2"/>
      <c r="S73" s="4"/>
      <c r="T73" s="59"/>
      <c r="U73" s="60"/>
      <c r="V73" s="2"/>
      <c r="W73" s="2"/>
      <c r="X73" s="4"/>
      <c r="Y73" s="59"/>
      <c r="Z73" s="60"/>
      <c r="AA73" s="2"/>
      <c r="AB73" s="2"/>
      <c r="AC73" s="4"/>
      <c r="AD73" s="59"/>
      <c r="AE73" s="60"/>
      <c r="AF73" s="2"/>
      <c r="AG73" s="2"/>
      <c r="AH73" s="4"/>
      <c r="AI73" s="59"/>
      <c r="AJ73" s="60"/>
      <c r="AK73" s="2"/>
      <c r="AL73" s="2"/>
      <c r="AM73" s="4"/>
      <c r="AN73" s="59"/>
      <c r="AO73" s="60"/>
      <c r="AP73" s="2"/>
      <c r="AQ73" s="2"/>
      <c r="AR73" s="4"/>
      <c r="AS73" s="59"/>
      <c r="AT73" s="60"/>
      <c r="AU73" s="2"/>
      <c r="AV73" s="2"/>
      <c r="AW73" s="4"/>
      <c r="AX73" s="59"/>
      <c r="AY73" s="60"/>
      <c r="AZ73" s="2"/>
      <c r="BA73" s="2"/>
      <c r="BB73" s="4"/>
      <c r="BC73" s="59"/>
      <c r="BD73" s="60"/>
      <c r="BE73" s="2"/>
      <c r="BF73" s="2"/>
      <c r="BG73" s="4"/>
      <c r="BH73" s="59"/>
      <c r="BI73" s="60"/>
      <c r="BJ73" s="2"/>
      <c r="BK73" s="2"/>
      <c r="BL73" s="4"/>
      <c r="BM73" s="59"/>
      <c r="BN73" s="60"/>
      <c r="BO73" s="2"/>
      <c r="BP73" s="2"/>
      <c r="BQ73" s="4"/>
      <c r="BR73" s="2"/>
      <c r="BS73" s="4"/>
      <c r="BT73" s="2"/>
      <c r="BU73" s="2"/>
      <c r="BV73" s="4"/>
      <c r="BW73" s="59"/>
      <c r="BX73" s="60"/>
      <c r="BY73" s="4"/>
      <c r="BZ73" s="2"/>
      <c r="CA73" s="2"/>
      <c r="CB73" s="4"/>
    </row>
    <row r="74" spans="2:80" s="1" customFormat="1" ht="7.5" customHeight="1" x14ac:dyDescent="0.25">
      <c r="B74" s="3"/>
      <c r="C74" s="4"/>
      <c r="D74" s="4"/>
      <c r="E74" s="4"/>
      <c r="F74" s="4"/>
      <c r="G74" s="4"/>
      <c r="H74" s="4"/>
      <c r="I74" s="4"/>
      <c r="J74" s="61"/>
      <c r="K74" s="61"/>
      <c r="L74" s="4"/>
      <c r="M74" s="4"/>
      <c r="N74" s="4"/>
      <c r="O74" s="61"/>
      <c r="P74" s="61"/>
      <c r="Q74" s="4"/>
      <c r="R74" s="4"/>
      <c r="S74" s="4"/>
      <c r="T74" s="61"/>
      <c r="U74" s="61"/>
      <c r="V74" s="4"/>
      <c r="W74" s="4"/>
      <c r="X74" s="4"/>
      <c r="Y74" s="61"/>
      <c r="Z74" s="61"/>
      <c r="AA74" s="4"/>
      <c r="AB74" s="4"/>
      <c r="AC74" s="4"/>
      <c r="AD74" s="61"/>
      <c r="AE74" s="61"/>
      <c r="AF74" s="4"/>
      <c r="AG74" s="4"/>
      <c r="AH74" s="4"/>
      <c r="AI74" s="61"/>
      <c r="AJ74" s="61"/>
      <c r="AK74" s="4"/>
      <c r="AL74" s="4"/>
      <c r="AM74" s="4"/>
      <c r="AN74" s="61"/>
      <c r="AO74" s="61"/>
      <c r="AP74" s="4"/>
      <c r="AQ74" s="4"/>
      <c r="AR74" s="4"/>
      <c r="AS74" s="61"/>
      <c r="AT74" s="61"/>
      <c r="AU74" s="4"/>
      <c r="AV74" s="4"/>
      <c r="AW74" s="4"/>
      <c r="AX74" s="61"/>
      <c r="AY74" s="61"/>
      <c r="AZ74" s="4"/>
      <c r="BA74" s="4"/>
      <c r="BB74" s="4"/>
      <c r="BC74" s="61"/>
      <c r="BD74" s="61"/>
      <c r="BE74" s="4"/>
      <c r="BF74" s="4"/>
      <c r="BG74" s="4"/>
      <c r="BH74" s="61"/>
      <c r="BI74" s="61"/>
      <c r="BJ74" s="4"/>
      <c r="BK74" s="4"/>
      <c r="BL74" s="4"/>
      <c r="BM74" s="61"/>
      <c r="BN74" s="61"/>
      <c r="BO74" s="4"/>
      <c r="BP74" s="4"/>
      <c r="BQ74" s="4"/>
      <c r="BR74" s="2"/>
      <c r="BS74" s="4"/>
      <c r="BT74" s="4"/>
      <c r="BU74" s="4"/>
      <c r="BV74" s="4"/>
      <c r="BW74" s="61"/>
      <c r="BX74" s="61"/>
      <c r="BY74" s="4"/>
      <c r="BZ74" s="4"/>
      <c r="CA74" s="4"/>
      <c r="CB74" s="4"/>
    </row>
    <row r="75" spans="2:80" s="1" customFormat="1" ht="15" x14ac:dyDescent="0.25">
      <c r="C75" s="2"/>
      <c r="D75" s="2"/>
      <c r="E75" s="2"/>
      <c r="F75" s="2"/>
      <c r="G75" s="2"/>
      <c r="H75" s="2"/>
      <c r="J75" s="60"/>
      <c r="K75" s="59"/>
      <c r="L75" s="2"/>
      <c r="M75" s="192">
        <f>+M58-L61</f>
        <v>18301843.75000003</v>
      </c>
      <c r="O75" s="60"/>
      <c r="P75" s="59"/>
      <c r="Q75" s="2"/>
      <c r="R75" s="192">
        <f>+R58-Q61</f>
        <v>36649659.722222269</v>
      </c>
      <c r="T75" s="60"/>
      <c r="U75" s="59"/>
      <c r="V75" s="2"/>
      <c r="W75" s="192">
        <f>+W58-V61</f>
        <v>55407684.027777851</v>
      </c>
      <c r="Y75" s="60"/>
      <c r="Z75" s="59"/>
      <c r="AA75" s="2"/>
      <c r="AB75" s="192">
        <f>+AB58-AA61</f>
        <v>73464319.444444537</v>
      </c>
      <c r="AD75" s="60"/>
      <c r="AE75" s="59"/>
      <c r="AF75" s="2"/>
      <c r="AG75" s="192">
        <f>+AG58-AF61</f>
        <v>91858454.861111224</v>
      </c>
      <c r="AI75" s="60"/>
      <c r="AJ75" s="59"/>
      <c r="AK75" s="2"/>
      <c r="AL75" s="192">
        <f>+AL58-AK61</f>
        <v>110689256.9444446</v>
      </c>
      <c r="AN75" s="60"/>
      <c r="AO75" s="59"/>
      <c r="AP75" s="2"/>
      <c r="AQ75" s="192">
        <f>+AQ58-AP61</f>
        <v>129877559.02777797</v>
      </c>
      <c r="AS75" s="60"/>
      <c r="AT75" s="59"/>
      <c r="AU75" s="2"/>
      <c r="AV75" s="192">
        <f>+AV58-AU61</f>
        <v>149065861.11111134</v>
      </c>
      <c r="AX75" s="60"/>
      <c r="AY75" s="59"/>
      <c r="AZ75" s="2"/>
      <c r="BA75" s="192">
        <f>+BA58-AZ61</f>
        <v>149065861.11111134</v>
      </c>
      <c r="BC75" s="60"/>
      <c r="BD75" s="59"/>
      <c r="BE75" s="2"/>
      <c r="BF75" s="192">
        <f>+BF58-BE61</f>
        <v>149065861.11111134</v>
      </c>
      <c r="BH75" s="60"/>
      <c r="BI75" s="59"/>
      <c r="BJ75" s="2"/>
      <c r="BK75" s="192">
        <f>+BK58-BJ61</f>
        <v>149065861.11111134</v>
      </c>
      <c r="BM75" s="60"/>
      <c r="BN75" s="59"/>
      <c r="BO75" s="2"/>
      <c r="BP75" s="192">
        <f>+BP58-BO61</f>
        <v>149065861.11111134</v>
      </c>
      <c r="BT75" s="2"/>
      <c r="BU75" s="2"/>
      <c r="BW75" s="60"/>
      <c r="BX75" s="59"/>
      <c r="BZ75" s="2"/>
      <c r="CA75" s="2"/>
    </row>
    <row r="76" spans="2:80" ht="15" x14ac:dyDescent="0.25">
      <c r="R76" s="192">
        <f>+R75-M75</f>
        <v>18347815.972222239</v>
      </c>
      <c r="W76" s="192">
        <f>+W75-R75</f>
        <v>18758024.305555582</v>
      </c>
      <c r="AB76" s="192">
        <f>+AB75-W75</f>
        <v>18056635.416666687</v>
      </c>
      <c r="AG76" s="192">
        <f>+AG75-AB75</f>
        <v>18394135.416666687</v>
      </c>
      <c r="AL76" s="192">
        <f>+AL75-AG75</f>
        <v>18830802.083333373</v>
      </c>
      <c r="AQ76" s="192">
        <f>+AQ75-AL75</f>
        <v>19188302.083333373</v>
      </c>
      <c r="AV76" s="192">
        <f>+AV75-AQ75</f>
        <v>19188302.083333373</v>
      </c>
      <c r="BA76" s="192">
        <f>+BA75-AV75</f>
        <v>0</v>
      </c>
      <c r="BF76" s="192">
        <f>+BF75-BA75</f>
        <v>0</v>
      </c>
      <c r="BK76" s="192">
        <f>+BK75-BF75</f>
        <v>0</v>
      </c>
      <c r="BP76" s="192">
        <f>+BP75-BK75</f>
        <v>0</v>
      </c>
    </row>
  </sheetData>
  <mergeCells count="5">
    <mergeCell ref="C3:G3"/>
    <mergeCell ref="C5:E6"/>
    <mergeCell ref="F5:F6"/>
    <mergeCell ref="C56:E57"/>
    <mergeCell ref="F56:F57"/>
  </mergeCells>
  <conditionalFormatting sqref="G50">
    <cfRule type="expression" dxfId="59" priority="874">
      <formula>$G$50=0</formula>
    </cfRule>
  </conditionalFormatting>
  <conditionalFormatting sqref="G7:H48">
    <cfRule type="expression" dxfId="58" priority="567">
      <formula>G7=0</formula>
    </cfRule>
  </conditionalFormatting>
  <conditionalFormatting sqref="G58:H67">
    <cfRule type="expression" dxfId="57" priority="220">
      <formula>G58=0</formula>
    </cfRule>
  </conditionalFormatting>
  <conditionalFormatting sqref="H50">
    <cfRule type="expression" dxfId="56" priority="873">
      <formula>$H$50=0</formula>
    </cfRule>
  </conditionalFormatting>
  <conditionalFormatting sqref="J7:K48">
    <cfRule type="expression" dxfId="55" priority="24">
      <formula>J7=0</formula>
    </cfRule>
  </conditionalFormatting>
  <conditionalFormatting sqref="J58:K67">
    <cfRule type="expression" dxfId="54" priority="216">
      <formula>J58=0</formula>
    </cfRule>
  </conditionalFormatting>
  <conditionalFormatting sqref="L7:M48">
    <cfRule type="expression" dxfId="53" priority="563">
      <formula>L7=0</formula>
    </cfRule>
  </conditionalFormatting>
  <conditionalFormatting sqref="L58:M67">
    <cfRule type="expression" dxfId="52" priority="218">
      <formula>L58=0</formula>
    </cfRule>
  </conditionalFormatting>
  <conditionalFormatting sqref="O7:P48">
    <cfRule type="expression" dxfId="51" priority="11">
      <formula>O7=0</formula>
    </cfRule>
  </conditionalFormatting>
  <conditionalFormatting sqref="O58:P67">
    <cfRule type="expression" dxfId="50" priority="131">
      <formula>O58=0</formula>
    </cfRule>
  </conditionalFormatting>
  <conditionalFormatting sqref="Q7:R48">
    <cfRule type="expression" dxfId="49" priority="559">
      <formula>Q7=0</formula>
    </cfRule>
  </conditionalFormatting>
  <conditionalFormatting sqref="Q58:R67">
    <cfRule type="expression" dxfId="48" priority="214">
      <formula>Q58=0</formula>
    </cfRule>
  </conditionalFormatting>
  <conditionalFormatting sqref="T7:U48">
    <cfRule type="expression" dxfId="47" priority="10">
      <formula>T7=0</formula>
    </cfRule>
  </conditionalFormatting>
  <conditionalFormatting sqref="T58:U67">
    <cfRule type="expression" dxfId="46" priority="127">
      <formula>T58=0</formula>
    </cfRule>
  </conditionalFormatting>
  <conditionalFormatting sqref="V7:W48">
    <cfRule type="expression" dxfId="45" priority="555">
      <formula>V7=0</formula>
    </cfRule>
  </conditionalFormatting>
  <conditionalFormatting sqref="V58:W67">
    <cfRule type="expression" dxfId="44" priority="212">
      <formula>V58=0</formula>
    </cfRule>
  </conditionalFormatting>
  <conditionalFormatting sqref="Y7:Z48">
    <cfRule type="expression" dxfId="43" priority="9">
      <formula>Y7=0</formula>
    </cfRule>
  </conditionalFormatting>
  <conditionalFormatting sqref="Y58:Z67">
    <cfRule type="expression" dxfId="42" priority="123">
      <formula>Y58=0</formula>
    </cfRule>
  </conditionalFormatting>
  <conditionalFormatting sqref="AA7:AB48">
    <cfRule type="expression" dxfId="41" priority="551">
      <formula>AA7=0</formula>
    </cfRule>
  </conditionalFormatting>
  <conditionalFormatting sqref="AA58:AB67">
    <cfRule type="expression" dxfId="40" priority="210">
      <formula>AA58=0</formula>
    </cfRule>
  </conditionalFormatting>
  <conditionalFormatting sqref="AD7:AE48">
    <cfRule type="expression" dxfId="39" priority="8">
      <formula>AD7=0</formula>
    </cfRule>
  </conditionalFormatting>
  <conditionalFormatting sqref="AD58:AE67">
    <cfRule type="expression" dxfId="38" priority="119">
      <formula>AD58=0</formula>
    </cfRule>
  </conditionalFormatting>
  <conditionalFormatting sqref="AF7:AG48">
    <cfRule type="expression" dxfId="37" priority="547">
      <formula>AF7=0</formula>
    </cfRule>
  </conditionalFormatting>
  <conditionalFormatting sqref="AF58:AG67">
    <cfRule type="expression" dxfId="36" priority="208">
      <formula>AF58=0</formula>
    </cfRule>
  </conditionalFormatting>
  <conditionalFormatting sqref="AI7:AJ48">
    <cfRule type="expression" dxfId="35" priority="7">
      <formula>AI7=0</formula>
    </cfRule>
  </conditionalFormatting>
  <conditionalFormatting sqref="AI58:AJ67">
    <cfRule type="expression" dxfId="34" priority="115">
      <formula>AI58=0</formula>
    </cfRule>
  </conditionalFormatting>
  <conditionalFormatting sqref="AK7:AL48">
    <cfRule type="expression" dxfId="33" priority="543">
      <formula>AK7=0</formula>
    </cfRule>
  </conditionalFormatting>
  <conditionalFormatting sqref="AK58:AL67">
    <cfRule type="expression" dxfId="32" priority="206">
      <formula>AK58=0</formula>
    </cfRule>
  </conditionalFormatting>
  <conditionalFormatting sqref="AN7:AO48">
    <cfRule type="expression" dxfId="31" priority="6">
      <formula>AN7=0</formula>
    </cfRule>
  </conditionalFormatting>
  <conditionalFormatting sqref="AN58:AO67">
    <cfRule type="expression" dxfId="30" priority="111">
      <formula>AN58=0</formula>
    </cfRule>
  </conditionalFormatting>
  <conditionalFormatting sqref="AP7:AQ48">
    <cfRule type="expression" dxfId="29" priority="539">
      <formula>AP7=0</formula>
    </cfRule>
  </conditionalFormatting>
  <conditionalFormatting sqref="AP58:AQ67">
    <cfRule type="expression" dxfId="28" priority="204">
      <formula>AP58=0</formula>
    </cfRule>
  </conditionalFormatting>
  <conditionalFormatting sqref="AS7:AT48">
    <cfRule type="expression" dxfId="27" priority="5">
      <formula>AS7=0</formula>
    </cfRule>
  </conditionalFormatting>
  <conditionalFormatting sqref="AS58:AT67">
    <cfRule type="expression" dxfId="26" priority="107">
      <formula>AS58=0</formula>
    </cfRule>
  </conditionalFormatting>
  <conditionalFormatting sqref="AU7:AV48">
    <cfRule type="expression" dxfId="25" priority="535">
      <formula>AU7=0</formula>
    </cfRule>
  </conditionalFormatting>
  <conditionalFormatting sqref="AU58:AV67">
    <cfRule type="expression" dxfId="24" priority="202">
      <formula>AU58=0</formula>
    </cfRule>
  </conditionalFormatting>
  <conditionalFormatting sqref="AX7:AY48">
    <cfRule type="expression" dxfId="23" priority="4">
      <formula>AX7=0</formula>
    </cfRule>
  </conditionalFormatting>
  <conditionalFormatting sqref="AX58:AY67">
    <cfRule type="expression" dxfId="22" priority="103">
      <formula>AX58=0</formula>
    </cfRule>
  </conditionalFormatting>
  <conditionalFormatting sqref="AZ7:BA48">
    <cfRule type="expression" dxfId="21" priority="531">
      <formula>AZ7=0</formula>
    </cfRule>
  </conditionalFormatting>
  <conditionalFormatting sqref="AZ58:BA67">
    <cfRule type="expression" dxfId="20" priority="200">
      <formula>AZ58=0</formula>
    </cfRule>
  </conditionalFormatting>
  <conditionalFormatting sqref="BC7:BD48">
    <cfRule type="expression" dxfId="19" priority="3">
      <formula>BC7=0</formula>
    </cfRule>
  </conditionalFormatting>
  <conditionalFormatting sqref="BC58:BD67">
    <cfRule type="expression" dxfId="18" priority="99">
      <formula>BC58=0</formula>
    </cfRule>
  </conditionalFormatting>
  <conditionalFormatting sqref="BE7:BF48">
    <cfRule type="expression" dxfId="17" priority="527">
      <formula>BE7=0</formula>
    </cfRule>
  </conditionalFormatting>
  <conditionalFormatting sqref="BE58:BF67">
    <cfRule type="expression" dxfId="16" priority="198">
      <formula>BE58=0</formula>
    </cfRule>
  </conditionalFormatting>
  <conditionalFormatting sqref="BH7:BI48">
    <cfRule type="expression" dxfId="15" priority="2">
      <formula>BH7=0</formula>
    </cfRule>
  </conditionalFormatting>
  <conditionalFormatting sqref="BH58:BI67">
    <cfRule type="expression" dxfId="14" priority="95">
      <formula>BH58=0</formula>
    </cfRule>
  </conditionalFormatting>
  <conditionalFormatting sqref="BJ7:BK48">
    <cfRule type="expression" dxfId="13" priority="523">
      <formula>BJ7=0</formula>
    </cfRule>
  </conditionalFormatting>
  <conditionalFormatting sqref="BJ58:BK67">
    <cfRule type="expression" dxfId="12" priority="196">
      <formula>BJ58=0</formula>
    </cfRule>
  </conditionalFormatting>
  <conditionalFormatting sqref="BM7:BN48">
    <cfRule type="expression" dxfId="11" priority="1">
      <formula>BM7=0</formula>
    </cfRule>
  </conditionalFormatting>
  <conditionalFormatting sqref="BM58:BN67">
    <cfRule type="expression" dxfId="10" priority="91">
      <formula>BM58=0</formula>
    </cfRule>
  </conditionalFormatting>
  <conditionalFormatting sqref="BO7:BP48">
    <cfRule type="expression" dxfId="9" priority="519">
      <formula>BO7=0</formula>
    </cfRule>
  </conditionalFormatting>
  <conditionalFormatting sqref="BO58:BP67">
    <cfRule type="expression" dxfId="8" priority="194">
      <formula>BO58=0</formula>
    </cfRule>
  </conditionalFormatting>
  <conditionalFormatting sqref="BT50">
    <cfRule type="expression" dxfId="7" priority="593">
      <formula>$G$50=0</formula>
    </cfRule>
  </conditionalFormatting>
  <conditionalFormatting sqref="BT7:BU48">
    <cfRule type="expression" dxfId="6" priority="497">
      <formula>BT7=0</formula>
    </cfRule>
  </conditionalFormatting>
  <conditionalFormatting sqref="BT58:BU67">
    <cfRule type="expression" dxfId="5" priority="182">
      <formula>BT58=0</formula>
    </cfRule>
  </conditionalFormatting>
  <conditionalFormatting sqref="BU50">
    <cfRule type="expression" dxfId="4" priority="592">
      <formula>$H$50=0</formula>
    </cfRule>
  </conditionalFormatting>
  <conditionalFormatting sqref="BW7:BX48">
    <cfRule type="expression" dxfId="3" priority="495">
      <formula>BW7=0</formula>
    </cfRule>
  </conditionalFormatting>
  <conditionalFormatting sqref="BW58:BX67">
    <cfRule type="expression" dxfId="2" priority="178">
      <formula>BW58=0</formula>
    </cfRule>
  </conditionalFormatting>
  <conditionalFormatting sqref="BZ7:CA48">
    <cfRule type="expression" dxfId="1" priority="493">
      <formula>BZ7=0</formula>
    </cfRule>
  </conditionalFormatting>
  <conditionalFormatting sqref="BZ58:CA67">
    <cfRule type="expression" dxfId="0" priority="180">
      <formula>BZ58=0</formula>
    </cfRule>
  </conditionalFormatting>
  <printOptions horizontalCentered="1"/>
  <pageMargins left="3.937007874015748E-2" right="3.937007874015748E-2" top="0.31496062992125984" bottom="0.15748031496062992" header="0.23622047244094491" footer="0.31496062992125984"/>
  <pageSetup paperSize="9" scale="65" orientation="landscape" r:id="rId1"/>
  <ignoredErrors>
    <ignoredError sqref="G50:H5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7238-CE73-4B8B-B392-D1440379D830}">
  <sheetPr>
    <tabColor rgb="FF00B050"/>
  </sheetPr>
  <dimension ref="A1:AP1199"/>
  <sheetViews>
    <sheetView zoomScaleNormal="100" workbookViewId="0">
      <pane ySplit="4" topLeftCell="A512" activePane="bottomLeft" state="frozen"/>
      <selection pane="bottomLeft" activeCell="F534" sqref="F534"/>
    </sheetView>
  </sheetViews>
  <sheetFormatPr defaultRowHeight="12" x14ac:dyDescent="0.2"/>
  <cols>
    <col min="1" max="1" width="4.5703125" style="133" customWidth="1"/>
    <col min="2" max="2" width="7.140625" style="135" bestFit="1" customWidth="1"/>
    <col min="3" max="3" width="10.85546875" style="136" bestFit="1" customWidth="1"/>
    <col min="4" max="4" width="13.42578125" style="136" bestFit="1" customWidth="1"/>
    <col min="5" max="5" width="10.42578125" style="139" bestFit="1" customWidth="1"/>
    <col min="6" max="6" width="12.5703125" style="140" bestFit="1" customWidth="1"/>
    <col min="7" max="8" width="17.42578125" style="150" bestFit="1" customWidth="1"/>
    <col min="9" max="9" width="16.5703125" style="150" bestFit="1" customWidth="1"/>
    <col min="10" max="10" width="12.85546875" style="150" bestFit="1" customWidth="1"/>
    <col min="11" max="11" width="14.140625" style="133" customWidth="1"/>
    <col min="12" max="12" width="71.42578125" style="153" bestFit="1" customWidth="1"/>
    <col min="13" max="13" width="48.85546875" style="133" bestFit="1" customWidth="1"/>
    <col min="14" max="16384" width="9.140625" style="133"/>
  </cols>
  <sheetData>
    <row r="1" spans="1:42" s="111" customFormat="1" x14ac:dyDescent="0.2">
      <c r="B1" s="135"/>
      <c r="C1" s="136"/>
      <c r="D1" s="136"/>
      <c r="E1" s="137"/>
      <c r="F1" s="134"/>
      <c r="G1" s="145">
        <f>SUBTOTAL(9,G5:G1048576)</f>
        <v>4090011782.3415537</v>
      </c>
      <c r="H1" s="145">
        <f>SUBTOTAL(9,H5:H1048576)</f>
        <v>4090011782.3415537</v>
      </c>
      <c r="I1" s="145">
        <f>SUBTOTAL(9,I5:I1048576)</f>
        <v>0</v>
      </c>
      <c r="J1" s="146">
        <f>+I1/I8</f>
        <v>0</v>
      </c>
      <c r="K1" s="194"/>
      <c r="L1" s="195"/>
    </row>
    <row r="2" spans="1:42" s="111" customFormat="1" x14ac:dyDescent="0.2">
      <c r="B2" s="135"/>
      <c r="C2" s="136"/>
      <c r="D2" s="136"/>
      <c r="E2" s="137"/>
      <c r="F2" s="134"/>
      <c r="G2" s="146"/>
      <c r="H2" s="146"/>
      <c r="I2" s="147">
        <f>-I1</f>
        <v>0</v>
      </c>
      <c r="J2" s="146"/>
      <c r="K2" s="194"/>
      <c r="L2" s="195"/>
    </row>
    <row r="3" spans="1:42" s="111" customFormat="1" x14ac:dyDescent="0.2">
      <c r="A3" s="133"/>
      <c r="B3" s="135"/>
      <c r="C3" s="136"/>
      <c r="D3" s="136"/>
      <c r="E3" s="139"/>
      <c r="F3" s="144"/>
      <c r="G3" s="146"/>
      <c r="H3" s="149"/>
      <c r="I3" s="149"/>
      <c r="J3" s="146"/>
      <c r="L3" s="152"/>
    </row>
    <row r="4" spans="1:42" s="113" customFormat="1" x14ac:dyDescent="0.2">
      <c r="B4" s="179" t="s">
        <v>71</v>
      </c>
      <c r="C4" s="113" t="s">
        <v>86</v>
      </c>
      <c r="D4" s="113" t="s">
        <v>302</v>
      </c>
      <c r="E4" s="114" t="s">
        <v>87</v>
      </c>
      <c r="F4" s="113" t="s">
        <v>0</v>
      </c>
      <c r="G4" s="148" t="s">
        <v>88</v>
      </c>
      <c r="H4" s="148" t="s">
        <v>89</v>
      </c>
      <c r="I4" s="148" t="s">
        <v>150</v>
      </c>
      <c r="J4" s="148" t="s">
        <v>90</v>
      </c>
      <c r="K4" s="113" t="s">
        <v>91</v>
      </c>
      <c r="L4" s="113" t="s">
        <v>92</v>
      </c>
      <c r="M4" s="113" t="s">
        <v>93</v>
      </c>
    </row>
    <row r="5" spans="1:42" s="111" customFormat="1" ht="12" customHeight="1" x14ac:dyDescent="0.2">
      <c r="A5" s="133"/>
      <c r="B5" s="135" t="str">
        <f>VLOOKUP(F5,BB!$A$8:$C$152,3,0)</f>
        <v>A02</v>
      </c>
      <c r="C5" s="136">
        <v>202601</v>
      </c>
      <c r="D5" s="134" t="s">
        <v>539</v>
      </c>
      <c r="E5" s="139">
        <v>46027</v>
      </c>
      <c r="F5" s="144" t="s">
        <v>166</v>
      </c>
      <c r="G5" s="149">
        <v>0</v>
      </c>
      <c r="H5" s="149">
        <v>11608500</v>
      </c>
      <c r="I5" s="198">
        <f>IF(G5&lt;&gt;0,G5,-H5)</f>
        <v>-11608500</v>
      </c>
      <c r="J5" s="149">
        <v>0</v>
      </c>
      <c r="K5" s="111" t="s">
        <v>304</v>
      </c>
      <c r="L5" s="151" t="s">
        <v>540</v>
      </c>
    </row>
    <row r="6" spans="1:42" s="111" customFormat="1" ht="12" customHeight="1" x14ac:dyDescent="0.2">
      <c r="A6" s="133"/>
      <c r="B6" s="135" t="str">
        <f>VLOOKUP(F6,BB!$A$8:$C$152,3,0)</f>
        <v>P05</v>
      </c>
      <c r="C6" s="136">
        <f t="shared" ref="C6:E6" si="0">+C5</f>
        <v>202601</v>
      </c>
      <c r="D6" s="134" t="str">
        <f t="shared" si="0"/>
        <v>MDR-2601001</v>
      </c>
      <c r="E6" s="139">
        <f t="shared" si="0"/>
        <v>46027</v>
      </c>
      <c r="F6" s="144" t="s">
        <v>439</v>
      </c>
      <c r="G6" s="149">
        <f>H5</f>
        <v>11608500</v>
      </c>
      <c r="H6" s="149">
        <v>0</v>
      </c>
      <c r="I6" s="198">
        <f>IF(G6&lt;&gt;0,G6,-H6)</f>
        <v>11608500</v>
      </c>
      <c r="J6" s="146">
        <v>0</v>
      </c>
      <c r="K6" s="111" t="s">
        <v>304</v>
      </c>
      <c r="L6" s="151" t="str">
        <f>+L5</f>
        <v>PEMBAYARAN KE ORIX SEWA BULAN KE 42 (DES)</v>
      </c>
    </row>
    <row r="7" spans="1:42" s="111" customFormat="1" ht="12" customHeight="1" x14ac:dyDescent="0.2">
      <c r="A7" s="133"/>
      <c r="B7" s="135"/>
      <c r="C7" s="136"/>
      <c r="D7" s="134"/>
      <c r="E7" s="139"/>
      <c r="F7" s="144"/>
      <c r="G7" s="146"/>
      <c r="H7" s="149"/>
      <c r="I7" s="149"/>
      <c r="J7" s="146"/>
      <c r="L7" s="151"/>
    </row>
    <row r="8" spans="1:42" s="111" customFormat="1" ht="12" customHeight="1" x14ac:dyDescent="0.2">
      <c r="A8" s="133"/>
      <c r="B8" s="135" t="str">
        <f>VLOOKUP(F8,BB!$A$8:$C$152,3,0)</f>
        <v>A02</v>
      </c>
      <c r="C8" s="136">
        <v>202601</v>
      </c>
      <c r="D8" s="134" t="s">
        <v>541</v>
      </c>
      <c r="E8" s="139">
        <v>46027</v>
      </c>
      <c r="F8" s="144" t="s">
        <v>166</v>
      </c>
      <c r="G8" s="149">
        <v>0</v>
      </c>
      <c r="H8" s="149">
        <v>20000000</v>
      </c>
      <c r="I8" s="149">
        <f>IF(G8&lt;&gt;0,G8,-H8)</f>
        <v>-20000000</v>
      </c>
      <c r="J8" s="149">
        <v>0</v>
      </c>
      <c r="K8" s="111" t="s">
        <v>304</v>
      </c>
      <c r="L8" s="151" t="s">
        <v>542</v>
      </c>
    </row>
    <row r="9" spans="1:42" s="111" customFormat="1" ht="12" customHeight="1" x14ac:dyDescent="0.2">
      <c r="A9" s="133"/>
      <c r="B9" s="135" t="str">
        <f>VLOOKUP(F9,BB!$A$8:$C$152,3,0)</f>
        <v>A04A</v>
      </c>
      <c r="C9" s="136">
        <f>C8</f>
        <v>202601</v>
      </c>
      <c r="D9" s="134" t="str">
        <f>D8</f>
        <v>MDR-2601002</v>
      </c>
      <c r="E9" s="139">
        <f>E8</f>
        <v>46027</v>
      </c>
      <c r="F9" s="144" t="s">
        <v>468</v>
      </c>
      <c r="G9" s="146">
        <f>+H8</f>
        <v>20000000</v>
      </c>
      <c r="H9" s="149">
        <v>0</v>
      </c>
      <c r="I9" s="149">
        <f>IF(G9&lt;&gt;0,G9,-H9)</f>
        <v>20000000</v>
      </c>
      <c r="J9" s="146">
        <f>-J8</f>
        <v>0</v>
      </c>
      <c r="K9" s="111" t="str">
        <f>K8</f>
        <v>BANK KELUAR</v>
      </c>
      <c r="L9" s="151" t="str">
        <f>L8</f>
        <v>PINJAMAN RUTIN SAFI'I, 12X</v>
      </c>
    </row>
    <row r="10" spans="1:42" s="111" customFormat="1" ht="12" customHeight="1" x14ac:dyDescent="0.2">
      <c r="A10" s="133"/>
      <c r="B10" s="135"/>
      <c r="C10" s="136"/>
      <c r="D10" s="134"/>
      <c r="E10" s="139"/>
      <c r="F10" s="144"/>
      <c r="G10" s="146"/>
      <c r="H10" s="149"/>
      <c r="I10" s="149"/>
      <c r="J10" s="146"/>
      <c r="L10" s="151"/>
    </row>
    <row r="11" spans="1:42" s="111" customFormat="1" ht="12" customHeight="1" x14ac:dyDescent="0.2">
      <c r="A11" s="133"/>
      <c r="B11" s="135" t="str">
        <f>VLOOKUP(F11,BB!$A$8:$C$152,3,0)</f>
        <v>A02</v>
      </c>
      <c r="C11" s="136">
        <v>202601</v>
      </c>
      <c r="D11" s="134" t="s">
        <v>543</v>
      </c>
      <c r="E11" s="139">
        <v>46027</v>
      </c>
      <c r="F11" s="144" t="s">
        <v>166</v>
      </c>
      <c r="G11" s="149">
        <v>0</v>
      </c>
      <c r="H11" s="149">
        <v>2900</v>
      </c>
      <c r="I11" s="149">
        <f>IF(G11&lt;&gt;0,G11,-H11)</f>
        <v>-2900</v>
      </c>
      <c r="J11" s="149">
        <v>0</v>
      </c>
      <c r="K11" s="111" t="s">
        <v>304</v>
      </c>
      <c r="L11" s="152" t="s">
        <v>407</v>
      </c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</row>
    <row r="12" spans="1:42" s="111" customFormat="1" ht="12" customHeight="1" x14ac:dyDescent="0.2">
      <c r="A12" s="133"/>
      <c r="B12" s="135" t="str">
        <f>VLOOKUP(F12,BB!$A$8:$C$152,3,0)</f>
        <v>LR07</v>
      </c>
      <c r="C12" s="136">
        <f>+C11</f>
        <v>202601</v>
      </c>
      <c r="D12" s="134" t="str">
        <f>+D11</f>
        <v>MDR-2601003</v>
      </c>
      <c r="E12" s="139">
        <f>+E11</f>
        <v>46027</v>
      </c>
      <c r="F12" s="144" t="s">
        <v>248</v>
      </c>
      <c r="G12" s="146">
        <f>+H11</f>
        <v>2900</v>
      </c>
      <c r="H12" s="149">
        <v>0</v>
      </c>
      <c r="I12" s="149">
        <f>IF(G12&lt;&gt;0,G12,-H12)</f>
        <v>2900</v>
      </c>
      <c r="J12" s="146">
        <v>0</v>
      </c>
      <c r="K12" s="111" t="s">
        <v>304</v>
      </c>
      <c r="L12" s="151" t="str">
        <f>+L11</f>
        <v>CLEARING FEE</v>
      </c>
    </row>
    <row r="13" spans="1:42" s="111" customFormat="1" ht="12" customHeight="1" x14ac:dyDescent="0.2">
      <c r="A13" s="133"/>
      <c r="B13" s="135"/>
      <c r="C13" s="136"/>
      <c r="D13" s="134"/>
      <c r="E13" s="139"/>
      <c r="F13" s="144"/>
      <c r="G13" s="146"/>
      <c r="H13" s="149"/>
      <c r="I13" s="149"/>
      <c r="J13" s="146"/>
      <c r="L13" s="151"/>
    </row>
    <row r="14" spans="1:42" s="111" customFormat="1" ht="12" customHeight="1" x14ac:dyDescent="0.2">
      <c r="A14" s="133"/>
      <c r="B14" s="135" t="str">
        <f>VLOOKUP(F14,BB!$A$8:$C$152,3,0)</f>
        <v>A02</v>
      </c>
      <c r="C14" s="136">
        <v>202601</v>
      </c>
      <c r="D14" s="134" t="s">
        <v>545</v>
      </c>
      <c r="E14" s="139">
        <v>46027</v>
      </c>
      <c r="F14" s="144" t="s">
        <v>166</v>
      </c>
      <c r="G14" s="149">
        <v>0</v>
      </c>
      <c r="H14" s="149">
        <v>13333333</v>
      </c>
      <c r="I14" s="149">
        <f>IF(G14&lt;&gt;0,G14,-H14)</f>
        <v>-13333333</v>
      </c>
      <c r="J14" s="149">
        <v>0</v>
      </c>
      <c r="K14" s="111" t="s">
        <v>304</v>
      </c>
      <c r="L14" s="151" t="s">
        <v>551</v>
      </c>
    </row>
    <row r="15" spans="1:42" s="111" customFormat="1" ht="12" customHeight="1" x14ac:dyDescent="0.2">
      <c r="A15" s="133"/>
      <c r="B15" s="135" t="str">
        <f>VLOOKUP(F15,BB!$A$8:$C$152,3,0)</f>
        <v>A04A</v>
      </c>
      <c r="C15" s="136">
        <f t="shared" ref="C15:E16" si="1">C14</f>
        <v>202601</v>
      </c>
      <c r="D15" s="134" t="str">
        <f t="shared" si="1"/>
        <v>MDR-2601004</v>
      </c>
      <c r="E15" s="139">
        <f t="shared" si="1"/>
        <v>46027</v>
      </c>
      <c r="F15" s="144" t="s">
        <v>468</v>
      </c>
      <c r="G15" s="146">
        <v>50000000</v>
      </c>
      <c r="H15" s="149">
        <v>0</v>
      </c>
      <c r="I15" s="149">
        <f>IF(G15&lt;&gt;0,G15,-H15)</f>
        <v>50000000</v>
      </c>
      <c r="J15" s="146">
        <f>-J14</f>
        <v>0</v>
      </c>
      <c r="K15" s="111" t="str">
        <f>K14</f>
        <v>BANK KELUAR</v>
      </c>
      <c r="L15" s="151" t="str">
        <f>L14</f>
        <v>PINJAMAN RUTIN SOLICHIN, 36X, KOMPENSASI</v>
      </c>
    </row>
    <row r="16" spans="1:42" s="111" customFormat="1" ht="12" customHeight="1" x14ac:dyDescent="0.2">
      <c r="A16" s="133"/>
      <c r="B16" s="135" t="str">
        <f>VLOOKUP(F16,BB!$A$8:$C$152,3,0)</f>
        <v>A04A</v>
      </c>
      <c r="C16" s="136">
        <f t="shared" si="1"/>
        <v>202601</v>
      </c>
      <c r="D16" s="134" t="str">
        <f t="shared" si="1"/>
        <v>MDR-2601004</v>
      </c>
      <c r="E16" s="139">
        <f t="shared" si="1"/>
        <v>46027</v>
      </c>
      <c r="F16" s="144" t="s">
        <v>468</v>
      </c>
      <c r="G16" s="146">
        <v>0</v>
      </c>
      <c r="H16" s="149">
        <f>G15-H14</f>
        <v>36666667</v>
      </c>
      <c r="I16" s="149">
        <f>IF(G16&lt;&gt;0,G16,-H16)</f>
        <v>-36666667</v>
      </c>
      <c r="J16" s="146">
        <f>-J15</f>
        <v>0</v>
      </c>
      <c r="K16" s="111" t="str">
        <f>K15</f>
        <v>BANK KELUAR</v>
      </c>
      <c r="L16" s="151" t="str">
        <f>L15</f>
        <v>PINJAMAN RUTIN SOLICHIN, 36X, KOMPENSASI</v>
      </c>
    </row>
    <row r="17" spans="1:12" s="111" customFormat="1" ht="12" customHeight="1" x14ac:dyDescent="0.2">
      <c r="A17" s="133"/>
      <c r="B17" s="135"/>
      <c r="C17" s="136"/>
      <c r="D17" s="134"/>
      <c r="E17" s="139"/>
      <c r="F17" s="144"/>
      <c r="G17" s="146"/>
      <c r="H17" s="149"/>
      <c r="I17" s="149"/>
      <c r="J17" s="146"/>
      <c r="L17" s="151"/>
    </row>
    <row r="18" spans="1:12" s="111" customFormat="1" ht="12" customHeight="1" x14ac:dyDescent="0.2">
      <c r="A18" s="133"/>
      <c r="B18" s="135" t="str">
        <f>VLOOKUP(F18,BB!$A$8:$C$152,3,0)</f>
        <v>A02</v>
      </c>
      <c r="C18" s="136">
        <v>202601</v>
      </c>
      <c r="D18" s="134" t="s">
        <v>546</v>
      </c>
      <c r="E18" s="139">
        <v>46029</v>
      </c>
      <c r="F18" s="144" t="s">
        <v>166</v>
      </c>
      <c r="G18" s="149">
        <v>15680000</v>
      </c>
      <c r="H18" s="149">
        <v>0</v>
      </c>
      <c r="I18" s="189">
        <f>IF(G18&lt;&gt;0,G18,-H18)</f>
        <v>15680000</v>
      </c>
      <c r="J18" s="149">
        <v>0</v>
      </c>
      <c r="K18" s="111" t="s">
        <v>305</v>
      </c>
      <c r="L18" s="152" t="s">
        <v>544</v>
      </c>
    </row>
    <row r="19" spans="1:12" s="111" customFormat="1" ht="12" customHeight="1" x14ac:dyDescent="0.2">
      <c r="A19" s="133"/>
      <c r="B19" s="135" t="str">
        <f>VLOOKUP(F19,BB!$A$8:$C$152,3,0)</f>
        <v>A04B</v>
      </c>
      <c r="C19" s="136">
        <f t="shared" ref="C19:E19" si="2">C18</f>
        <v>202601</v>
      </c>
      <c r="D19" s="136" t="str">
        <f t="shared" si="2"/>
        <v>MDR-2601005</v>
      </c>
      <c r="E19" s="186">
        <f t="shared" si="2"/>
        <v>46029</v>
      </c>
      <c r="F19" s="144" t="s">
        <v>464</v>
      </c>
      <c r="G19" s="146">
        <v>0</v>
      </c>
      <c r="H19" s="149">
        <f>+G18</f>
        <v>15680000</v>
      </c>
      <c r="I19" s="189">
        <f>IF(G19&lt;&gt;0,G19,-H19)</f>
        <v>-15680000</v>
      </c>
      <c r="J19" s="146">
        <v>0</v>
      </c>
      <c r="K19" s="111" t="str">
        <f>K18</f>
        <v>BANK MASUK</v>
      </c>
      <c r="L19" s="151" t="str">
        <f>L18</f>
        <v>TERIMA DARI GCS SEWA FORKLIFT PERIODE 202511</v>
      </c>
    </row>
    <row r="20" spans="1:12" s="111" customFormat="1" ht="12" customHeight="1" x14ac:dyDescent="0.2">
      <c r="A20" s="133"/>
      <c r="B20" s="135"/>
      <c r="C20" s="136"/>
      <c r="D20" s="134"/>
      <c r="E20" s="139"/>
      <c r="F20" s="144"/>
      <c r="G20" s="146"/>
      <c r="H20" s="149"/>
      <c r="I20" s="149"/>
      <c r="J20" s="146"/>
      <c r="L20" s="151"/>
    </row>
    <row r="21" spans="1:12" s="111" customFormat="1" ht="12" customHeight="1" x14ac:dyDescent="0.2">
      <c r="A21" s="133"/>
      <c r="B21" s="135" t="str">
        <f>VLOOKUP(F21,BB!$A$8:$C$152,3,0)</f>
        <v>A02</v>
      </c>
      <c r="C21" s="136">
        <v>202601</v>
      </c>
      <c r="D21" s="134" t="s">
        <v>548</v>
      </c>
      <c r="E21" s="139">
        <v>46031</v>
      </c>
      <c r="F21" s="144" t="s">
        <v>166</v>
      </c>
      <c r="G21" s="149">
        <v>0</v>
      </c>
      <c r="H21" s="149">
        <v>20000000</v>
      </c>
      <c r="I21" s="149">
        <f>IF(G21&lt;&gt;0,G21,-H21)</f>
        <v>-20000000</v>
      </c>
      <c r="J21" s="149">
        <v>0</v>
      </c>
      <c r="K21" s="111" t="s">
        <v>304</v>
      </c>
      <c r="L21" s="151" t="s">
        <v>547</v>
      </c>
    </row>
    <row r="22" spans="1:12" s="111" customFormat="1" ht="12" customHeight="1" x14ac:dyDescent="0.2">
      <c r="A22" s="133"/>
      <c r="B22" s="135" t="str">
        <f>VLOOKUP(F22,BB!$A$8:$C$152,3,0)</f>
        <v>A04A</v>
      </c>
      <c r="C22" s="136">
        <f>C21</f>
        <v>202601</v>
      </c>
      <c r="D22" s="134" t="str">
        <f>D21</f>
        <v>MDR-2601006</v>
      </c>
      <c r="E22" s="139">
        <f>E21</f>
        <v>46031</v>
      </c>
      <c r="F22" s="144" t="s">
        <v>468</v>
      </c>
      <c r="G22" s="146">
        <f>+H21</f>
        <v>20000000</v>
      </c>
      <c r="H22" s="149">
        <v>0</v>
      </c>
      <c r="I22" s="149">
        <f>IF(G22&lt;&gt;0,G22,-H22)</f>
        <v>20000000</v>
      </c>
      <c r="J22" s="146">
        <f>-J21</f>
        <v>0</v>
      </c>
      <c r="K22" s="111" t="str">
        <f>K21</f>
        <v>BANK KELUAR</v>
      </c>
      <c r="L22" s="151" t="str">
        <f>L21</f>
        <v>PINJAMAN RUTIN JOKO P, 24X</v>
      </c>
    </row>
    <row r="23" spans="1:12" s="111" customFormat="1" ht="12" customHeight="1" x14ac:dyDescent="0.2">
      <c r="A23" s="133"/>
      <c r="B23" s="135"/>
      <c r="C23" s="136"/>
      <c r="D23" s="134"/>
      <c r="E23" s="139"/>
      <c r="F23" s="144"/>
      <c r="G23" s="146"/>
      <c r="H23" s="149"/>
      <c r="I23" s="149"/>
      <c r="J23" s="146"/>
      <c r="L23" s="151"/>
    </row>
    <row r="24" spans="1:12" s="111" customFormat="1" ht="12" customHeight="1" x14ac:dyDescent="0.2">
      <c r="A24" s="133"/>
      <c r="B24" s="135" t="str">
        <f>VLOOKUP(F24,BB!$A$8:$C$152,3,0)</f>
        <v>A02</v>
      </c>
      <c r="C24" s="136">
        <v>202601</v>
      </c>
      <c r="D24" s="134" t="s">
        <v>550</v>
      </c>
      <c r="E24" s="139">
        <v>46035</v>
      </c>
      <c r="F24" s="144" t="s">
        <v>166</v>
      </c>
      <c r="G24" s="149">
        <v>0</v>
      </c>
      <c r="H24" s="149">
        <v>14475000</v>
      </c>
      <c r="I24" s="189">
        <f>IF(G24&lt;&gt;0,G24,-H24)</f>
        <v>-14475000</v>
      </c>
      <c r="J24" s="149">
        <v>0</v>
      </c>
      <c r="K24" s="111" t="s">
        <v>304</v>
      </c>
      <c r="L24" s="152" t="s">
        <v>549</v>
      </c>
    </row>
    <row r="25" spans="1:12" s="111" customFormat="1" ht="12" customHeight="1" x14ac:dyDescent="0.2">
      <c r="A25" s="133"/>
      <c r="B25" s="135" t="str">
        <f>VLOOKUP(F25,BB!$A$8:$C$152,3,0)</f>
        <v>P05</v>
      </c>
      <c r="C25" s="136">
        <f>C24</f>
        <v>202601</v>
      </c>
      <c r="D25" s="134" t="str">
        <f>D24</f>
        <v>MDR-2601007</v>
      </c>
      <c r="E25" s="139">
        <f>E24</f>
        <v>46035</v>
      </c>
      <c r="F25" s="144" t="s">
        <v>435</v>
      </c>
      <c r="G25" s="146">
        <f>H24</f>
        <v>14475000</v>
      </c>
      <c r="H25" s="149">
        <f>G24</f>
        <v>0</v>
      </c>
      <c r="I25" s="189">
        <f>IF(G25&lt;&gt;0,G25,-H25)</f>
        <v>14475000</v>
      </c>
      <c r="J25" s="146">
        <f>-J24</f>
        <v>0</v>
      </c>
      <c r="K25" s="111" t="str">
        <f>K24</f>
        <v>BANK KELUAR</v>
      </c>
      <c r="L25" s="151" t="str">
        <f>L24</f>
        <v>PEMBAYARAN JASA FORKLIFT ACHMAD LUTHFIE PERIODE 202511</v>
      </c>
    </row>
    <row r="26" spans="1:12" s="111" customFormat="1" ht="12" customHeight="1" x14ac:dyDescent="0.2">
      <c r="A26" s="133"/>
      <c r="B26" s="135"/>
      <c r="C26" s="136"/>
      <c r="D26" s="134"/>
      <c r="E26" s="139"/>
      <c r="F26" s="144"/>
      <c r="G26" s="146"/>
      <c r="H26" s="149"/>
      <c r="I26" s="149"/>
      <c r="J26" s="146"/>
      <c r="L26" s="151"/>
    </row>
    <row r="27" spans="1:12" s="111" customFormat="1" ht="12" customHeight="1" x14ac:dyDescent="0.2">
      <c r="A27" s="133"/>
      <c r="B27" s="135" t="str">
        <f>VLOOKUP(F27,BB!$A$8:$C$152,3,0)</f>
        <v>A02</v>
      </c>
      <c r="C27" s="136">
        <v>202601</v>
      </c>
      <c r="D27" s="134" t="s">
        <v>553</v>
      </c>
      <c r="E27" s="139">
        <v>46037</v>
      </c>
      <c r="F27" s="144" t="s">
        <v>166</v>
      </c>
      <c r="G27" s="149">
        <v>0</v>
      </c>
      <c r="H27" s="149">
        <v>13333333</v>
      </c>
      <c r="I27" s="149">
        <f>IF(G27&lt;&gt;0,G27,-H27)</f>
        <v>-13333333</v>
      </c>
      <c r="J27" s="149">
        <v>0</v>
      </c>
      <c r="K27" s="111" t="s">
        <v>304</v>
      </c>
      <c r="L27" s="151" t="s">
        <v>552</v>
      </c>
    </row>
    <row r="28" spans="1:12" s="111" customFormat="1" ht="12" customHeight="1" x14ac:dyDescent="0.2">
      <c r="A28" s="133"/>
      <c r="B28" s="135" t="str">
        <f>VLOOKUP(F28,BB!$A$8:$C$152,3,0)</f>
        <v>A04A</v>
      </c>
      <c r="C28" s="136">
        <f t="shared" ref="C28:E29" si="3">C27</f>
        <v>202601</v>
      </c>
      <c r="D28" s="134" t="str">
        <f t="shared" si="3"/>
        <v>MDR-2601008</v>
      </c>
      <c r="E28" s="139">
        <f t="shared" si="3"/>
        <v>46037</v>
      </c>
      <c r="F28" s="144" t="s">
        <v>468</v>
      </c>
      <c r="G28" s="146">
        <v>30000000</v>
      </c>
      <c r="H28" s="149">
        <v>0</v>
      </c>
      <c r="I28" s="149">
        <f>IF(G28&lt;&gt;0,G28,-H28)</f>
        <v>30000000</v>
      </c>
      <c r="J28" s="146">
        <f>-J27</f>
        <v>0</v>
      </c>
      <c r="K28" s="111" t="str">
        <f>K27</f>
        <v>BANK KELUAR</v>
      </c>
      <c r="L28" s="151" t="str">
        <f>L27</f>
        <v>PINJAMAN RUTIN SUGENG H, 36X, KOMPENSASI</v>
      </c>
    </row>
    <row r="29" spans="1:12" s="111" customFormat="1" ht="12" customHeight="1" x14ac:dyDescent="0.2">
      <c r="A29" s="133"/>
      <c r="B29" s="135" t="str">
        <f>VLOOKUP(F29,BB!$A$8:$C$152,3,0)</f>
        <v>A04A</v>
      </c>
      <c r="C29" s="136">
        <f t="shared" si="3"/>
        <v>202601</v>
      </c>
      <c r="D29" s="134" t="str">
        <f t="shared" si="3"/>
        <v>MDR-2601008</v>
      </c>
      <c r="E29" s="139">
        <f t="shared" si="3"/>
        <v>46037</v>
      </c>
      <c r="F29" s="144" t="s">
        <v>468</v>
      </c>
      <c r="G29" s="146">
        <v>0</v>
      </c>
      <c r="H29" s="149">
        <f>G28-H27</f>
        <v>16666667</v>
      </c>
      <c r="I29" s="149">
        <f>IF(G29&lt;&gt;0,G29,-H29)</f>
        <v>-16666667</v>
      </c>
      <c r="J29" s="146">
        <f>-J28</f>
        <v>0</v>
      </c>
      <c r="K29" s="111" t="str">
        <f>K28</f>
        <v>BANK KELUAR</v>
      </c>
      <c r="L29" s="151" t="str">
        <f>L28</f>
        <v>PINJAMAN RUTIN SUGENG H, 36X, KOMPENSASI</v>
      </c>
    </row>
    <row r="30" spans="1:12" s="111" customFormat="1" ht="12" customHeight="1" x14ac:dyDescent="0.2">
      <c r="A30" s="133"/>
      <c r="B30" s="135"/>
      <c r="C30" s="136"/>
      <c r="D30" s="134"/>
      <c r="E30" s="139"/>
      <c r="F30" s="144"/>
      <c r="G30" s="146"/>
      <c r="H30" s="149"/>
      <c r="I30" s="149"/>
      <c r="J30" s="146"/>
      <c r="L30" s="151"/>
    </row>
    <row r="31" spans="1:12" s="111" customFormat="1" ht="12" customHeight="1" x14ac:dyDescent="0.2">
      <c r="A31" s="133"/>
      <c r="B31" s="135" t="str">
        <f>VLOOKUP(F31,BB!$A$8:$C$152,3,0)</f>
        <v>A02</v>
      </c>
      <c r="C31" s="136">
        <v>202601</v>
      </c>
      <c r="D31" s="134" t="s">
        <v>554</v>
      </c>
      <c r="E31" s="139">
        <v>46043</v>
      </c>
      <c r="F31" s="144" t="s">
        <v>166</v>
      </c>
      <c r="G31" s="149">
        <v>0</v>
      </c>
      <c r="H31" s="149">
        <v>8333333</v>
      </c>
      <c r="I31" s="149">
        <f>IF(G31&lt;&gt;0,G31,-H31)</f>
        <v>-8333333</v>
      </c>
      <c r="J31" s="149">
        <v>0</v>
      </c>
      <c r="K31" s="111" t="s">
        <v>304</v>
      </c>
      <c r="L31" s="151" t="s">
        <v>555</v>
      </c>
    </row>
    <row r="32" spans="1:12" s="111" customFormat="1" ht="12" customHeight="1" x14ac:dyDescent="0.2">
      <c r="A32" s="133"/>
      <c r="B32" s="135" t="str">
        <f>VLOOKUP(F32,BB!$A$8:$C$152,3,0)</f>
        <v>A04A</v>
      </c>
      <c r="C32" s="136">
        <f t="shared" ref="C32:E33" si="4">C31</f>
        <v>202601</v>
      </c>
      <c r="D32" s="134" t="str">
        <f t="shared" si="4"/>
        <v>MDR-2601009</v>
      </c>
      <c r="E32" s="139">
        <f t="shared" si="4"/>
        <v>46043</v>
      </c>
      <c r="F32" s="144" t="s">
        <v>468</v>
      </c>
      <c r="G32" s="146">
        <v>50000000</v>
      </c>
      <c r="H32" s="149">
        <v>0</v>
      </c>
      <c r="I32" s="149">
        <f>IF(G32&lt;&gt;0,G32,-H32)</f>
        <v>50000000</v>
      </c>
      <c r="J32" s="146">
        <f>-J31</f>
        <v>0</v>
      </c>
      <c r="K32" s="111" t="str">
        <f>K31</f>
        <v>BANK KELUAR</v>
      </c>
      <c r="L32" s="151" t="str">
        <f>L31</f>
        <v>PINJAMAN RUTIN WIDYA NS, 60X, KOMPENSASI</v>
      </c>
    </row>
    <row r="33" spans="1:42" s="111" customFormat="1" ht="12" customHeight="1" x14ac:dyDescent="0.2">
      <c r="A33" s="133"/>
      <c r="B33" s="135" t="str">
        <f>VLOOKUP(F33,BB!$A$8:$C$152,3,0)</f>
        <v>A04A</v>
      </c>
      <c r="C33" s="136">
        <f t="shared" si="4"/>
        <v>202601</v>
      </c>
      <c r="D33" s="134" t="str">
        <f t="shared" si="4"/>
        <v>MDR-2601009</v>
      </c>
      <c r="E33" s="139">
        <f t="shared" si="4"/>
        <v>46043</v>
      </c>
      <c r="F33" s="144" t="s">
        <v>468</v>
      </c>
      <c r="G33" s="146">
        <v>0</v>
      </c>
      <c r="H33" s="149">
        <f>G32-H31</f>
        <v>41666667</v>
      </c>
      <c r="I33" s="149">
        <f>IF(G33&lt;&gt;0,G33,-H33)</f>
        <v>-41666667</v>
      </c>
      <c r="J33" s="146">
        <f>-J32</f>
        <v>0</v>
      </c>
      <c r="K33" s="111" t="str">
        <f>K32</f>
        <v>BANK KELUAR</v>
      </c>
      <c r="L33" s="151" t="str">
        <f>L32</f>
        <v>PINJAMAN RUTIN WIDYA NS, 60X, KOMPENSASI</v>
      </c>
    </row>
    <row r="34" spans="1:42" s="111" customFormat="1" ht="12" customHeight="1" x14ac:dyDescent="0.2">
      <c r="A34" s="133"/>
      <c r="B34" s="135"/>
      <c r="C34" s="136"/>
      <c r="D34" s="134"/>
      <c r="E34" s="139"/>
      <c r="F34" s="144"/>
      <c r="G34" s="146"/>
      <c r="H34" s="149"/>
      <c r="I34" s="149"/>
      <c r="J34" s="146"/>
      <c r="L34" s="151"/>
    </row>
    <row r="35" spans="1:42" s="111" customFormat="1" ht="12" customHeight="1" x14ac:dyDescent="0.2">
      <c r="A35" s="133"/>
      <c r="B35" s="135" t="str">
        <f>VLOOKUP(F35,BB!$A$8:$C$152,3,0)</f>
        <v>A02</v>
      </c>
      <c r="C35" s="136">
        <v>202601</v>
      </c>
      <c r="D35" s="134" t="s">
        <v>557</v>
      </c>
      <c r="E35" s="139">
        <v>46045</v>
      </c>
      <c r="F35" s="144" t="s">
        <v>166</v>
      </c>
      <c r="G35" s="146">
        <v>82521704</v>
      </c>
      <c r="H35" s="149">
        <v>0</v>
      </c>
      <c r="I35" s="149">
        <f t="shared" ref="I35:I40" si="5">IF(G35&lt;&gt;0,G35,-H35)</f>
        <v>82521704</v>
      </c>
      <c r="J35" s="149">
        <v>0</v>
      </c>
      <c r="K35" s="111" t="s">
        <v>305</v>
      </c>
      <c r="L35" s="151" t="s">
        <v>556</v>
      </c>
    </row>
    <row r="36" spans="1:42" s="111" customFormat="1" ht="12" customHeight="1" x14ac:dyDescent="0.2">
      <c r="A36" s="133"/>
      <c r="B36" s="135" t="str">
        <f>VLOOKUP(F36,BB!$A$8:$C$152,3,0)</f>
        <v>A04A</v>
      </c>
      <c r="C36" s="136">
        <f t="shared" ref="C36:E40" si="6">C35</f>
        <v>202601</v>
      </c>
      <c r="D36" s="134" t="str">
        <f t="shared" si="6"/>
        <v>MDR-2601010</v>
      </c>
      <c r="E36" s="139">
        <f t="shared" si="6"/>
        <v>46045</v>
      </c>
      <c r="F36" s="144" t="s">
        <v>468</v>
      </c>
      <c r="G36" s="146">
        <v>0</v>
      </c>
      <c r="H36" s="149">
        <v>60419861.111111104</v>
      </c>
      <c r="I36" s="149">
        <f t="shared" si="5"/>
        <v>-60419861.111111104</v>
      </c>
      <c r="J36" s="146">
        <f>-J35</f>
        <v>0</v>
      </c>
      <c r="K36" s="111" t="str">
        <f>K35</f>
        <v>BANK MASUK</v>
      </c>
      <c r="L36" s="151" t="str">
        <f>"ANGSURAN PIRUT DARI "&amp;MID(L35,17,50)</f>
        <v>ANGSURAN PIRUT DARI POTONGAN GAJI BULAN JANUARI 2026</v>
      </c>
    </row>
    <row r="37" spans="1:42" s="111" customFormat="1" ht="12" customHeight="1" x14ac:dyDescent="0.2">
      <c r="A37" s="133"/>
      <c r="B37" s="135" t="str">
        <f>VLOOKUP(F37,BB!$A$8:$C$152,3,0)</f>
        <v>P12</v>
      </c>
      <c r="C37" s="136">
        <f t="shared" si="6"/>
        <v>202601</v>
      </c>
      <c r="D37" s="134" t="str">
        <f t="shared" si="6"/>
        <v>MDR-2601010</v>
      </c>
      <c r="E37" s="139">
        <f t="shared" si="6"/>
        <v>46045</v>
      </c>
      <c r="F37" s="140" t="s">
        <v>227</v>
      </c>
      <c r="G37" s="146">
        <v>0</v>
      </c>
      <c r="H37" s="149">
        <v>3800000</v>
      </c>
      <c r="I37" s="149">
        <f t="shared" si="5"/>
        <v>-3800000</v>
      </c>
      <c r="J37" s="146">
        <f>-J36</f>
        <v>0</v>
      </c>
      <c r="K37" s="111" t="str">
        <f>K36</f>
        <v>BANK MASUK</v>
      </c>
      <c r="L37" s="151" t="s">
        <v>500</v>
      </c>
    </row>
    <row r="38" spans="1:42" s="111" customFormat="1" ht="12" customHeight="1" x14ac:dyDescent="0.2">
      <c r="A38" s="133"/>
      <c r="B38" s="135" t="str">
        <f>VLOOKUP(F38,BB!$A$8:$C$152,3,0)</f>
        <v>LR01A</v>
      </c>
      <c r="C38" s="136">
        <f t="shared" si="6"/>
        <v>202601</v>
      </c>
      <c r="D38" s="134" t="str">
        <f t="shared" si="6"/>
        <v>MDR-2601010</v>
      </c>
      <c r="E38" s="139">
        <f t="shared" si="6"/>
        <v>46045</v>
      </c>
      <c r="F38" s="144" t="s">
        <v>369</v>
      </c>
      <c r="G38" s="146">
        <v>0</v>
      </c>
      <c r="H38" s="146">
        <v>78721704.861111134</v>
      </c>
      <c r="I38" s="149">
        <f t="shared" si="5"/>
        <v>-78721704.861111134</v>
      </c>
      <c r="J38" s="146">
        <f>-J37</f>
        <v>0</v>
      </c>
      <c r="K38" s="111" t="str">
        <f>K37</f>
        <v>BANK MASUK</v>
      </c>
      <c r="L38" s="151" t="str">
        <f>"PENDAPATAN PIRUT "&amp;MID(L35,31,50)</f>
        <v>PENDAPATAN PIRUT BULAN JANUARI 2026</v>
      </c>
    </row>
    <row r="39" spans="1:42" s="111" customFormat="1" ht="12" customHeight="1" x14ac:dyDescent="0.2">
      <c r="A39" s="133"/>
      <c r="B39" s="135" t="str">
        <f>VLOOKUP(F39,BB!$A$8:$C$152,3,0)</f>
        <v>LR02A</v>
      </c>
      <c r="C39" s="136">
        <f t="shared" si="6"/>
        <v>202601</v>
      </c>
      <c r="D39" s="134" t="str">
        <f t="shared" si="6"/>
        <v>MDR-2601010</v>
      </c>
      <c r="E39" s="139">
        <f t="shared" si="6"/>
        <v>46045</v>
      </c>
      <c r="F39" s="144" t="s">
        <v>373</v>
      </c>
      <c r="G39" s="146">
        <f>H36</f>
        <v>60419861.111111104</v>
      </c>
      <c r="H39" s="146">
        <v>0</v>
      </c>
      <c r="I39" s="149">
        <f t="shared" si="5"/>
        <v>60419861.111111104</v>
      </c>
      <c r="J39" s="146">
        <f>-J38</f>
        <v>0</v>
      </c>
      <c r="K39" s="111" t="str">
        <f>K38</f>
        <v>BANK MASUK</v>
      </c>
      <c r="L39" s="151" t="str">
        <f>"HPP "&amp;MID(L38,12,50)</f>
        <v>HPP PIRUT BULAN JANUARI 2026</v>
      </c>
    </row>
    <row r="40" spans="1:42" s="111" customFormat="1" ht="12" customHeight="1" x14ac:dyDescent="0.2">
      <c r="A40" s="133"/>
      <c r="B40" s="135" t="str">
        <f>VLOOKUP(F40,BB!$A$8:$C$152,3,0)</f>
        <v>LR07</v>
      </c>
      <c r="C40" s="136">
        <f t="shared" si="6"/>
        <v>202601</v>
      </c>
      <c r="D40" s="134" t="str">
        <f t="shared" si="6"/>
        <v>MDR-2601010</v>
      </c>
      <c r="E40" s="139">
        <f t="shared" si="6"/>
        <v>46045</v>
      </c>
      <c r="F40" s="144" t="s">
        <v>249</v>
      </c>
      <c r="G40" s="146">
        <f>IF(SUM(I35:I39)&lt;0,-SUM(I35:I39),0)</f>
        <v>0.86111113429069519</v>
      </c>
      <c r="H40" s="146">
        <f>IF(SUM(I35:I39)&gt;0,-SUM(J35:J39),0)</f>
        <v>0</v>
      </c>
      <c r="I40" s="149">
        <f t="shared" si="5"/>
        <v>0.86111113429069519</v>
      </c>
      <c r="J40" s="146">
        <f>-J39</f>
        <v>0</v>
      </c>
      <c r="K40" s="111" t="str">
        <f>K39</f>
        <v>BANK MASUK</v>
      </c>
      <c r="L40" s="151" t="s">
        <v>434</v>
      </c>
    </row>
    <row r="41" spans="1:42" s="111" customFormat="1" ht="12" customHeight="1" x14ac:dyDescent="0.2">
      <c r="A41" s="133"/>
      <c r="B41" s="135"/>
      <c r="C41" s="136"/>
      <c r="D41" s="134"/>
      <c r="E41" s="139"/>
      <c r="F41" s="144"/>
      <c r="G41" s="146"/>
      <c r="H41" s="149"/>
      <c r="I41" s="149"/>
      <c r="J41" s="146"/>
      <c r="L41" s="151"/>
    </row>
    <row r="42" spans="1:42" s="111" customFormat="1" ht="12" customHeight="1" x14ac:dyDescent="0.2">
      <c r="A42" s="133"/>
      <c r="B42" s="135" t="str">
        <f>VLOOKUP(F42,BB!$A$8:$C$152,3,0)</f>
        <v>A02</v>
      </c>
      <c r="C42" s="136">
        <v>202601</v>
      </c>
      <c r="D42" s="134" t="s">
        <v>558</v>
      </c>
      <c r="E42" s="139">
        <v>46049</v>
      </c>
      <c r="F42" s="144" t="s">
        <v>166</v>
      </c>
      <c r="G42" s="149">
        <v>0</v>
      </c>
      <c r="H42" s="149">
        <v>10000000</v>
      </c>
      <c r="I42" s="149">
        <f>IF(G42&lt;&gt;0,G42,-H42)</f>
        <v>-10000000</v>
      </c>
      <c r="J42" s="149">
        <v>0</v>
      </c>
      <c r="K42" s="111" t="s">
        <v>304</v>
      </c>
      <c r="L42" s="151" t="s">
        <v>559</v>
      </c>
    </row>
    <row r="43" spans="1:42" s="111" customFormat="1" ht="12" customHeight="1" x14ac:dyDescent="0.2">
      <c r="A43" s="133"/>
      <c r="B43" s="135" t="str">
        <f>VLOOKUP(F43,BB!$A$8:$C$152,3,0)</f>
        <v>A04A</v>
      </c>
      <c r="C43" s="136">
        <f>C42</f>
        <v>202601</v>
      </c>
      <c r="D43" s="134" t="str">
        <f>D42</f>
        <v>MDR-2601011</v>
      </c>
      <c r="E43" s="139">
        <f>E42</f>
        <v>46049</v>
      </c>
      <c r="F43" s="144" t="s">
        <v>468</v>
      </c>
      <c r="G43" s="146">
        <f>+H42</f>
        <v>10000000</v>
      </c>
      <c r="H43" s="149">
        <v>0</v>
      </c>
      <c r="I43" s="149">
        <f>IF(G43&lt;&gt;0,G43,-H43)</f>
        <v>10000000</v>
      </c>
      <c r="J43" s="146">
        <f>-J42</f>
        <v>0</v>
      </c>
      <c r="K43" s="111" t="str">
        <f>K42</f>
        <v>BANK KELUAR</v>
      </c>
      <c r="L43" s="151" t="str">
        <f>L42</f>
        <v>PINJAMAN RUTIN SUMARSONO, 24X</v>
      </c>
    </row>
    <row r="44" spans="1:42" s="111" customFormat="1" ht="12" customHeight="1" x14ac:dyDescent="0.2">
      <c r="A44" s="133"/>
      <c r="B44" s="135"/>
      <c r="C44" s="136"/>
      <c r="D44" s="134"/>
      <c r="E44" s="139"/>
      <c r="F44" s="144"/>
      <c r="G44" s="146"/>
      <c r="H44" s="149"/>
      <c r="I44" s="149"/>
      <c r="J44" s="146"/>
      <c r="L44" s="151"/>
    </row>
    <row r="45" spans="1:42" s="111" customFormat="1" ht="12" customHeight="1" x14ac:dyDescent="0.2">
      <c r="A45" s="133"/>
      <c r="B45" s="135" t="str">
        <f>VLOOKUP(F45,BB!$A$8:$C$152,3,0)</f>
        <v>A02</v>
      </c>
      <c r="C45" s="136">
        <v>202601</v>
      </c>
      <c r="D45" s="134" t="s">
        <v>560</v>
      </c>
      <c r="E45" s="139">
        <v>46049</v>
      </c>
      <c r="F45" s="144" t="s">
        <v>166</v>
      </c>
      <c r="G45" s="149">
        <v>0</v>
      </c>
      <c r="H45" s="149">
        <v>11608500</v>
      </c>
      <c r="I45" s="191">
        <f>IF(G45&lt;&gt;0,G45,-H45)</f>
        <v>-11608500</v>
      </c>
      <c r="J45" s="149">
        <v>0</v>
      </c>
      <c r="K45" s="111" t="s">
        <v>304</v>
      </c>
      <c r="L45" s="151" t="s">
        <v>562</v>
      </c>
    </row>
    <row r="46" spans="1:42" s="111" customFormat="1" ht="12" customHeight="1" x14ac:dyDescent="0.2">
      <c r="A46" s="133"/>
      <c r="B46" s="135" t="str">
        <f>VLOOKUP(F46,BB!$A$8:$C$152,3,0)</f>
        <v>P05</v>
      </c>
      <c r="C46" s="136">
        <f t="shared" ref="C46:E46" si="7">+C45</f>
        <v>202601</v>
      </c>
      <c r="D46" s="134" t="str">
        <f t="shared" si="7"/>
        <v>MDR-2601012</v>
      </c>
      <c r="E46" s="139">
        <f t="shared" si="7"/>
        <v>46049</v>
      </c>
      <c r="F46" s="144" t="s">
        <v>439</v>
      </c>
      <c r="G46" s="149">
        <f>+H45</f>
        <v>11608500</v>
      </c>
      <c r="H46" s="149">
        <v>0</v>
      </c>
      <c r="I46" s="191">
        <f>IF(G46&lt;&gt;0,G46,-H46)</f>
        <v>11608500</v>
      </c>
      <c r="J46" s="146">
        <v>0</v>
      </c>
      <c r="K46" s="111" t="s">
        <v>304</v>
      </c>
      <c r="L46" s="151" t="str">
        <f>+L45</f>
        <v>PEMBAYARAN KE ORIX SEWA BULAN KE 43 (JAN)</v>
      </c>
    </row>
    <row r="47" spans="1:42" s="111" customFormat="1" ht="12" customHeight="1" x14ac:dyDescent="0.2">
      <c r="A47" s="133"/>
      <c r="B47" s="135"/>
      <c r="C47" s="136"/>
      <c r="D47" s="134"/>
      <c r="E47" s="139"/>
      <c r="F47" s="144"/>
      <c r="G47" s="146"/>
      <c r="H47" s="149"/>
      <c r="I47" s="149"/>
      <c r="J47" s="146"/>
      <c r="L47" s="151"/>
    </row>
    <row r="48" spans="1:42" s="111" customFormat="1" ht="12" customHeight="1" x14ac:dyDescent="0.2">
      <c r="A48" s="133"/>
      <c r="B48" s="135" t="str">
        <f>VLOOKUP(F48,BB!$A$8:$C$152,3,0)</f>
        <v>A02</v>
      </c>
      <c r="C48" s="136">
        <v>202601</v>
      </c>
      <c r="D48" s="134" t="s">
        <v>561</v>
      </c>
      <c r="E48" s="139">
        <v>46049</v>
      </c>
      <c r="F48" s="144" t="s">
        <v>166</v>
      </c>
      <c r="G48" s="149">
        <v>0</v>
      </c>
      <c r="H48" s="149">
        <v>2900</v>
      </c>
      <c r="I48" s="149">
        <f>IF(G48&lt;&gt;0,G48,-H48)</f>
        <v>-2900</v>
      </c>
      <c r="J48" s="149">
        <v>0</v>
      </c>
      <c r="K48" s="111" t="s">
        <v>304</v>
      </c>
      <c r="L48" s="152" t="s">
        <v>407</v>
      </c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</row>
    <row r="49" spans="1:12" s="111" customFormat="1" ht="12" customHeight="1" x14ac:dyDescent="0.2">
      <c r="A49" s="133"/>
      <c r="B49" s="135" t="str">
        <f>VLOOKUP(F49,BB!$A$8:$C$152,3,0)</f>
        <v>LR07</v>
      </c>
      <c r="C49" s="136">
        <f>+C48</f>
        <v>202601</v>
      </c>
      <c r="D49" s="134" t="str">
        <f>+D48</f>
        <v>MDR-2601013</v>
      </c>
      <c r="E49" s="139">
        <f>+E48</f>
        <v>46049</v>
      </c>
      <c r="F49" s="144" t="s">
        <v>248</v>
      </c>
      <c r="G49" s="146">
        <f>+H48</f>
        <v>2900</v>
      </c>
      <c r="H49" s="149">
        <v>0</v>
      </c>
      <c r="I49" s="149">
        <f>IF(G49&lt;&gt;0,G49,-H49)</f>
        <v>2900</v>
      </c>
      <c r="J49" s="146">
        <v>0</v>
      </c>
      <c r="K49" s="111" t="s">
        <v>304</v>
      </c>
      <c r="L49" s="151" t="str">
        <f>+L48</f>
        <v>CLEARING FEE</v>
      </c>
    </row>
    <row r="50" spans="1:12" s="111" customFormat="1" ht="12" customHeight="1" x14ac:dyDescent="0.2">
      <c r="A50" s="133"/>
      <c r="B50" s="135"/>
      <c r="C50" s="136"/>
      <c r="D50" s="134"/>
      <c r="E50" s="139"/>
      <c r="F50" s="144"/>
      <c r="G50" s="146"/>
      <c r="H50" s="149"/>
      <c r="I50" s="149"/>
      <c r="J50" s="146"/>
      <c r="L50" s="151"/>
    </row>
    <row r="51" spans="1:12" s="111" customFormat="1" ht="12" customHeight="1" x14ac:dyDescent="0.2">
      <c r="A51" s="133"/>
      <c r="B51" s="135" t="str">
        <f>VLOOKUP(F51,BB!$A$8:$C$152,3,0)</f>
        <v>A02</v>
      </c>
      <c r="C51" s="136">
        <v>202601</v>
      </c>
      <c r="D51" s="134" t="s">
        <v>563</v>
      </c>
      <c r="E51" s="139">
        <v>46049</v>
      </c>
      <c r="F51" s="144" t="s">
        <v>166</v>
      </c>
      <c r="G51" s="149">
        <v>0</v>
      </c>
      <c r="H51" s="149">
        <v>27833333</v>
      </c>
      <c r="I51" s="149">
        <f>IF(G51&lt;&gt;0,G51,-H51)</f>
        <v>-27833333</v>
      </c>
      <c r="J51" s="149">
        <v>0</v>
      </c>
      <c r="K51" s="111" t="s">
        <v>304</v>
      </c>
      <c r="L51" s="151" t="s">
        <v>564</v>
      </c>
    </row>
    <row r="52" spans="1:12" s="111" customFormat="1" ht="12" customHeight="1" x14ac:dyDescent="0.2">
      <c r="A52" s="133"/>
      <c r="B52" s="135" t="str">
        <f>VLOOKUP(F52,BB!$A$8:$C$152,3,0)</f>
        <v>A04A</v>
      </c>
      <c r="C52" s="136">
        <f t="shared" ref="C52:E53" si="8">C51</f>
        <v>202601</v>
      </c>
      <c r="D52" s="134" t="str">
        <f t="shared" si="8"/>
        <v>MDR-2601014</v>
      </c>
      <c r="E52" s="139">
        <f t="shared" si="8"/>
        <v>46049</v>
      </c>
      <c r="F52" s="144" t="s">
        <v>468</v>
      </c>
      <c r="G52" s="146">
        <v>100000000</v>
      </c>
      <c r="H52" s="149">
        <v>0</v>
      </c>
      <c r="I52" s="149">
        <f>IF(G52&lt;&gt;0,G52,-H52)</f>
        <v>100000000</v>
      </c>
      <c r="J52" s="146">
        <f>-J51</f>
        <v>0</v>
      </c>
      <c r="K52" s="111" t="str">
        <f>K51</f>
        <v>BANK KELUAR</v>
      </c>
      <c r="L52" s="151" t="str">
        <f>L51</f>
        <v>PINJAMAN RUTIN DARWANTO, 60X, KOMPENSASI</v>
      </c>
    </row>
    <row r="53" spans="1:12" s="111" customFormat="1" ht="12" customHeight="1" x14ac:dyDescent="0.2">
      <c r="A53" s="133"/>
      <c r="B53" s="135" t="str">
        <f>VLOOKUP(F53,BB!$A$8:$C$152,3,0)</f>
        <v>A04A</v>
      </c>
      <c r="C53" s="136">
        <f t="shared" si="8"/>
        <v>202601</v>
      </c>
      <c r="D53" s="134" t="str">
        <f t="shared" si="8"/>
        <v>MDR-2601014</v>
      </c>
      <c r="E53" s="139">
        <f t="shared" si="8"/>
        <v>46049</v>
      </c>
      <c r="F53" s="144" t="s">
        <v>468</v>
      </c>
      <c r="G53" s="146">
        <v>0</v>
      </c>
      <c r="H53" s="149">
        <f>G52-H51</f>
        <v>72166667</v>
      </c>
      <c r="I53" s="149">
        <f>IF(G53&lt;&gt;0,G53,-H53)</f>
        <v>-72166667</v>
      </c>
      <c r="J53" s="146">
        <f>-J52</f>
        <v>0</v>
      </c>
      <c r="K53" s="111" t="str">
        <f>K52</f>
        <v>BANK KELUAR</v>
      </c>
      <c r="L53" s="151" t="str">
        <f>L52</f>
        <v>PINJAMAN RUTIN DARWANTO, 60X, KOMPENSASI</v>
      </c>
    </row>
    <row r="54" spans="1:12" s="111" customFormat="1" ht="12" customHeight="1" x14ac:dyDescent="0.2">
      <c r="A54" s="133"/>
      <c r="B54" s="135"/>
      <c r="C54" s="136"/>
      <c r="D54" s="134"/>
      <c r="E54" s="139"/>
      <c r="F54" s="144"/>
      <c r="G54" s="146"/>
      <c r="H54" s="149"/>
      <c r="I54" s="149"/>
      <c r="J54" s="146"/>
      <c r="L54" s="151"/>
    </row>
    <row r="55" spans="1:12" s="111" customFormat="1" ht="12" customHeight="1" x14ac:dyDescent="0.2">
      <c r="A55" s="133"/>
      <c r="B55" s="135" t="str">
        <f>VLOOKUP(F55,BB!$A$8:$C$152,3,0)</f>
        <v>A02</v>
      </c>
      <c r="C55" s="136">
        <v>202601</v>
      </c>
      <c r="D55" s="134" t="s">
        <v>565</v>
      </c>
      <c r="E55" s="139">
        <v>46050</v>
      </c>
      <c r="F55" s="144" t="s">
        <v>166</v>
      </c>
      <c r="G55" s="149">
        <v>15680000</v>
      </c>
      <c r="H55" s="149">
        <v>0</v>
      </c>
      <c r="I55" s="189">
        <f>IF(G55&lt;&gt;0,G55,-H55)</f>
        <v>15680000</v>
      </c>
      <c r="J55" s="149">
        <v>0</v>
      </c>
      <c r="K55" s="111" t="s">
        <v>305</v>
      </c>
      <c r="L55" s="152" t="s">
        <v>566</v>
      </c>
    </row>
    <row r="56" spans="1:12" s="111" customFormat="1" ht="12" customHeight="1" x14ac:dyDescent="0.2">
      <c r="A56" s="133"/>
      <c r="B56" s="135" t="str">
        <f>VLOOKUP(F56,BB!$A$8:$C$152,3,0)</f>
        <v>A04B</v>
      </c>
      <c r="C56" s="136">
        <f t="shared" ref="C56:E56" si="9">C55</f>
        <v>202601</v>
      </c>
      <c r="D56" s="136" t="str">
        <f t="shared" si="9"/>
        <v>MDR-2601015</v>
      </c>
      <c r="E56" s="186">
        <f t="shared" si="9"/>
        <v>46050</v>
      </c>
      <c r="F56" s="144" t="s">
        <v>464</v>
      </c>
      <c r="G56" s="146">
        <v>0</v>
      </c>
      <c r="H56" s="149">
        <f>+G55</f>
        <v>15680000</v>
      </c>
      <c r="I56" s="189">
        <f>IF(G56&lt;&gt;0,G56,-H56)</f>
        <v>-15680000</v>
      </c>
      <c r="J56" s="146">
        <v>0</v>
      </c>
      <c r="K56" s="111" t="str">
        <f>K55</f>
        <v>BANK MASUK</v>
      </c>
      <c r="L56" s="151" t="str">
        <f>L55</f>
        <v>TERIMA DARI GCS SEWA FORKLIFT PERIODE 202512</v>
      </c>
    </row>
    <row r="57" spans="1:12" s="111" customFormat="1" ht="12" customHeight="1" x14ac:dyDescent="0.2">
      <c r="A57" s="133"/>
      <c r="B57" s="135"/>
      <c r="C57" s="136"/>
      <c r="D57" s="134"/>
      <c r="E57" s="139"/>
      <c r="F57" s="144"/>
      <c r="G57" s="146"/>
      <c r="H57" s="149"/>
      <c r="I57" s="149"/>
      <c r="J57" s="146"/>
      <c r="L57" s="151"/>
    </row>
    <row r="58" spans="1:12" s="111" customFormat="1" ht="12" customHeight="1" x14ac:dyDescent="0.2">
      <c r="A58" s="133"/>
      <c r="B58" s="135" t="str">
        <f>VLOOKUP(F58,BB!$A$8:$C$152,3,0)</f>
        <v>A02</v>
      </c>
      <c r="C58" s="136">
        <v>202601</v>
      </c>
      <c r="D58" s="134" t="s">
        <v>567</v>
      </c>
      <c r="E58" s="139">
        <v>46052</v>
      </c>
      <c r="F58" s="140" t="s">
        <v>166</v>
      </c>
      <c r="G58" s="149">
        <v>11760000</v>
      </c>
      <c r="H58" s="149">
        <v>0</v>
      </c>
      <c r="I58" s="198">
        <f>IF(G58&lt;&gt;0,G58,-H58)</f>
        <v>11760000</v>
      </c>
      <c r="J58" s="149">
        <v>0</v>
      </c>
      <c r="K58" s="111" t="s">
        <v>305</v>
      </c>
      <c r="L58" s="152" t="s">
        <v>568</v>
      </c>
    </row>
    <row r="59" spans="1:12" s="111" customFormat="1" ht="12" customHeight="1" x14ac:dyDescent="0.2">
      <c r="A59" s="133"/>
      <c r="B59" s="135" t="str">
        <f>VLOOKUP(F59,BB!$A$8:$C$152,3,0)</f>
        <v>A04B</v>
      </c>
      <c r="C59" s="136">
        <f>C58</f>
        <v>202601</v>
      </c>
      <c r="D59" s="134" t="str">
        <f>D58</f>
        <v>MDR-2601016</v>
      </c>
      <c r="E59" s="139">
        <f>E58</f>
        <v>46052</v>
      </c>
      <c r="F59" s="144" t="s">
        <v>461</v>
      </c>
      <c r="G59" s="146">
        <f>H58</f>
        <v>0</v>
      </c>
      <c r="H59" s="149">
        <f>G58</f>
        <v>11760000</v>
      </c>
      <c r="I59" s="198">
        <f>IF(G59&lt;&gt;0,G59,-H59)</f>
        <v>-11760000</v>
      </c>
      <c r="J59" s="146">
        <f>-J58</f>
        <v>0</v>
      </c>
      <c r="K59" s="111" t="str">
        <f>K58</f>
        <v>BANK MASUK</v>
      </c>
      <c r="L59" s="151" t="str">
        <f>L58</f>
        <v>TERIMA SEWA KENDARAAN 1 UNIT MOBIL PERIODE BLN MEI 2025</v>
      </c>
    </row>
    <row r="60" spans="1:12" s="111" customFormat="1" ht="12" customHeight="1" x14ac:dyDescent="0.2">
      <c r="A60" s="133"/>
      <c r="B60" s="135"/>
      <c r="C60" s="136"/>
      <c r="D60" s="134"/>
      <c r="E60" s="139"/>
      <c r="F60" s="144"/>
      <c r="G60" s="146"/>
      <c r="H60" s="149"/>
      <c r="I60" s="149"/>
      <c r="J60" s="146"/>
      <c r="L60" s="151"/>
    </row>
    <row r="61" spans="1:12" s="111" customFormat="1" ht="12" customHeight="1" x14ac:dyDescent="0.2">
      <c r="A61" s="133"/>
      <c r="B61" s="135" t="str">
        <f>VLOOKUP(F61,BB!$A$8:$C$152,3,0)</f>
        <v>A02</v>
      </c>
      <c r="C61" s="136">
        <v>202601</v>
      </c>
      <c r="D61" s="134" t="s">
        <v>569</v>
      </c>
      <c r="E61" s="139">
        <v>46052</v>
      </c>
      <c r="F61" s="140" t="s">
        <v>166</v>
      </c>
      <c r="G61" s="149">
        <v>11760000</v>
      </c>
      <c r="H61" s="149">
        <v>0</v>
      </c>
      <c r="I61" s="198">
        <f>IF(G61&lt;&gt;0,G61,-H61)</f>
        <v>11760000</v>
      </c>
      <c r="J61" s="149">
        <v>0</v>
      </c>
      <c r="K61" s="111" t="s">
        <v>305</v>
      </c>
      <c r="L61" s="152" t="s">
        <v>572</v>
      </c>
    </row>
    <row r="62" spans="1:12" s="111" customFormat="1" ht="12" customHeight="1" x14ac:dyDescent="0.2">
      <c r="A62" s="133"/>
      <c r="B62" s="135" t="str">
        <f>VLOOKUP(F62,BB!$A$8:$C$152,3,0)</f>
        <v>A04B</v>
      </c>
      <c r="C62" s="136">
        <f>C61</f>
        <v>202601</v>
      </c>
      <c r="D62" s="134" t="str">
        <f>D61</f>
        <v>MDR-2601017</v>
      </c>
      <c r="E62" s="139">
        <f>E61</f>
        <v>46052</v>
      </c>
      <c r="F62" s="144" t="s">
        <v>461</v>
      </c>
      <c r="G62" s="146">
        <f>H61</f>
        <v>0</v>
      </c>
      <c r="H62" s="149">
        <f>G61</f>
        <v>11760000</v>
      </c>
      <c r="I62" s="198">
        <f>IF(G62&lt;&gt;0,G62,-H62)</f>
        <v>-11760000</v>
      </c>
      <c r="J62" s="146">
        <f>-J61</f>
        <v>0</v>
      </c>
      <c r="K62" s="111" t="str">
        <f>K61</f>
        <v>BANK MASUK</v>
      </c>
      <c r="L62" s="151" t="str">
        <f>L61</f>
        <v>TERIMA SEWA KENDARAAN 1 UNIT MOBIL PERIODE BLN JUNI 2025</v>
      </c>
    </row>
    <row r="63" spans="1:12" s="111" customFormat="1" ht="12" customHeight="1" x14ac:dyDescent="0.2">
      <c r="A63" s="133"/>
      <c r="B63" s="135"/>
      <c r="C63" s="136"/>
      <c r="D63" s="134"/>
      <c r="E63" s="139"/>
      <c r="F63" s="144"/>
      <c r="G63" s="146"/>
      <c r="H63" s="149"/>
      <c r="I63" s="149"/>
      <c r="J63" s="146"/>
      <c r="L63" s="151"/>
    </row>
    <row r="64" spans="1:12" s="111" customFormat="1" ht="12" customHeight="1" x14ac:dyDescent="0.2">
      <c r="A64" s="133"/>
      <c r="B64" s="135" t="str">
        <f>VLOOKUP(F64,BB!$A$8:$C$152,3,0)</f>
        <v>A02</v>
      </c>
      <c r="C64" s="136">
        <v>202601</v>
      </c>
      <c r="D64" s="134" t="s">
        <v>570</v>
      </c>
      <c r="E64" s="139">
        <v>46052</v>
      </c>
      <c r="F64" s="140" t="s">
        <v>166</v>
      </c>
      <c r="G64" s="149">
        <v>11760000</v>
      </c>
      <c r="H64" s="149">
        <v>0</v>
      </c>
      <c r="I64" s="198">
        <f>IF(G64&lt;&gt;0,G64,-H64)</f>
        <v>11760000</v>
      </c>
      <c r="J64" s="149">
        <v>0</v>
      </c>
      <c r="K64" s="111" t="s">
        <v>305</v>
      </c>
      <c r="L64" s="152" t="s">
        <v>573</v>
      </c>
    </row>
    <row r="65" spans="1:12" s="111" customFormat="1" ht="12" customHeight="1" x14ac:dyDescent="0.2">
      <c r="A65" s="133"/>
      <c r="B65" s="135" t="str">
        <f>VLOOKUP(F65,BB!$A$8:$C$152,3,0)</f>
        <v>A04B</v>
      </c>
      <c r="C65" s="136">
        <f>C64</f>
        <v>202601</v>
      </c>
      <c r="D65" s="134" t="str">
        <f>D64</f>
        <v>MDR-2601018</v>
      </c>
      <c r="E65" s="139">
        <f>E64</f>
        <v>46052</v>
      </c>
      <c r="F65" s="144" t="s">
        <v>461</v>
      </c>
      <c r="G65" s="146">
        <f>H64</f>
        <v>0</v>
      </c>
      <c r="H65" s="149">
        <f>G64</f>
        <v>11760000</v>
      </c>
      <c r="I65" s="198">
        <f>IF(G65&lt;&gt;0,G65,-H65)</f>
        <v>-11760000</v>
      </c>
      <c r="J65" s="146">
        <f>-J64</f>
        <v>0</v>
      </c>
      <c r="K65" s="111" t="str">
        <f>K64</f>
        <v>BANK MASUK</v>
      </c>
      <c r="L65" s="151" t="str">
        <f>L64</f>
        <v>TERIMA SEWA KENDARAAN 1 UNIT MOBIL PERIODE BLN JULI 2025</v>
      </c>
    </row>
    <row r="66" spans="1:12" s="111" customFormat="1" ht="12" customHeight="1" x14ac:dyDescent="0.2">
      <c r="A66" s="133"/>
      <c r="B66" s="135"/>
      <c r="C66" s="136"/>
      <c r="D66" s="134"/>
      <c r="E66" s="139"/>
      <c r="F66" s="144"/>
      <c r="G66" s="146"/>
      <c r="H66" s="149"/>
      <c r="I66" s="149"/>
      <c r="J66" s="146"/>
      <c r="L66" s="151"/>
    </row>
    <row r="67" spans="1:12" s="111" customFormat="1" ht="12" customHeight="1" x14ac:dyDescent="0.2">
      <c r="A67" s="133"/>
      <c r="B67" s="135" t="str">
        <f>VLOOKUP(F67,BB!$A$8:$C$152,3,0)</f>
        <v>A02</v>
      </c>
      <c r="C67" s="136">
        <v>202601</v>
      </c>
      <c r="D67" s="134" t="s">
        <v>571</v>
      </c>
      <c r="E67" s="139">
        <v>46052</v>
      </c>
      <c r="F67" s="140" t="s">
        <v>166</v>
      </c>
      <c r="G67" s="149">
        <v>11760000</v>
      </c>
      <c r="H67" s="149">
        <v>0</v>
      </c>
      <c r="I67" s="198">
        <f>IF(G67&lt;&gt;0,G67,-H67)</f>
        <v>11760000</v>
      </c>
      <c r="J67" s="149">
        <v>0</v>
      </c>
      <c r="K67" s="111" t="s">
        <v>305</v>
      </c>
      <c r="L67" s="152" t="s">
        <v>574</v>
      </c>
    </row>
    <row r="68" spans="1:12" s="111" customFormat="1" ht="12" customHeight="1" x14ac:dyDescent="0.2">
      <c r="A68" s="133"/>
      <c r="B68" s="135" t="str">
        <f>VLOOKUP(F68,BB!$A$8:$C$152,3,0)</f>
        <v>A04B</v>
      </c>
      <c r="C68" s="136">
        <f>C67</f>
        <v>202601</v>
      </c>
      <c r="D68" s="134" t="str">
        <f>D67</f>
        <v>MDR-2601019</v>
      </c>
      <c r="E68" s="139">
        <f>E67</f>
        <v>46052</v>
      </c>
      <c r="F68" s="144" t="s">
        <v>461</v>
      </c>
      <c r="G68" s="146">
        <f>H67</f>
        <v>0</v>
      </c>
      <c r="H68" s="149">
        <f>G67</f>
        <v>11760000</v>
      </c>
      <c r="I68" s="198">
        <f>IF(G68&lt;&gt;0,G68,-H68)</f>
        <v>-11760000</v>
      </c>
      <c r="J68" s="146">
        <f>-J67</f>
        <v>0</v>
      </c>
      <c r="K68" s="111" t="str">
        <f>K67</f>
        <v>BANK MASUK</v>
      </c>
      <c r="L68" s="151" t="str">
        <f>L67</f>
        <v>TERIMA SEWA KENDARAAN 1 UNIT MOBIL PERIODE BLN AGUSTUS 2025</v>
      </c>
    </row>
    <row r="69" spans="1:12" s="111" customFormat="1" ht="12" customHeight="1" x14ac:dyDescent="0.2">
      <c r="A69" s="133"/>
      <c r="B69" s="135"/>
      <c r="C69" s="136"/>
      <c r="D69" s="134"/>
      <c r="E69" s="139"/>
      <c r="F69" s="144"/>
      <c r="G69" s="146"/>
      <c r="H69" s="149"/>
      <c r="I69" s="149"/>
      <c r="J69" s="146"/>
      <c r="L69" s="151"/>
    </row>
    <row r="70" spans="1:12" s="111" customFormat="1" ht="12" customHeight="1" x14ac:dyDescent="0.2">
      <c r="A70" s="133"/>
      <c r="B70" s="135" t="str">
        <f>VLOOKUP(F70,BB!$A$8:$C$152,3,0)</f>
        <v>A02</v>
      </c>
      <c r="C70" s="136">
        <v>202601</v>
      </c>
      <c r="D70" s="134" t="s">
        <v>604</v>
      </c>
      <c r="E70" s="139">
        <v>46053</v>
      </c>
      <c r="F70" s="144" t="s">
        <v>166</v>
      </c>
      <c r="G70" s="149">
        <f>IF(SUM(I71:I73)&lt;0,-SUM(I71:I73),0)</f>
        <v>40139.299999999996</v>
      </c>
      <c r="H70" s="149">
        <f>IF(SUM(I71:I73)&gt;0,SUM(I71:I73),0)</f>
        <v>0</v>
      </c>
      <c r="I70" s="149">
        <f>IF(G70&lt;&gt;0,G70,-H70)</f>
        <v>40139.299999999996</v>
      </c>
      <c r="J70" s="146">
        <f>-J69</f>
        <v>0</v>
      </c>
      <c r="K70" s="111" t="str">
        <f>IF(I70&gt;0,"BANK MASUK","BANK KELUAR")</f>
        <v>BANK MASUK</v>
      </c>
      <c r="L70" s="151" t="str">
        <f>IF(K70="BANK MASUK","PENDAPATAN ATAS REKENING GIRO MANDIRI","BIAYA ATAS REKENING GIRO MANDIRI")</f>
        <v>PENDAPATAN ATAS REKENING GIRO MANDIRI</v>
      </c>
    </row>
    <row r="71" spans="1:12" s="111" customFormat="1" ht="12" customHeight="1" x14ac:dyDescent="0.2">
      <c r="A71" s="133"/>
      <c r="B71" s="135" t="str">
        <f>VLOOKUP(F71,BB!$A$8:$C$152,3,0)</f>
        <v>LR07</v>
      </c>
      <c r="C71" s="136">
        <f t="shared" ref="C71:E73" si="10">C70</f>
        <v>202601</v>
      </c>
      <c r="D71" s="134" t="str">
        <f t="shared" si="10"/>
        <v>MDR-2601020</v>
      </c>
      <c r="E71" s="139">
        <f t="shared" si="10"/>
        <v>46053</v>
      </c>
      <c r="F71" s="144" t="s">
        <v>248</v>
      </c>
      <c r="G71" s="149">
        <v>25000</v>
      </c>
      <c r="H71" s="149">
        <v>0</v>
      </c>
      <c r="I71" s="149">
        <f>IF(G71&lt;&gt;0,G71,-H71)</f>
        <v>25000</v>
      </c>
      <c r="J71" s="146">
        <f>-J70</f>
        <v>0</v>
      </c>
      <c r="K71" s="111" t="str">
        <f>K70</f>
        <v>BANK MASUK</v>
      </c>
      <c r="L71" s="151" t="s">
        <v>409</v>
      </c>
    </row>
    <row r="72" spans="1:12" s="111" customFormat="1" ht="12" customHeight="1" x14ac:dyDescent="0.2">
      <c r="A72" s="133"/>
      <c r="B72" s="135" t="str">
        <f>VLOOKUP(F72,BB!$A$8:$C$152,3,0)</f>
        <v>LR07</v>
      </c>
      <c r="C72" s="136">
        <f t="shared" si="10"/>
        <v>202601</v>
      </c>
      <c r="D72" s="134" t="str">
        <f t="shared" si="10"/>
        <v>MDR-2601020</v>
      </c>
      <c r="E72" s="139">
        <f t="shared" si="10"/>
        <v>46053</v>
      </c>
      <c r="F72" s="144" t="s">
        <v>248</v>
      </c>
      <c r="G72" s="149">
        <v>0</v>
      </c>
      <c r="H72" s="149">
        <v>81424.12</v>
      </c>
      <c r="I72" s="149">
        <f>IF(G72&lt;&gt;0,G72,-H72)</f>
        <v>-81424.12</v>
      </c>
      <c r="J72" s="146">
        <f>-J71</f>
        <v>0</v>
      </c>
      <c r="K72" s="111" t="str">
        <f>K71</f>
        <v>BANK MASUK</v>
      </c>
      <c r="L72" s="151" t="s">
        <v>410</v>
      </c>
    </row>
    <row r="73" spans="1:12" s="111" customFormat="1" ht="12" customHeight="1" x14ac:dyDescent="0.2">
      <c r="A73" s="133"/>
      <c r="B73" s="135" t="str">
        <f>VLOOKUP(F73,BB!$A$8:$C$152,3,0)</f>
        <v>LR07</v>
      </c>
      <c r="C73" s="136">
        <f t="shared" si="10"/>
        <v>202601</v>
      </c>
      <c r="D73" s="134" t="str">
        <f t="shared" si="10"/>
        <v>MDR-2601020</v>
      </c>
      <c r="E73" s="139">
        <f t="shared" si="10"/>
        <v>46053</v>
      </c>
      <c r="F73" s="144" t="s">
        <v>248</v>
      </c>
      <c r="G73" s="149">
        <v>16284.82</v>
      </c>
      <c r="H73" s="149">
        <v>0</v>
      </c>
      <c r="I73" s="149">
        <f>IF(G73&lt;&gt;0,G73,-H73)</f>
        <v>16284.82</v>
      </c>
      <c r="J73" s="146">
        <f>-J72</f>
        <v>0</v>
      </c>
      <c r="K73" s="111" t="str">
        <f>K72</f>
        <v>BANK MASUK</v>
      </c>
      <c r="L73" s="151" t="s">
        <v>411</v>
      </c>
    </row>
    <row r="74" spans="1:12" s="111" customFormat="1" ht="12" customHeight="1" x14ac:dyDescent="0.2">
      <c r="A74" s="133"/>
      <c r="B74" s="135"/>
      <c r="C74" s="136"/>
      <c r="D74" s="134"/>
      <c r="E74" s="139"/>
      <c r="F74" s="144"/>
      <c r="G74" s="146"/>
      <c r="H74" s="149"/>
      <c r="I74" s="149"/>
      <c r="J74" s="146"/>
      <c r="L74" s="151"/>
    </row>
    <row r="75" spans="1:12" s="111" customFormat="1" ht="12" customHeight="1" x14ac:dyDescent="0.2">
      <c r="A75" s="133"/>
      <c r="B75" s="135" t="str">
        <f>VLOOKUP(F75,BB!$A$8:$C$152,3,0)</f>
        <v>A02</v>
      </c>
      <c r="C75" s="136">
        <v>202601</v>
      </c>
      <c r="D75" s="134" t="s">
        <v>605</v>
      </c>
      <c r="E75" s="139">
        <v>46053</v>
      </c>
      <c r="F75" s="144" t="s">
        <v>167</v>
      </c>
      <c r="G75" s="149">
        <v>0</v>
      </c>
      <c r="H75" s="149">
        <v>30000</v>
      </c>
      <c r="I75" s="149">
        <f>IF(G75&lt;&gt;0,G75,-H75)</f>
        <v>-30000</v>
      </c>
      <c r="J75" s="149">
        <v>0</v>
      </c>
      <c r="K75" s="111" t="s">
        <v>304</v>
      </c>
      <c r="L75" s="151" t="s">
        <v>409</v>
      </c>
    </row>
    <row r="76" spans="1:12" s="111" customFormat="1" ht="12" customHeight="1" x14ac:dyDescent="0.2">
      <c r="A76" s="133"/>
      <c r="B76" s="135" t="str">
        <f>VLOOKUP(F76,BB!$A$8:$C$152,3,0)</f>
        <v>LR07</v>
      </c>
      <c r="C76" s="136">
        <f>C75</f>
        <v>202601</v>
      </c>
      <c r="D76" s="134" t="str">
        <f>D75</f>
        <v>BCA-2601001</v>
      </c>
      <c r="E76" s="139">
        <f>E75</f>
        <v>46053</v>
      </c>
      <c r="F76" s="144" t="s">
        <v>248</v>
      </c>
      <c r="G76" s="146">
        <v>30000</v>
      </c>
      <c r="H76" s="149">
        <v>0</v>
      </c>
      <c r="I76" s="149">
        <f>IF(G76&lt;&gt;0,G76,-H76)</f>
        <v>30000</v>
      </c>
      <c r="J76" s="146">
        <v>0</v>
      </c>
      <c r="K76" s="111" t="s">
        <v>304</v>
      </c>
      <c r="L76" s="151" t="s">
        <v>409</v>
      </c>
    </row>
    <row r="77" spans="1:12" s="111" customFormat="1" ht="12" customHeight="1" x14ac:dyDescent="0.2">
      <c r="A77" s="133"/>
      <c r="B77" s="135"/>
      <c r="C77" s="136"/>
      <c r="D77" s="134"/>
      <c r="E77" s="139"/>
      <c r="F77" s="144"/>
      <c r="G77" s="146"/>
      <c r="H77" s="149"/>
      <c r="I77" s="149"/>
      <c r="J77" s="146"/>
      <c r="L77" s="151"/>
    </row>
    <row r="78" spans="1:12" s="111" customFormat="1" ht="12" customHeight="1" x14ac:dyDescent="0.2">
      <c r="A78" s="133"/>
      <c r="B78" s="135" t="str">
        <f>VLOOKUP(F78,BB!$A$8:$C$152,3,0)</f>
        <v>A01</v>
      </c>
      <c r="C78" s="136">
        <v>202601</v>
      </c>
      <c r="D78" s="134" t="s">
        <v>721</v>
      </c>
      <c r="E78" s="139">
        <v>46028</v>
      </c>
      <c r="F78" s="144" t="s">
        <v>163</v>
      </c>
      <c r="G78" s="149">
        <v>350000</v>
      </c>
      <c r="H78" s="149">
        <v>0</v>
      </c>
      <c r="I78" s="149">
        <f>IF(G78&lt;&gt;0,G78,-H78)</f>
        <v>350000</v>
      </c>
      <c r="J78" s="149">
        <v>0</v>
      </c>
      <c r="K78" s="111" t="s">
        <v>509</v>
      </c>
      <c r="L78" s="152" t="s">
        <v>527</v>
      </c>
    </row>
    <row r="79" spans="1:12" s="111" customFormat="1" ht="12" customHeight="1" x14ac:dyDescent="0.2">
      <c r="A79" s="133"/>
      <c r="B79" s="135" t="str">
        <f>VLOOKUP(F79,BB!$A$8:$C$152,3,0)</f>
        <v>A04A</v>
      </c>
      <c r="C79" s="136">
        <f t="shared" ref="C79:E80" si="11">C78</f>
        <v>202601</v>
      </c>
      <c r="D79" s="134" t="str">
        <f t="shared" si="11"/>
        <v>KAS-2601001</v>
      </c>
      <c r="E79" s="139">
        <f t="shared" si="11"/>
        <v>46028</v>
      </c>
      <c r="F79" s="144" t="s">
        <v>471</v>
      </c>
      <c r="G79" s="146">
        <v>0</v>
      </c>
      <c r="H79" s="149">
        <f>+G78</f>
        <v>350000</v>
      </c>
      <c r="I79" s="149">
        <f>IF(G79&lt;&gt;0,G79,-H79)</f>
        <v>-350000</v>
      </c>
      <c r="J79" s="146">
        <f>-J78</f>
        <v>0</v>
      </c>
      <c r="K79" s="111" t="str">
        <f>K78</f>
        <v>KAS MASUK</v>
      </c>
      <c r="L79" s="152" t="str">
        <f>L78</f>
        <v>ANGSURAN PINJAMAN LAIN AN. SOLICHIN</v>
      </c>
    </row>
    <row r="80" spans="1:12" s="111" customFormat="1" ht="12" customHeight="1" x14ac:dyDescent="0.2">
      <c r="A80" s="133"/>
      <c r="B80" s="135" t="str">
        <f>VLOOKUP(F80,BB!$A$8:$C$152,3,0)</f>
        <v>LR01C</v>
      </c>
      <c r="C80" s="136">
        <f t="shared" si="11"/>
        <v>202601</v>
      </c>
      <c r="D80" s="134" t="str">
        <f t="shared" si="11"/>
        <v>KAS-2601001</v>
      </c>
      <c r="E80" s="139">
        <f t="shared" si="11"/>
        <v>46028</v>
      </c>
      <c r="F80" s="144" t="s">
        <v>371</v>
      </c>
      <c r="G80" s="146">
        <v>0</v>
      </c>
      <c r="H80" s="149">
        <f>G78-H79</f>
        <v>0</v>
      </c>
      <c r="I80" s="149">
        <f>IF(G80&lt;&gt;0,G80,-H80)</f>
        <v>0</v>
      </c>
      <c r="J80" s="146">
        <f>-J79</f>
        <v>0</v>
      </c>
      <c r="K80" s="111" t="str">
        <f>K79</f>
        <v>KAS MASUK</v>
      </c>
      <c r="L80" s="152" t="str">
        <f>"PENDAPATAN ATAS PINJAMAN LAIN "&amp;MID(L79,24,20)</f>
        <v>PENDAPATAN ATAS PINJAMAN LAIN AN. SOLICHIN</v>
      </c>
    </row>
    <row r="81" spans="1:14" s="111" customFormat="1" ht="12" customHeight="1" x14ac:dyDescent="0.2">
      <c r="A81" s="133"/>
      <c r="B81" s="135"/>
      <c r="C81" s="136"/>
      <c r="D81" s="134"/>
      <c r="E81" s="139"/>
      <c r="F81" s="144"/>
      <c r="G81" s="146"/>
      <c r="H81" s="149"/>
      <c r="I81" s="149"/>
      <c r="J81" s="146"/>
      <c r="L81" s="151"/>
    </row>
    <row r="82" spans="1:14" s="111" customFormat="1" ht="12" customHeight="1" x14ac:dyDescent="0.2">
      <c r="A82" s="133"/>
      <c r="B82" s="135" t="str">
        <f>VLOOKUP(F82,BB!$A$8:$C$152,3,0)</f>
        <v>A01</v>
      </c>
      <c r="C82" s="136">
        <v>202601</v>
      </c>
      <c r="D82" s="134" t="s">
        <v>722</v>
      </c>
      <c r="E82" s="139">
        <v>46031</v>
      </c>
      <c r="F82" s="144" t="s">
        <v>163</v>
      </c>
      <c r="G82" s="149">
        <v>425000</v>
      </c>
      <c r="H82" s="149">
        <v>0</v>
      </c>
      <c r="I82" s="149">
        <f>IF(G82&lt;&gt;0,G82,-H82)</f>
        <v>425000</v>
      </c>
      <c r="J82" s="149">
        <v>0</v>
      </c>
      <c r="K82" s="111" t="s">
        <v>509</v>
      </c>
      <c r="L82" s="152" t="s">
        <v>723</v>
      </c>
    </row>
    <row r="83" spans="1:14" s="111" customFormat="1" ht="12" customHeight="1" x14ac:dyDescent="0.2">
      <c r="A83" s="133"/>
      <c r="B83" s="135" t="str">
        <f>VLOOKUP(F83,BB!$A$8:$C$152,3,0)</f>
        <v>A04A</v>
      </c>
      <c r="C83" s="136">
        <f t="shared" ref="C83:E83" si="12">C82</f>
        <v>202601</v>
      </c>
      <c r="D83" s="134" t="str">
        <f t="shared" si="12"/>
        <v>KAS-2601002</v>
      </c>
      <c r="E83" s="139">
        <f t="shared" si="12"/>
        <v>46031</v>
      </c>
      <c r="F83" s="144" t="s">
        <v>471</v>
      </c>
      <c r="G83" s="146">
        <v>0</v>
      </c>
      <c r="H83" s="149">
        <v>250000</v>
      </c>
      <c r="I83" s="149">
        <f>IF(G83&lt;&gt;0,G83,-H83)</f>
        <v>-250000</v>
      </c>
      <c r="J83" s="146">
        <f>-J82</f>
        <v>0</v>
      </c>
      <c r="K83" s="111" t="str">
        <f>K82</f>
        <v>KAS MASUK</v>
      </c>
      <c r="L83" s="152" t="str">
        <f>L82</f>
        <v>PELUNASAN PINJAMAN LAIN AN. ARI WIBOWO</v>
      </c>
    </row>
    <row r="84" spans="1:14" s="111" customFormat="1" ht="12" customHeight="1" x14ac:dyDescent="0.2">
      <c r="A84" s="133"/>
      <c r="B84" s="135" t="str">
        <f>VLOOKUP(F84,BB!$A$8:$C$152,3,0)</f>
        <v>LR01C</v>
      </c>
      <c r="C84" s="136">
        <f t="shared" ref="C84:E84" si="13">C83</f>
        <v>202601</v>
      </c>
      <c r="D84" s="134" t="str">
        <f t="shared" si="13"/>
        <v>KAS-2601002</v>
      </c>
      <c r="E84" s="139">
        <f t="shared" si="13"/>
        <v>46031</v>
      </c>
      <c r="F84" s="144" t="s">
        <v>371</v>
      </c>
      <c r="G84" s="146">
        <v>0</v>
      </c>
      <c r="H84" s="149">
        <f>G82-H83</f>
        <v>175000</v>
      </c>
      <c r="I84" s="149">
        <f>IF(G84&lt;&gt;0,G84,-H84)</f>
        <v>-175000</v>
      </c>
      <c r="J84" s="146">
        <f>-J83</f>
        <v>0</v>
      </c>
      <c r="K84" s="111" t="str">
        <f>K83</f>
        <v>KAS MASUK</v>
      </c>
      <c r="L84" s="152" t="str">
        <f>"PENDAPATAN ATAS PINJAMAN LAIN "&amp;MID(L83,24,20)</f>
        <v>PENDAPATAN ATAS PINJAMAN LAIN  AN. ARI WIBOWO</v>
      </c>
    </row>
    <row r="85" spans="1:14" s="111" customFormat="1" ht="12" customHeight="1" x14ac:dyDescent="0.2">
      <c r="A85" s="133"/>
      <c r="B85" s="135"/>
      <c r="C85" s="136"/>
      <c r="D85" s="134"/>
      <c r="E85" s="139"/>
      <c r="F85" s="144"/>
      <c r="G85" s="146"/>
      <c r="H85" s="149"/>
      <c r="I85" s="149"/>
      <c r="J85" s="146"/>
      <c r="L85" s="151"/>
    </row>
    <row r="86" spans="1:14" s="111" customFormat="1" ht="12" customHeight="1" x14ac:dyDescent="0.2">
      <c r="A86" s="133"/>
      <c r="B86" s="135" t="str">
        <f>VLOOKUP(F86,BB!$A$8:$C$152,3,0)</f>
        <v>A01</v>
      </c>
      <c r="C86" s="136">
        <v>202601</v>
      </c>
      <c r="D86" s="134" t="s">
        <v>724</v>
      </c>
      <c r="E86" s="139">
        <v>46031</v>
      </c>
      <c r="F86" s="144" t="s">
        <v>163</v>
      </c>
      <c r="G86" s="149">
        <v>0</v>
      </c>
      <c r="H86" s="149">
        <v>2000000</v>
      </c>
      <c r="I86" s="149">
        <f>IF(G86&lt;&gt;0,G86,-H86)</f>
        <v>-2000000</v>
      </c>
      <c r="J86" s="149">
        <v>0</v>
      </c>
      <c r="K86" s="111" t="s">
        <v>510</v>
      </c>
      <c r="L86" s="152" t="s">
        <v>725</v>
      </c>
    </row>
    <row r="87" spans="1:14" s="111" customFormat="1" ht="12" customHeight="1" x14ac:dyDescent="0.2">
      <c r="A87" s="133"/>
      <c r="B87" s="135" t="str">
        <f>VLOOKUP(F87,BB!$A$8:$C$152,3,0)</f>
        <v>A04A</v>
      </c>
      <c r="C87" s="136">
        <f>C86</f>
        <v>202601</v>
      </c>
      <c r="D87" s="134" t="str">
        <f>D86</f>
        <v>KAS-2601003</v>
      </c>
      <c r="E87" s="139">
        <f>E86</f>
        <v>46031</v>
      </c>
      <c r="F87" s="144" t="s">
        <v>471</v>
      </c>
      <c r="G87" s="146">
        <f>H86</f>
        <v>2000000</v>
      </c>
      <c r="H87" s="149">
        <f>G86</f>
        <v>0</v>
      </c>
      <c r="I87" s="149">
        <f>IF(G87&lt;&gt;0,G87,-H87)</f>
        <v>2000000</v>
      </c>
      <c r="J87" s="146">
        <f>-J86</f>
        <v>0</v>
      </c>
      <c r="K87" s="111" t="str">
        <f>K86</f>
        <v>KAS KELUAR</v>
      </c>
      <c r="L87" s="151" t="str">
        <f>L86</f>
        <v>PINJAMAN LAIN AN. ARI WIBOWO</v>
      </c>
    </row>
    <row r="88" spans="1:14" s="111" customFormat="1" ht="12" customHeight="1" x14ac:dyDescent="0.2">
      <c r="A88" s="133"/>
      <c r="B88" s="135"/>
      <c r="C88" s="136"/>
      <c r="D88" s="134"/>
      <c r="E88" s="139"/>
      <c r="F88" s="144"/>
      <c r="G88" s="146"/>
      <c r="H88" s="149"/>
      <c r="I88" s="149"/>
      <c r="J88" s="146"/>
      <c r="L88" s="151"/>
    </row>
    <row r="89" spans="1:14" s="111" customFormat="1" ht="12" customHeight="1" x14ac:dyDescent="0.2">
      <c r="A89" s="133"/>
      <c r="B89" s="135" t="str">
        <f>VLOOKUP(F89,BB!$A$8:$C$152,3,0)</f>
        <v>A01</v>
      </c>
      <c r="C89" s="136">
        <v>202601</v>
      </c>
      <c r="D89" s="134" t="s">
        <v>726</v>
      </c>
      <c r="E89" s="139">
        <v>46031</v>
      </c>
      <c r="F89" s="144" t="s">
        <v>163</v>
      </c>
      <c r="G89" s="149">
        <v>1700000</v>
      </c>
      <c r="H89" s="149">
        <v>0</v>
      </c>
      <c r="I89" s="149">
        <f>IF(G89&lt;&gt;0,G89,-H89)</f>
        <v>1700000</v>
      </c>
      <c r="J89" s="149">
        <v>0</v>
      </c>
      <c r="K89" s="111" t="s">
        <v>509</v>
      </c>
      <c r="L89" s="152" t="s">
        <v>727</v>
      </c>
    </row>
    <row r="90" spans="1:14" s="111" customFormat="1" ht="12" customHeight="1" x14ac:dyDescent="0.2">
      <c r="A90" s="133"/>
      <c r="B90" s="135" t="str">
        <f>VLOOKUP(F90,BB!$A$8:$C$152,3,0)</f>
        <v>A04A</v>
      </c>
      <c r="C90" s="136">
        <f t="shared" ref="C90:E90" si="14">C89</f>
        <v>202601</v>
      </c>
      <c r="D90" s="134" t="str">
        <f t="shared" si="14"/>
        <v>KAS-2601004</v>
      </c>
      <c r="E90" s="139">
        <f t="shared" si="14"/>
        <v>46031</v>
      </c>
      <c r="F90" s="144" t="s">
        <v>471</v>
      </c>
      <c r="G90" s="146">
        <v>0</v>
      </c>
      <c r="H90" s="149">
        <v>1350000</v>
      </c>
      <c r="I90" s="149">
        <f>IF(G90&lt;&gt;0,G90,-H90)</f>
        <v>-1350000</v>
      </c>
      <c r="J90" s="146">
        <f>-J89</f>
        <v>0</v>
      </c>
      <c r="K90" s="111" t="str">
        <f>K89</f>
        <v>KAS MASUK</v>
      </c>
      <c r="L90" s="152" t="str">
        <f>L89</f>
        <v>PELUNASAN PINJAMAN LAIN AN. AGUS RIYANTO</v>
      </c>
    </row>
    <row r="91" spans="1:14" s="111" customFormat="1" ht="12" customHeight="1" x14ac:dyDescent="0.2">
      <c r="A91" s="133"/>
      <c r="B91" s="135" t="str">
        <f>VLOOKUP(F91,BB!$A$8:$C$152,3,0)</f>
        <v>LR01C</v>
      </c>
      <c r="C91" s="136">
        <f t="shared" ref="C91:E91" si="15">C90</f>
        <v>202601</v>
      </c>
      <c r="D91" s="134" t="str">
        <f t="shared" si="15"/>
        <v>KAS-2601004</v>
      </c>
      <c r="E91" s="139">
        <f t="shared" si="15"/>
        <v>46031</v>
      </c>
      <c r="F91" s="144" t="s">
        <v>371</v>
      </c>
      <c r="G91" s="146">
        <v>0</v>
      </c>
      <c r="H91" s="149">
        <f>G89-H90</f>
        <v>350000</v>
      </c>
      <c r="I91" s="149">
        <f>IF(G91&lt;&gt;0,G91,-H91)</f>
        <v>-350000</v>
      </c>
      <c r="J91" s="146">
        <f>-J90</f>
        <v>0</v>
      </c>
      <c r="K91" s="111" t="str">
        <f>K90</f>
        <v>KAS MASUK</v>
      </c>
      <c r="L91" s="152" t="str">
        <f>"PENDAPATAN ATAS PINJAMAN LAIN "&amp;MID(L90,24,20)</f>
        <v>PENDAPATAN ATAS PINJAMAN LAIN  AN. AGUS RIYANTO</v>
      </c>
    </row>
    <row r="92" spans="1:14" s="111" customFormat="1" ht="12" customHeight="1" x14ac:dyDescent="0.2">
      <c r="A92" s="133"/>
      <c r="B92" s="135"/>
      <c r="C92" s="136"/>
      <c r="D92" s="134"/>
      <c r="E92" s="139"/>
      <c r="F92" s="144"/>
      <c r="G92" s="146"/>
      <c r="H92" s="149"/>
      <c r="I92" s="149"/>
      <c r="J92" s="146"/>
      <c r="L92" s="151"/>
    </row>
    <row r="93" spans="1:14" s="111" customFormat="1" ht="12" customHeight="1" x14ac:dyDescent="0.2">
      <c r="A93" s="133"/>
      <c r="B93" s="135" t="str">
        <f>VLOOKUP(F93,BB!$A$8:$C$152,3,0)</f>
        <v>A01</v>
      </c>
      <c r="C93" s="136">
        <v>202601</v>
      </c>
      <c r="D93" s="134" t="s">
        <v>728</v>
      </c>
      <c r="E93" s="139">
        <v>46031</v>
      </c>
      <c r="F93" s="144" t="s">
        <v>163</v>
      </c>
      <c r="G93" s="149">
        <v>0</v>
      </c>
      <c r="H93" s="149">
        <v>8000</v>
      </c>
      <c r="I93" s="149">
        <f>IF(G93&lt;&gt;0,G93,-H93)</f>
        <v>-8000</v>
      </c>
      <c r="J93" s="149">
        <v>0</v>
      </c>
      <c r="K93" s="111" t="s">
        <v>510</v>
      </c>
      <c r="L93" s="152" t="s">
        <v>729</v>
      </c>
    </row>
    <row r="94" spans="1:14" s="111" customFormat="1" ht="12" customHeight="1" x14ac:dyDescent="0.2">
      <c r="A94" s="133"/>
      <c r="B94" s="135" t="str">
        <f>VLOOKUP(F94,BB!$A$8:$C$152,3,0)</f>
        <v>LR05</v>
      </c>
      <c r="C94" s="136">
        <f>C93</f>
        <v>202601</v>
      </c>
      <c r="D94" s="134" t="str">
        <f>D93</f>
        <v>KAS-2601005</v>
      </c>
      <c r="E94" s="139">
        <f>E93</f>
        <v>46031</v>
      </c>
      <c r="F94" s="139" t="s">
        <v>385</v>
      </c>
      <c r="G94" s="146">
        <f>H93</f>
        <v>8000</v>
      </c>
      <c r="H94" s="149">
        <f>G93</f>
        <v>0</v>
      </c>
      <c r="I94" s="149">
        <f>IF(G94&lt;&gt;0,G94,-H94)</f>
        <v>8000</v>
      </c>
      <c r="J94" s="146">
        <f>-J93</f>
        <v>0</v>
      </c>
      <c r="K94" s="111" t="str">
        <f>K93</f>
        <v>KAS KELUAR</v>
      </c>
      <c r="L94" s="152" t="str">
        <f>L93</f>
        <v>ONGKIR BAJU PAK KOSA</v>
      </c>
    </row>
    <row r="95" spans="1:14" s="111" customFormat="1" ht="12" customHeight="1" x14ac:dyDescent="0.2">
      <c r="A95" s="133"/>
      <c r="B95" s="135"/>
      <c r="C95" s="136"/>
      <c r="D95" s="134"/>
      <c r="E95" s="139"/>
      <c r="F95" s="144"/>
      <c r="G95" s="146"/>
      <c r="H95" s="149"/>
      <c r="I95" s="149"/>
      <c r="J95" s="146"/>
      <c r="L95" s="151"/>
      <c r="M95" s="146"/>
      <c r="N95" s="149"/>
    </row>
    <row r="96" spans="1:14" s="111" customFormat="1" ht="12" customHeight="1" x14ac:dyDescent="0.2">
      <c r="A96" s="133"/>
      <c r="B96" s="135" t="str">
        <f>VLOOKUP(F96,BB!$A$8:$C$152,3,0)</f>
        <v>A01</v>
      </c>
      <c r="C96" s="136">
        <v>202601</v>
      </c>
      <c r="D96" s="134" t="s">
        <v>730</v>
      </c>
      <c r="E96" s="139">
        <v>46032</v>
      </c>
      <c r="F96" s="144" t="s">
        <v>163</v>
      </c>
      <c r="G96" s="149">
        <v>0</v>
      </c>
      <c r="H96" s="149">
        <v>750000</v>
      </c>
      <c r="I96" s="149">
        <f>IF(G96&lt;&gt;0,G96,-H96)</f>
        <v>-750000</v>
      </c>
      <c r="J96" s="149">
        <v>0</v>
      </c>
      <c r="K96" s="111" t="s">
        <v>510</v>
      </c>
      <c r="L96" s="152" t="s">
        <v>499</v>
      </c>
      <c r="M96" s="149"/>
      <c r="N96" s="149"/>
    </row>
    <row r="97" spans="1:14" s="111" customFormat="1" ht="12" customHeight="1" x14ac:dyDescent="0.2">
      <c r="A97" s="133"/>
      <c r="B97" s="135" t="str">
        <f>VLOOKUP(F97,BB!$A$8:$C$152,3,0)</f>
        <v>LR05</v>
      </c>
      <c r="C97" s="136">
        <f>C96</f>
        <v>202601</v>
      </c>
      <c r="D97" s="134" t="str">
        <f>D96</f>
        <v>KAS-2601006</v>
      </c>
      <c r="E97" s="139">
        <f>E96</f>
        <v>46032</v>
      </c>
      <c r="F97" s="139" t="s">
        <v>234</v>
      </c>
      <c r="G97" s="146">
        <f>H96</f>
        <v>750000</v>
      </c>
      <c r="H97" s="149">
        <f>G96</f>
        <v>0</v>
      </c>
      <c r="I97" s="149">
        <f>IF(G97&lt;&gt;0,G97,-H97)</f>
        <v>750000</v>
      </c>
      <c r="J97" s="146">
        <f>-J96</f>
        <v>0</v>
      </c>
      <c r="K97" s="111" t="str">
        <f>K96</f>
        <v>KAS KELUAR</v>
      </c>
      <c r="L97" s="151" t="str">
        <f>L96</f>
        <v>BY REPRESENTATIF ADMIN KKCS FARID F</v>
      </c>
      <c r="M97" s="146"/>
      <c r="N97" s="149"/>
    </row>
    <row r="98" spans="1:14" s="111" customFormat="1" ht="12" customHeight="1" x14ac:dyDescent="0.2">
      <c r="A98" s="133"/>
      <c r="B98" s="135"/>
      <c r="C98" s="136"/>
      <c r="D98" s="134"/>
      <c r="E98" s="139"/>
      <c r="F98" s="144"/>
      <c r="G98" s="146"/>
      <c r="H98" s="149"/>
      <c r="I98" s="149"/>
      <c r="J98" s="146"/>
      <c r="L98" s="151"/>
    </row>
    <row r="99" spans="1:14" s="111" customFormat="1" ht="12" customHeight="1" x14ac:dyDescent="0.2">
      <c r="A99" s="133"/>
      <c r="B99" s="135" t="str">
        <f>VLOOKUP(F99,BB!$A$8:$C$152,3,0)</f>
        <v>A01</v>
      </c>
      <c r="C99" s="136">
        <v>202601</v>
      </c>
      <c r="D99" s="134" t="s">
        <v>731</v>
      </c>
      <c r="E99" s="139">
        <v>46042</v>
      </c>
      <c r="F99" s="144" t="s">
        <v>163</v>
      </c>
      <c r="G99" s="149">
        <v>214000</v>
      </c>
      <c r="H99" s="149">
        <v>0</v>
      </c>
      <c r="I99" s="149">
        <f>IF(G99&lt;&gt;0,G99,-H99)</f>
        <v>214000</v>
      </c>
      <c r="J99" s="149">
        <v>0</v>
      </c>
      <c r="K99" s="111" t="s">
        <v>509</v>
      </c>
      <c r="L99" s="152" t="s">
        <v>535</v>
      </c>
    </row>
    <row r="100" spans="1:14" s="111" customFormat="1" ht="12" customHeight="1" x14ac:dyDescent="0.2">
      <c r="A100" s="133"/>
      <c r="B100" s="135" t="str">
        <f>VLOOKUP(F100,BB!$A$8:$C$152,3,0)</f>
        <v>A04A</v>
      </c>
      <c r="C100" s="136">
        <f t="shared" ref="C100:E100" si="16">C99</f>
        <v>202601</v>
      </c>
      <c r="D100" s="134" t="str">
        <f t="shared" si="16"/>
        <v>KAS-2601007</v>
      </c>
      <c r="E100" s="139">
        <f t="shared" si="16"/>
        <v>46042</v>
      </c>
      <c r="F100" s="144" t="s">
        <v>471</v>
      </c>
      <c r="G100" s="146">
        <v>0</v>
      </c>
      <c r="H100" s="149">
        <f>+G99</f>
        <v>214000</v>
      </c>
      <c r="I100" s="149">
        <f>IF(G100&lt;&gt;0,G100,-H100)</f>
        <v>-214000</v>
      </c>
      <c r="J100" s="146">
        <f>-J99</f>
        <v>0</v>
      </c>
      <c r="K100" s="111" t="str">
        <f>K99</f>
        <v>KAS MASUK</v>
      </c>
      <c r="L100" s="152" t="str">
        <f>L99</f>
        <v>ANGSURAN PINJAMAN LAIN AN. SETYO H</v>
      </c>
    </row>
    <row r="101" spans="1:14" s="111" customFormat="1" ht="12" customHeight="1" x14ac:dyDescent="0.2">
      <c r="A101" s="133"/>
      <c r="B101" s="135" t="str">
        <f>VLOOKUP(F101,BB!$A$8:$C$152,3,0)</f>
        <v>LR01C</v>
      </c>
      <c r="C101" s="136">
        <f t="shared" ref="C101:E101" si="17">C100</f>
        <v>202601</v>
      </c>
      <c r="D101" s="134" t="str">
        <f t="shared" si="17"/>
        <v>KAS-2601007</v>
      </c>
      <c r="E101" s="139">
        <f t="shared" si="17"/>
        <v>46042</v>
      </c>
      <c r="F101" s="144" t="s">
        <v>371</v>
      </c>
      <c r="G101" s="146">
        <v>0</v>
      </c>
      <c r="H101" s="149">
        <f>G99-H100</f>
        <v>0</v>
      </c>
      <c r="I101" s="149">
        <f>IF(G101&lt;&gt;0,G101,-H101)</f>
        <v>0</v>
      </c>
      <c r="J101" s="146">
        <f>-J100</f>
        <v>0</v>
      </c>
      <c r="K101" s="111" t="str">
        <f>K100</f>
        <v>KAS MASUK</v>
      </c>
      <c r="L101" s="152" t="str">
        <f>"PENDAPATAN ATAS PINJAMAN LAIN "&amp;MID(L100,24,20)</f>
        <v>PENDAPATAN ATAS PINJAMAN LAIN AN. SETYO H</v>
      </c>
    </row>
    <row r="102" spans="1:14" s="111" customFormat="1" ht="12" customHeight="1" x14ac:dyDescent="0.2">
      <c r="A102" s="133"/>
      <c r="B102" s="135"/>
      <c r="C102" s="136"/>
      <c r="D102" s="134"/>
      <c r="E102" s="139"/>
      <c r="F102" s="144"/>
      <c r="G102" s="146"/>
      <c r="H102" s="149"/>
      <c r="I102" s="149"/>
      <c r="J102" s="146"/>
      <c r="L102" s="151"/>
    </row>
    <row r="103" spans="1:14" s="111" customFormat="1" ht="12" customHeight="1" x14ac:dyDescent="0.2">
      <c r="A103" s="133"/>
      <c r="B103" s="135" t="str">
        <f>VLOOKUP(F103,BB!$A$8:$C$152,3,0)</f>
        <v>A01</v>
      </c>
      <c r="C103" s="136">
        <v>202601</v>
      </c>
      <c r="D103" s="134" t="s">
        <v>732</v>
      </c>
      <c r="E103" s="139">
        <v>46045</v>
      </c>
      <c r="F103" s="144" t="s">
        <v>163</v>
      </c>
      <c r="G103" s="149">
        <v>200000</v>
      </c>
      <c r="H103" s="149">
        <v>0</v>
      </c>
      <c r="I103" s="149">
        <f>IF(G103&lt;&gt;0,G103,-H103)</f>
        <v>200000</v>
      </c>
      <c r="J103" s="149">
        <v>0</v>
      </c>
      <c r="K103" s="111" t="s">
        <v>509</v>
      </c>
      <c r="L103" s="152" t="s">
        <v>533</v>
      </c>
    </row>
    <row r="104" spans="1:14" s="111" customFormat="1" ht="12" customHeight="1" x14ac:dyDescent="0.2">
      <c r="A104" s="133"/>
      <c r="B104" s="135" t="str">
        <f>VLOOKUP(F104,BB!$A$8:$C$152,3,0)</f>
        <v>A04A</v>
      </c>
      <c r="C104" s="136">
        <f t="shared" ref="C104:E104" si="18">C103</f>
        <v>202601</v>
      </c>
      <c r="D104" s="134" t="str">
        <f t="shared" si="18"/>
        <v>KAS-2601008</v>
      </c>
      <c r="E104" s="139">
        <f t="shared" si="18"/>
        <v>46045</v>
      </c>
      <c r="F104" s="144" t="s">
        <v>471</v>
      </c>
      <c r="G104" s="146">
        <v>0</v>
      </c>
      <c r="H104" s="149">
        <f>+G103</f>
        <v>200000</v>
      </c>
      <c r="I104" s="149">
        <f>IF(G104&lt;&gt;0,G104,-H104)</f>
        <v>-200000</v>
      </c>
      <c r="J104" s="146">
        <f>-J103</f>
        <v>0</v>
      </c>
      <c r="K104" s="111" t="str">
        <f>K103</f>
        <v>KAS MASUK</v>
      </c>
      <c r="L104" s="152" t="str">
        <f>L103</f>
        <v>ANGSURAN PINJAMAN LAIN AN. ARI WIBOWO</v>
      </c>
    </row>
    <row r="105" spans="1:14" s="111" customFormat="1" ht="12" customHeight="1" x14ac:dyDescent="0.2">
      <c r="A105" s="133"/>
      <c r="B105" s="135" t="str">
        <f>VLOOKUP(F105,BB!$A$8:$C$152,3,0)</f>
        <v>LR01C</v>
      </c>
      <c r="C105" s="136">
        <f t="shared" ref="C105:E105" si="19">C104</f>
        <v>202601</v>
      </c>
      <c r="D105" s="134" t="str">
        <f t="shared" si="19"/>
        <v>KAS-2601008</v>
      </c>
      <c r="E105" s="139">
        <f t="shared" si="19"/>
        <v>46045</v>
      </c>
      <c r="F105" s="144" t="s">
        <v>371</v>
      </c>
      <c r="G105" s="146">
        <v>0</v>
      </c>
      <c r="H105" s="149">
        <f>G103-H104</f>
        <v>0</v>
      </c>
      <c r="I105" s="149">
        <f>IF(G105&lt;&gt;0,G105,-H105)</f>
        <v>0</v>
      </c>
      <c r="J105" s="146">
        <f>-J104</f>
        <v>0</v>
      </c>
      <c r="K105" s="111" t="str">
        <f>K104</f>
        <v>KAS MASUK</v>
      </c>
      <c r="L105" s="152" t="str">
        <f>"PENDAPATAN ATAS PINJAMAN LAIN "&amp;MID(L104,24,20)</f>
        <v>PENDAPATAN ATAS PINJAMAN LAIN AN. ARI WIBOWO</v>
      </c>
    </row>
    <row r="106" spans="1:14" s="111" customFormat="1" ht="12" customHeight="1" x14ac:dyDescent="0.2">
      <c r="A106" s="133"/>
      <c r="B106" s="135"/>
      <c r="C106" s="136"/>
      <c r="D106" s="134"/>
      <c r="E106" s="139"/>
      <c r="F106" s="144"/>
      <c r="G106" s="146"/>
      <c r="H106" s="149"/>
      <c r="I106" s="149"/>
      <c r="J106" s="146"/>
      <c r="L106" s="151"/>
    </row>
    <row r="107" spans="1:14" s="111" customFormat="1" ht="12" customHeight="1" x14ac:dyDescent="0.2">
      <c r="A107" s="133"/>
      <c r="B107" s="135" t="str">
        <f>VLOOKUP(F107,BB!$A$8:$C$152,3,0)</f>
        <v>A01</v>
      </c>
      <c r="C107" s="136">
        <v>202601</v>
      </c>
      <c r="D107" s="134" t="s">
        <v>733</v>
      </c>
      <c r="E107" s="139">
        <v>46046</v>
      </c>
      <c r="F107" s="144" t="s">
        <v>163</v>
      </c>
      <c r="G107" s="149">
        <v>267500</v>
      </c>
      <c r="H107" s="149">
        <v>0</v>
      </c>
      <c r="I107" s="149">
        <f>IF(G107&lt;&gt;0,G107,-H107)</f>
        <v>267500</v>
      </c>
      <c r="J107" s="149">
        <v>0</v>
      </c>
      <c r="K107" s="111" t="s">
        <v>509</v>
      </c>
      <c r="L107" s="152" t="s">
        <v>734</v>
      </c>
    </row>
    <row r="108" spans="1:14" s="111" customFormat="1" ht="12" customHeight="1" x14ac:dyDescent="0.2">
      <c r="A108" s="133"/>
      <c r="B108" s="135" t="str">
        <f>VLOOKUP(F108,BB!$A$8:$C$152,3,0)</f>
        <v>A04A</v>
      </c>
      <c r="C108" s="136">
        <f t="shared" ref="C108:E108" si="20">C107</f>
        <v>202601</v>
      </c>
      <c r="D108" s="134" t="str">
        <f t="shared" si="20"/>
        <v>KAS-2601009</v>
      </c>
      <c r="E108" s="139">
        <f t="shared" si="20"/>
        <v>46046</v>
      </c>
      <c r="F108" s="144" t="s">
        <v>471</v>
      </c>
      <c r="G108" s="146">
        <v>0</v>
      </c>
      <c r="H108" s="149">
        <f>+G107</f>
        <v>267500</v>
      </c>
      <c r="I108" s="149">
        <f>IF(G108&lt;&gt;0,G108,-H108)</f>
        <v>-267500</v>
      </c>
      <c r="J108" s="146">
        <f>-J107</f>
        <v>0</v>
      </c>
      <c r="K108" s="111" t="str">
        <f>K107</f>
        <v>KAS MASUK</v>
      </c>
      <c r="L108" s="152" t="str">
        <f>L107</f>
        <v>ANGSURAN PINJAMAN LAIN AN. HANDOKO TS</v>
      </c>
    </row>
    <row r="109" spans="1:14" s="111" customFormat="1" ht="12" customHeight="1" x14ac:dyDescent="0.2">
      <c r="A109" s="133"/>
      <c r="B109" s="135" t="str">
        <f>VLOOKUP(F109,BB!$A$8:$C$152,3,0)</f>
        <v>LR01C</v>
      </c>
      <c r="C109" s="136">
        <f t="shared" ref="C109:E109" si="21">C108</f>
        <v>202601</v>
      </c>
      <c r="D109" s="134" t="str">
        <f t="shared" si="21"/>
        <v>KAS-2601009</v>
      </c>
      <c r="E109" s="139">
        <f t="shared" si="21"/>
        <v>46046</v>
      </c>
      <c r="F109" s="144" t="s">
        <v>371</v>
      </c>
      <c r="G109" s="146">
        <v>0</v>
      </c>
      <c r="H109" s="149">
        <f>G107-H108</f>
        <v>0</v>
      </c>
      <c r="I109" s="149">
        <f>IF(G109&lt;&gt;0,G109,-H109)</f>
        <v>0</v>
      </c>
      <c r="J109" s="146">
        <f>-J108</f>
        <v>0</v>
      </c>
      <c r="K109" s="111" t="str">
        <f>K108</f>
        <v>KAS MASUK</v>
      </c>
      <c r="L109" s="152" t="str">
        <f>"PENDAPATAN ATAS PINJAMAN LAIN "&amp;MID(L108,24,20)</f>
        <v>PENDAPATAN ATAS PINJAMAN LAIN AN. HANDOKO TS</v>
      </c>
    </row>
    <row r="110" spans="1:14" s="111" customFormat="1" ht="12" customHeight="1" x14ac:dyDescent="0.2">
      <c r="A110" s="133"/>
      <c r="B110" s="135"/>
      <c r="C110" s="136"/>
      <c r="D110" s="134"/>
      <c r="E110" s="139"/>
      <c r="F110" s="144"/>
      <c r="G110" s="146"/>
      <c r="H110" s="149"/>
      <c r="I110" s="149"/>
      <c r="J110" s="146"/>
      <c r="L110" s="151"/>
    </row>
    <row r="111" spans="1:14" s="111" customFormat="1" ht="12" customHeight="1" x14ac:dyDescent="0.2">
      <c r="A111" s="133"/>
      <c r="B111" s="135" t="str">
        <f>VLOOKUP(F111,BB!$A$8:$C$152,3,0)</f>
        <v>A01</v>
      </c>
      <c r="C111" s="136">
        <v>202601</v>
      </c>
      <c r="D111" s="134" t="s">
        <v>735</v>
      </c>
      <c r="E111" s="139">
        <v>46047</v>
      </c>
      <c r="F111" s="144" t="s">
        <v>163</v>
      </c>
      <c r="G111" s="149">
        <v>321000</v>
      </c>
      <c r="H111" s="149">
        <v>0</v>
      </c>
      <c r="I111" s="149">
        <f>IF(G111&lt;&gt;0,G111,-H111)</f>
        <v>321000</v>
      </c>
      <c r="J111" s="149">
        <v>0</v>
      </c>
      <c r="K111" s="111" t="s">
        <v>509</v>
      </c>
      <c r="L111" s="152" t="s">
        <v>511</v>
      </c>
    </row>
    <row r="112" spans="1:14" s="111" customFormat="1" ht="12" customHeight="1" x14ac:dyDescent="0.2">
      <c r="A112" s="133"/>
      <c r="B112" s="135" t="str">
        <f>VLOOKUP(F112,BB!$A$8:$C$152,3,0)</f>
        <v>A04A</v>
      </c>
      <c r="C112" s="136">
        <f t="shared" ref="C112:E112" si="22">C111</f>
        <v>202601</v>
      </c>
      <c r="D112" s="134" t="str">
        <f t="shared" si="22"/>
        <v>KAS-2601010</v>
      </c>
      <c r="E112" s="139">
        <f t="shared" si="22"/>
        <v>46047</v>
      </c>
      <c r="F112" s="144" t="s">
        <v>471</v>
      </c>
      <c r="G112" s="146">
        <v>0</v>
      </c>
      <c r="H112" s="149">
        <f>+G111</f>
        <v>321000</v>
      </c>
      <c r="I112" s="149">
        <f>IF(G112&lt;&gt;0,G112,-H112)</f>
        <v>-321000</v>
      </c>
      <c r="J112" s="146">
        <f>-J111</f>
        <v>0</v>
      </c>
      <c r="K112" s="111" t="str">
        <f>K111</f>
        <v>KAS MASUK</v>
      </c>
      <c r="L112" s="152" t="str">
        <f>L111</f>
        <v>ANGSURAN PINJAMAN LAIN AN. BUKHORI</v>
      </c>
    </row>
    <row r="113" spans="1:12" s="111" customFormat="1" ht="12" customHeight="1" x14ac:dyDescent="0.2">
      <c r="A113" s="133"/>
      <c r="B113" s="135" t="str">
        <f>VLOOKUP(F113,BB!$A$8:$C$152,3,0)</f>
        <v>LR01C</v>
      </c>
      <c r="C113" s="136">
        <f t="shared" ref="C113:E113" si="23">C112</f>
        <v>202601</v>
      </c>
      <c r="D113" s="134" t="str">
        <f t="shared" si="23"/>
        <v>KAS-2601010</v>
      </c>
      <c r="E113" s="139">
        <f t="shared" si="23"/>
        <v>46047</v>
      </c>
      <c r="F113" s="144" t="s">
        <v>371</v>
      </c>
      <c r="G113" s="146">
        <v>0</v>
      </c>
      <c r="H113" s="149">
        <f>G111-H112</f>
        <v>0</v>
      </c>
      <c r="I113" s="149">
        <f>IF(G113&lt;&gt;0,G113,-H113)</f>
        <v>0</v>
      </c>
      <c r="J113" s="146">
        <f>-J112</f>
        <v>0</v>
      </c>
      <c r="K113" s="111" t="str">
        <f>K112</f>
        <v>KAS MASUK</v>
      </c>
      <c r="L113" s="152" t="str">
        <f>"PENDAPATAN ATAS PINJAMAN LAIN "&amp;MID(L112,24,20)</f>
        <v>PENDAPATAN ATAS PINJAMAN LAIN AN. BUKHORI</v>
      </c>
    </row>
    <row r="114" spans="1:12" s="111" customFormat="1" ht="12" customHeight="1" x14ac:dyDescent="0.2">
      <c r="A114" s="133"/>
      <c r="B114" s="135"/>
      <c r="C114" s="136"/>
      <c r="D114" s="134"/>
      <c r="E114" s="139"/>
      <c r="F114" s="144"/>
      <c r="G114" s="146"/>
      <c r="H114" s="149"/>
      <c r="I114" s="149"/>
      <c r="J114" s="146"/>
      <c r="L114" s="151"/>
    </row>
    <row r="115" spans="1:12" s="111" customFormat="1" ht="12" customHeight="1" x14ac:dyDescent="0.2">
      <c r="A115" s="133"/>
      <c r="B115" s="135" t="str">
        <f>VLOOKUP(F115,BB!$A$8:$C$152,3,0)</f>
        <v>A01</v>
      </c>
      <c r="C115" s="136">
        <v>202601</v>
      </c>
      <c r="D115" s="134" t="s">
        <v>736</v>
      </c>
      <c r="E115" s="139">
        <v>46048</v>
      </c>
      <c r="F115" s="144" t="s">
        <v>163</v>
      </c>
      <c r="G115" s="149">
        <v>0</v>
      </c>
      <c r="H115" s="149">
        <v>2500000</v>
      </c>
      <c r="I115" s="149">
        <f>IF(G115&lt;&gt;0,G115,-H115)</f>
        <v>-2500000</v>
      </c>
      <c r="J115" s="149">
        <v>0</v>
      </c>
      <c r="K115" s="111" t="s">
        <v>510</v>
      </c>
      <c r="L115" s="152" t="s">
        <v>737</v>
      </c>
    </row>
    <row r="116" spans="1:12" s="111" customFormat="1" ht="12" customHeight="1" x14ac:dyDescent="0.2">
      <c r="A116" s="133"/>
      <c r="B116" s="135" t="str">
        <f>VLOOKUP(F116,BB!$A$8:$C$152,3,0)</f>
        <v>A04A</v>
      </c>
      <c r="C116" s="136">
        <f>C115</f>
        <v>202601</v>
      </c>
      <c r="D116" s="134" t="str">
        <f>D115</f>
        <v>KAS-2601011</v>
      </c>
      <c r="E116" s="139">
        <f>E115</f>
        <v>46048</v>
      </c>
      <c r="F116" s="144" t="s">
        <v>471</v>
      </c>
      <c r="G116" s="146">
        <f>H115</f>
        <v>2500000</v>
      </c>
      <c r="H116" s="149">
        <f>G115</f>
        <v>0</v>
      </c>
      <c r="I116" s="149">
        <f>IF(G116&lt;&gt;0,G116,-H116)</f>
        <v>2500000</v>
      </c>
      <c r="J116" s="146">
        <f>-J115</f>
        <v>0</v>
      </c>
      <c r="K116" s="111" t="str">
        <f>K115</f>
        <v>KAS KELUAR</v>
      </c>
      <c r="L116" s="151" t="str">
        <f>L115</f>
        <v>PINJAMAN LAIN AN. AGUS R</v>
      </c>
    </row>
    <row r="117" spans="1:12" s="111" customFormat="1" ht="12" customHeight="1" x14ac:dyDescent="0.2">
      <c r="A117" s="133"/>
      <c r="B117" s="135"/>
      <c r="C117" s="136"/>
      <c r="D117" s="134"/>
      <c r="E117" s="139"/>
      <c r="F117" s="144"/>
      <c r="G117" s="146"/>
      <c r="H117" s="149"/>
      <c r="I117" s="149"/>
      <c r="J117" s="146"/>
      <c r="L117" s="151"/>
    </row>
    <row r="118" spans="1:12" s="111" customFormat="1" ht="12" customHeight="1" x14ac:dyDescent="0.2">
      <c r="A118" s="133"/>
      <c r="B118" s="135" t="str">
        <f>VLOOKUP(F118,BB!$A$8:$C$152,3,0)</f>
        <v>A01</v>
      </c>
      <c r="C118" s="136">
        <v>202601</v>
      </c>
      <c r="D118" s="134" t="s">
        <v>738</v>
      </c>
      <c r="E118" s="139">
        <v>46050</v>
      </c>
      <c r="F118" s="144" t="s">
        <v>163</v>
      </c>
      <c r="G118" s="149">
        <v>267500</v>
      </c>
      <c r="H118" s="149">
        <v>0</v>
      </c>
      <c r="I118" s="149">
        <f>IF(G118&lt;&gt;0,G118,-H118)</f>
        <v>267500</v>
      </c>
      <c r="J118" s="149">
        <v>0</v>
      </c>
      <c r="K118" s="111" t="s">
        <v>509</v>
      </c>
      <c r="L118" s="152" t="s">
        <v>739</v>
      </c>
    </row>
    <row r="119" spans="1:12" s="111" customFormat="1" ht="12" customHeight="1" x14ac:dyDescent="0.2">
      <c r="A119" s="133"/>
      <c r="B119" s="135" t="str">
        <f>VLOOKUP(F119,BB!$A$8:$C$152,3,0)</f>
        <v>A04A</v>
      </c>
      <c r="C119" s="136">
        <f t="shared" ref="C119:E119" si="24">C118</f>
        <v>202601</v>
      </c>
      <c r="D119" s="134" t="str">
        <f t="shared" si="24"/>
        <v>KAS-2601012</v>
      </c>
      <c r="E119" s="139">
        <f t="shared" si="24"/>
        <v>46050</v>
      </c>
      <c r="F119" s="144" t="s">
        <v>471</v>
      </c>
      <c r="G119" s="146">
        <v>0</v>
      </c>
      <c r="H119" s="149">
        <f>+G118</f>
        <v>267500</v>
      </c>
      <c r="I119" s="149">
        <f>IF(G119&lt;&gt;0,G119,-H119)</f>
        <v>-267500</v>
      </c>
      <c r="J119" s="146">
        <f>-J118</f>
        <v>0</v>
      </c>
      <c r="K119" s="111" t="str">
        <f>K118</f>
        <v>KAS MASUK</v>
      </c>
      <c r="L119" s="152" t="str">
        <f>L118</f>
        <v>ANGSURAN PINJAMAN LAIN AN. AGUS S</v>
      </c>
    </row>
    <row r="120" spans="1:12" s="111" customFormat="1" ht="12" customHeight="1" x14ac:dyDescent="0.2">
      <c r="A120" s="133"/>
      <c r="B120" s="135" t="str">
        <f>VLOOKUP(F120,BB!$A$8:$C$152,3,0)</f>
        <v>LR01C</v>
      </c>
      <c r="C120" s="136">
        <f t="shared" ref="C120:E120" si="25">C119</f>
        <v>202601</v>
      </c>
      <c r="D120" s="134" t="str">
        <f t="shared" si="25"/>
        <v>KAS-2601012</v>
      </c>
      <c r="E120" s="139">
        <f t="shared" si="25"/>
        <v>46050</v>
      </c>
      <c r="F120" s="144" t="s">
        <v>371</v>
      </c>
      <c r="G120" s="146">
        <v>0</v>
      </c>
      <c r="H120" s="149">
        <f>G118-H119</f>
        <v>0</v>
      </c>
      <c r="I120" s="149">
        <f>IF(G120&lt;&gt;0,G120,-H120)</f>
        <v>0</v>
      </c>
      <c r="J120" s="146">
        <f>-J119</f>
        <v>0</v>
      </c>
      <c r="K120" s="111" t="str">
        <f>K119</f>
        <v>KAS MASUK</v>
      </c>
      <c r="L120" s="152" t="str">
        <f>"PENDAPATAN ATAS PINJAMAN LAIN "&amp;MID(L119,24,20)</f>
        <v>PENDAPATAN ATAS PINJAMAN LAIN AN. AGUS S</v>
      </c>
    </row>
    <row r="121" spans="1:12" s="111" customFormat="1" ht="12" customHeight="1" x14ac:dyDescent="0.2">
      <c r="A121" s="133"/>
      <c r="B121" s="135"/>
      <c r="C121" s="136"/>
      <c r="D121" s="134"/>
      <c r="E121" s="139"/>
      <c r="F121" s="144"/>
      <c r="G121" s="146"/>
      <c r="H121" s="149"/>
      <c r="I121" s="149"/>
      <c r="J121" s="146"/>
      <c r="L121" s="151"/>
    </row>
    <row r="122" spans="1:12" s="111" customFormat="1" ht="12" customHeight="1" x14ac:dyDescent="0.2">
      <c r="A122" s="133"/>
      <c r="B122" s="135" t="str">
        <f>VLOOKUP(F122,BB!$A$8:$C$152,3,0)</f>
        <v>A01</v>
      </c>
      <c r="C122" s="136">
        <v>202601</v>
      </c>
      <c r="D122" s="134" t="s">
        <v>740</v>
      </c>
      <c r="E122" s="139">
        <v>46050</v>
      </c>
      <c r="F122" s="144" t="s">
        <v>163</v>
      </c>
      <c r="G122" s="149">
        <v>500000</v>
      </c>
      <c r="H122" s="149">
        <v>0</v>
      </c>
      <c r="I122" s="149">
        <f>IF(G122&lt;&gt;0,G122,-H122)</f>
        <v>500000</v>
      </c>
      <c r="J122" s="149">
        <v>0</v>
      </c>
      <c r="K122" s="111" t="s">
        <v>509</v>
      </c>
      <c r="L122" s="152" t="s">
        <v>525</v>
      </c>
    </row>
    <row r="123" spans="1:12" s="111" customFormat="1" ht="12" customHeight="1" x14ac:dyDescent="0.2">
      <c r="A123" s="133"/>
      <c r="B123" s="135" t="str">
        <f>VLOOKUP(F123,BB!$A$8:$C$152,3,0)</f>
        <v>A04A</v>
      </c>
      <c r="C123" s="136">
        <f t="shared" ref="C123:E123" si="26">C122</f>
        <v>202601</v>
      </c>
      <c r="D123" s="134" t="str">
        <f t="shared" si="26"/>
        <v>KAS-2601013</v>
      </c>
      <c r="E123" s="139">
        <f t="shared" si="26"/>
        <v>46050</v>
      </c>
      <c r="F123" s="144" t="s">
        <v>471</v>
      </c>
      <c r="G123" s="146">
        <v>0</v>
      </c>
      <c r="H123" s="149">
        <f>+G122</f>
        <v>500000</v>
      </c>
      <c r="I123" s="149">
        <f>IF(G123&lt;&gt;0,G123,-H123)</f>
        <v>-500000</v>
      </c>
      <c r="J123" s="146">
        <f>-J122</f>
        <v>0</v>
      </c>
      <c r="K123" s="111" t="str">
        <f>K122</f>
        <v>KAS MASUK</v>
      </c>
      <c r="L123" s="152" t="str">
        <f>L122</f>
        <v>ANGSURAN PINJAMAN LAIN AN. ISFAK</v>
      </c>
    </row>
    <row r="124" spans="1:12" s="111" customFormat="1" ht="12" customHeight="1" x14ac:dyDescent="0.2">
      <c r="A124" s="133"/>
      <c r="B124" s="135" t="str">
        <f>VLOOKUP(F124,BB!$A$8:$C$152,3,0)</f>
        <v>LR01C</v>
      </c>
      <c r="C124" s="136">
        <f t="shared" ref="C124:E124" si="27">C123</f>
        <v>202601</v>
      </c>
      <c r="D124" s="134" t="str">
        <f t="shared" si="27"/>
        <v>KAS-2601013</v>
      </c>
      <c r="E124" s="139">
        <f t="shared" si="27"/>
        <v>46050</v>
      </c>
      <c r="F124" s="144" t="s">
        <v>371</v>
      </c>
      <c r="G124" s="146">
        <v>0</v>
      </c>
      <c r="H124" s="149">
        <f>G122-H123</f>
        <v>0</v>
      </c>
      <c r="I124" s="149">
        <f>IF(G124&lt;&gt;0,G124,-H124)</f>
        <v>0</v>
      </c>
      <c r="J124" s="146">
        <f>-J123</f>
        <v>0</v>
      </c>
      <c r="K124" s="111" t="str">
        <f>K123</f>
        <v>KAS MASUK</v>
      </c>
      <c r="L124" s="152" t="str">
        <f>"PENDAPATAN ATAS PINJAMAN LAIN "&amp;MID(L123,24,20)</f>
        <v>PENDAPATAN ATAS PINJAMAN LAIN AN. ISFAK</v>
      </c>
    </row>
    <row r="125" spans="1:12" s="111" customFormat="1" ht="12" customHeight="1" x14ac:dyDescent="0.2">
      <c r="A125" s="133"/>
      <c r="B125" s="135"/>
      <c r="C125" s="136"/>
      <c r="D125" s="134"/>
      <c r="E125" s="139"/>
      <c r="F125" s="144"/>
      <c r="G125" s="146"/>
      <c r="H125" s="149"/>
      <c r="I125" s="149"/>
      <c r="J125" s="146"/>
      <c r="L125" s="151"/>
    </row>
    <row r="126" spans="1:12" s="111" customFormat="1" ht="12" customHeight="1" x14ac:dyDescent="0.2">
      <c r="A126" s="133"/>
      <c r="B126" s="135" t="str">
        <f>VLOOKUP(F126,BB!$A$8:$C$152,3,0)</f>
        <v>A01</v>
      </c>
      <c r="C126" s="136">
        <v>202601</v>
      </c>
      <c r="D126" s="134" t="s">
        <v>741</v>
      </c>
      <c r="E126" s="139">
        <v>46051</v>
      </c>
      <c r="F126" s="144" t="s">
        <v>163</v>
      </c>
      <c r="G126" s="149">
        <v>300000</v>
      </c>
      <c r="H126" s="149">
        <v>0</v>
      </c>
      <c r="I126" s="149">
        <f>IF(G126&lt;&gt;0,G126,-H126)</f>
        <v>300000</v>
      </c>
      <c r="J126" s="149">
        <v>0</v>
      </c>
      <c r="K126" s="111" t="s">
        <v>509</v>
      </c>
      <c r="L126" s="152" t="s">
        <v>527</v>
      </c>
    </row>
    <row r="127" spans="1:12" s="111" customFormat="1" ht="12" customHeight="1" x14ac:dyDescent="0.2">
      <c r="A127" s="133"/>
      <c r="B127" s="135" t="str">
        <f>VLOOKUP(F127,BB!$A$8:$C$152,3,0)</f>
        <v>A04A</v>
      </c>
      <c r="C127" s="136">
        <f t="shared" ref="C127:E127" si="28">C126</f>
        <v>202601</v>
      </c>
      <c r="D127" s="134" t="str">
        <f t="shared" si="28"/>
        <v>KAS-2601014</v>
      </c>
      <c r="E127" s="139">
        <f t="shared" si="28"/>
        <v>46051</v>
      </c>
      <c r="F127" s="144" t="s">
        <v>471</v>
      </c>
      <c r="G127" s="146">
        <v>0</v>
      </c>
      <c r="H127" s="149">
        <f>+G126</f>
        <v>300000</v>
      </c>
      <c r="I127" s="149">
        <f>IF(G127&lt;&gt;0,G127,-H127)</f>
        <v>-300000</v>
      </c>
      <c r="J127" s="146">
        <f>-J126</f>
        <v>0</v>
      </c>
      <c r="K127" s="111" t="str">
        <f>K126</f>
        <v>KAS MASUK</v>
      </c>
      <c r="L127" s="152" t="str">
        <f>L126</f>
        <v>ANGSURAN PINJAMAN LAIN AN. SOLICHIN</v>
      </c>
    </row>
    <row r="128" spans="1:12" s="111" customFormat="1" ht="12" customHeight="1" x14ac:dyDescent="0.2">
      <c r="A128" s="133"/>
      <c r="B128" s="135" t="str">
        <f>VLOOKUP(F128,BB!$A$8:$C$152,3,0)</f>
        <v>LR01C</v>
      </c>
      <c r="C128" s="136">
        <f t="shared" ref="C128:E128" si="29">C127</f>
        <v>202601</v>
      </c>
      <c r="D128" s="134" t="str">
        <f t="shared" si="29"/>
        <v>KAS-2601014</v>
      </c>
      <c r="E128" s="139">
        <f t="shared" si="29"/>
        <v>46051</v>
      </c>
      <c r="F128" s="144" t="s">
        <v>371</v>
      </c>
      <c r="G128" s="146">
        <v>0</v>
      </c>
      <c r="H128" s="149">
        <f>G126-H127</f>
        <v>0</v>
      </c>
      <c r="I128" s="149">
        <f>IF(G128&lt;&gt;0,G128,-H128)</f>
        <v>0</v>
      </c>
      <c r="J128" s="146">
        <f>-J127</f>
        <v>0</v>
      </c>
      <c r="K128" s="111" t="str">
        <f>K127</f>
        <v>KAS MASUK</v>
      </c>
      <c r="L128" s="152" t="str">
        <f>"PENDAPATAN ATAS PINJAMAN LAIN "&amp;MID(L127,24,20)</f>
        <v>PENDAPATAN ATAS PINJAMAN LAIN AN. SOLICHIN</v>
      </c>
    </row>
    <row r="129" spans="1:14" s="111" customFormat="1" ht="12" customHeight="1" x14ac:dyDescent="0.2">
      <c r="A129" s="133"/>
      <c r="B129" s="135"/>
      <c r="C129" s="136"/>
      <c r="D129" s="134"/>
      <c r="E129" s="139"/>
      <c r="F129" s="144"/>
      <c r="G129" s="146"/>
      <c r="H129" s="149"/>
      <c r="I129" s="149"/>
      <c r="J129" s="146"/>
      <c r="L129" s="151"/>
    </row>
    <row r="130" spans="1:14" s="111" customFormat="1" ht="12" customHeight="1" x14ac:dyDescent="0.2">
      <c r="A130" s="133"/>
      <c r="B130" s="135" t="str">
        <f>VLOOKUP(F130,BB!$A$8:$C$152,3,0)</f>
        <v>A01</v>
      </c>
      <c r="C130" s="136">
        <v>202601</v>
      </c>
      <c r="D130" s="134" t="s">
        <v>742</v>
      </c>
      <c r="E130" s="139">
        <v>46052</v>
      </c>
      <c r="F130" s="144" t="s">
        <v>163</v>
      </c>
      <c r="G130" s="149">
        <v>320000</v>
      </c>
      <c r="H130" s="149">
        <v>0</v>
      </c>
      <c r="I130" s="149">
        <f>IF(G130&lt;&gt;0,G130,-H130)</f>
        <v>320000</v>
      </c>
      <c r="J130" s="149">
        <v>0</v>
      </c>
      <c r="K130" s="111" t="s">
        <v>509</v>
      </c>
      <c r="L130" s="152" t="s">
        <v>512</v>
      </c>
    </row>
    <row r="131" spans="1:14" s="111" customFormat="1" ht="12" customHeight="1" x14ac:dyDescent="0.2">
      <c r="A131" s="133"/>
      <c r="B131" s="135" t="str">
        <f>VLOOKUP(F131,BB!$A$8:$C$152,3,0)</f>
        <v>A04A</v>
      </c>
      <c r="C131" s="136">
        <f t="shared" ref="C131:E131" si="30">C130</f>
        <v>202601</v>
      </c>
      <c r="D131" s="134" t="str">
        <f t="shared" si="30"/>
        <v>KAS-2601015</v>
      </c>
      <c r="E131" s="139">
        <f t="shared" si="30"/>
        <v>46052</v>
      </c>
      <c r="F131" s="144" t="s">
        <v>471</v>
      </c>
      <c r="G131" s="146">
        <v>0</v>
      </c>
      <c r="H131" s="149">
        <f>+G130</f>
        <v>320000</v>
      </c>
      <c r="I131" s="149">
        <f>IF(G131&lt;&gt;0,G131,-H131)</f>
        <v>-320000</v>
      </c>
      <c r="J131" s="146">
        <f>-J130</f>
        <v>0</v>
      </c>
      <c r="K131" s="111" t="str">
        <f>K130</f>
        <v>KAS MASUK</v>
      </c>
      <c r="L131" s="152" t="str">
        <f>L130</f>
        <v>ANGSURAN PINJAMAN LAIN AN. FADELAN</v>
      </c>
    </row>
    <row r="132" spans="1:14" s="111" customFormat="1" ht="12" customHeight="1" x14ac:dyDescent="0.2">
      <c r="A132" s="133"/>
      <c r="B132" s="135" t="str">
        <f>VLOOKUP(F132,BB!$A$8:$C$152,3,0)</f>
        <v>LR01C</v>
      </c>
      <c r="C132" s="136">
        <f t="shared" ref="C132:E132" si="31">C131</f>
        <v>202601</v>
      </c>
      <c r="D132" s="134" t="str">
        <f t="shared" si="31"/>
        <v>KAS-2601015</v>
      </c>
      <c r="E132" s="139">
        <f t="shared" si="31"/>
        <v>46052</v>
      </c>
      <c r="F132" s="144" t="s">
        <v>371</v>
      </c>
      <c r="G132" s="146">
        <v>0</v>
      </c>
      <c r="H132" s="149">
        <f>G130-H131</f>
        <v>0</v>
      </c>
      <c r="I132" s="149">
        <f>IF(G132&lt;&gt;0,G132,-H132)</f>
        <v>0</v>
      </c>
      <c r="J132" s="146">
        <f>-J131</f>
        <v>0</v>
      </c>
      <c r="K132" s="111" t="str">
        <f>K131</f>
        <v>KAS MASUK</v>
      </c>
      <c r="L132" s="152" t="str">
        <f>"PENDAPATAN ATAS PINJAMAN LAIN "&amp;MID(L131,24,20)</f>
        <v>PENDAPATAN ATAS PINJAMAN LAIN AN. FADELAN</v>
      </c>
    </row>
    <row r="133" spans="1:14" s="111" customFormat="1" ht="12" customHeight="1" x14ac:dyDescent="0.2">
      <c r="A133" s="133"/>
      <c r="B133" s="135"/>
      <c r="C133" s="136"/>
      <c r="D133" s="134"/>
      <c r="E133" s="139"/>
      <c r="F133" s="144"/>
      <c r="G133" s="146"/>
      <c r="H133" s="149"/>
      <c r="I133" s="149"/>
      <c r="J133" s="146"/>
      <c r="L133" s="151"/>
    </row>
    <row r="134" spans="1:14" s="111" customFormat="1" ht="12" customHeight="1" x14ac:dyDescent="0.2">
      <c r="A134" s="133"/>
      <c r="B134" s="135" t="str">
        <f>VLOOKUP(F134,BB!$A$8:$C$152,3,0)</f>
        <v>LR07</v>
      </c>
      <c r="C134" s="136">
        <v>202601</v>
      </c>
      <c r="D134" s="134" t="s">
        <v>606</v>
      </c>
      <c r="E134" s="139">
        <v>46053</v>
      </c>
      <c r="F134" s="134" t="s">
        <v>416</v>
      </c>
      <c r="G134" s="149">
        <v>1500000</v>
      </c>
      <c r="H134" s="149">
        <v>0</v>
      </c>
      <c r="I134" s="149">
        <f>IF(G134&lt;&gt;0,G134,-H134)</f>
        <v>1500000</v>
      </c>
      <c r="J134" s="149">
        <v>0</v>
      </c>
      <c r="K134" s="111" t="s">
        <v>306</v>
      </c>
      <c r="L134" s="152" t="s">
        <v>415</v>
      </c>
      <c r="M134" s="149"/>
      <c r="N134" s="149"/>
    </row>
    <row r="135" spans="1:14" s="111" customFormat="1" ht="12" customHeight="1" x14ac:dyDescent="0.2">
      <c r="A135" s="133"/>
      <c r="B135" s="135" t="str">
        <f>VLOOKUP(F135,BB!$A$8:$C$152,3,0)</f>
        <v>A05</v>
      </c>
      <c r="C135" s="136">
        <f>C134</f>
        <v>202601</v>
      </c>
      <c r="D135" s="134" t="str">
        <f>D134</f>
        <v>JRM-2601001</v>
      </c>
      <c r="E135" s="139">
        <f>E134</f>
        <v>46053</v>
      </c>
      <c r="F135" s="144" t="s">
        <v>172</v>
      </c>
      <c r="G135" s="146">
        <f>H134</f>
        <v>0</v>
      </c>
      <c r="H135" s="149">
        <f>G134</f>
        <v>1500000</v>
      </c>
      <c r="I135" s="149">
        <f>IF(G135&lt;&gt;0,G135,-H135)</f>
        <v>-1500000</v>
      </c>
      <c r="J135" s="146">
        <f>-J134</f>
        <v>0</v>
      </c>
      <c r="K135" s="111" t="str">
        <f>K134</f>
        <v>JURNAL MANUAL</v>
      </c>
      <c r="L135" s="151" t="str">
        <f>L134</f>
        <v>PEMBEBANAN PENYISIHAN PIUTANG</v>
      </c>
      <c r="M135" s="146"/>
      <c r="N135" s="149"/>
    </row>
    <row r="136" spans="1:14" s="111" customFormat="1" ht="12" customHeight="1" x14ac:dyDescent="0.2">
      <c r="A136" s="133"/>
      <c r="B136" s="135"/>
      <c r="C136" s="136"/>
      <c r="D136" s="134"/>
      <c r="E136" s="139"/>
      <c r="F136" s="144"/>
      <c r="G136" s="146"/>
      <c r="H136" s="149"/>
      <c r="I136" s="149"/>
      <c r="J136" s="146"/>
      <c r="L136" s="151"/>
    </row>
    <row r="137" spans="1:14" s="111" customFormat="1" ht="12" customHeight="1" x14ac:dyDescent="0.2">
      <c r="A137" s="133"/>
      <c r="B137" s="135" t="str">
        <f>VLOOKUP(F137,BB!$A$8:$C$152,3,0)</f>
        <v>A04B</v>
      </c>
      <c r="C137" s="136">
        <v>202601</v>
      </c>
      <c r="D137" s="134" t="s">
        <v>607</v>
      </c>
      <c r="E137" s="139">
        <v>46053</v>
      </c>
      <c r="F137" s="134" t="s">
        <v>461</v>
      </c>
      <c r="G137" s="149">
        <f>11760000</f>
        <v>11760000</v>
      </c>
      <c r="H137" s="149">
        <v>0</v>
      </c>
      <c r="I137" s="198">
        <f>IF(G137&lt;&gt;0,G137,-H137)</f>
        <v>11760000</v>
      </c>
      <c r="J137" s="149">
        <v>0</v>
      </c>
      <c r="K137" s="111" t="s">
        <v>306</v>
      </c>
      <c r="L137" s="152" t="s">
        <v>689</v>
      </c>
      <c r="M137" s="149"/>
      <c r="N137" s="149"/>
    </row>
    <row r="138" spans="1:14" s="111" customFormat="1" ht="12" customHeight="1" x14ac:dyDescent="0.2">
      <c r="A138" s="133"/>
      <c r="B138" s="135" t="str">
        <f>VLOOKUP(F138,BB!$A$8:$C$152,3,0)</f>
        <v>P05</v>
      </c>
      <c r="C138" s="136">
        <f>C137</f>
        <v>202601</v>
      </c>
      <c r="D138" s="134" t="str">
        <f>D137</f>
        <v>JRM-2601002</v>
      </c>
      <c r="E138" s="139">
        <f>E137</f>
        <v>46053</v>
      </c>
      <c r="F138" s="144" t="s">
        <v>439</v>
      </c>
      <c r="G138" s="146">
        <f>H137</f>
        <v>0</v>
      </c>
      <c r="H138" s="149">
        <f>11608500</f>
        <v>11608500</v>
      </c>
      <c r="I138" s="198">
        <f>IF(G138&lt;&gt;0,G138,-H138)</f>
        <v>-11608500</v>
      </c>
      <c r="J138" s="146">
        <f>-J137</f>
        <v>0</v>
      </c>
      <c r="K138" s="111" t="str">
        <f>K137</f>
        <v>JURNAL MANUAL</v>
      </c>
      <c r="L138" s="151" t="s">
        <v>690</v>
      </c>
      <c r="M138" s="146"/>
      <c r="N138" s="149"/>
    </row>
    <row r="139" spans="1:14" s="111" customFormat="1" ht="12" customHeight="1" x14ac:dyDescent="0.2">
      <c r="A139" s="133"/>
      <c r="B139" s="135" t="str">
        <f>VLOOKUP(F139,BB!$A$8:$C$152,3,0)</f>
        <v>LR06</v>
      </c>
      <c r="C139" s="136">
        <f t="shared" ref="C139:E139" si="32">+C138</f>
        <v>202601</v>
      </c>
      <c r="D139" s="134" t="str">
        <f t="shared" si="32"/>
        <v>JRM-2601002</v>
      </c>
      <c r="E139" s="139">
        <f t="shared" si="32"/>
        <v>46053</v>
      </c>
      <c r="F139" s="144" t="s">
        <v>394</v>
      </c>
      <c r="G139" s="146">
        <v>0</v>
      </c>
      <c r="H139" s="149">
        <f>+G137-H138</f>
        <v>151500</v>
      </c>
      <c r="I139" s="198">
        <f>IF(G139&lt;&gt;0,G139,-H139)</f>
        <v>-151500</v>
      </c>
      <c r="J139" s="146">
        <v>0</v>
      </c>
      <c r="K139" s="111" t="str">
        <f>+K138</f>
        <v>JURNAL MANUAL</v>
      </c>
      <c r="L139" s="151" t="s">
        <v>501</v>
      </c>
    </row>
    <row r="140" spans="1:14" s="111" customFormat="1" ht="12" customHeight="1" x14ac:dyDescent="0.2">
      <c r="A140" s="133"/>
      <c r="B140" s="135"/>
      <c r="C140" s="136"/>
      <c r="D140" s="134"/>
      <c r="E140" s="139"/>
      <c r="F140" s="144"/>
      <c r="G140" s="146"/>
      <c r="H140" s="149"/>
      <c r="I140" s="149"/>
      <c r="J140" s="146"/>
      <c r="L140" s="151"/>
    </row>
    <row r="141" spans="1:14" s="111" customFormat="1" ht="12" customHeight="1" x14ac:dyDescent="0.2">
      <c r="A141" s="133"/>
      <c r="B141" s="135" t="str">
        <f>VLOOKUP(F141,BB!$A$8:$C$152,3,0)</f>
        <v>A04B</v>
      </c>
      <c r="C141" s="136">
        <v>202601</v>
      </c>
      <c r="D141" s="134" t="s">
        <v>693</v>
      </c>
      <c r="E141" s="139">
        <v>46053</v>
      </c>
      <c r="F141" s="134" t="s">
        <v>461</v>
      </c>
      <c r="G141" s="149">
        <f>11760000</f>
        <v>11760000</v>
      </c>
      <c r="H141" s="149">
        <v>0</v>
      </c>
      <c r="I141" s="198">
        <f>IF(G141&lt;&gt;0,G141,-H141)</f>
        <v>11760000</v>
      </c>
      <c r="J141" s="149">
        <v>0</v>
      </c>
      <c r="K141" s="111" t="s">
        <v>306</v>
      </c>
      <c r="L141" s="152" t="s">
        <v>691</v>
      </c>
      <c r="M141" s="149"/>
      <c r="N141" s="149"/>
    </row>
    <row r="142" spans="1:14" s="111" customFormat="1" ht="12" customHeight="1" x14ac:dyDescent="0.2">
      <c r="A142" s="133"/>
      <c r="B142" s="135" t="str">
        <f>VLOOKUP(F142,BB!$A$8:$C$152,3,0)</f>
        <v>P05</v>
      </c>
      <c r="C142" s="136">
        <f>C141</f>
        <v>202601</v>
      </c>
      <c r="D142" s="134" t="str">
        <f>D141</f>
        <v>JRM-2601003</v>
      </c>
      <c r="E142" s="139">
        <f>E141</f>
        <v>46053</v>
      </c>
      <c r="F142" s="144" t="s">
        <v>439</v>
      </c>
      <c r="G142" s="146">
        <f>H141</f>
        <v>0</v>
      </c>
      <c r="H142" s="149">
        <f>11608500</f>
        <v>11608500</v>
      </c>
      <c r="I142" s="198">
        <f>IF(G142&lt;&gt;0,G142,-H142)</f>
        <v>-11608500</v>
      </c>
      <c r="J142" s="146">
        <f>-J141</f>
        <v>0</v>
      </c>
      <c r="K142" s="111" t="str">
        <f>K141</f>
        <v>JURNAL MANUAL</v>
      </c>
      <c r="L142" s="151" t="s">
        <v>692</v>
      </c>
      <c r="M142" s="146"/>
      <c r="N142" s="149"/>
    </row>
    <row r="143" spans="1:14" s="111" customFormat="1" ht="12" customHeight="1" x14ac:dyDescent="0.2">
      <c r="A143" s="133"/>
      <c r="B143" s="135" t="str">
        <f>VLOOKUP(F143,BB!$A$8:$C$152,3,0)</f>
        <v>LR06</v>
      </c>
      <c r="C143" s="136">
        <f t="shared" ref="C143:E143" si="33">+C142</f>
        <v>202601</v>
      </c>
      <c r="D143" s="134" t="str">
        <f t="shared" si="33"/>
        <v>JRM-2601003</v>
      </c>
      <c r="E143" s="139">
        <f t="shared" si="33"/>
        <v>46053</v>
      </c>
      <c r="F143" s="144" t="s">
        <v>394</v>
      </c>
      <c r="G143" s="146">
        <v>0</v>
      </c>
      <c r="H143" s="149">
        <f>+G141-H142</f>
        <v>151500</v>
      </c>
      <c r="I143" s="198">
        <f>IF(G143&lt;&gt;0,G143,-H143)</f>
        <v>-151500</v>
      </c>
      <c r="J143" s="146">
        <v>0</v>
      </c>
      <c r="K143" s="111" t="s">
        <v>304</v>
      </c>
      <c r="L143" s="151" t="s">
        <v>501</v>
      </c>
    </row>
    <row r="144" spans="1:14" s="111" customFormat="1" ht="12" customHeight="1" x14ac:dyDescent="0.2">
      <c r="A144" s="133"/>
      <c r="B144" s="135"/>
      <c r="C144" s="136"/>
      <c r="D144" s="134"/>
      <c r="E144" s="139"/>
      <c r="F144" s="144"/>
      <c r="G144" s="146"/>
      <c r="H144" s="149"/>
      <c r="I144" s="149"/>
      <c r="J144" s="146"/>
      <c r="L144" s="151"/>
    </row>
    <row r="145" spans="1:14" s="111" customFormat="1" ht="12" customHeight="1" x14ac:dyDescent="0.2">
      <c r="A145" s="133"/>
      <c r="B145" s="135" t="str">
        <f>VLOOKUP(F145,BB!$A$8:$C$152,3,0)</f>
        <v>A04B</v>
      </c>
      <c r="C145" s="136">
        <v>202601</v>
      </c>
      <c r="D145" s="134" t="s">
        <v>694</v>
      </c>
      <c r="E145" s="139">
        <v>46053</v>
      </c>
      <c r="F145" s="134" t="s">
        <v>464</v>
      </c>
      <c r="G145" s="149">
        <v>15680000</v>
      </c>
      <c r="H145" s="149">
        <v>0</v>
      </c>
      <c r="I145" s="189">
        <f>IF(G145&lt;&gt;0,G145,-H145)</f>
        <v>15680000</v>
      </c>
      <c r="J145" s="149">
        <v>0</v>
      </c>
      <c r="K145" s="111" t="s">
        <v>306</v>
      </c>
      <c r="L145" s="152" t="s">
        <v>703</v>
      </c>
      <c r="M145" s="149"/>
      <c r="N145" s="149"/>
    </row>
    <row r="146" spans="1:14" s="111" customFormat="1" ht="12" customHeight="1" x14ac:dyDescent="0.2">
      <c r="A146" s="133"/>
      <c r="B146" s="135" t="str">
        <f>VLOOKUP(F146,BB!$A$8:$C$152,3,0)</f>
        <v>P05</v>
      </c>
      <c r="C146" s="136">
        <f>C145</f>
        <v>202601</v>
      </c>
      <c r="D146" s="134" t="str">
        <f>D145</f>
        <v>JRM-2601004</v>
      </c>
      <c r="E146" s="139">
        <f>E145</f>
        <v>46053</v>
      </c>
      <c r="F146" s="144" t="s">
        <v>435</v>
      </c>
      <c r="G146" s="146">
        <f>H145</f>
        <v>0</v>
      </c>
      <c r="H146" s="149">
        <v>14475000</v>
      </c>
      <c r="I146" s="189">
        <f>IF(G146&lt;&gt;0,G146,-H146)</f>
        <v>-14475000</v>
      </c>
      <c r="J146" s="146">
        <f>-J145</f>
        <v>0</v>
      </c>
      <c r="K146" s="111" t="str">
        <f>K145</f>
        <v>JURNAL MANUAL</v>
      </c>
      <c r="L146" s="151" t="s">
        <v>704</v>
      </c>
      <c r="M146" s="146"/>
      <c r="N146" s="149"/>
    </row>
    <row r="147" spans="1:14" s="111" customFormat="1" ht="12" customHeight="1" x14ac:dyDescent="0.2">
      <c r="A147" s="133"/>
      <c r="B147" s="135" t="str">
        <f>VLOOKUP(F147,BB!$A$8:$C$152,3,0)</f>
        <v>LR06</v>
      </c>
      <c r="C147" s="136">
        <f t="shared" ref="C147:E147" si="34">+C146</f>
        <v>202601</v>
      </c>
      <c r="D147" s="134" t="str">
        <f t="shared" si="34"/>
        <v>JRM-2601004</v>
      </c>
      <c r="E147" s="139">
        <f t="shared" si="34"/>
        <v>46053</v>
      </c>
      <c r="F147" s="144" t="s">
        <v>403</v>
      </c>
      <c r="G147" s="146">
        <v>0</v>
      </c>
      <c r="H147" s="149">
        <f>+G145-H146</f>
        <v>1205000</v>
      </c>
      <c r="I147" s="189">
        <f>IF(G147&lt;&gt;0,G147,-H147)</f>
        <v>-1205000</v>
      </c>
      <c r="J147" s="146">
        <v>0</v>
      </c>
      <c r="K147" s="111" t="str">
        <f>+K146</f>
        <v>JURNAL MANUAL</v>
      </c>
      <c r="L147" s="151" t="s">
        <v>708</v>
      </c>
    </row>
    <row r="148" spans="1:14" s="111" customFormat="1" ht="12" customHeight="1" x14ac:dyDescent="0.2">
      <c r="A148" s="133"/>
      <c r="B148" s="135"/>
      <c r="C148" s="136"/>
      <c r="D148" s="134"/>
      <c r="E148" s="139"/>
      <c r="F148" s="144"/>
      <c r="G148" s="146"/>
      <c r="H148" s="149"/>
      <c r="I148" s="149"/>
      <c r="J148" s="146"/>
      <c r="L148" s="151"/>
    </row>
    <row r="149" spans="1:14" s="111" customFormat="1" ht="12" customHeight="1" x14ac:dyDescent="0.2">
      <c r="A149" s="133"/>
      <c r="B149" s="135" t="str">
        <f>VLOOKUP(F149,BB!$A$8:$C$152,3,0)</f>
        <v>A04B</v>
      </c>
      <c r="C149" s="136">
        <v>202601</v>
      </c>
      <c r="D149" s="134" t="s">
        <v>705</v>
      </c>
      <c r="E149" s="139">
        <v>46053</v>
      </c>
      <c r="F149" s="134" t="s">
        <v>464</v>
      </c>
      <c r="G149" s="149">
        <v>15680000</v>
      </c>
      <c r="H149" s="149">
        <v>0</v>
      </c>
      <c r="I149" s="189">
        <f>IF(G149&lt;&gt;0,G149,-H149)</f>
        <v>15680000</v>
      </c>
      <c r="J149" s="149">
        <v>0</v>
      </c>
      <c r="K149" s="111" t="s">
        <v>306</v>
      </c>
      <c r="L149" s="152" t="s">
        <v>706</v>
      </c>
      <c r="M149" s="149"/>
      <c r="N149" s="149"/>
    </row>
    <row r="150" spans="1:14" s="111" customFormat="1" ht="12" customHeight="1" x14ac:dyDescent="0.2">
      <c r="A150" s="133"/>
      <c r="B150" s="135" t="str">
        <f>VLOOKUP(F150,BB!$A$8:$C$152,3,0)</f>
        <v>P05</v>
      </c>
      <c r="C150" s="136">
        <f>C149</f>
        <v>202601</v>
      </c>
      <c r="D150" s="134" t="str">
        <f>D149</f>
        <v>JRM-2601005</v>
      </c>
      <c r="E150" s="139">
        <f>E149</f>
        <v>46053</v>
      </c>
      <c r="F150" s="144" t="s">
        <v>435</v>
      </c>
      <c r="G150" s="146">
        <f>H149</f>
        <v>0</v>
      </c>
      <c r="H150" s="149">
        <v>14475000</v>
      </c>
      <c r="I150" s="189">
        <f>IF(G150&lt;&gt;0,G150,-H150)</f>
        <v>-14475000</v>
      </c>
      <c r="J150" s="146">
        <f>-J149</f>
        <v>0</v>
      </c>
      <c r="K150" s="111" t="str">
        <f>K149</f>
        <v>JURNAL MANUAL</v>
      </c>
      <c r="L150" s="151" t="s">
        <v>707</v>
      </c>
      <c r="M150" s="146"/>
      <c r="N150" s="149"/>
    </row>
    <row r="151" spans="1:14" s="111" customFormat="1" ht="12" customHeight="1" x14ac:dyDescent="0.2">
      <c r="A151" s="133"/>
      <c r="B151" s="135" t="str">
        <f>VLOOKUP(F151,BB!$A$8:$C$152,3,0)</f>
        <v>LR06</v>
      </c>
      <c r="C151" s="136">
        <f t="shared" ref="C151:E151" si="35">+C150</f>
        <v>202601</v>
      </c>
      <c r="D151" s="134" t="str">
        <f t="shared" si="35"/>
        <v>JRM-2601005</v>
      </c>
      <c r="E151" s="139">
        <f t="shared" si="35"/>
        <v>46053</v>
      </c>
      <c r="F151" s="144" t="s">
        <v>403</v>
      </c>
      <c r="G151" s="146">
        <v>0</v>
      </c>
      <c r="H151" s="149">
        <f>+G149-H150</f>
        <v>1205000</v>
      </c>
      <c r="I151" s="189">
        <f>IF(G151&lt;&gt;0,G151,-H151)</f>
        <v>-1205000</v>
      </c>
      <c r="J151" s="146">
        <v>0</v>
      </c>
      <c r="K151" s="111" t="str">
        <f>+K150</f>
        <v>JURNAL MANUAL</v>
      </c>
      <c r="L151" s="151" t="s">
        <v>708</v>
      </c>
    </row>
    <row r="152" spans="1:14" s="111" customFormat="1" ht="12" customHeight="1" x14ac:dyDescent="0.2">
      <c r="A152" s="133"/>
      <c r="B152" s="135"/>
      <c r="C152" s="136"/>
      <c r="D152" s="134"/>
      <c r="E152" s="139"/>
      <c r="F152" s="144"/>
      <c r="G152" s="146"/>
      <c r="H152" s="149"/>
      <c r="I152" s="149"/>
      <c r="J152" s="146"/>
      <c r="L152" s="151"/>
    </row>
    <row r="153" spans="1:14" s="111" customFormat="1" ht="12" customHeight="1" x14ac:dyDescent="0.2">
      <c r="A153" s="133"/>
      <c r="B153" s="135" t="str">
        <f>VLOOKUP(F153,BB!$A$8:$C$152,3,0)</f>
        <v>A04B</v>
      </c>
      <c r="C153" s="136">
        <v>202601</v>
      </c>
      <c r="D153" s="134" t="s">
        <v>711</v>
      </c>
      <c r="E153" s="139">
        <v>46053</v>
      </c>
      <c r="F153" s="134" t="s">
        <v>464</v>
      </c>
      <c r="G153" s="149">
        <v>15680000</v>
      </c>
      <c r="H153" s="149">
        <v>0</v>
      </c>
      <c r="I153" s="189">
        <f>IF(G153&lt;&gt;0,G153,-H153)</f>
        <v>15680000</v>
      </c>
      <c r="J153" s="149">
        <v>0</v>
      </c>
      <c r="K153" s="111" t="s">
        <v>306</v>
      </c>
      <c r="L153" s="152" t="s">
        <v>709</v>
      </c>
      <c r="M153" s="149"/>
      <c r="N153" s="149"/>
    </row>
    <row r="154" spans="1:14" s="111" customFormat="1" ht="12" customHeight="1" x14ac:dyDescent="0.2">
      <c r="A154" s="133"/>
      <c r="B154" s="135" t="str">
        <f>VLOOKUP(F154,BB!$A$8:$C$152,3,0)</f>
        <v>P05</v>
      </c>
      <c r="C154" s="136">
        <f>C153</f>
        <v>202601</v>
      </c>
      <c r="D154" s="134" t="str">
        <f>D153</f>
        <v>JRM-2601006</v>
      </c>
      <c r="E154" s="139">
        <f>E153</f>
        <v>46053</v>
      </c>
      <c r="F154" s="144" t="s">
        <v>435</v>
      </c>
      <c r="G154" s="146">
        <f>H153</f>
        <v>0</v>
      </c>
      <c r="H154" s="149">
        <v>14475000</v>
      </c>
      <c r="I154" s="189">
        <f>IF(G154&lt;&gt;0,G154,-H154)</f>
        <v>-14475000</v>
      </c>
      <c r="J154" s="146">
        <f>-J153</f>
        <v>0</v>
      </c>
      <c r="K154" s="111" t="str">
        <f>K153</f>
        <v>JURNAL MANUAL</v>
      </c>
      <c r="L154" s="151" t="s">
        <v>710</v>
      </c>
      <c r="M154" s="146"/>
      <c r="N154" s="149"/>
    </row>
    <row r="155" spans="1:14" s="111" customFormat="1" ht="12" customHeight="1" x14ac:dyDescent="0.2">
      <c r="A155" s="133"/>
      <c r="B155" s="135" t="str">
        <f>VLOOKUP(F155,BB!$A$8:$C$152,3,0)</f>
        <v>LR06</v>
      </c>
      <c r="C155" s="136">
        <f t="shared" ref="C155:E155" si="36">+C154</f>
        <v>202601</v>
      </c>
      <c r="D155" s="134" t="str">
        <f t="shared" si="36"/>
        <v>JRM-2601006</v>
      </c>
      <c r="E155" s="139">
        <f t="shared" si="36"/>
        <v>46053</v>
      </c>
      <c r="F155" s="144" t="s">
        <v>403</v>
      </c>
      <c r="G155" s="146">
        <v>0</v>
      </c>
      <c r="H155" s="149">
        <f>+G153-H154</f>
        <v>1205000</v>
      </c>
      <c r="I155" s="189">
        <f>IF(G155&lt;&gt;0,G155,-H155)</f>
        <v>-1205000</v>
      </c>
      <c r="J155" s="146">
        <v>0</v>
      </c>
      <c r="K155" s="111" t="str">
        <f>+K154</f>
        <v>JURNAL MANUAL</v>
      </c>
      <c r="L155" s="151" t="s">
        <v>708</v>
      </c>
    </row>
    <row r="156" spans="1:14" s="111" customFormat="1" ht="12" customHeight="1" x14ac:dyDescent="0.2">
      <c r="A156" s="133"/>
      <c r="B156" s="135"/>
      <c r="C156" s="136"/>
      <c r="D156" s="134"/>
      <c r="E156" s="139"/>
      <c r="F156" s="144"/>
      <c r="G156" s="146"/>
      <c r="H156" s="149"/>
      <c r="I156" s="149"/>
      <c r="J156" s="146"/>
      <c r="L156" s="151"/>
    </row>
    <row r="157" spans="1:14" s="111" customFormat="1" ht="12" customHeight="1" x14ac:dyDescent="0.2">
      <c r="A157" s="133"/>
      <c r="B157" s="135" t="str">
        <f>VLOOKUP(F157,BB!$A$8:$C$152,3,0)</f>
        <v>LR07</v>
      </c>
      <c r="C157" s="136">
        <v>202601</v>
      </c>
      <c r="D157" s="134" t="s">
        <v>712</v>
      </c>
      <c r="E157" s="139">
        <v>46053</v>
      </c>
      <c r="F157" s="134" t="s">
        <v>249</v>
      </c>
      <c r="G157" s="149">
        <v>7.5522217750549316</v>
      </c>
      <c r="H157" s="149">
        <v>0</v>
      </c>
      <c r="I157" s="149">
        <f>IF(G157&lt;&gt;0,G157,-H157)</f>
        <v>7.5522217750549316</v>
      </c>
      <c r="J157" s="149">
        <v>0</v>
      </c>
      <c r="K157" s="111" t="s">
        <v>306</v>
      </c>
      <c r="L157" s="152" t="s">
        <v>608</v>
      </c>
      <c r="M157" s="149"/>
      <c r="N157" s="149"/>
    </row>
    <row r="158" spans="1:14" s="111" customFormat="1" ht="12" customHeight="1" x14ac:dyDescent="0.2">
      <c r="A158" s="133"/>
      <c r="B158" s="135" t="str">
        <f>VLOOKUP(F158,BB!$A$8:$C$152,3,0)</f>
        <v>A04A</v>
      </c>
      <c r="C158" s="136">
        <f>C157</f>
        <v>202601</v>
      </c>
      <c r="D158" s="134" t="str">
        <f>D157</f>
        <v>JRM-2601007</v>
      </c>
      <c r="E158" s="139">
        <f>E157</f>
        <v>46053</v>
      </c>
      <c r="F158" s="144" t="s">
        <v>468</v>
      </c>
      <c r="G158" s="146">
        <f>H157</f>
        <v>0</v>
      </c>
      <c r="H158" s="149">
        <f>G157</f>
        <v>7.5522217750549316</v>
      </c>
      <c r="I158" s="149">
        <f>IF(G158&lt;&gt;0,G158,-H158)</f>
        <v>-7.5522217750549316</v>
      </c>
      <c r="J158" s="146">
        <f>-J157</f>
        <v>0</v>
      </c>
      <c r="K158" s="111" t="str">
        <f>K157</f>
        <v>JURNAL MANUAL</v>
      </c>
      <c r="L158" s="151" t="str">
        <f>L157</f>
        <v>PENYESUAIAN SELISIH PIUTANG RUTIN</v>
      </c>
      <c r="M158" s="146"/>
      <c r="N158" s="149"/>
    </row>
    <row r="159" spans="1:14" s="111" customFormat="1" ht="12" customHeight="1" x14ac:dyDescent="0.2">
      <c r="A159" s="133"/>
      <c r="B159" s="135"/>
      <c r="C159" s="136"/>
      <c r="D159" s="134"/>
      <c r="E159" s="139"/>
      <c r="F159" s="144"/>
      <c r="G159" s="146"/>
      <c r="H159" s="149"/>
      <c r="I159" s="149"/>
      <c r="J159" s="146"/>
      <c r="L159" s="151"/>
    </row>
    <row r="160" spans="1:14" s="111" customFormat="1" ht="12" customHeight="1" x14ac:dyDescent="0.2">
      <c r="A160" s="133"/>
      <c r="B160" s="135"/>
      <c r="C160" s="136"/>
      <c r="D160" s="134"/>
      <c r="E160" s="139"/>
      <c r="F160" s="144"/>
      <c r="G160" s="146"/>
      <c r="H160" s="149"/>
      <c r="I160" s="149"/>
      <c r="J160" s="146"/>
      <c r="L160" s="151"/>
    </row>
    <row r="161" spans="1:12" s="183" customFormat="1" ht="12" customHeight="1" x14ac:dyDescent="0.2">
      <c r="A161" s="172"/>
      <c r="B161" s="173"/>
      <c r="C161" s="174"/>
      <c r="D161" s="175"/>
      <c r="E161" s="176"/>
      <c r="F161" s="180"/>
      <c r="G161" s="181"/>
      <c r="H161" s="182"/>
      <c r="I161" s="182"/>
      <c r="J161" s="181"/>
      <c r="L161" s="184"/>
    </row>
    <row r="162" spans="1:12" s="111" customFormat="1" ht="12" customHeight="1" x14ac:dyDescent="0.2">
      <c r="A162" s="133"/>
      <c r="B162" s="135"/>
      <c r="C162" s="136"/>
      <c r="D162" s="134"/>
      <c r="E162" s="139"/>
      <c r="F162" s="144"/>
      <c r="G162" s="146"/>
      <c r="H162" s="149"/>
      <c r="I162" s="149"/>
      <c r="J162" s="146"/>
      <c r="L162" s="151"/>
    </row>
    <row r="163" spans="1:12" s="111" customFormat="1" ht="12" customHeight="1" x14ac:dyDescent="0.2">
      <c r="A163" s="133"/>
      <c r="B163" s="135" t="str">
        <f>VLOOKUP(F163,BB!$A$8:$C$152,3,0)</f>
        <v>A02</v>
      </c>
      <c r="C163" s="136">
        <v>202602</v>
      </c>
      <c r="D163" s="134" t="s">
        <v>609</v>
      </c>
      <c r="E163" s="139">
        <v>46059</v>
      </c>
      <c r="F163" s="144" t="s">
        <v>166</v>
      </c>
      <c r="G163" s="149">
        <v>0</v>
      </c>
      <c r="H163" s="149">
        <v>10833333</v>
      </c>
      <c r="I163" s="149">
        <f>IF(G163&lt;&gt;0,G163,-H163)</f>
        <v>-10833333</v>
      </c>
      <c r="J163" s="149">
        <v>0</v>
      </c>
      <c r="K163" s="111" t="s">
        <v>304</v>
      </c>
      <c r="L163" s="151" t="s">
        <v>610</v>
      </c>
    </row>
    <row r="164" spans="1:12" s="111" customFormat="1" ht="12" customHeight="1" x14ac:dyDescent="0.2">
      <c r="A164" s="133"/>
      <c r="B164" s="135" t="str">
        <f>VLOOKUP(F164,BB!$A$8:$C$152,3,0)</f>
        <v>A04A</v>
      </c>
      <c r="C164" s="136">
        <f t="shared" ref="C164:C165" si="37">C163</f>
        <v>202602</v>
      </c>
      <c r="D164" s="134" t="str">
        <f t="shared" ref="D164:D165" si="38">D163</f>
        <v>MDR-2602001</v>
      </c>
      <c r="E164" s="139">
        <f t="shared" ref="E164:E165" si="39">E163</f>
        <v>46059</v>
      </c>
      <c r="F164" s="144" t="s">
        <v>468</v>
      </c>
      <c r="G164" s="146">
        <v>30000000</v>
      </c>
      <c r="H164" s="149">
        <v>0</v>
      </c>
      <c r="I164" s="149">
        <f>IF(G164&lt;&gt;0,G164,-H164)</f>
        <v>30000000</v>
      </c>
      <c r="J164" s="146">
        <f>-J163</f>
        <v>0</v>
      </c>
      <c r="K164" s="111" t="str">
        <f>K163</f>
        <v>BANK KELUAR</v>
      </c>
      <c r="L164" s="151" t="str">
        <f>L163</f>
        <v>PINJAMAN RUTIN BAMBANG S, 36X, KOMPENSASI</v>
      </c>
    </row>
    <row r="165" spans="1:12" s="111" customFormat="1" ht="12" customHeight="1" x14ac:dyDescent="0.2">
      <c r="A165" s="133"/>
      <c r="B165" s="135" t="str">
        <f>VLOOKUP(F165,BB!$A$8:$C$152,3,0)</f>
        <v>A04A</v>
      </c>
      <c r="C165" s="136">
        <f t="shared" si="37"/>
        <v>202602</v>
      </c>
      <c r="D165" s="134" t="str">
        <f t="shared" si="38"/>
        <v>MDR-2602001</v>
      </c>
      <c r="E165" s="139">
        <f t="shared" si="39"/>
        <v>46059</v>
      </c>
      <c r="F165" s="144" t="s">
        <v>468</v>
      </c>
      <c r="G165" s="146">
        <v>0</v>
      </c>
      <c r="H165" s="149">
        <f>G164-H163</f>
        <v>19166667</v>
      </c>
      <c r="I165" s="149">
        <f>IF(G165&lt;&gt;0,G165,-H165)</f>
        <v>-19166667</v>
      </c>
      <c r="J165" s="146">
        <f>-J164</f>
        <v>0</v>
      </c>
      <c r="K165" s="111" t="str">
        <f>K164</f>
        <v>BANK KELUAR</v>
      </c>
      <c r="L165" s="151" t="str">
        <f>L164</f>
        <v>PINJAMAN RUTIN BAMBANG S, 36X, KOMPENSASI</v>
      </c>
    </row>
    <row r="166" spans="1:12" s="111" customFormat="1" ht="12" customHeight="1" x14ac:dyDescent="0.2">
      <c r="A166" s="133"/>
      <c r="B166" s="135"/>
      <c r="C166" s="136"/>
      <c r="D166" s="134"/>
      <c r="E166" s="139"/>
      <c r="F166" s="144"/>
      <c r="G166" s="146"/>
      <c r="H166" s="149"/>
      <c r="I166" s="149"/>
      <c r="J166" s="146"/>
      <c r="L166" s="151"/>
    </row>
    <row r="167" spans="1:12" s="111" customFormat="1" ht="12" customHeight="1" x14ac:dyDescent="0.2">
      <c r="A167" s="133"/>
      <c r="B167" s="135" t="str">
        <f>VLOOKUP(F167,BB!$A$8:$C$152,3,0)</f>
        <v>A02</v>
      </c>
      <c r="C167" s="136">
        <v>202602</v>
      </c>
      <c r="D167" s="134" t="s">
        <v>611</v>
      </c>
      <c r="E167" s="139">
        <v>46065</v>
      </c>
      <c r="F167" s="144" t="s">
        <v>166</v>
      </c>
      <c r="G167" s="149">
        <v>0</v>
      </c>
      <c r="H167" s="149">
        <v>14475000</v>
      </c>
      <c r="I167" s="189">
        <f>IF(G167&lt;&gt;0,G167,-H167)</f>
        <v>-14475000</v>
      </c>
      <c r="J167" s="149">
        <v>0</v>
      </c>
      <c r="K167" s="111" t="s">
        <v>304</v>
      </c>
      <c r="L167" s="152" t="s">
        <v>612</v>
      </c>
    </row>
    <row r="168" spans="1:12" s="111" customFormat="1" ht="12" customHeight="1" x14ac:dyDescent="0.2">
      <c r="A168" s="133"/>
      <c r="B168" s="135" t="str">
        <f>VLOOKUP(F168,BB!$A$8:$C$152,3,0)</f>
        <v>P05</v>
      </c>
      <c r="C168" s="136">
        <f>C167</f>
        <v>202602</v>
      </c>
      <c r="D168" s="134" t="str">
        <f>D167</f>
        <v>MDR-2602002</v>
      </c>
      <c r="E168" s="139">
        <f>E167</f>
        <v>46065</v>
      </c>
      <c r="F168" s="144" t="s">
        <v>435</v>
      </c>
      <c r="G168" s="146">
        <f>H167</f>
        <v>14475000</v>
      </c>
      <c r="H168" s="149">
        <f>G167</f>
        <v>0</v>
      </c>
      <c r="I168" s="189">
        <f>IF(G168&lt;&gt;0,G168,-H168)</f>
        <v>14475000</v>
      </c>
      <c r="J168" s="146">
        <f>-J167</f>
        <v>0</v>
      </c>
      <c r="K168" s="111" t="str">
        <f>K167</f>
        <v>BANK KELUAR</v>
      </c>
      <c r="L168" s="151" t="str">
        <f>L167</f>
        <v>PEMBAYARAN JASA FORKLIFT ACHMAD LUTHFIE PERIODE 202512</v>
      </c>
    </row>
    <row r="169" spans="1:12" s="111" customFormat="1" ht="12" customHeight="1" x14ac:dyDescent="0.2">
      <c r="A169" s="133"/>
      <c r="B169" s="135"/>
      <c r="C169" s="136"/>
      <c r="D169" s="134"/>
      <c r="E169" s="139"/>
      <c r="F169" s="144"/>
      <c r="G169" s="146"/>
      <c r="H169" s="149"/>
      <c r="I169" s="149"/>
      <c r="J169" s="146"/>
      <c r="L169" s="151"/>
    </row>
    <row r="170" spans="1:12" s="111" customFormat="1" ht="12" customHeight="1" x14ac:dyDescent="0.2">
      <c r="A170" s="133"/>
      <c r="B170" s="135" t="str">
        <f>VLOOKUP(F170,BB!$A$8:$C$152,3,0)</f>
        <v>A02</v>
      </c>
      <c r="C170" s="136">
        <v>202602</v>
      </c>
      <c r="D170" s="134" t="s">
        <v>613</v>
      </c>
      <c r="E170" s="139">
        <v>46075</v>
      </c>
      <c r="F170" s="144" t="s">
        <v>166</v>
      </c>
      <c r="G170" s="149">
        <v>0</v>
      </c>
      <c r="H170" s="149">
        <v>25000000</v>
      </c>
      <c r="I170" s="149">
        <f>IF(G170&lt;&gt;0,G170,-H170)</f>
        <v>-25000000</v>
      </c>
      <c r="J170" s="149">
        <v>0</v>
      </c>
      <c r="K170" s="111" t="s">
        <v>304</v>
      </c>
      <c r="L170" s="151" t="s">
        <v>614</v>
      </c>
    </row>
    <row r="171" spans="1:12" s="111" customFormat="1" ht="12" customHeight="1" x14ac:dyDescent="0.2">
      <c r="A171" s="133"/>
      <c r="B171" s="135" t="str">
        <f>VLOOKUP(F171,BB!$A$8:$C$152,3,0)</f>
        <v>A04A</v>
      </c>
      <c r="C171" s="136">
        <f>C170</f>
        <v>202602</v>
      </c>
      <c r="D171" s="134" t="str">
        <f>D170</f>
        <v>MDR-2602003</v>
      </c>
      <c r="E171" s="139">
        <f>E170</f>
        <v>46075</v>
      </c>
      <c r="F171" s="144" t="s">
        <v>468</v>
      </c>
      <c r="G171" s="146">
        <f>+H170</f>
        <v>25000000</v>
      </c>
      <c r="H171" s="149">
        <v>0</v>
      </c>
      <c r="I171" s="149">
        <f>IF(G171&lt;&gt;0,G171,-H171)</f>
        <v>25000000</v>
      </c>
      <c r="J171" s="146">
        <f>-J170</f>
        <v>0</v>
      </c>
      <c r="K171" s="111" t="str">
        <f>K170</f>
        <v>BANK KELUAR</v>
      </c>
      <c r="L171" s="151" t="str">
        <f>L170</f>
        <v>PINJAMAN RUTIN HARI ES, 60X</v>
      </c>
    </row>
    <row r="172" spans="1:12" s="111" customFormat="1" ht="12" customHeight="1" x14ac:dyDescent="0.2">
      <c r="A172" s="133"/>
      <c r="B172" s="135"/>
      <c r="C172" s="136"/>
      <c r="D172" s="134"/>
      <c r="E172" s="139"/>
      <c r="F172" s="144"/>
      <c r="G172" s="146"/>
      <c r="H172" s="149"/>
      <c r="I172" s="149"/>
      <c r="J172" s="146"/>
      <c r="L172" s="151"/>
    </row>
    <row r="173" spans="1:12" s="111" customFormat="1" ht="12" customHeight="1" x14ac:dyDescent="0.2">
      <c r="A173" s="133"/>
      <c r="B173" s="135" t="str">
        <f>VLOOKUP(F173,BB!$A$8:$C$152,3,0)</f>
        <v>A02</v>
      </c>
      <c r="C173" s="136">
        <v>202602</v>
      </c>
      <c r="D173" s="134" t="s">
        <v>615</v>
      </c>
      <c r="E173" s="139">
        <v>46076</v>
      </c>
      <c r="F173" s="144" t="s">
        <v>166</v>
      </c>
      <c r="G173" s="149">
        <v>8866667</v>
      </c>
      <c r="H173" s="149">
        <v>0</v>
      </c>
      <c r="I173" s="149">
        <f>IF(G173&lt;&gt;0,G173,-H173)</f>
        <v>8866667</v>
      </c>
      <c r="J173" s="149">
        <v>0</v>
      </c>
      <c r="K173" s="111" t="s">
        <v>305</v>
      </c>
      <c r="L173" s="151" t="s">
        <v>616</v>
      </c>
    </row>
    <row r="174" spans="1:12" s="111" customFormat="1" ht="12" customHeight="1" x14ac:dyDescent="0.2">
      <c r="A174" s="133"/>
      <c r="B174" s="135" t="str">
        <f>VLOOKUP(F174,BB!$A$8:$C$152,3,0)</f>
        <v>A04A</v>
      </c>
      <c r="C174" s="136">
        <f t="shared" ref="C174:C175" si="40">C173</f>
        <v>202602</v>
      </c>
      <c r="D174" s="134" t="str">
        <f t="shared" ref="D174:D175" si="41">D173</f>
        <v>MDR-2602004</v>
      </c>
      <c r="E174" s="139">
        <f t="shared" ref="E174:E175" si="42">E173</f>
        <v>46076</v>
      </c>
      <c r="F174" s="144" t="s">
        <v>468</v>
      </c>
      <c r="G174" s="146">
        <v>0</v>
      </c>
      <c r="H174" s="149">
        <v>8800000</v>
      </c>
      <c r="I174" s="149">
        <f>IF(G174&lt;&gt;0,G174,-H174)</f>
        <v>-8800000</v>
      </c>
      <c r="J174" s="146">
        <f>-J173</f>
        <v>0</v>
      </c>
      <c r="K174" s="111" t="str">
        <f>K173</f>
        <v>BANK MASUK</v>
      </c>
      <c r="L174" s="151" t="str">
        <f>L173</f>
        <v>PELUNASAN PINJAMAN RUTING JAFRINDA RE</v>
      </c>
    </row>
    <row r="175" spans="1:12" s="111" customFormat="1" ht="12" customHeight="1" x14ac:dyDescent="0.2">
      <c r="A175" s="133"/>
      <c r="B175" s="135" t="str">
        <f>VLOOKUP(F175,BB!$A$8:$C$152,3,0)</f>
        <v>LR06</v>
      </c>
      <c r="C175" s="136">
        <f t="shared" si="40"/>
        <v>202602</v>
      </c>
      <c r="D175" s="134" t="str">
        <f t="shared" si="41"/>
        <v>MDR-2602004</v>
      </c>
      <c r="E175" s="139">
        <f t="shared" si="42"/>
        <v>46076</v>
      </c>
      <c r="F175" s="144" t="s">
        <v>504</v>
      </c>
      <c r="G175" s="146">
        <v>0</v>
      </c>
      <c r="H175" s="149">
        <v>66667</v>
      </c>
      <c r="I175" s="149">
        <f>IF(G175&lt;&gt;0,G175,-H175)</f>
        <v>-66667</v>
      </c>
      <c r="J175" s="146">
        <f>-J174</f>
        <v>0</v>
      </c>
      <c r="K175" s="111" t="str">
        <f>K174</f>
        <v>BANK MASUK</v>
      </c>
      <c r="L175" s="151" t="s">
        <v>617</v>
      </c>
    </row>
    <row r="176" spans="1:12" s="111" customFormat="1" ht="12" customHeight="1" x14ac:dyDescent="0.2">
      <c r="A176" s="133"/>
      <c r="B176" s="135"/>
      <c r="C176" s="136"/>
      <c r="D176" s="134"/>
      <c r="E176" s="139"/>
      <c r="F176" s="144"/>
      <c r="G176" s="146"/>
      <c r="H176" s="149"/>
      <c r="I176" s="149"/>
      <c r="J176" s="146"/>
      <c r="L176" s="151"/>
    </row>
    <row r="177" spans="1:42" s="111" customFormat="1" ht="12" customHeight="1" x14ac:dyDescent="0.2">
      <c r="A177" s="133"/>
      <c r="B177" s="135" t="str">
        <f>VLOOKUP(F177,BB!$A$8:$C$152,3,0)</f>
        <v>A02</v>
      </c>
      <c r="C177" s="136">
        <v>202602</v>
      </c>
      <c r="D177" s="134" t="s">
        <v>618</v>
      </c>
      <c r="E177" s="139">
        <v>46078</v>
      </c>
      <c r="F177" s="144" t="s">
        <v>166</v>
      </c>
      <c r="G177" s="146">
        <v>84606565</v>
      </c>
      <c r="H177" s="149">
        <v>0</v>
      </c>
      <c r="I177" s="149">
        <f t="shared" ref="I177:I183" si="43">IF(G177&lt;&gt;0,G177,-H177)</f>
        <v>84606565</v>
      </c>
      <c r="J177" s="149">
        <v>0</v>
      </c>
      <c r="K177" s="111" t="s">
        <v>305</v>
      </c>
      <c r="L177" s="151" t="s">
        <v>619</v>
      </c>
    </row>
    <row r="178" spans="1:42" s="111" customFormat="1" ht="12" customHeight="1" x14ac:dyDescent="0.2">
      <c r="A178" s="133"/>
      <c r="B178" s="135" t="str">
        <f>VLOOKUP(F178,BB!$A$8:$C$152,3,0)</f>
        <v>A04A</v>
      </c>
      <c r="C178" s="136">
        <f t="shared" ref="C178:E178" si="44">C177</f>
        <v>202602</v>
      </c>
      <c r="D178" s="134" t="str">
        <f t="shared" si="44"/>
        <v>MDR-2602005</v>
      </c>
      <c r="E178" s="139">
        <f t="shared" si="44"/>
        <v>46078</v>
      </c>
      <c r="F178" s="144" t="s">
        <v>468</v>
      </c>
      <c r="G178" s="146">
        <v>0</v>
      </c>
      <c r="H178" s="149">
        <v>61858750</v>
      </c>
      <c r="I178" s="149">
        <f t="shared" si="43"/>
        <v>-61858750</v>
      </c>
      <c r="J178" s="146">
        <f>-J177</f>
        <v>0</v>
      </c>
      <c r="K178" s="111" t="str">
        <f>K177</f>
        <v>BANK MASUK</v>
      </c>
      <c r="L178" s="151" t="str">
        <f>"ANGSURAN PIRUT DARI "&amp;MID(L177,17,50)</f>
        <v>ANGSURAN PIRUT DARI POTONGAN GAJI BULAN FEBRUARI 2026</v>
      </c>
    </row>
    <row r="179" spans="1:42" s="111" customFormat="1" ht="12" customHeight="1" x14ac:dyDescent="0.2">
      <c r="A179" s="133"/>
      <c r="B179" s="135" t="str">
        <f>VLOOKUP(F179,BB!$A$8:$C$152,3,0)</f>
        <v>P12</v>
      </c>
      <c r="C179" s="136">
        <f t="shared" ref="C179:E179" si="45">C178</f>
        <v>202602</v>
      </c>
      <c r="D179" s="134" t="str">
        <f t="shared" si="45"/>
        <v>MDR-2602005</v>
      </c>
      <c r="E179" s="139">
        <f t="shared" si="45"/>
        <v>46078</v>
      </c>
      <c r="F179" s="140" t="s">
        <v>227</v>
      </c>
      <c r="G179" s="146">
        <v>0</v>
      </c>
      <c r="H179" s="149">
        <v>4100000</v>
      </c>
      <c r="I179" s="149">
        <f t="shared" si="43"/>
        <v>-4100000</v>
      </c>
      <c r="J179" s="146">
        <f t="shared" ref="J179:J183" si="46">-J178</f>
        <v>0</v>
      </c>
      <c r="K179" s="111" t="str">
        <f t="shared" ref="K179:K183" si="47">K178</f>
        <v>BANK MASUK</v>
      </c>
      <c r="L179" s="151" t="s">
        <v>500</v>
      </c>
    </row>
    <row r="180" spans="1:42" s="111" customFormat="1" ht="12" customHeight="1" x14ac:dyDescent="0.2">
      <c r="A180" s="133"/>
      <c r="B180" s="135" t="str">
        <f>VLOOKUP(F180,BB!$A$8:$C$152,3,0)</f>
        <v>P11</v>
      </c>
      <c r="C180" s="136">
        <f t="shared" ref="C180:E180" si="48">C179</f>
        <v>202602</v>
      </c>
      <c r="D180" s="134" t="str">
        <f t="shared" si="48"/>
        <v>MDR-2602005</v>
      </c>
      <c r="E180" s="139">
        <f t="shared" si="48"/>
        <v>46078</v>
      </c>
      <c r="F180" s="140" t="s">
        <v>226</v>
      </c>
      <c r="G180" s="146">
        <v>0</v>
      </c>
      <c r="H180" s="149">
        <v>300000</v>
      </c>
      <c r="I180" s="149">
        <f t="shared" ref="I180" si="49">IF(G180&lt;&gt;0,G180,-H180)</f>
        <v>-300000</v>
      </c>
      <c r="J180" s="146">
        <f t="shared" si="46"/>
        <v>0</v>
      </c>
      <c r="K180" s="111" t="str">
        <f t="shared" si="47"/>
        <v>BANK MASUK</v>
      </c>
      <c r="L180" s="151" t="s">
        <v>620</v>
      </c>
    </row>
    <row r="181" spans="1:42" s="111" customFormat="1" ht="12" customHeight="1" x14ac:dyDescent="0.2">
      <c r="A181" s="133"/>
      <c r="B181" s="135" t="str">
        <f>VLOOKUP(F181,BB!$A$8:$C$152,3,0)</f>
        <v>LR01A</v>
      </c>
      <c r="C181" s="136">
        <f t="shared" ref="C181:E181" si="50">C180</f>
        <v>202602</v>
      </c>
      <c r="D181" s="134" t="str">
        <f t="shared" si="50"/>
        <v>MDR-2602005</v>
      </c>
      <c r="E181" s="139">
        <f t="shared" si="50"/>
        <v>46078</v>
      </c>
      <c r="F181" s="144" t="s">
        <v>369</v>
      </c>
      <c r="G181" s="146">
        <v>0</v>
      </c>
      <c r="H181" s="146">
        <v>80206565.972222239</v>
      </c>
      <c r="I181" s="149">
        <f t="shared" si="43"/>
        <v>-80206565.972222239</v>
      </c>
      <c r="J181" s="146">
        <f t="shared" si="46"/>
        <v>0</v>
      </c>
      <c r="K181" s="111" t="str">
        <f t="shared" si="47"/>
        <v>BANK MASUK</v>
      </c>
      <c r="L181" s="151" t="str">
        <f>"PENDAPATAN PIRUT "&amp;MID(L177,31,50)</f>
        <v>PENDAPATAN PIRUT BULAN FEBRUARI 2026</v>
      </c>
    </row>
    <row r="182" spans="1:42" s="111" customFormat="1" ht="12" customHeight="1" x14ac:dyDescent="0.2">
      <c r="A182" s="133"/>
      <c r="B182" s="135" t="str">
        <f>VLOOKUP(F182,BB!$A$8:$C$152,3,0)</f>
        <v>LR02A</v>
      </c>
      <c r="C182" s="136">
        <f t="shared" ref="C182:E182" si="51">C181</f>
        <v>202602</v>
      </c>
      <c r="D182" s="134" t="str">
        <f t="shared" si="51"/>
        <v>MDR-2602005</v>
      </c>
      <c r="E182" s="139">
        <f t="shared" si="51"/>
        <v>46078</v>
      </c>
      <c r="F182" s="144" t="s">
        <v>373</v>
      </c>
      <c r="G182" s="146">
        <f>H178</f>
        <v>61858750</v>
      </c>
      <c r="H182" s="146">
        <v>0</v>
      </c>
      <c r="I182" s="149">
        <f t="shared" si="43"/>
        <v>61858750</v>
      </c>
      <c r="J182" s="146">
        <f t="shared" si="46"/>
        <v>0</v>
      </c>
      <c r="K182" s="111" t="str">
        <f t="shared" si="47"/>
        <v>BANK MASUK</v>
      </c>
      <c r="L182" s="151" t="str">
        <f>"HPP "&amp;MID(L181,12,50)</f>
        <v>HPP PIRUT BULAN FEBRUARI 2026</v>
      </c>
    </row>
    <row r="183" spans="1:42" s="111" customFormat="1" ht="12" customHeight="1" x14ac:dyDescent="0.2">
      <c r="A183" s="133"/>
      <c r="B183" s="135" t="str">
        <f>VLOOKUP(F183,BB!$A$8:$C$152,3,0)</f>
        <v>LR07</v>
      </c>
      <c r="C183" s="136">
        <f t="shared" ref="C183:E183" si="52">C182</f>
        <v>202602</v>
      </c>
      <c r="D183" s="134" t="str">
        <f t="shared" si="52"/>
        <v>MDR-2602005</v>
      </c>
      <c r="E183" s="139">
        <f t="shared" si="52"/>
        <v>46078</v>
      </c>
      <c r="F183" s="144" t="s">
        <v>249</v>
      </c>
      <c r="G183" s="146">
        <f>IF(SUM(I177:I182)&lt;0,-SUM(I177:I182),0)</f>
        <v>0.97222223877906799</v>
      </c>
      <c r="H183" s="146">
        <f>IF(SUM(I177:I182)&gt;0,-SUM(J177:J182),0)</f>
        <v>0</v>
      </c>
      <c r="I183" s="149">
        <f t="shared" si="43"/>
        <v>0.97222223877906799</v>
      </c>
      <c r="J183" s="146">
        <f t="shared" si="46"/>
        <v>0</v>
      </c>
      <c r="K183" s="111" t="str">
        <f t="shared" si="47"/>
        <v>BANK MASUK</v>
      </c>
      <c r="L183" s="151" t="s">
        <v>434</v>
      </c>
    </row>
    <row r="184" spans="1:42" s="111" customFormat="1" ht="12" customHeight="1" x14ac:dyDescent="0.2">
      <c r="A184" s="133"/>
      <c r="B184" s="135"/>
      <c r="C184" s="136"/>
      <c r="D184" s="134"/>
      <c r="E184" s="139"/>
      <c r="F184" s="144"/>
      <c r="G184" s="146"/>
      <c r="H184" s="149"/>
      <c r="I184" s="149"/>
      <c r="J184" s="146"/>
      <c r="L184" s="151"/>
    </row>
    <row r="185" spans="1:42" s="111" customFormat="1" ht="12" customHeight="1" x14ac:dyDescent="0.2">
      <c r="A185" s="133"/>
      <c r="B185" s="135" t="str">
        <f>VLOOKUP(F185,BB!$A$8:$C$152,3,0)</f>
        <v>A02</v>
      </c>
      <c r="C185" s="136">
        <v>202602</v>
      </c>
      <c r="D185" s="134" t="s">
        <v>621</v>
      </c>
      <c r="E185" s="139">
        <v>46079</v>
      </c>
      <c r="F185" s="144" t="s">
        <v>166</v>
      </c>
      <c r="G185" s="149">
        <v>0</v>
      </c>
      <c r="H185" s="149">
        <v>11608500</v>
      </c>
      <c r="I185" s="191">
        <f>IF(G185&lt;&gt;0,G185,-H185)</f>
        <v>-11608500</v>
      </c>
      <c r="J185" s="149">
        <v>0</v>
      </c>
      <c r="K185" s="111" t="s">
        <v>304</v>
      </c>
      <c r="L185" s="151" t="s">
        <v>622</v>
      </c>
    </row>
    <row r="186" spans="1:42" s="111" customFormat="1" ht="12" customHeight="1" x14ac:dyDescent="0.2">
      <c r="A186" s="133"/>
      <c r="B186" s="135" t="str">
        <f>VLOOKUP(F186,BB!$A$8:$C$152,3,0)</f>
        <v>P05</v>
      </c>
      <c r="C186" s="136">
        <f t="shared" ref="C186" si="53">+C185</f>
        <v>202602</v>
      </c>
      <c r="D186" s="134" t="str">
        <f t="shared" ref="D186" si="54">+D185</f>
        <v>MDR-2602006</v>
      </c>
      <c r="E186" s="139">
        <f t="shared" ref="E186" si="55">+E185</f>
        <v>46079</v>
      </c>
      <c r="F186" s="144" t="s">
        <v>439</v>
      </c>
      <c r="G186" s="149">
        <f>H185</f>
        <v>11608500</v>
      </c>
      <c r="H186" s="149">
        <v>0</v>
      </c>
      <c r="I186" s="191">
        <f>IF(G186&lt;&gt;0,G186,-H186)</f>
        <v>11608500</v>
      </c>
      <c r="J186" s="146">
        <v>0</v>
      </c>
      <c r="K186" s="111" t="s">
        <v>304</v>
      </c>
      <c r="L186" s="151" t="str">
        <f>+L185</f>
        <v>PEMBAYARAN KE ORIX SEWA BULAN KE 44 (FEB)</v>
      </c>
    </row>
    <row r="187" spans="1:42" s="111" customFormat="1" ht="12" customHeight="1" x14ac:dyDescent="0.2">
      <c r="A187" s="133"/>
      <c r="B187" s="135"/>
      <c r="C187" s="136"/>
      <c r="D187" s="134"/>
      <c r="E187" s="139"/>
      <c r="F187" s="144"/>
      <c r="G187" s="146"/>
      <c r="H187" s="149"/>
      <c r="I187" s="149"/>
      <c r="J187" s="146"/>
      <c r="L187" s="151"/>
    </row>
    <row r="188" spans="1:42" s="111" customFormat="1" ht="12" customHeight="1" x14ac:dyDescent="0.2">
      <c r="A188" s="133"/>
      <c r="B188" s="135" t="str">
        <f>VLOOKUP(F188,BB!$A$8:$C$152,3,0)</f>
        <v>A02</v>
      </c>
      <c r="C188" s="136">
        <v>202602</v>
      </c>
      <c r="D188" s="134" t="s">
        <v>623</v>
      </c>
      <c r="E188" s="139">
        <v>46079</v>
      </c>
      <c r="F188" s="144" t="s">
        <v>166</v>
      </c>
      <c r="G188" s="149">
        <v>0</v>
      </c>
      <c r="H188" s="149">
        <v>2900</v>
      </c>
      <c r="I188" s="149">
        <f>IF(G188&lt;&gt;0,G188,-H188)</f>
        <v>-2900</v>
      </c>
      <c r="J188" s="149">
        <v>0</v>
      </c>
      <c r="K188" s="111" t="s">
        <v>304</v>
      </c>
      <c r="L188" s="152" t="s">
        <v>407</v>
      </c>
      <c r="M188" s="136"/>
      <c r="N188" s="136"/>
      <c r="O188" s="136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  <c r="AA188" s="136"/>
      <c r="AB188" s="136"/>
      <c r="AC188" s="136"/>
      <c r="AD188" s="136"/>
      <c r="AE188" s="136"/>
      <c r="AF188" s="136"/>
      <c r="AG188" s="136"/>
      <c r="AH188" s="136"/>
      <c r="AI188" s="136"/>
      <c r="AJ188" s="136"/>
      <c r="AK188" s="136"/>
      <c r="AL188" s="136"/>
      <c r="AM188" s="136"/>
      <c r="AN188" s="136"/>
      <c r="AO188" s="136"/>
      <c r="AP188" s="136"/>
    </row>
    <row r="189" spans="1:42" s="111" customFormat="1" ht="12" customHeight="1" x14ac:dyDescent="0.2">
      <c r="A189" s="133"/>
      <c r="B189" s="135" t="str">
        <f>VLOOKUP(F189,BB!$A$8:$C$152,3,0)</f>
        <v>LR07</v>
      </c>
      <c r="C189" s="136">
        <f>+C188</f>
        <v>202602</v>
      </c>
      <c r="D189" s="134" t="str">
        <f>+D188</f>
        <v>MDR-2602007</v>
      </c>
      <c r="E189" s="139">
        <f>+E188</f>
        <v>46079</v>
      </c>
      <c r="F189" s="144" t="s">
        <v>248</v>
      </c>
      <c r="G189" s="146">
        <f>+H188</f>
        <v>2900</v>
      </c>
      <c r="H189" s="149">
        <v>0</v>
      </c>
      <c r="I189" s="149">
        <f>IF(G189&lt;&gt;0,G189,-H189)</f>
        <v>2900</v>
      </c>
      <c r="J189" s="146">
        <v>0</v>
      </c>
      <c r="K189" s="111" t="s">
        <v>304</v>
      </c>
      <c r="L189" s="151" t="str">
        <f>+L188</f>
        <v>CLEARING FEE</v>
      </c>
    </row>
    <row r="190" spans="1:42" s="111" customFormat="1" ht="12" customHeight="1" x14ac:dyDescent="0.2">
      <c r="A190" s="133"/>
      <c r="B190" s="135"/>
      <c r="C190" s="136"/>
      <c r="D190" s="134"/>
      <c r="E190" s="139"/>
      <c r="F190" s="144"/>
      <c r="G190" s="146"/>
      <c r="H190" s="149"/>
      <c r="I190" s="149"/>
      <c r="J190" s="146"/>
      <c r="L190" s="151"/>
    </row>
    <row r="191" spans="1:42" s="111" customFormat="1" ht="12" customHeight="1" x14ac:dyDescent="0.2">
      <c r="A191" s="133"/>
      <c r="B191" s="135" t="str">
        <f>VLOOKUP(F191,BB!$A$8:$C$152,3,0)</f>
        <v>A02</v>
      </c>
      <c r="C191" s="136">
        <v>202602</v>
      </c>
      <c r="D191" s="134" t="s">
        <v>624</v>
      </c>
      <c r="E191" s="139">
        <v>46080</v>
      </c>
      <c r="F191" s="144" t="s">
        <v>166</v>
      </c>
      <c r="G191" s="149">
        <v>0</v>
      </c>
      <c r="H191" s="149">
        <v>50000000</v>
      </c>
      <c r="I191" s="149">
        <f>IF(G191&lt;&gt;0,G191,-H191)</f>
        <v>-50000000</v>
      </c>
      <c r="J191" s="149">
        <v>0</v>
      </c>
      <c r="K191" s="111" t="s">
        <v>304</v>
      </c>
      <c r="L191" s="151" t="s">
        <v>625</v>
      </c>
    </row>
    <row r="192" spans="1:42" s="111" customFormat="1" ht="12" customHeight="1" x14ac:dyDescent="0.2">
      <c r="A192" s="133"/>
      <c r="B192" s="135" t="str">
        <f>VLOOKUP(F192,BB!$A$8:$C$152,3,0)</f>
        <v>A04A</v>
      </c>
      <c r="C192" s="136">
        <f>C191</f>
        <v>202602</v>
      </c>
      <c r="D192" s="134" t="str">
        <f>D191</f>
        <v>MDR-2602008</v>
      </c>
      <c r="E192" s="139">
        <f>E191</f>
        <v>46080</v>
      </c>
      <c r="F192" s="144" t="s">
        <v>468</v>
      </c>
      <c r="G192" s="146">
        <f>+H191</f>
        <v>50000000</v>
      </c>
      <c r="H192" s="149">
        <v>0</v>
      </c>
      <c r="I192" s="149">
        <f>IF(G192&lt;&gt;0,G192,-H192)</f>
        <v>50000000</v>
      </c>
      <c r="J192" s="146">
        <f>-J191</f>
        <v>0</v>
      </c>
      <c r="K192" s="111" t="str">
        <f>K191</f>
        <v>BANK KELUAR</v>
      </c>
      <c r="L192" s="151" t="str">
        <f>L191</f>
        <v>PINJAMAN RUTIN JAFRINDA RE, 60X</v>
      </c>
    </row>
    <row r="193" spans="1:42" s="111" customFormat="1" ht="12" customHeight="1" x14ac:dyDescent="0.2">
      <c r="A193" s="133"/>
      <c r="B193" s="135"/>
      <c r="C193" s="136"/>
      <c r="D193" s="134"/>
      <c r="E193" s="139"/>
      <c r="F193" s="144"/>
      <c r="G193" s="146"/>
      <c r="H193" s="149"/>
      <c r="I193" s="149"/>
      <c r="J193" s="146"/>
      <c r="L193" s="151"/>
    </row>
    <row r="194" spans="1:42" s="111" customFormat="1" ht="12" customHeight="1" x14ac:dyDescent="0.2">
      <c r="A194" s="133"/>
      <c r="B194" s="135" t="str">
        <f>VLOOKUP(F194,BB!$A$8:$C$152,3,0)</f>
        <v>A02</v>
      </c>
      <c r="C194" s="136">
        <v>202602</v>
      </c>
      <c r="D194" s="134" t="s">
        <v>626</v>
      </c>
      <c r="E194" s="139">
        <v>46080</v>
      </c>
      <c r="F194" s="134" t="s">
        <v>166</v>
      </c>
      <c r="G194" s="149">
        <v>0</v>
      </c>
      <c r="H194" s="149">
        <v>23600000</v>
      </c>
      <c r="I194" s="149">
        <f>IF(G194&lt;&gt;0,G194,-H194)</f>
        <v>-23600000</v>
      </c>
      <c r="J194" s="149">
        <v>0</v>
      </c>
      <c r="K194" s="111" t="s">
        <v>304</v>
      </c>
      <c r="L194" s="152" t="s">
        <v>502</v>
      </c>
      <c r="M194" s="136"/>
      <c r="N194" s="136"/>
      <c r="O194" s="136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  <c r="AA194" s="136"/>
      <c r="AB194" s="136"/>
      <c r="AC194" s="136"/>
      <c r="AD194" s="136"/>
      <c r="AE194" s="136"/>
      <c r="AF194" s="136"/>
      <c r="AG194" s="136"/>
      <c r="AH194" s="136"/>
      <c r="AI194" s="136"/>
      <c r="AJ194" s="136"/>
      <c r="AK194" s="136"/>
      <c r="AL194" s="136"/>
      <c r="AM194" s="136"/>
      <c r="AN194" s="136"/>
      <c r="AO194" s="136"/>
      <c r="AP194" s="136"/>
    </row>
    <row r="195" spans="1:42" s="111" customFormat="1" ht="12" customHeight="1" x14ac:dyDescent="0.2">
      <c r="A195" s="133"/>
      <c r="B195" s="135" t="str">
        <f>VLOOKUP(F195,BB!$A$8:$C$152,3,0)</f>
        <v>A01</v>
      </c>
      <c r="C195" s="136">
        <f>C194</f>
        <v>202602</v>
      </c>
      <c r="D195" s="134" t="str">
        <f>D194</f>
        <v>MDR-2602009</v>
      </c>
      <c r="E195" s="139">
        <f>E194</f>
        <v>46080</v>
      </c>
      <c r="F195" s="134" t="s">
        <v>164</v>
      </c>
      <c r="G195" s="146">
        <f>H194</f>
        <v>23600000</v>
      </c>
      <c r="H195" s="149">
        <f>G194</f>
        <v>0</v>
      </c>
      <c r="I195" s="149">
        <f>IF(G195&lt;&gt;0,G195,-H195)</f>
        <v>23600000</v>
      </c>
      <c r="J195" s="146">
        <f>-J194</f>
        <v>0</v>
      </c>
      <c r="K195" s="111" t="str">
        <f>K194</f>
        <v>BANK KELUAR</v>
      </c>
      <c r="L195" s="151" t="str">
        <f>L194</f>
        <v>PEMINDAHAN DANA KE AKUN KAS</v>
      </c>
    </row>
    <row r="196" spans="1:42" s="111" customFormat="1" ht="12" customHeight="1" x14ac:dyDescent="0.2">
      <c r="A196" s="133"/>
      <c r="B196" s="135"/>
      <c r="C196" s="136"/>
      <c r="D196" s="134"/>
      <c r="E196" s="139"/>
      <c r="F196" s="144"/>
      <c r="G196" s="146"/>
      <c r="H196" s="149"/>
      <c r="I196" s="149"/>
      <c r="J196" s="146"/>
      <c r="L196" s="151"/>
    </row>
    <row r="197" spans="1:42" s="111" customFormat="1" ht="12" customHeight="1" x14ac:dyDescent="0.2">
      <c r="A197" s="133"/>
      <c r="B197" s="135" t="str">
        <f>VLOOKUP(F197,BB!$A$8:$C$152,3,0)</f>
        <v>A02</v>
      </c>
      <c r="C197" s="136">
        <v>202602</v>
      </c>
      <c r="D197" s="134" t="s">
        <v>627</v>
      </c>
      <c r="E197" s="139">
        <v>46080</v>
      </c>
      <c r="F197" s="144" t="s">
        <v>166</v>
      </c>
      <c r="G197" s="149">
        <v>0</v>
      </c>
      <c r="H197" s="149">
        <v>50000000</v>
      </c>
      <c r="I197" s="149">
        <f>IF(G197&lt;&gt;0,G197,-H197)</f>
        <v>-50000000</v>
      </c>
      <c r="J197" s="149">
        <v>0</v>
      </c>
      <c r="K197" s="111" t="s">
        <v>304</v>
      </c>
      <c r="L197" s="151" t="s">
        <v>628</v>
      </c>
    </row>
    <row r="198" spans="1:42" s="111" customFormat="1" ht="12" customHeight="1" x14ac:dyDescent="0.2">
      <c r="A198" s="133"/>
      <c r="B198" s="135" t="str">
        <f>VLOOKUP(F198,BB!$A$8:$C$152,3,0)</f>
        <v>A04A</v>
      </c>
      <c r="C198" s="136">
        <f>C197</f>
        <v>202602</v>
      </c>
      <c r="D198" s="134" t="str">
        <f>D197</f>
        <v>MDR-2602010</v>
      </c>
      <c r="E198" s="139">
        <f>E197</f>
        <v>46080</v>
      </c>
      <c r="F198" s="144" t="s">
        <v>468</v>
      </c>
      <c r="G198" s="146">
        <f>+H197</f>
        <v>50000000</v>
      </c>
      <c r="H198" s="149">
        <v>0</v>
      </c>
      <c r="I198" s="149">
        <f>IF(G198&lt;&gt;0,G198,-H198)</f>
        <v>50000000</v>
      </c>
      <c r="J198" s="146">
        <f>-J197</f>
        <v>0</v>
      </c>
      <c r="K198" s="111" t="str">
        <f>K197</f>
        <v>BANK KELUAR</v>
      </c>
      <c r="L198" s="151" t="str">
        <f>L197</f>
        <v>PINJAMAN RUTIN ADY P, 48X</v>
      </c>
    </row>
    <row r="199" spans="1:42" s="111" customFormat="1" ht="12" customHeight="1" x14ac:dyDescent="0.2">
      <c r="A199" s="133"/>
      <c r="B199" s="135"/>
      <c r="C199" s="136"/>
      <c r="D199" s="134"/>
      <c r="E199" s="139"/>
      <c r="F199" s="144"/>
      <c r="G199" s="146"/>
      <c r="H199" s="149"/>
      <c r="I199" s="149"/>
      <c r="J199" s="146"/>
      <c r="L199" s="151"/>
    </row>
    <row r="200" spans="1:42" s="111" customFormat="1" ht="12" customHeight="1" x14ac:dyDescent="0.2">
      <c r="A200" s="133"/>
      <c r="B200" s="135" t="str">
        <f>VLOOKUP(F200,BB!$A$8:$C$152,3,0)</f>
        <v>A02</v>
      </c>
      <c r="C200" s="136">
        <v>202602</v>
      </c>
      <c r="D200" s="134" t="s">
        <v>629</v>
      </c>
      <c r="E200" s="139">
        <v>46081</v>
      </c>
      <c r="F200" s="144" t="s">
        <v>166</v>
      </c>
      <c r="G200" s="149">
        <f>IF(SUM(I201:I203)&lt;0,-SUM(I201:I203),0)</f>
        <v>42993.700000000004</v>
      </c>
      <c r="H200" s="149">
        <f>IF(SUM(I201:I203)&gt;0,SUM(I201:I203),0)</f>
        <v>0</v>
      </c>
      <c r="I200" s="149">
        <f>IF(G200&lt;&gt;0,G200,-H200)</f>
        <v>42993.700000000004</v>
      </c>
      <c r="J200" s="146">
        <f>-J199</f>
        <v>0</v>
      </c>
      <c r="K200" s="111" t="str">
        <f>IF(I200&gt;0,"BANK MASUK","BANK KELUAR")</f>
        <v>BANK MASUK</v>
      </c>
      <c r="L200" s="151" t="str">
        <f>IF(K200="BANK MASUK","PENDAPATAN ATAS REKENING GIRO MANDIRI","BIAYA ATAS REKENING GIRO MANDIRI")</f>
        <v>PENDAPATAN ATAS REKENING GIRO MANDIRI</v>
      </c>
    </row>
    <row r="201" spans="1:42" s="111" customFormat="1" ht="12" customHeight="1" x14ac:dyDescent="0.2">
      <c r="A201" s="133"/>
      <c r="B201" s="135" t="str">
        <f>VLOOKUP(F201,BB!$A$8:$C$152,3,0)</f>
        <v>LR07</v>
      </c>
      <c r="C201" s="136">
        <f t="shared" ref="C201:E201" si="56">C200</f>
        <v>202602</v>
      </c>
      <c r="D201" s="134" t="str">
        <f t="shared" si="56"/>
        <v>MDR-2602011</v>
      </c>
      <c r="E201" s="139">
        <f t="shared" si="56"/>
        <v>46081</v>
      </c>
      <c r="F201" s="144" t="s">
        <v>248</v>
      </c>
      <c r="G201" s="149">
        <v>25000</v>
      </c>
      <c r="H201" s="149">
        <v>0</v>
      </c>
      <c r="I201" s="149">
        <f>IF(G201&lt;&gt;0,G201,-H201)</f>
        <v>25000</v>
      </c>
      <c r="J201" s="146">
        <f>-J200</f>
        <v>0</v>
      </c>
      <c r="K201" s="111" t="str">
        <f>K200</f>
        <v>BANK MASUK</v>
      </c>
      <c r="L201" s="151" t="s">
        <v>409</v>
      </c>
    </row>
    <row r="202" spans="1:42" s="111" customFormat="1" ht="12" customHeight="1" x14ac:dyDescent="0.2">
      <c r="A202" s="133"/>
      <c r="B202" s="135" t="str">
        <f>VLOOKUP(F202,BB!$A$8:$C$152,3,0)</f>
        <v>LR07</v>
      </c>
      <c r="C202" s="136">
        <f t="shared" ref="C202:E202" si="57">C201</f>
        <v>202602</v>
      </c>
      <c r="D202" s="134" t="str">
        <f t="shared" si="57"/>
        <v>MDR-2602011</v>
      </c>
      <c r="E202" s="139">
        <f t="shared" si="57"/>
        <v>46081</v>
      </c>
      <c r="F202" s="144" t="s">
        <v>248</v>
      </c>
      <c r="G202" s="149">
        <v>0</v>
      </c>
      <c r="H202" s="149">
        <v>84992.13</v>
      </c>
      <c r="I202" s="149">
        <f>IF(G202&lt;&gt;0,G202,-H202)</f>
        <v>-84992.13</v>
      </c>
      <c r="J202" s="146">
        <f>-J201</f>
        <v>0</v>
      </c>
      <c r="K202" s="111" t="str">
        <f>K201</f>
        <v>BANK MASUK</v>
      </c>
      <c r="L202" s="151" t="s">
        <v>410</v>
      </c>
    </row>
    <row r="203" spans="1:42" s="111" customFormat="1" ht="12" customHeight="1" x14ac:dyDescent="0.2">
      <c r="A203" s="133"/>
      <c r="B203" s="135" t="str">
        <f>VLOOKUP(F203,BB!$A$8:$C$152,3,0)</f>
        <v>LR07</v>
      </c>
      <c r="C203" s="136">
        <f t="shared" ref="C203:E203" si="58">C202</f>
        <v>202602</v>
      </c>
      <c r="D203" s="134" t="str">
        <f t="shared" si="58"/>
        <v>MDR-2602011</v>
      </c>
      <c r="E203" s="139">
        <f t="shared" si="58"/>
        <v>46081</v>
      </c>
      <c r="F203" s="144" t="s">
        <v>248</v>
      </c>
      <c r="G203" s="149">
        <v>16998.43</v>
      </c>
      <c r="H203" s="149">
        <v>0</v>
      </c>
      <c r="I203" s="149">
        <f>IF(G203&lt;&gt;0,G203,-H203)</f>
        <v>16998.43</v>
      </c>
      <c r="J203" s="146">
        <f>-J202</f>
        <v>0</v>
      </c>
      <c r="K203" s="111" t="str">
        <f>K202</f>
        <v>BANK MASUK</v>
      </c>
      <c r="L203" s="151" t="s">
        <v>411</v>
      </c>
    </row>
    <row r="204" spans="1:42" s="111" customFormat="1" ht="12" customHeight="1" x14ac:dyDescent="0.2">
      <c r="A204" s="133"/>
      <c r="B204" s="135"/>
      <c r="C204" s="136"/>
      <c r="D204" s="134"/>
      <c r="E204" s="139"/>
      <c r="F204" s="144"/>
      <c r="G204" s="146"/>
      <c r="H204" s="149"/>
      <c r="I204" s="149"/>
      <c r="J204" s="146"/>
      <c r="L204" s="151"/>
    </row>
    <row r="205" spans="1:42" s="111" customFormat="1" ht="12" customHeight="1" x14ac:dyDescent="0.2">
      <c r="A205" s="133"/>
      <c r="B205" s="135" t="str">
        <f>VLOOKUP(F205,BB!$A$8:$C$152,3,0)</f>
        <v>A02</v>
      </c>
      <c r="C205" s="136">
        <v>202602</v>
      </c>
      <c r="D205" s="134" t="s">
        <v>630</v>
      </c>
      <c r="E205" s="139">
        <v>46081</v>
      </c>
      <c r="F205" s="144" t="s">
        <v>167</v>
      </c>
      <c r="G205" s="149">
        <v>0</v>
      </c>
      <c r="H205" s="149">
        <v>30000</v>
      </c>
      <c r="I205" s="149">
        <f>IF(G205&lt;&gt;0,G205,-H205)</f>
        <v>-30000</v>
      </c>
      <c r="J205" s="149">
        <v>0</v>
      </c>
      <c r="K205" s="111" t="s">
        <v>304</v>
      </c>
      <c r="L205" s="151" t="s">
        <v>409</v>
      </c>
    </row>
    <row r="206" spans="1:42" s="111" customFormat="1" ht="12" customHeight="1" x14ac:dyDescent="0.2">
      <c r="A206" s="133"/>
      <c r="B206" s="135" t="str">
        <f>VLOOKUP(F206,BB!$A$8:$C$152,3,0)</f>
        <v>LR07</v>
      </c>
      <c r="C206" s="136">
        <f>C205</f>
        <v>202602</v>
      </c>
      <c r="D206" s="134" t="str">
        <f>D205</f>
        <v>BCA-2602001</v>
      </c>
      <c r="E206" s="139">
        <f>E205</f>
        <v>46081</v>
      </c>
      <c r="F206" s="144" t="s">
        <v>248</v>
      </c>
      <c r="G206" s="146">
        <v>30000</v>
      </c>
      <c r="H206" s="149">
        <v>0</v>
      </c>
      <c r="I206" s="149">
        <f>IF(G206&lt;&gt;0,G206,-H206)</f>
        <v>30000</v>
      </c>
      <c r="J206" s="146">
        <v>0</v>
      </c>
      <c r="K206" s="111" t="s">
        <v>304</v>
      </c>
      <c r="L206" s="151" t="s">
        <v>409</v>
      </c>
    </row>
    <row r="207" spans="1:42" s="111" customFormat="1" ht="12" customHeight="1" x14ac:dyDescent="0.2">
      <c r="A207" s="133"/>
      <c r="B207" s="135"/>
      <c r="C207" s="136"/>
      <c r="D207" s="134"/>
      <c r="E207" s="139"/>
      <c r="F207" s="144"/>
      <c r="G207" s="146"/>
      <c r="H207" s="149"/>
      <c r="I207" s="149"/>
      <c r="J207" s="146"/>
      <c r="L207" s="151"/>
    </row>
    <row r="208" spans="1:42" s="111" customFormat="1" ht="12" customHeight="1" x14ac:dyDescent="0.2">
      <c r="A208" s="133"/>
      <c r="B208" s="135" t="str">
        <f>VLOOKUP(F208,BB!$A$8:$C$152,3,0)</f>
        <v>A01</v>
      </c>
      <c r="C208" s="136">
        <v>202602</v>
      </c>
      <c r="D208" s="134" t="s">
        <v>744</v>
      </c>
      <c r="E208" s="139">
        <v>46063</v>
      </c>
      <c r="F208" s="144" t="s">
        <v>163</v>
      </c>
      <c r="G208" s="149">
        <v>350000</v>
      </c>
      <c r="H208" s="149">
        <v>0</v>
      </c>
      <c r="I208" s="149">
        <f>IF(G208&lt;&gt;0,G208,-H208)</f>
        <v>350000</v>
      </c>
      <c r="J208" s="149">
        <v>0</v>
      </c>
      <c r="K208" s="111" t="s">
        <v>509</v>
      </c>
      <c r="L208" s="152" t="s">
        <v>536</v>
      </c>
    </row>
    <row r="209" spans="1:14" s="111" customFormat="1" ht="12" customHeight="1" x14ac:dyDescent="0.2">
      <c r="A209" s="133"/>
      <c r="B209" s="135" t="str">
        <f>VLOOKUP(F209,BB!$A$8:$C$152,3,0)</f>
        <v>A04A</v>
      </c>
      <c r="C209" s="136">
        <f t="shared" ref="C209:E209" si="59">C208</f>
        <v>202602</v>
      </c>
      <c r="D209" s="134" t="str">
        <f t="shared" si="59"/>
        <v>KAS-2602001</v>
      </c>
      <c r="E209" s="139">
        <f t="shared" si="59"/>
        <v>46063</v>
      </c>
      <c r="F209" s="144" t="s">
        <v>471</v>
      </c>
      <c r="G209" s="146">
        <v>0</v>
      </c>
      <c r="H209" s="149">
        <v>0</v>
      </c>
      <c r="I209" s="149">
        <f>IF(G209&lt;&gt;0,G209,-H209)</f>
        <v>0</v>
      </c>
      <c r="J209" s="146">
        <f>-J208</f>
        <v>0</v>
      </c>
      <c r="K209" s="111" t="str">
        <f>K208</f>
        <v>KAS MASUK</v>
      </c>
      <c r="L209" s="152" t="str">
        <f>L208</f>
        <v>PELUNASAN PINJAMAN LAIN AN. FERDI ALISKA</v>
      </c>
    </row>
    <row r="210" spans="1:14" s="111" customFormat="1" ht="12" customHeight="1" x14ac:dyDescent="0.2">
      <c r="A210" s="133"/>
      <c r="B210" s="135" t="str">
        <f>VLOOKUP(F210,BB!$A$8:$C$152,3,0)</f>
        <v>LR01C</v>
      </c>
      <c r="C210" s="136">
        <f t="shared" ref="C210:E210" si="60">C209</f>
        <v>202602</v>
      </c>
      <c r="D210" s="134" t="str">
        <f t="shared" si="60"/>
        <v>KAS-2602001</v>
      </c>
      <c r="E210" s="139">
        <f t="shared" si="60"/>
        <v>46063</v>
      </c>
      <c r="F210" s="144" t="s">
        <v>371</v>
      </c>
      <c r="G210" s="146">
        <v>0</v>
      </c>
      <c r="H210" s="149">
        <f>G208-H209</f>
        <v>350000</v>
      </c>
      <c r="I210" s="149">
        <f>IF(G210&lt;&gt;0,G210,-H210)</f>
        <v>-350000</v>
      </c>
      <c r="J210" s="146">
        <f>-J209</f>
        <v>0</v>
      </c>
      <c r="K210" s="111" t="str">
        <f>K209</f>
        <v>KAS MASUK</v>
      </c>
      <c r="L210" s="152" t="str">
        <f>"PENDAPATAN ATAS PINJAMAN LAIN "&amp;MID(L209,24,20)</f>
        <v>PENDAPATAN ATAS PINJAMAN LAIN  AN. FERDI ALISKA</v>
      </c>
    </row>
    <row r="211" spans="1:14" s="111" customFormat="1" ht="12" customHeight="1" x14ac:dyDescent="0.2">
      <c r="A211" s="133"/>
      <c r="B211" s="135"/>
      <c r="C211" s="136"/>
      <c r="D211" s="134"/>
      <c r="E211" s="139"/>
      <c r="F211" s="144"/>
      <c r="G211" s="146"/>
      <c r="H211" s="149"/>
      <c r="I211" s="149"/>
      <c r="J211" s="146"/>
      <c r="L211" s="151"/>
    </row>
    <row r="212" spans="1:14" s="111" customFormat="1" ht="12" customHeight="1" x14ac:dyDescent="0.2">
      <c r="A212" s="133"/>
      <c r="B212" s="135" t="str">
        <f>VLOOKUP(F212,BB!$A$8:$C$152,3,0)</f>
        <v>A01</v>
      </c>
      <c r="C212" s="136">
        <v>202602</v>
      </c>
      <c r="D212" s="134" t="s">
        <v>745</v>
      </c>
      <c r="E212" s="139">
        <v>46063</v>
      </c>
      <c r="F212" s="144" t="s">
        <v>163</v>
      </c>
      <c r="G212" s="149">
        <v>267500</v>
      </c>
      <c r="H212" s="149">
        <v>0</v>
      </c>
      <c r="I212" s="149">
        <f>IF(G212&lt;&gt;0,G212,-H212)</f>
        <v>267500</v>
      </c>
      <c r="J212" s="149">
        <v>0</v>
      </c>
      <c r="K212" s="111" t="s">
        <v>509</v>
      </c>
      <c r="L212" s="152" t="s">
        <v>734</v>
      </c>
    </row>
    <row r="213" spans="1:14" s="111" customFormat="1" ht="12" customHeight="1" x14ac:dyDescent="0.2">
      <c r="A213" s="133"/>
      <c r="B213" s="135" t="str">
        <f>VLOOKUP(F213,BB!$A$8:$C$152,3,0)</f>
        <v>A04A</v>
      </c>
      <c r="C213" s="136">
        <f t="shared" ref="C213:E213" si="61">C212</f>
        <v>202602</v>
      </c>
      <c r="D213" s="134" t="str">
        <f t="shared" si="61"/>
        <v>KAS-2602002</v>
      </c>
      <c r="E213" s="139">
        <f t="shared" si="61"/>
        <v>46063</v>
      </c>
      <c r="F213" s="144" t="s">
        <v>471</v>
      </c>
      <c r="G213" s="146">
        <v>0</v>
      </c>
      <c r="H213" s="149">
        <f>+G212</f>
        <v>267500</v>
      </c>
      <c r="I213" s="149">
        <f>IF(G213&lt;&gt;0,G213,-H213)</f>
        <v>-267500</v>
      </c>
      <c r="J213" s="146">
        <f>-J212</f>
        <v>0</v>
      </c>
      <c r="K213" s="111" t="str">
        <f>K212</f>
        <v>KAS MASUK</v>
      </c>
      <c r="L213" s="152" t="str">
        <f>L212</f>
        <v>ANGSURAN PINJAMAN LAIN AN. HANDOKO TS</v>
      </c>
    </row>
    <row r="214" spans="1:14" s="111" customFormat="1" ht="12" customHeight="1" x14ac:dyDescent="0.2">
      <c r="A214" s="133"/>
      <c r="B214" s="135" t="str">
        <f>VLOOKUP(F214,BB!$A$8:$C$152,3,0)</f>
        <v>LR01C</v>
      </c>
      <c r="C214" s="136">
        <f t="shared" ref="C214:E214" si="62">C213</f>
        <v>202602</v>
      </c>
      <c r="D214" s="134" t="str">
        <f t="shared" si="62"/>
        <v>KAS-2602002</v>
      </c>
      <c r="E214" s="139">
        <f t="shared" si="62"/>
        <v>46063</v>
      </c>
      <c r="F214" s="144" t="s">
        <v>371</v>
      </c>
      <c r="G214" s="146">
        <v>0</v>
      </c>
      <c r="H214" s="149">
        <f>G212-H213</f>
        <v>0</v>
      </c>
      <c r="I214" s="149">
        <f>IF(G214&lt;&gt;0,G214,-H214)</f>
        <v>0</v>
      </c>
      <c r="J214" s="146">
        <f>-J213</f>
        <v>0</v>
      </c>
      <c r="K214" s="111" t="str">
        <f>K213</f>
        <v>KAS MASUK</v>
      </c>
      <c r="L214" s="152" t="str">
        <f>"PENDAPATAN ATAS PINJAMAN LAIN "&amp;MID(L213,24,20)</f>
        <v>PENDAPATAN ATAS PINJAMAN LAIN AN. HANDOKO TS</v>
      </c>
    </row>
    <row r="215" spans="1:14" s="111" customFormat="1" ht="12" customHeight="1" x14ac:dyDescent="0.2">
      <c r="A215" s="133"/>
      <c r="B215" s="135"/>
      <c r="C215" s="136"/>
      <c r="D215" s="134"/>
      <c r="E215" s="139"/>
      <c r="F215" s="144"/>
      <c r="G215" s="146"/>
      <c r="H215" s="149"/>
      <c r="I215" s="149"/>
      <c r="J215" s="146"/>
      <c r="L215" s="151"/>
    </row>
    <row r="216" spans="1:14" s="111" customFormat="1" ht="12" customHeight="1" x14ac:dyDescent="0.2">
      <c r="A216" s="133"/>
      <c r="B216" s="135" t="str">
        <f>VLOOKUP(F216,BB!$A$8:$C$152,3,0)</f>
        <v>A01</v>
      </c>
      <c r="C216" s="136">
        <v>202602</v>
      </c>
      <c r="D216" s="134" t="s">
        <v>746</v>
      </c>
      <c r="E216" s="139">
        <v>46063</v>
      </c>
      <c r="F216" s="144" t="s">
        <v>163</v>
      </c>
      <c r="G216" s="149">
        <v>0</v>
      </c>
      <c r="H216" s="149">
        <v>750000</v>
      </c>
      <c r="I216" s="149">
        <f>IF(G216&lt;&gt;0,G216,-H216)</f>
        <v>-750000</v>
      </c>
      <c r="J216" s="149">
        <v>0</v>
      </c>
      <c r="K216" s="111" t="s">
        <v>510</v>
      </c>
      <c r="L216" s="152" t="s">
        <v>499</v>
      </c>
      <c r="M216" s="149"/>
      <c r="N216" s="149"/>
    </row>
    <row r="217" spans="1:14" s="111" customFormat="1" ht="12" customHeight="1" x14ac:dyDescent="0.2">
      <c r="A217" s="133"/>
      <c r="B217" s="135" t="str">
        <f>VLOOKUP(F217,BB!$A$8:$C$152,3,0)</f>
        <v>LR05</v>
      </c>
      <c r="C217" s="136">
        <f>C216</f>
        <v>202602</v>
      </c>
      <c r="D217" s="134" t="str">
        <f>D216</f>
        <v>KAS-2602003</v>
      </c>
      <c r="E217" s="139">
        <f>E216</f>
        <v>46063</v>
      </c>
      <c r="F217" s="139" t="s">
        <v>234</v>
      </c>
      <c r="G217" s="146">
        <f>H216</f>
        <v>750000</v>
      </c>
      <c r="H217" s="149">
        <f>G216</f>
        <v>0</v>
      </c>
      <c r="I217" s="149">
        <f>IF(G217&lt;&gt;0,G217,-H217)</f>
        <v>750000</v>
      </c>
      <c r="J217" s="146">
        <f>-J216</f>
        <v>0</v>
      </c>
      <c r="K217" s="111" t="str">
        <f>K216</f>
        <v>KAS KELUAR</v>
      </c>
      <c r="L217" s="151" t="str">
        <f>L216</f>
        <v>BY REPRESENTATIF ADMIN KKCS FARID F</v>
      </c>
      <c r="M217" s="146"/>
      <c r="N217" s="149"/>
    </row>
    <row r="218" spans="1:14" s="111" customFormat="1" ht="12" customHeight="1" x14ac:dyDescent="0.2">
      <c r="A218" s="133"/>
      <c r="B218" s="135"/>
      <c r="C218" s="136"/>
      <c r="D218" s="134"/>
      <c r="E218" s="139"/>
      <c r="F218" s="144"/>
      <c r="G218" s="146"/>
      <c r="H218" s="149"/>
      <c r="I218" s="149"/>
      <c r="J218" s="146"/>
      <c r="L218" s="151"/>
    </row>
    <row r="219" spans="1:14" s="111" customFormat="1" ht="12" customHeight="1" x14ac:dyDescent="0.2">
      <c r="A219" s="133"/>
      <c r="B219" s="135" t="str">
        <f>VLOOKUP(F219,BB!$A$8:$C$152,3,0)</f>
        <v>A01</v>
      </c>
      <c r="C219" s="136">
        <v>202602</v>
      </c>
      <c r="D219" s="134" t="s">
        <v>747</v>
      </c>
      <c r="E219" s="139">
        <v>46071</v>
      </c>
      <c r="F219" s="144" t="s">
        <v>163</v>
      </c>
      <c r="G219" s="149">
        <v>320000</v>
      </c>
      <c r="H219" s="149">
        <v>0</v>
      </c>
      <c r="I219" s="149">
        <f>IF(G219&lt;&gt;0,G219,-H219)</f>
        <v>320000</v>
      </c>
      <c r="J219" s="149">
        <v>0</v>
      </c>
      <c r="K219" s="111" t="s">
        <v>509</v>
      </c>
      <c r="L219" s="152" t="s">
        <v>512</v>
      </c>
    </row>
    <row r="220" spans="1:14" s="111" customFormat="1" ht="12" customHeight="1" x14ac:dyDescent="0.2">
      <c r="A220" s="133"/>
      <c r="B220" s="135" t="str">
        <f>VLOOKUP(F220,BB!$A$8:$C$152,3,0)</f>
        <v>A04A</v>
      </c>
      <c r="C220" s="136">
        <f t="shared" ref="C220:E220" si="63">C219</f>
        <v>202602</v>
      </c>
      <c r="D220" s="134" t="str">
        <f t="shared" si="63"/>
        <v>KAS-2602004</v>
      </c>
      <c r="E220" s="139">
        <f t="shared" si="63"/>
        <v>46071</v>
      </c>
      <c r="F220" s="144" t="s">
        <v>471</v>
      </c>
      <c r="G220" s="146">
        <v>0</v>
      </c>
      <c r="H220" s="149">
        <f>+G219</f>
        <v>320000</v>
      </c>
      <c r="I220" s="149">
        <f>IF(G220&lt;&gt;0,G220,-H220)</f>
        <v>-320000</v>
      </c>
      <c r="J220" s="146">
        <f>-J219</f>
        <v>0</v>
      </c>
      <c r="K220" s="111" t="str">
        <f>K219</f>
        <v>KAS MASUK</v>
      </c>
      <c r="L220" s="152" t="str">
        <f>L219</f>
        <v>ANGSURAN PINJAMAN LAIN AN. FADELAN</v>
      </c>
    </row>
    <row r="221" spans="1:14" s="111" customFormat="1" ht="12" customHeight="1" x14ac:dyDescent="0.2">
      <c r="A221" s="133"/>
      <c r="B221" s="135" t="str">
        <f>VLOOKUP(F221,BB!$A$8:$C$152,3,0)</f>
        <v>LR01C</v>
      </c>
      <c r="C221" s="136">
        <f t="shared" ref="C221:E221" si="64">C220</f>
        <v>202602</v>
      </c>
      <c r="D221" s="134" t="str">
        <f t="shared" si="64"/>
        <v>KAS-2602004</v>
      </c>
      <c r="E221" s="139">
        <f t="shared" si="64"/>
        <v>46071</v>
      </c>
      <c r="F221" s="144" t="s">
        <v>371</v>
      </c>
      <c r="G221" s="146">
        <v>0</v>
      </c>
      <c r="H221" s="149">
        <f>G219-H220</f>
        <v>0</v>
      </c>
      <c r="I221" s="149">
        <f>IF(G221&lt;&gt;0,G221,-H221)</f>
        <v>0</v>
      </c>
      <c r="J221" s="146">
        <f>-J220</f>
        <v>0</v>
      </c>
      <c r="K221" s="111" t="str">
        <f>K220</f>
        <v>KAS MASUK</v>
      </c>
      <c r="L221" s="152" t="str">
        <f>"PENDAPATAN ATAS PINJAMAN LAIN "&amp;MID(L220,24,20)</f>
        <v>PENDAPATAN ATAS PINJAMAN LAIN AN. FADELAN</v>
      </c>
    </row>
    <row r="222" spans="1:14" s="111" customFormat="1" ht="12" customHeight="1" x14ac:dyDescent="0.2">
      <c r="A222" s="133"/>
      <c r="B222" s="135"/>
      <c r="C222" s="136"/>
      <c r="D222" s="134"/>
      <c r="E222" s="139"/>
      <c r="F222" s="144"/>
      <c r="G222" s="146"/>
      <c r="H222" s="149"/>
      <c r="I222" s="149"/>
      <c r="J222" s="146"/>
      <c r="L222" s="151"/>
    </row>
    <row r="223" spans="1:14" s="111" customFormat="1" ht="12" customHeight="1" x14ac:dyDescent="0.2">
      <c r="A223" s="133"/>
      <c r="B223" s="135" t="str">
        <f>VLOOKUP(F223,BB!$A$8:$C$152,3,0)</f>
        <v>A01</v>
      </c>
      <c r="C223" s="136">
        <v>202602</v>
      </c>
      <c r="D223" s="134" t="s">
        <v>748</v>
      </c>
      <c r="E223" s="139">
        <v>46078</v>
      </c>
      <c r="F223" s="144" t="s">
        <v>163</v>
      </c>
      <c r="G223" s="149">
        <v>200000</v>
      </c>
      <c r="H223" s="149">
        <v>0</v>
      </c>
      <c r="I223" s="149">
        <f>IF(G223&lt;&gt;0,G223,-H223)</f>
        <v>200000</v>
      </c>
      <c r="J223" s="149">
        <v>0</v>
      </c>
      <c r="K223" s="111" t="s">
        <v>509</v>
      </c>
      <c r="L223" s="152" t="s">
        <v>533</v>
      </c>
    </row>
    <row r="224" spans="1:14" s="111" customFormat="1" ht="12" customHeight="1" x14ac:dyDescent="0.2">
      <c r="A224" s="133"/>
      <c r="B224" s="135" t="str">
        <f>VLOOKUP(F224,BB!$A$8:$C$152,3,0)</f>
        <v>A04A</v>
      </c>
      <c r="C224" s="136">
        <f t="shared" ref="C224:E224" si="65">C223</f>
        <v>202602</v>
      </c>
      <c r="D224" s="134" t="str">
        <f t="shared" si="65"/>
        <v>KAS-2602005</v>
      </c>
      <c r="E224" s="139">
        <f t="shared" si="65"/>
        <v>46078</v>
      </c>
      <c r="F224" s="144" t="s">
        <v>471</v>
      </c>
      <c r="G224" s="146">
        <v>0</v>
      </c>
      <c r="H224" s="149">
        <f>+G223</f>
        <v>200000</v>
      </c>
      <c r="I224" s="149">
        <f>IF(G224&lt;&gt;0,G224,-H224)</f>
        <v>-200000</v>
      </c>
      <c r="J224" s="146">
        <f>-J223</f>
        <v>0</v>
      </c>
      <c r="K224" s="111" t="str">
        <f>K223</f>
        <v>KAS MASUK</v>
      </c>
      <c r="L224" s="152" t="str">
        <f>L223</f>
        <v>ANGSURAN PINJAMAN LAIN AN. ARI WIBOWO</v>
      </c>
    </row>
    <row r="225" spans="1:14" s="111" customFormat="1" ht="12" customHeight="1" x14ac:dyDescent="0.2">
      <c r="A225" s="133"/>
      <c r="B225" s="135" t="str">
        <f>VLOOKUP(F225,BB!$A$8:$C$152,3,0)</f>
        <v>LR01C</v>
      </c>
      <c r="C225" s="136">
        <f t="shared" ref="C225:E225" si="66">C224</f>
        <v>202602</v>
      </c>
      <c r="D225" s="134" t="str">
        <f t="shared" si="66"/>
        <v>KAS-2602005</v>
      </c>
      <c r="E225" s="139">
        <f t="shared" si="66"/>
        <v>46078</v>
      </c>
      <c r="F225" s="144" t="s">
        <v>371</v>
      </c>
      <c r="G225" s="146">
        <v>0</v>
      </c>
      <c r="H225" s="149">
        <f>G223-H224</f>
        <v>0</v>
      </c>
      <c r="I225" s="149">
        <f>IF(G225&lt;&gt;0,G225,-H225)</f>
        <v>0</v>
      </c>
      <c r="J225" s="146">
        <f>-J224</f>
        <v>0</v>
      </c>
      <c r="K225" s="111" t="str">
        <f>K224</f>
        <v>KAS MASUK</v>
      </c>
      <c r="L225" s="152" t="str">
        <f>"PENDAPATAN ATAS PINJAMAN LAIN "&amp;MID(L224,24,20)</f>
        <v>PENDAPATAN ATAS PINJAMAN LAIN AN. ARI WIBOWO</v>
      </c>
    </row>
    <row r="226" spans="1:14" s="111" customFormat="1" ht="12" customHeight="1" x14ac:dyDescent="0.2">
      <c r="A226" s="133"/>
      <c r="B226" s="135"/>
      <c r="C226" s="136"/>
      <c r="D226" s="134"/>
      <c r="E226" s="139"/>
      <c r="F226" s="144"/>
      <c r="G226" s="146"/>
      <c r="H226" s="149"/>
      <c r="I226" s="149"/>
      <c r="J226" s="146"/>
      <c r="L226" s="151"/>
    </row>
    <row r="227" spans="1:14" s="111" customFormat="1" ht="12" customHeight="1" x14ac:dyDescent="0.2">
      <c r="A227" s="133"/>
      <c r="B227" s="135" t="str">
        <f>VLOOKUP(F227,BB!$A$8:$C$152,3,0)</f>
        <v>A01</v>
      </c>
      <c r="C227" s="136">
        <v>202602</v>
      </c>
      <c r="D227" s="134" t="s">
        <v>749</v>
      </c>
      <c r="E227" s="139">
        <v>46078</v>
      </c>
      <c r="F227" s="144" t="s">
        <v>163</v>
      </c>
      <c r="G227" s="149">
        <v>214000</v>
      </c>
      <c r="H227" s="149">
        <v>0</v>
      </c>
      <c r="I227" s="149">
        <f>IF(G227&lt;&gt;0,G227,-H227)</f>
        <v>214000</v>
      </c>
      <c r="J227" s="149">
        <v>0</v>
      </c>
      <c r="K227" s="111" t="s">
        <v>509</v>
      </c>
      <c r="L227" s="152" t="s">
        <v>535</v>
      </c>
    </row>
    <row r="228" spans="1:14" s="111" customFormat="1" ht="12" customHeight="1" x14ac:dyDescent="0.2">
      <c r="A228" s="133"/>
      <c r="B228" s="135" t="str">
        <f>VLOOKUP(F228,BB!$A$8:$C$152,3,0)</f>
        <v>A04A</v>
      </c>
      <c r="C228" s="136">
        <f t="shared" ref="C228:E228" si="67">C227</f>
        <v>202602</v>
      </c>
      <c r="D228" s="134" t="str">
        <f t="shared" si="67"/>
        <v>KAS-2602006</v>
      </c>
      <c r="E228" s="139">
        <f t="shared" si="67"/>
        <v>46078</v>
      </c>
      <c r="F228" s="144" t="s">
        <v>471</v>
      </c>
      <c r="G228" s="146">
        <v>0</v>
      </c>
      <c r="H228" s="149">
        <f>+G227</f>
        <v>214000</v>
      </c>
      <c r="I228" s="149">
        <f>IF(G228&lt;&gt;0,G228,-H228)</f>
        <v>-214000</v>
      </c>
      <c r="J228" s="146">
        <f>-J227</f>
        <v>0</v>
      </c>
      <c r="K228" s="111" t="str">
        <f>K227</f>
        <v>KAS MASUK</v>
      </c>
      <c r="L228" s="152" t="str">
        <f>L227</f>
        <v>ANGSURAN PINJAMAN LAIN AN. SETYO H</v>
      </c>
    </row>
    <row r="229" spans="1:14" s="111" customFormat="1" ht="12" customHeight="1" x14ac:dyDescent="0.2">
      <c r="A229" s="133"/>
      <c r="B229" s="135" t="str">
        <f>VLOOKUP(F229,BB!$A$8:$C$152,3,0)</f>
        <v>LR01C</v>
      </c>
      <c r="C229" s="136">
        <f t="shared" ref="C229:E229" si="68">C228</f>
        <v>202602</v>
      </c>
      <c r="D229" s="134" t="str">
        <f t="shared" si="68"/>
        <v>KAS-2602006</v>
      </c>
      <c r="E229" s="139">
        <f t="shared" si="68"/>
        <v>46078</v>
      </c>
      <c r="F229" s="144" t="s">
        <v>371</v>
      </c>
      <c r="G229" s="146">
        <v>0</v>
      </c>
      <c r="H229" s="149">
        <f>G227-H228</f>
        <v>0</v>
      </c>
      <c r="I229" s="149">
        <f>IF(G229&lt;&gt;0,G229,-H229)</f>
        <v>0</v>
      </c>
      <c r="J229" s="146">
        <f>-J228</f>
        <v>0</v>
      </c>
      <c r="K229" s="111" t="str">
        <f>K228</f>
        <v>KAS MASUK</v>
      </c>
      <c r="L229" s="152" t="str">
        <f>"PENDAPATAN ATAS PINJAMAN LAIN "&amp;MID(L228,24,20)</f>
        <v>PENDAPATAN ATAS PINJAMAN LAIN AN. SETYO H</v>
      </c>
    </row>
    <row r="230" spans="1:14" s="111" customFormat="1" ht="12" customHeight="1" x14ac:dyDescent="0.2">
      <c r="A230" s="133"/>
      <c r="B230" s="135"/>
      <c r="C230" s="136"/>
      <c r="D230" s="134"/>
      <c r="E230" s="139"/>
      <c r="F230" s="144"/>
      <c r="G230" s="146"/>
      <c r="H230" s="149"/>
      <c r="I230" s="149"/>
      <c r="J230" s="146"/>
      <c r="L230" s="151"/>
    </row>
    <row r="231" spans="1:14" s="111" customFormat="1" ht="12" customHeight="1" x14ac:dyDescent="0.2">
      <c r="A231" s="133"/>
      <c r="B231" s="135" t="str">
        <f>VLOOKUP(F231,BB!$A$8:$C$152,3,0)</f>
        <v>A01</v>
      </c>
      <c r="C231" s="136">
        <v>202602</v>
      </c>
      <c r="D231" s="134" t="s">
        <v>750</v>
      </c>
      <c r="E231" s="139">
        <v>46080</v>
      </c>
      <c r="F231" s="144" t="s">
        <v>163</v>
      </c>
      <c r="G231" s="149">
        <v>500000</v>
      </c>
      <c r="H231" s="149">
        <v>0</v>
      </c>
      <c r="I231" s="149">
        <f>IF(G231&lt;&gt;0,G231,-H231)</f>
        <v>500000</v>
      </c>
      <c r="J231" s="149">
        <v>0</v>
      </c>
      <c r="K231" s="111" t="s">
        <v>509</v>
      </c>
      <c r="L231" s="152" t="s">
        <v>525</v>
      </c>
    </row>
    <row r="232" spans="1:14" s="111" customFormat="1" ht="12" customHeight="1" x14ac:dyDescent="0.2">
      <c r="A232" s="133"/>
      <c r="B232" s="135" t="str">
        <f>VLOOKUP(F232,BB!$A$8:$C$152,3,0)</f>
        <v>A04A</v>
      </c>
      <c r="C232" s="136">
        <f t="shared" ref="C232:E232" si="69">C231</f>
        <v>202602</v>
      </c>
      <c r="D232" s="134" t="str">
        <f t="shared" si="69"/>
        <v>KAS-2602007</v>
      </c>
      <c r="E232" s="139">
        <f t="shared" si="69"/>
        <v>46080</v>
      </c>
      <c r="F232" s="144" t="s">
        <v>471</v>
      </c>
      <c r="G232" s="146">
        <v>0</v>
      </c>
      <c r="H232" s="149">
        <f>+G231</f>
        <v>500000</v>
      </c>
      <c r="I232" s="149">
        <f>IF(G232&lt;&gt;0,G232,-H232)</f>
        <v>-500000</v>
      </c>
      <c r="J232" s="146">
        <f>-J231</f>
        <v>0</v>
      </c>
      <c r="K232" s="111" t="str">
        <f>K231</f>
        <v>KAS MASUK</v>
      </c>
      <c r="L232" s="152" t="str">
        <f>L231</f>
        <v>ANGSURAN PINJAMAN LAIN AN. ISFAK</v>
      </c>
    </row>
    <row r="233" spans="1:14" s="111" customFormat="1" ht="12" customHeight="1" x14ac:dyDescent="0.2">
      <c r="A233" s="133"/>
      <c r="B233" s="135" t="str">
        <f>VLOOKUP(F233,BB!$A$8:$C$152,3,0)</f>
        <v>LR01C</v>
      </c>
      <c r="C233" s="136">
        <f t="shared" ref="C233:E233" si="70">C232</f>
        <v>202602</v>
      </c>
      <c r="D233" s="134" t="str">
        <f t="shared" si="70"/>
        <v>KAS-2602007</v>
      </c>
      <c r="E233" s="139">
        <f t="shared" si="70"/>
        <v>46080</v>
      </c>
      <c r="F233" s="144" t="s">
        <v>371</v>
      </c>
      <c r="G233" s="146">
        <v>0</v>
      </c>
      <c r="H233" s="149">
        <f>G231-H232</f>
        <v>0</v>
      </c>
      <c r="I233" s="149">
        <f>IF(G233&lt;&gt;0,G233,-H233)</f>
        <v>0</v>
      </c>
      <c r="J233" s="146">
        <f>-J232</f>
        <v>0</v>
      </c>
      <c r="K233" s="111" t="str">
        <f>K232</f>
        <v>KAS MASUK</v>
      </c>
      <c r="L233" s="152" t="str">
        <f>"PENDAPATAN ATAS PINJAMAN LAIN "&amp;MID(L232,24,20)</f>
        <v>PENDAPATAN ATAS PINJAMAN LAIN AN. ISFAK</v>
      </c>
    </row>
    <row r="234" spans="1:14" s="111" customFormat="1" ht="12" customHeight="1" x14ac:dyDescent="0.2">
      <c r="A234" s="133"/>
      <c r="B234" s="135"/>
      <c r="C234" s="136"/>
      <c r="D234" s="134"/>
      <c r="E234" s="139"/>
      <c r="F234" s="144"/>
      <c r="G234" s="146"/>
      <c r="H234" s="149"/>
      <c r="I234" s="149"/>
      <c r="J234" s="146"/>
      <c r="L234" s="151"/>
    </row>
    <row r="235" spans="1:14" s="111" customFormat="1" ht="12" customHeight="1" x14ac:dyDescent="0.2">
      <c r="A235" s="133"/>
      <c r="B235" s="135" t="str">
        <f>VLOOKUP(F235,BB!$A$8:$C$152,3,0)</f>
        <v>A01</v>
      </c>
      <c r="C235" s="136">
        <v>202602</v>
      </c>
      <c r="D235" s="134" t="s">
        <v>754</v>
      </c>
      <c r="E235" s="139">
        <v>46080</v>
      </c>
      <c r="F235" s="144" t="s">
        <v>163</v>
      </c>
      <c r="G235" s="149">
        <v>23600000</v>
      </c>
      <c r="H235" s="149">
        <v>0</v>
      </c>
      <c r="I235" s="149">
        <f>IF(G235&lt;&gt;0,G235,-H235)</f>
        <v>23600000</v>
      </c>
      <c r="J235" s="149">
        <v>0</v>
      </c>
      <c r="K235" s="111" t="s">
        <v>509</v>
      </c>
      <c r="L235" s="152" t="s">
        <v>755</v>
      </c>
    </row>
    <row r="236" spans="1:14" s="111" customFormat="1" ht="12" customHeight="1" x14ac:dyDescent="0.2">
      <c r="A236" s="133"/>
      <c r="B236" s="135" t="str">
        <f>VLOOKUP(F236,BB!$A$8:$C$152,3,0)</f>
        <v>A01</v>
      </c>
      <c r="C236" s="136">
        <f>C235</f>
        <v>202602</v>
      </c>
      <c r="D236" s="134" t="str">
        <f>D235</f>
        <v>KAS-2602008</v>
      </c>
      <c r="E236" s="139">
        <f>E235</f>
        <v>46080</v>
      </c>
      <c r="F236" s="144" t="s">
        <v>164</v>
      </c>
      <c r="G236" s="146">
        <f>H235</f>
        <v>0</v>
      </c>
      <c r="H236" s="149">
        <f>G235</f>
        <v>23600000</v>
      </c>
      <c r="I236" s="149">
        <f>IF(G236&lt;&gt;0,G236,-H236)</f>
        <v>-23600000</v>
      </c>
      <c r="J236" s="146">
        <f>-J235</f>
        <v>0</v>
      </c>
      <c r="K236" s="111" t="str">
        <f>K235</f>
        <v>KAS MASUK</v>
      </c>
      <c r="L236" s="151" t="str">
        <f>L235</f>
        <v>PEMINDAHAN DARI REK MANDIRI KKCS</v>
      </c>
    </row>
    <row r="237" spans="1:14" s="111" customFormat="1" ht="12" customHeight="1" x14ac:dyDescent="0.2">
      <c r="A237" s="133"/>
      <c r="B237" s="135"/>
      <c r="C237" s="136"/>
      <c r="D237" s="134"/>
      <c r="E237" s="139"/>
      <c r="F237" s="144"/>
      <c r="G237" s="146"/>
      <c r="H237" s="149"/>
      <c r="I237" s="149"/>
      <c r="J237" s="146"/>
      <c r="L237" s="151"/>
    </row>
    <row r="238" spans="1:14" s="111" customFormat="1" ht="12" customHeight="1" x14ac:dyDescent="0.2">
      <c r="A238" s="133"/>
      <c r="B238" s="135" t="str">
        <f>VLOOKUP(F238,BB!$A$8:$C$152,3,0)</f>
        <v>LR07</v>
      </c>
      <c r="C238" s="136">
        <v>202602</v>
      </c>
      <c r="D238" s="134" t="s">
        <v>631</v>
      </c>
      <c r="E238" s="139">
        <v>46081</v>
      </c>
      <c r="F238" s="134" t="s">
        <v>416</v>
      </c>
      <c r="G238" s="149">
        <v>1500000</v>
      </c>
      <c r="H238" s="149">
        <v>0</v>
      </c>
      <c r="I238" s="149">
        <f>IF(G238&lt;&gt;0,G238,-H238)</f>
        <v>1500000</v>
      </c>
      <c r="J238" s="149">
        <v>0</v>
      </c>
      <c r="K238" s="111" t="s">
        <v>306</v>
      </c>
      <c r="L238" s="152" t="s">
        <v>415</v>
      </c>
      <c r="M238" s="149"/>
      <c r="N238" s="149"/>
    </row>
    <row r="239" spans="1:14" s="111" customFormat="1" ht="12" customHeight="1" x14ac:dyDescent="0.2">
      <c r="A239" s="133"/>
      <c r="B239" s="135" t="str">
        <f>VLOOKUP(F239,BB!$A$8:$C$152,3,0)</f>
        <v>A05</v>
      </c>
      <c r="C239" s="136">
        <f>C238</f>
        <v>202602</v>
      </c>
      <c r="D239" s="134" t="str">
        <f>D238</f>
        <v>JRM-2602001</v>
      </c>
      <c r="E239" s="139">
        <f>E238</f>
        <v>46081</v>
      </c>
      <c r="F239" s="144" t="s">
        <v>172</v>
      </c>
      <c r="G239" s="146">
        <f>H238</f>
        <v>0</v>
      </c>
      <c r="H239" s="149">
        <f>G238</f>
        <v>1500000</v>
      </c>
      <c r="I239" s="149">
        <f>IF(G239&lt;&gt;0,G239,-H239)</f>
        <v>-1500000</v>
      </c>
      <c r="J239" s="146">
        <f>-J238</f>
        <v>0</v>
      </c>
      <c r="K239" s="111" t="str">
        <f>K238</f>
        <v>JURNAL MANUAL</v>
      </c>
      <c r="L239" s="151" t="str">
        <f>L238</f>
        <v>PEMBEBANAN PENYISIHAN PIUTANG</v>
      </c>
      <c r="M239" s="146"/>
      <c r="N239" s="149"/>
    </row>
    <row r="240" spans="1:14" s="111" customFormat="1" ht="12" customHeight="1" x14ac:dyDescent="0.2">
      <c r="A240" s="133"/>
      <c r="B240" s="135"/>
      <c r="C240" s="136"/>
      <c r="D240" s="134"/>
      <c r="E240" s="139"/>
      <c r="F240" s="144"/>
      <c r="G240" s="146"/>
      <c r="H240" s="149"/>
      <c r="I240" s="149"/>
      <c r="J240" s="146"/>
      <c r="L240" s="151"/>
    </row>
    <row r="241" spans="1:14" s="111" customFormat="1" ht="12" customHeight="1" x14ac:dyDescent="0.2">
      <c r="A241" s="133"/>
      <c r="B241" s="135" t="str">
        <f>VLOOKUP(F241,BB!$A$8:$C$152,3,0)</f>
        <v>A04B</v>
      </c>
      <c r="C241" s="136">
        <v>202602</v>
      </c>
      <c r="D241" s="134" t="s">
        <v>632</v>
      </c>
      <c r="E241" s="139">
        <v>46081</v>
      </c>
      <c r="F241" s="134" t="s">
        <v>461</v>
      </c>
      <c r="G241" s="149">
        <f>11760000</f>
        <v>11760000</v>
      </c>
      <c r="H241" s="149">
        <v>0</v>
      </c>
      <c r="I241" s="198">
        <f>IF(G241&lt;&gt;0,G241,-H241)</f>
        <v>11760000</v>
      </c>
      <c r="J241" s="149">
        <v>0</v>
      </c>
      <c r="K241" s="111" t="s">
        <v>306</v>
      </c>
      <c r="L241" s="152" t="s">
        <v>696</v>
      </c>
      <c r="M241" s="149"/>
      <c r="N241" s="149"/>
    </row>
    <row r="242" spans="1:14" s="111" customFormat="1" ht="12" customHeight="1" x14ac:dyDescent="0.2">
      <c r="A242" s="133"/>
      <c r="B242" s="135" t="str">
        <f>VLOOKUP(F242,BB!$A$8:$C$152,3,0)</f>
        <v>P05</v>
      </c>
      <c r="C242" s="136">
        <f>C241</f>
        <v>202602</v>
      </c>
      <c r="D242" s="134" t="str">
        <f>D241</f>
        <v>JRM-2602002</v>
      </c>
      <c r="E242" s="139">
        <f>E241</f>
        <v>46081</v>
      </c>
      <c r="F242" s="144" t="s">
        <v>439</v>
      </c>
      <c r="G242" s="146">
        <f>H241</f>
        <v>0</v>
      </c>
      <c r="H242" s="149">
        <f>11608500</f>
        <v>11608500</v>
      </c>
      <c r="I242" s="198">
        <f>IF(G242&lt;&gt;0,G242,-H242)</f>
        <v>-11608500</v>
      </c>
      <c r="J242" s="146">
        <f>-J241</f>
        <v>0</v>
      </c>
      <c r="K242" s="111" t="str">
        <f>K241</f>
        <v>JURNAL MANUAL</v>
      </c>
      <c r="L242" s="151" t="s">
        <v>697</v>
      </c>
      <c r="M242" s="146"/>
      <c r="N242" s="149"/>
    </row>
    <row r="243" spans="1:14" s="111" customFormat="1" ht="12" customHeight="1" x14ac:dyDescent="0.2">
      <c r="A243" s="133"/>
      <c r="B243" s="135" t="str">
        <f>VLOOKUP(F243,BB!$A$8:$C$152,3,0)</f>
        <v>LR06</v>
      </c>
      <c r="C243" s="136">
        <f t="shared" ref="C243:E243" si="71">+C242</f>
        <v>202602</v>
      </c>
      <c r="D243" s="134" t="str">
        <f t="shared" si="71"/>
        <v>JRM-2602002</v>
      </c>
      <c r="E243" s="139">
        <f t="shared" si="71"/>
        <v>46081</v>
      </c>
      <c r="F243" s="144" t="s">
        <v>394</v>
      </c>
      <c r="G243" s="146">
        <v>0</v>
      </c>
      <c r="H243" s="149">
        <f>+G241-H242</f>
        <v>151500</v>
      </c>
      <c r="I243" s="198">
        <f>IF(G243&lt;&gt;0,G243,-H243)</f>
        <v>-151500</v>
      </c>
      <c r="J243" s="146">
        <v>0</v>
      </c>
      <c r="K243" s="111" t="str">
        <f>+K242</f>
        <v>JURNAL MANUAL</v>
      </c>
      <c r="L243" s="151" t="s">
        <v>501</v>
      </c>
    </row>
    <row r="244" spans="1:14" s="111" customFormat="1" ht="12" customHeight="1" x14ac:dyDescent="0.2">
      <c r="A244" s="133"/>
      <c r="B244" s="135"/>
      <c r="C244" s="136"/>
      <c r="D244" s="134"/>
      <c r="E244" s="139"/>
      <c r="F244" s="144"/>
      <c r="G244" s="146"/>
      <c r="H244" s="149"/>
      <c r="I244" s="149"/>
      <c r="J244" s="146"/>
      <c r="L244" s="151"/>
    </row>
    <row r="245" spans="1:14" s="111" customFormat="1" ht="12" customHeight="1" x14ac:dyDescent="0.2">
      <c r="A245" s="133"/>
      <c r="B245" s="135" t="str">
        <f>VLOOKUP(F245,BB!$A$8:$C$152,3,0)</f>
        <v>A04B</v>
      </c>
      <c r="C245" s="136">
        <v>202602</v>
      </c>
      <c r="D245" s="134" t="s">
        <v>695</v>
      </c>
      <c r="E245" s="139">
        <v>46081</v>
      </c>
      <c r="F245" s="134" t="s">
        <v>464</v>
      </c>
      <c r="G245" s="149">
        <v>15680000</v>
      </c>
      <c r="H245" s="149">
        <v>0</v>
      </c>
      <c r="I245" s="189">
        <f>IF(G245&lt;&gt;0,G245,-H245)</f>
        <v>15680000</v>
      </c>
      <c r="J245" s="149">
        <v>0</v>
      </c>
      <c r="K245" s="111" t="s">
        <v>306</v>
      </c>
      <c r="L245" s="152" t="s">
        <v>713</v>
      </c>
      <c r="M245" s="149"/>
      <c r="N245" s="149"/>
    </row>
    <row r="246" spans="1:14" s="111" customFormat="1" ht="12" customHeight="1" x14ac:dyDescent="0.2">
      <c r="A246" s="133"/>
      <c r="B246" s="135" t="str">
        <f>VLOOKUP(F246,BB!$A$8:$C$152,3,0)</f>
        <v>P05</v>
      </c>
      <c r="C246" s="136">
        <f>C245</f>
        <v>202602</v>
      </c>
      <c r="D246" s="134" t="str">
        <f>D245</f>
        <v>JRM-2602003</v>
      </c>
      <c r="E246" s="139">
        <f>E245</f>
        <v>46081</v>
      </c>
      <c r="F246" s="144" t="s">
        <v>435</v>
      </c>
      <c r="G246" s="146">
        <f>H245</f>
        <v>0</v>
      </c>
      <c r="H246" s="149">
        <v>14475000</v>
      </c>
      <c r="I246" s="189">
        <f>IF(G246&lt;&gt;0,G246,-H246)</f>
        <v>-14475000</v>
      </c>
      <c r="J246" s="146">
        <f>-J245</f>
        <v>0</v>
      </c>
      <c r="K246" s="111" t="str">
        <f>K245</f>
        <v>JURNAL MANUAL</v>
      </c>
      <c r="L246" s="151" t="s">
        <v>714</v>
      </c>
      <c r="M246" s="146"/>
      <c r="N246" s="149"/>
    </row>
    <row r="247" spans="1:14" s="111" customFormat="1" ht="12" customHeight="1" x14ac:dyDescent="0.2">
      <c r="A247" s="133"/>
      <c r="B247" s="135" t="str">
        <f>VLOOKUP(F247,BB!$A$8:$C$152,3,0)</f>
        <v>LR06</v>
      </c>
      <c r="C247" s="136">
        <f t="shared" ref="C247:E247" si="72">+C246</f>
        <v>202602</v>
      </c>
      <c r="D247" s="134" t="str">
        <f t="shared" si="72"/>
        <v>JRM-2602003</v>
      </c>
      <c r="E247" s="139">
        <f t="shared" si="72"/>
        <v>46081</v>
      </c>
      <c r="F247" s="144" t="s">
        <v>403</v>
      </c>
      <c r="G247" s="146">
        <v>0</v>
      </c>
      <c r="H247" s="149">
        <f>+G245-H246</f>
        <v>1205000</v>
      </c>
      <c r="I247" s="189">
        <f>IF(G247&lt;&gt;0,G247,-H247)</f>
        <v>-1205000</v>
      </c>
      <c r="J247" s="146">
        <v>0</v>
      </c>
      <c r="K247" s="111" t="str">
        <f>+K246</f>
        <v>JURNAL MANUAL</v>
      </c>
      <c r="L247" s="151" t="s">
        <v>708</v>
      </c>
    </row>
    <row r="248" spans="1:14" s="111" customFormat="1" ht="12" customHeight="1" x14ac:dyDescent="0.2">
      <c r="A248" s="133"/>
      <c r="B248" s="135"/>
      <c r="C248" s="136"/>
      <c r="D248" s="134"/>
      <c r="E248" s="139"/>
      <c r="F248" s="144"/>
      <c r="G248" s="146"/>
      <c r="H248" s="149"/>
      <c r="I248" s="149"/>
      <c r="J248" s="146"/>
      <c r="L248" s="151"/>
    </row>
    <row r="249" spans="1:14" s="111" customFormat="1" ht="12" customHeight="1" x14ac:dyDescent="0.2">
      <c r="A249" s="133"/>
      <c r="B249" s="135" t="str">
        <f>VLOOKUP(F249,BB!$A$8:$C$152,3,0)</f>
        <v>LR06</v>
      </c>
      <c r="C249" s="136">
        <v>202602</v>
      </c>
      <c r="D249" s="134" t="s">
        <v>715</v>
      </c>
      <c r="E249" s="139">
        <v>46081</v>
      </c>
      <c r="F249" s="134" t="s">
        <v>504</v>
      </c>
      <c r="G249" s="149">
        <v>0</v>
      </c>
      <c r="H249" s="149">
        <v>0.33333277702331499</v>
      </c>
      <c r="I249" s="149">
        <f>IF(G249&lt;&gt;0,G249,-H249)</f>
        <v>-0.33333277702331499</v>
      </c>
      <c r="J249" s="149">
        <v>0</v>
      </c>
      <c r="K249" s="111" t="s">
        <v>306</v>
      </c>
      <c r="L249" s="152" t="s">
        <v>608</v>
      </c>
      <c r="M249" s="149"/>
      <c r="N249" s="149"/>
    </row>
    <row r="250" spans="1:14" s="111" customFormat="1" ht="12" customHeight="1" x14ac:dyDescent="0.2">
      <c r="A250" s="133"/>
      <c r="B250" s="135" t="str">
        <f>VLOOKUP(F250,BB!$A$8:$C$152,3,0)</f>
        <v>A04A</v>
      </c>
      <c r="C250" s="136">
        <f>C249</f>
        <v>202602</v>
      </c>
      <c r="D250" s="134" t="str">
        <f>D249</f>
        <v>JRM-2602004</v>
      </c>
      <c r="E250" s="139">
        <f>E249</f>
        <v>46081</v>
      </c>
      <c r="F250" s="144" t="s">
        <v>468</v>
      </c>
      <c r="G250" s="146">
        <f>H249</f>
        <v>0.33333277702331499</v>
      </c>
      <c r="H250" s="149">
        <f>G249</f>
        <v>0</v>
      </c>
      <c r="I250" s="149">
        <f>IF(G250&lt;&gt;0,G250,-H250)</f>
        <v>0.33333277702331499</v>
      </c>
      <c r="J250" s="146">
        <f>-J249</f>
        <v>0</v>
      </c>
      <c r="K250" s="111" t="str">
        <f>K249</f>
        <v>JURNAL MANUAL</v>
      </c>
      <c r="L250" s="151" t="str">
        <f>L249</f>
        <v>PENYESUAIAN SELISIH PIUTANG RUTIN</v>
      </c>
      <c r="M250" s="146"/>
      <c r="N250" s="149"/>
    </row>
    <row r="251" spans="1:14" s="111" customFormat="1" ht="12" customHeight="1" x14ac:dyDescent="0.2">
      <c r="A251" s="133"/>
      <c r="B251" s="135"/>
      <c r="C251" s="136"/>
      <c r="D251" s="134"/>
      <c r="E251" s="139"/>
      <c r="F251" s="144"/>
      <c r="G251" s="146"/>
      <c r="H251" s="149"/>
      <c r="I251" s="149"/>
      <c r="J251" s="146"/>
      <c r="L251" s="151"/>
    </row>
    <row r="252" spans="1:14" s="111" customFormat="1" ht="12" customHeight="1" x14ac:dyDescent="0.2">
      <c r="A252" s="133"/>
      <c r="B252" s="135"/>
      <c r="C252" s="136"/>
      <c r="D252" s="134"/>
      <c r="E252" s="139"/>
      <c r="F252" s="144"/>
      <c r="G252" s="146"/>
      <c r="H252" s="149"/>
      <c r="I252" s="149"/>
      <c r="J252" s="146"/>
      <c r="L252" s="151"/>
    </row>
    <row r="253" spans="1:14" s="183" customFormat="1" ht="12" customHeight="1" x14ac:dyDescent="0.2">
      <c r="A253" s="172"/>
      <c r="B253" s="173"/>
      <c r="C253" s="174"/>
      <c r="D253" s="175"/>
      <c r="E253" s="176"/>
      <c r="F253" s="180"/>
      <c r="G253" s="181"/>
      <c r="H253" s="182"/>
      <c r="I253" s="182"/>
      <c r="J253" s="181"/>
      <c r="L253" s="184"/>
    </row>
    <row r="254" spans="1:14" s="111" customFormat="1" ht="12" customHeight="1" x14ac:dyDescent="0.2">
      <c r="A254" s="133"/>
      <c r="B254" s="135"/>
      <c r="C254" s="136"/>
      <c r="D254" s="134"/>
      <c r="E254" s="139"/>
      <c r="F254" s="144"/>
      <c r="G254" s="146"/>
      <c r="H254" s="149"/>
      <c r="I254" s="149"/>
      <c r="J254" s="146"/>
      <c r="L254" s="151"/>
    </row>
    <row r="255" spans="1:14" s="111" customFormat="1" ht="12" customHeight="1" x14ac:dyDescent="0.2">
      <c r="A255" s="133"/>
      <c r="B255" s="135" t="str">
        <f>VLOOKUP(F255,BB!$A$8:$C$152,3,0)</f>
        <v>A02</v>
      </c>
      <c r="C255" s="136">
        <v>202603</v>
      </c>
      <c r="D255" s="134" t="s">
        <v>633</v>
      </c>
      <c r="E255" s="139">
        <v>46084</v>
      </c>
      <c r="F255" s="144" t="s">
        <v>166</v>
      </c>
      <c r="G255" s="149">
        <v>10000000</v>
      </c>
      <c r="H255" s="149">
        <v>0</v>
      </c>
      <c r="I255" s="149">
        <f>IF(G255&lt;&gt;0,G255,-H255)</f>
        <v>10000000</v>
      </c>
      <c r="J255" s="149">
        <v>0</v>
      </c>
      <c r="K255" s="111" t="s">
        <v>305</v>
      </c>
      <c r="L255" s="151" t="s">
        <v>634</v>
      </c>
    </row>
    <row r="256" spans="1:14" s="111" customFormat="1" ht="12" customHeight="1" x14ac:dyDescent="0.2">
      <c r="A256" s="133"/>
      <c r="B256" s="135" t="str">
        <f>VLOOKUP(F256,BB!$A$8:$C$152,3,0)</f>
        <v>A04A</v>
      </c>
      <c r="C256" s="136">
        <f>C255</f>
        <v>202603</v>
      </c>
      <c r="D256" s="134" t="str">
        <f>D255</f>
        <v>MDR-2603001</v>
      </c>
      <c r="E256" s="139">
        <f>E255</f>
        <v>46084</v>
      </c>
      <c r="F256" s="144" t="s">
        <v>468</v>
      </c>
      <c r="G256" s="146">
        <f>+H255</f>
        <v>0</v>
      </c>
      <c r="H256" s="149">
        <f>+G255</f>
        <v>10000000</v>
      </c>
      <c r="I256" s="149">
        <f>IF(G256&lt;&gt;0,G256,-H256)</f>
        <v>-10000000</v>
      </c>
      <c r="J256" s="146">
        <f>-J255</f>
        <v>0</v>
      </c>
      <c r="K256" s="111" t="str">
        <f>K255</f>
        <v>BANK MASUK</v>
      </c>
      <c r="L256" s="151" t="str">
        <f>L255</f>
        <v>PENGEMBALIAN LEBIH TRANSFER PIRUT, HARI ES</v>
      </c>
    </row>
    <row r="257" spans="1:42" s="111" customFormat="1" ht="12" customHeight="1" x14ac:dyDescent="0.2">
      <c r="A257" s="133"/>
      <c r="B257" s="135"/>
      <c r="C257" s="136"/>
      <c r="D257" s="134"/>
      <c r="E257" s="139"/>
      <c r="F257" s="144"/>
      <c r="G257" s="146"/>
      <c r="H257" s="149"/>
      <c r="I257" s="149"/>
      <c r="J257" s="146"/>
      <c r="L257" s="151"/>
    </row>
    <row r="258" spans="1:42" s="207" customFormat="1" ht="12" customHeight="1" x14ac:dyDescent="0.2">
      <c r="A258" s="199"/>
      <c r="B258" s="200" t="str">
        <f>VLOOKUP(F258,BB!$A$8:$C$152,3,0)</f>
        <v>A02</v>
      </c>
      <c r="C258" s="201">
        <v>202603</v>
      </c>
      <c r="D258" s="202" t="s">
        <v>635</v>
      </c>
      <c r="E258" s="203">
        <v>46094</v>
      </c>
      <c r="F258" s="204" t="s">
        <v>166</v>
      </c>
      <c r="G258" s="205">
        <v>0</v>
      </c>
      <c r="H258" s="206">
        <v>91777334</v>
      </c>
      <c r="I258" s="206">
        <f>IF(G258&lt;&gt;0,G258,-H258)</f>
        <v>-91777334</v>
      </c>
      <c r="J258" s="206">
        <v>0</v>
      </c>
      <c r="K258" s="207" t="s">
        <v>304</v>
      </c>
      <c r="L258" s="208" t="s">
        <v>523</v>
      </c>
    </row>
    <row r="259" spans="1:42" s="207" customFormat="1" ht="12" customHeight="1" x14ac:dyDescent="0.2">
      <c r="A259" s="199"/>
      <c r="B259" s="200" t="str">
        <f>VLOOKUP(F259,BB!$A$8:$C$152,3,0)</f>
        <v>P05</v>
      </c>
      <c r="C259" s="201">
        <f t="shared" ref="C259:E261" si="73">C258</f>
        <v>202603</v>
      </c>
      <c r="D259" s="202" t="str">
        <f t="shared" si="73"/>
        <v>MDR-2603002</v>
      </c>
      <c r="E259" s="203">
        <f t="shared" si="73"/>
        <v>46094</v>
      </c>
      <c r="F259" s="204" t="s">
        <v>508</v>
      </c>
      <c r="G259" s="206">
        <f>92753993.8810875*0</f>
        <v>0</v>
      </c>
      <c r="H259" s="206">
        <v>0</v>
      </c>
      <c r="I259" s="206">
        <f>IF(G259&lt;&gt;0,G259,-H259)</f>
        <v>0</v>
      </c>
      <c r="J259" s="205">
        <f>-J258</f>
        <v>0</v>
      </c>
      <c r="K259" s="207" t="str">
        <f>K258</f>
        <v>BANK KELUAR</v>
      </c>
      <c r="L259" s="208" t="s">
        <v>524</v>
      </c>
    </row>
    <row r="260" spans="1:42" s="207" customFormat="1" ht="12" customHeight="1" x14ac:dyDescent="0.2">
      <c r="A260" s="199"/>
      <c r="B260" s="200" t="str">
        <f>VLOOKUP(F260,BB!$A$8:$C$152,3,0)</f>
        <v>P14</v>
      </c>
      <c r="C260" s="201">
        <f t="shared" si="73"/>
        <v>202603</v>
      </c>
      <c r="D260" s="202" t="str">
        <f t="shared" si="73"/>
        <v>MDR-2603002</v>
      </c>
      <c r="E260" s="203">
        <f t="shared" si="73"/>
        <v>46094</v>
      </c>
      <c r="F260" s="204" t="s">
        <v>400</v>
      </c>
      <c r="G260" s="205">
        <v>0</v>
      </c>
      <c r="H260" s="206">
        <v>63489852.091553897</v>
      </c>
      <c r="I260" s="206">
        <f>IF(G260&lt;&gt;0,G260,-H260)</f>
        <v>-63489852.091553897</v>
      </c>
      <c r="J260" s="205">
        <f>-J259</f>
        <v>0</v>
      </c>
      <c r="K260" s="207" t="str">
        <f>K259</f>
        <v>BANK KELUAR</v>
      </c>
      <c r="L260" s="208" t="str">
        <f>L259</f>
        <v>REKLAS 40% LABA TB 2024 UNTUK DICADANGKAN</v>
      </c>
    </row>
    <row r="261" spans="1:42" s="207" customFormat="1" ht="12" customHeight="1" x14ac:dyDescent="0.2">
      <c r="A261" s="199"/>
      <c r="B261" s="200" t="str">
        <f>VLOOKUP(F261,BB!$A$8:$C$152,3,0)</f>
        <v>P15</v>
      </c>
      <c r="C261" s="201">
        <f t="shared" si="73"/>
        <v>202603</v>
      </c>
      <c r="D261" s="202" t="str">
        <f t="shared" si="73"/>
        <v>MDR-2603002</v>
      </c>
      <c r="E261" s="203">
        <f t="shared" si="73"/>
        <v>46094</v>
      </c>
      <c r="F261" s="204" t="s">
        <v>401</v>
      </c>
      <c r="G261" s="206">
        <f>62513192.2104664+92753993.8810875</f>
        <v>155267186.0915539</v>
      </c>
      <c r="H261" s="206">
        <v>0</v>
      </c>
      <c r="I261" s="206">
        <f>IF(G261&lt;&gt;0,G261,-H261)</f>
        <v>155267186.0915539</v>
      </c>
      <c r="J261" s="205">
        <f>-J260</f>
        <v>0</v>
      </c>
      <c r="K261" s="207" t="str">
        <f>K260</f>
        <v>BANK KELUAR</v>
      </c>
      <c r="L261" s="208" t="str">
        <f>L258</f>
        <v>PEMBAGIAN SHU TB 2024 KEPADA ANGGOTA</v>
      </c>
    </row>
    <row r="262" spans="1:42" s="111" customFormat="1" ht="12" customHeight="1" x14ac:dyDescent="0.2">
      <c r="A262" s="133"/>
      <c r="B262" s="135"/>
      <c r="C262" s="136"/>
      <c r="D262" s="134"/>
      <c r="E262" s="139"/>
      <c r="F262" s="144"/>
      <c r="G262" s="146"/>
      <c r="H262" s="149"/>
      <c r="I262" s="149"/>
      <c r="J262" s="146"/>
      <c r="L262" s="151"/>
    </row>
    <row r="263" spans="1:42" s="207" customFormat="1" ht="12" customHeight="1" x14ac:dyDescent="0.2">
      <c r="A263" s="199"/>
      <c r="B263" s="200" t="str">
        <f>VLOOKUP(F263,BB!$A$8:$C$152,3,0)</f>
        <v>A02</v>
      </c>
      <c r="C263" s="201">
        <v>202603</v>
      </c>
      <c r="D263" s="202" t="s">
        <v>636</v>
      </c>
      <c r="E263" s="203">
        <v>46094</v>
      </c>
      <c r="F263" s="202" t="s">
        <v>166</v>
      </c>
      <c r="G263" s="206">
        <v>0</v>
      </c>
      <c r="H263" s="206">
        <v>344810</v>
      </c>
      <c r="I263" s="206">
        <f>IF(G263&lt;&gt;0,G263,-H263)</f>
        <v>-344810</v>
      </c>
      <c r="J263" s="206">
        <v>0</v>
      </c>
      <c r="K263" s="207" t="s">
        <v>304</v>
      </c>
      <c r="L263" s="209" t="s">
        <v>637</v>
      </c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  <c r="AA263" s="201"/>
      <c r="AB263" s="201"/>
      <c r="AC263" s="201"/>
      <c r="AD263" s="201"/>
      <c r="AE263" s="201"/>
      <c r="AF263" s="201"/>
      <c r="AG263" s="201"/>
      <c r="AH263" s="201"/>
      <c r="AI263" s="201"/>
      <c r="AJ263" s="201"/>
      <c r="AK263" s="201"/>
      <c r="AL263" s="201"/>
      <c r="AM263" s="201"/>
      <c r="AN263" s="201"/>
      <c r="AO263" s="201"/>
      <c r="AP263" s="201"/>
    </row>
    <row r="264" spans="1:42" s="207" customFormat="1" ht="12" customHeight="1" x14ac:dyDescent="0.2">
      <c r="A264" s="199"/>
      <c r="B264" s="200" t="str">
        <f>VLOOKUP(F264,BB!$A$8:$C$152,3,0)</f>
        <v>P15</v>
      </c>
      <c r="C264" s="201">
        <f>C263</f>
        <v>202603</v>
      </c>
      <c r="D264" s="202" t="str">
        <f>D263</f>
        <v>MDR-2603003</v>
      </c>
      <c r="E264" s="203">
        <f>E263</f>
        <v>46094</v>
      </c>
      <c r="F264" s="204" t="s">
        <v>401</v>
      </c>
      <c r="G264" s="205">
        <f>H263</f>
        <v>344810</v>
      </c>
      <c r="H264" s="206">
        <f>G263</f>
        <v>0</v>
      </c>
      <c r="I264" s="206">
        <f>IF(G264&lt;&gt;0,G264,-H264)</f>
        <v>344810</v>
      </c>
      <c r="J264" s="205">
        <f>-J263</f>
        <v>0</v>
      </c>
      <c r="K264" s="207" t="str">
        <f>K263</f>
        <v>BANK KELUAR</v>
      </c>
      <c r="L264" s="208" t="str">
        <f>L263</f>
        <v>SHU KKCS TB 2025, NUZULUL IMAMAH</v>
      </c>
    </row>
    <row r="265" spans="1:42" s="111" customFormat="1" ht="12" customHeight="1" x14ac:dyDescent="0.2">
      <c r="A265" s="133"/>
      <c r="B265" s="135"/>
      <c r="C265" s="136"/>
      <c r="D265" s="134"/>
      <c r="E265" s="139"/>
      <c r="F265" s="144"/>
      <c r="G265" s="146"/>
      <c r="H265" s="149"/>
      <c r="I265" s="149"/>
      <c r="J265" s="146"/>
      <c r="L265" s="151"/>
    </row>
    <row r="266" spans="1:42" s="111" customFormat="1" ht="12" customHeight="1" x14ac:dyDescent="0.2">
      <c r="A266" s="133"/>
      <c r="B266" s="135" t="str">
        <f>VLOOKUP(F266,BB!$A$8:$C$152,3,0)</f>
        <v>A02</v>
      </c>
      <c r="C266" s="136">
        <v>202603</v>
      </c>
      <c r="D266" s="134" t="s">
        <v>638</v>
      </c>
      <c r="E266" s="139">
        <v>46094</v>
      </c>
      <c r="F266" s="144" t="s">
        <v>166</v>
      </c>
      <c r="G266" s="149">
        <v>0</v>
      </c>
      <c r="H266" s="149">
        <v>14475000</v>
      </c>
      <c r="I266" s="189">
        <f>IF(G266&lt;&gt;0,G266,-H266)</f>
        <v>-14475000</v>
      </c>
      <c r="J266" s="149">
        <v>0</v>
      </c>
      <c r="K266" s="111" t="s">
        <v>304</v>
      </c>
      <c r="L266" s="152" t="s">
        <v>639</v>
      </c>
    </row>
    <row r="267" spans="1:42" s="111" customFormat="1" ht="12" customHeight="1" x14ac:dyDescent="0.2">
      <c r="A267" s="133"/>
      <c r="B267" s="135" t="str">
        <f>VLOOKUP(F267,BB!$A$8:$C$152,3,0)</f>
        <v>P05</v>
      </c>
      <c r="C267" s="136">
        <f>C266</f>
        <v>202603</v>
      </c>
      <c r="D267" s="134" t="str">
        <f>D266</f>
        <v>MDR-2603004</v>
      </c>
      <c r="E267" s="139">
        <f>E266</f>
        <v>46094</v>
      </c>
      <c r="F267" s="144" t="s">
        <v>435</v>
      </c>
      <c r="G267" s="146">
        <f>H266</f>
        <v>14475000</v>
      </c>
      <c r="H267" s="149">
        <f>G266</f>
        <v>0</v>
      </c>
      <c r="I267" s="189">
        <f>IF(G267&lt;&gt;0,G267,-H267)</f>
        <v>14475000</v>
      </c>
      <c r="J267" s="146">
        <f>-J266</f>
        <v>0</v>
      </c>
      <c r="K267" s="111" t="str">
        <f>K266</f>
        <v>BANK KELUAR</v>
      </c>
      <c r="L267" s="151" t="str">
        <f>L266</f>
        <v>PEMBAYARAN JASA FORKLIFT ACHMAD LUTHFIE PERIODE 202601</v>
      </c>
    </row>
    <row r="268" spans="1:42" s="111" customFormat="1" ht="12" customHeight="1" x14ac:dyDescent="0.2">
      <c r="A268" s="133"/>
      <c r="B268" s="135"/>
      <c r="C268" s="136"/>
      <c r="D268" s="134"/>
      <c r="E268" s="139"/>
      <c r="F268" s="144"/>
      <c r="G268" s="146"/>
      <c r="H268" s="149"/>
      <c r="I268" s="149"/>
      <c r="J268" s="146"/>
      <c r="L268" s="151"/>
    </row>
    <row r="269" spans="1:42" s="111" customFormat="1" ht="12" customHeight="1" x14ac:dyDescent="0.2">
      <c r="A269" s="133"/>
      <c r="B269" s="135" t="str">
        <f>VLOOKUP(F269,BB!$A$8:$C$152,3,0)</f>
        <v>A02</v>
      </c>
      <c r="C269" s="136">
        <v>202603</v>
      </c>
      <c r="D269" s="134" t="s">
        <v>640</v>
      </c>
      <c r="E269" s="139">
        <v>46094</v>
      </c>
      <c r="F269" s="144" t="s">
        <v>166</v>
      </c>
      <c r="G269" s="149">
        <v>0</v>
      </c>
      <c r="H269" s="149">
        <v>2900</v>
      </c>
      <c r="I269" s="149">
        <f>IF(G269&lt;&gt;0,G269,-H269)</f>
        <v>-2900</v>
      </c>
      <c r="J269" s="149">
        <v>0</v>
      </c>
      <c r="K269" s="111" t="s">
        <v>304</v>
      </c>
      <c r="L269" s="152" t="s">
        <v>407</v>
      </c>
      <c r="M269" s="136"/>
      <c r="N269" s="136"/>
      <c r="O269" s="136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  <c r="AA269" s="136"/>
      <c r="AB269" s="136"/>
      <c r="AC269" s="136"/>
      <c r="AD269" s="136"/>
      <c r="AE269" s="136"/>
      <c r="AF269" s="136"/>
      <c r="AG269" s="136"/>
      <c r="AH269" s="136"/>
      <c r="AI269" s="136"/>
      <c r="AJ269" s="136"/>
      <c r="AK269" s="136"/>
      <c r="AL269" s="136"/>
      <c r="AM269" s="136"/>
      <c r="AN269" s="136"/>
      <c r="AO269" s="136"/>
      <c r="AP269" s="136"/>
    </row>
    <row r="270" spans="1:42" s="111" customFormat="1" ht="12" customHeight="1" x14ac:dyDescent="0.2">
      <c r="A270" s="133"/>
      <c r="B270" s="135" t="str">
        <f>VLOOKUP(F270,BB!$A$8:$C$152,3,0)</f>
        <v>LR07</v>
      </c>
      <c r="C270" s="136">
        <f>+C269</f>
        <v>202603</v>
      </c>
      <c r="D270" s="134" t="str">
        <f>+D269</f>
        <v>MDR-2603005</v>
      </c>
      <c r="E270" s="139">
        <f>+E269</f>
        <v>46094</v>
      </c>
      <c r="F270" s="144" t="s">
        <v>248</v>
      </c>
      <c r="G270" s="146">
        <f>+H269</f>
        <v>2900</v>
      </c>
      <c r="H270" s="149">
        <v>0</v>
      </c>
      <c r="I270" s="149">
        <f>IF(G270&lt;&gt;0,G270,-H270)</f>
        <v>2900</v>
      </c>
      <c r="J270" s="146">
        <v>0</v>
      </c>
      <c r="K270" s="111" t="s">
        <v>304</v>
      </c>
      <c r="L270" s="151" t="str">
        <f>+L269</f>
        <v>CLEARING FEE</v>
      </c>
    </row>
    <row r="271" spans="1:42" s="111" customFormat="1" ht="12" customHeight="1" x14ac:dyDescent="0.2">
      <c r="A271" s="133"/>
      <c r="B271" s="135"/>
      <c r="C271" s="136"/>
      <c r="D271" s="134"/>
      <c r="E271" s="139"/>
      <c r="F271" s="144"/>
      <c r="G271" s="146"/>
      <c r="H271" s="149"/>
      <c r="I271" s="149"/>
      <c r="J271" s="146"/>
      <c r="L271" s="151"/>
    </row>
    <row r="272" spans="1:42" s="111" customFormat="1" ht="12" customHeight="1" x14ac:dyDescent="0.2">
      <c r="A272" s="133"/>
      <c r="B272" s="135" t="str">
        <f>VLOOKUP(F272,BB!$A$8:$C$152,3,0)</f>
        <v>A02</v>
      </c>
      <c r="C272" s="136">
        <v>202603</v>
      </c>
      <c r="D272" s="134" t="s">
        <v>641</v>
      </c>
      <c r="E272" s="139">
        <v>46094</v>
      </c>
      <c r="F272" s="144" t="s">
        <v>166</v>
      </c>
      <c r="G272" s="149">
        <v>15680000</v>
      </c>
      <c r="H272" s="149">
        <v>0</v>
      </c>
      <c r="I272" s="189">
        <f>IF(G272&lt;&gt;0,G272,-H272)</f>
        <v>15680000</v>
      </c>
      <c r="J272" s="149">
        <v>0</v>
      </c>
      <c r="K272" s="111" t="s">
        <v>305</v>
      </c>
      <c r="L272" s="152" t="s">
        <v>642</v>
      </c>
    </row>
    <row r="273" spans="1:12" s="111" customFormat="1" ht="12" customHeight="1" x14ac:dyDescent="0.2">
      <c r="A273" s="133"/>
      <c r="B273" s="135" t="str">
        <f>VLOOKUP(F273,BB!$A$8:$C$152,3,0)</f>
        <v>A04B</v>
      </c>
      <c r="C273" s="136">
        <f t="shared" ref="C273" si="74">C272</f>
        <v>202603</v>
      </c>
      <c r="D273" s="136" t="str">
        <f t="shared" ref="D273" si="75">D272</f>
        <v>MDR-2603006</v>
      </c>
      <c r="E273" s="186">
        <f t="shared" ref="E273" si="76">E272</f>
        <v>46094</v>
      </c>
      <c r="F273" s="144" t="s">
        <v>464</v>
      </c>
      <c r="G273" s="146">
        <v>0</v>
      </c>
      <c r="H273" s="149">
        <f>+G272</f>
        <v>15680000</v>
      </c>
      <c r="I273" s="189">
        <f>IF(G273&lt;&gt;0,G273,-H273)</f>
        <v>-15680000</v>
      </c>
      <c r="J273" s="146">
        <v>0</v>
      </c>
      <c r="K273" s="111" t="str">
        <f>K272</f>
        <v>BANK MASUK</v>
      </c>
      <c r="L273" s="151" t="str">
        <f>L272</f>
        <v>TERIMA DARI GCS SEWA FORKLIFT PERIODE 202601</v>
      </c>
    </row>
    <row r="274" spans="1:12" s="111" customFormat="1" ht="12" customHeight="1" x14ac:dyDescent="0.2">
      <c r="A274" s="133"/>
      <c r="B274" s="135"/>
      <c r="C274" s="136"/>
      <c r="D274" s="134"/>
      <c r="E274" s="139"/>
      <c r="F274" s="144"/>
      <c r="G274" s="146"/>
      <c r="H274" s="149"/>
      <c r="I274" s="149"/>
      <c r="J274" s="146"/>
      <c r="L274" s="151"/>
    </row>
    <row r="275" spans="1:12" s="111" customFormat="1" ht="12" customHeight="1" x14ac:dyDescent="0.2">
      <c r="A275" s="133"/>
      <c r="B275" s="135" t="str">
        <f>VLOOKUP(F275,BB!$A$8:$C$152,3,0)</f>
        <v>A02</v>
      </c>
      <c r="C275" s="136">
        <v>202603</v>
      </c>
      <c r="D275" s="134" t="s">
        <v>643</v>
      </c>
      <c r="E275" s="139">
        <v>46098</v>
      </c>
      <c r="F275" s="144" t="s">
        <v>166</v>
      </c>
      <c r="G275" s="149">
        <v>0</v>
      </c>
      <c r="H275" s="149">
        <v>50000000</v>
      </c>
      <c r="I275" s="149">
        <f>IF(G275&lt;&gt;0,G275,-H275)</f>
        <v>-50000000</v>
      </c>
      <c r="J275" s="149">
        <v>0</v>
      </c>
      <c r="K275" s="111" t="s">
        <v>304</v>
      </c>
      <c r="L275" s="151" t="s">
        <v>628</v>
      </c>
    </row>
    <row r="276" spans="1:12" s="111" customFormat="1" ht="12" customHeight="1" x14ac:dyDescent="0.2">
      <c r="A276" s="133"/>
      <c r="B276" s="135" t="str">
        <f>VLOOKUP(F276,BB!$A$8:$C$152,3,0)</f>
        <v>A04A</v>
      </c>
      <c r="C276" s="136">
        <f>C275</f>
        <v>202603</v>
      </c>
      <c r="D276" s="134" t="str">
        <f>D275</f>
        <v>MDR-2603007</v>
      </c>
      <c r="E276" s="139">
        <f>E275</f>
        <v>46098</v>
      </c>
      <c r="F276" s="144" t="s">
        <v>468</v>
      </c>
      <c r="G276" s="146">
        <f>+H275</f>
        <v>50000000</v>
      </c>
      <c r="H276" s="149">
        <v>0</v>
      </c>
      <c r="I276" s="149">
        <f>IF(G276&lt;&gt;0,G276,-H276)</f>
        <v>50000000</v>
      </c>
      <c r="J276" s="146">
        <f>-J275</f>
        <v>0</v>
      </c>
      <c r="K276" s="111" t="str">
        <f>K275</f>
        <v>BANK KELUAR</v>
      </c>
      <c r="L276" s="151" t="str">
        <f>L275</f>
        <v>PINJAMAN RUTIN ADY P, 48X</v>
      </c>
    </row>
    <row r="277" spans="1:12" s="111" customFormat="1" ht="12" customHeight="1" x14ac:dyDescent="0.2">
      <c r="A277" s="133"/>
      <c r="B277" s="135"/>
      <c r="C277" s="136"/>
      <c r="D277" s="134"/>
      <c r="E277" s="139"/>
      <c r="F277" s="144"/>
      <c r="G277" s="146"/>
      <c r="H277" s="149"/>
      <c r="I277" s="149"/>
      <c r="J277" s="146"/>
      <c r="L277" s="151"/>
    </row>
    <row r="278" spans="1:12" s="111" customFormat="1" ht="12" customHeight="1" x14ac:dyDescent="0.2">
      <c r="A278" s="133"/>
      <c r="B278" s="135" t="str">
        <f>VLOOKUP(F278,BB!$A$8:$C$152,3,0)</f>
        <v>A02</v>
      </c>
      <c r="C278" s="136">
        <v>202603</v>
      </c>
      <c r="D278" s="134" t="s">
        <v>644</v>
      </c>
      <c r="E278" s="139">
        <v>46106</v>
      </c>
      <c r="F278" s="144" t="s">
        <v>166</v>
      </c>
      <c r="G278" s="146">
        <v>84872329</v>
      </c>
      <c r="H278" s="149">
        <v>0</v>
      </c>
      <c r="I278" s="149">
        <f t="shared" ref="I278:I283" si="77">IF(G278&lt;&gt;0,G278,-H278)</f>
        <v>84872329</v>
      </c>
      <c r="J278" s="149">
        <v>0</v>
      </c>
      <c r="K278" s="111" t="s">
        <v>305</v>
      </c>
      <c r="L278" s="151" t="s">
        <v>645</v>
      </c>
    </row>
    <row r="279" spans="1:12" s="111" customFormat="1" ht="12" customHeight="1" x14ac:dyDescent="0.2">
      <c r="A279" s="133"/>
      <c r="B279" s="135" t="str">
        <f>VLOOKUP(F279,BB!$A$8:$C$152,3,0)</f>
        <v>A04A</v>
      </c>
      <c r="C279" s="136">
        <f t="shared" ref="C279:E279" si="78">C278</f>
        <v>202603</v>
      </c>
      <c r="D279" s="134" t="str">
        <f t="shared" si="78"/>
        <v>MDR-2603008</v>
      </c>
      <c r="E279" s="139">
        <f t="shared" si="78"/>
        <v>46106</v>
      </c>
      <c r="F279" s="144" t="s">
        <v>468</v>
      </c>
      <c r="G279" s="146">
        <v>0</v>
      </c>
      <c r="H279" s="149">
        <v>62264305.555555552</v>
      </c>
      <c r="I279" s="149">
        <f t="shared" si="77"/>
        <v>-62264305.555555552</v>
      </c>
      <c r="J279" s="146">
        <f>-J278</f>
        <v>0</v>
      </c>
      <c r="K279" s="111" t="str">
        <f>K278</f>
        <v>BANK MASUK</v>
      </c>
      <c r="L279" s="151" t="str">
        <f>"ANGSURAN PIRUT DARI "&amp;MID(L278,17,50)</f>
        <v>ANGSURAN PIRUT DARI POTONGAN GAJI BULAN MARET 2026</v>
      </c>
    </row>
    <row r="280" spans="1:12" s="111" customFormat="1" ht="12" customHeight="1" x14ac:dyDescent="0.2">
      <c r="A280" s="133"/>
      <c r="B280" s="135" t="str">
        <f>VLOOKUP(F280,BB!$A$8:$C$152,3,0)</f>
        <v>P12</v>
      </c>
      <c r="C280" s="136">
        <f t="shared" ref="C280:E280" si="79">C279</f>
        <v>202603</v>
      </c>
      <c r="D280" s="134" t="str">
        <f t="shared" si="79"/>
        <v>MDR-2603008</v>
      </c>
      <c r="E280" s="139">
        <f t="shared" si="79"/>
        <v>46106</v>
      </c>
      <c r="F280" s="140" t="s">
        <v>227</v>
      </c>
      <c r="G280" s="146">
        <v>0</v>
      </c>
      <c r="H280" s="149">
        <v>3850000</v>
      </c>
      <c r="I280" s="149">
        <f t="shared" si="77"/>
        <v>-3850000</v>
      </c>
      <c r="J280" s="146">
        <f>-J279</f>
        <v>0</v>
      </c>
      <c r="K280" s="111" t="str">
        <f>K279</f>
        <v>BANK MASUK</v>
      </c>
      <c r="L280" s="151" t="s">
        <v>500</v>
      </c>
    </row>
    <row r="281" spans="1:12" s="111" customFormat="1" ht="12" customHeight="1" x14ac:dyDescent="0.2">
      <c r="A281" s="133"/>
      <c r="B281" s="135" t="str">
        <f>VLOOKUP(F281,BB!$A$8:$C$152,3,0)</f>
        <v>LR01A</v>
      </c>
      <c r="C281" s="136">
        <f t="shared" ref="C281:E281" si="80">C280</f>
        <v>202603</v>
      </c>
      <c r="D281" s="134" t="str">
        <f t="shared" si="80"/>
        <v>MDR-2603008</v>
      </c>
      <c r="E281" s="139">
        <f t="shared" si="80"/>
        <v>46106</v>
      </c>
      <c r="F281" s="144" t="s">
        <v>369</v>
      </c>
      <c r="G281" s="146">
        <v>0</v>
      </c>
      <c r="H281" s="146">
        <v>81022329.861111134</v>
      </c>
      <c r="I281" s="149">
        <f t="shared" si="77"/>
        <v>-81022329.861111134</v>
      </c>
      <c r="J281" s="146">
        <f>-J280</f>
        <v>0</v>
      </c>
      <c r="K281" s="111" t="str">
        <f>K280</f>
        <v>BANK MASUK</v>
      </c>
      <c r="L281" s="151" t="str">
        <f>"PENDAPATAN PIRUT "&amp;MID(L278,31,50)</f>
        <v>PENDAPATAN PIRUT BULAN MARET 2026</v>
      </c>
    </row>
    <row r="282" spans="1:12" s="111" customFormat="1" ht="12" customHeight="1" x14ac:dyDescent="0.2">
      <c r="A282" s="133"/>
      <c r="B282" s="135" t="str">
        <f>VLOOKUP(F282,BB!$A$8:$C$152,3,0)</f>
        <v>LR02A</v>
      </c>
      <c r="C282" s="136">
        <f t="shared" ref="C282:E282" si="81">C281</f>
        <v>202603</v>
      </c>
      <c r="D282" s="134" t="str">
        <f t="shared" si="81"/>
        <v>MDR-2603008</v>
      </c>
      <c r="E282" s="139">
        <f t="shared" si="81"/>
        <v>46106</v>
      </c>
      <c r="F282" s="144" t="s">
        <v>373</v>
      </c>
      <c r="G282" s="146">
        <f>H279</f>
        <v>62264305.555555552</v>
      </c>
      <c r="H282" s="146">
        <v>0</v>
      </c>
      <c r="I282" s="149">
        <f t="shared" si="77"/>
        <v>62264305.555555552</v>
      </c>
      <c r="J282" s="146">
        <f>-J281</f>
        <v>0</v>
      </c>
      <c r="K282" s="111" t="str">
        <f>K281</f>
        <v>BANK MASUK</v>
      </c>
      <c r="L282" s="151" t="str">
        <f>"HPP "&amp;MID(L281,12,50)</f>
        <v>HPP PIRUT BULAN MARET 2026</v>
      </c>
    </row>
    <row r="283" spans="1:12" s="111" customFormat="1" ht="12" customHeight="1" x14ac:dyDescent="0.2">
      <c r="A283" s="133"/>
      <c r="B283" s="135" t="str">
        <f>VLOOKUP(F283,BB!$A$8:$C$152,3,0)</f>
        <v>LR07</v>
      </c>
      <c r="C283" s="136">
        <f t="shared" ref="C283:E283" si="82">C282</f>
        <v>202603</v>
      </c>
      <c r="D283" s="134" t="str">
        <f t="shared" si="82"/>
        <v>MDR-2603008</v>
      </c>
      <c r="E283" s="139">
        <f t="shared" si="82"/>
        <v>46106</v>
      </c>
      <c r="F283" s="144" t="s">
        <v>249</v>
      </c>
      <c r="G283" s="146">
        <f>IF(SUM(I278:I282)&lt;0,-SUM(I278:I282),0)</f>
        <v>0.86111113429069519</v>
      </c>
      <c r="H283" s="146">
        <f>IF(SUM(I278:I282)&gt;0,-SUM(J278:J282),0)</f>
        <v>0</v>
      </c>
      <c r="I283" s="149">
        <f t="shared" si="77"/>
        <v>0.86111113429069519</v>
      </c>
      <c r="J283" s="146">
        <f>-J282</f>
        <v>0</v>
      </c>
      <c r="K283" s="111" t="str">
        <f>K282</f>
        <v>BANK MASUK</v>
      </c>
      <c r="L283" s="151" t="s">
        <v>434</v>
      </c>
    </row>
    <row r="284" spans="1:12" s="111" customFormat="1" ht="12" customHeight="1" x14ac:dyDescent="0.2">
      <c r="A284" s="133"/>
      <c r="B284" s="135"/>
      <c r="C284" s="136"/>
      <c r="D284" s="134"/>
      <c r="E284" s="139"/>
      <c r="F284" s="144"/>
      <c r="G284" s="146"/>
      <c r="H284" s="149"/>
      <c r="I284" s="149"/>
      <c r="J284" s="146"/>
      <c r="L284" s="151"/>
    </row>
    <row r="285" spans="1:12" s="111" customFormat="1" ht="12" customHeight="1" x14ac:dyDescent="0.2">
      <c r="A285" s="133"/>
      <c r="B285" s="135" t="str">
        <f>VLOOKUP(F285,BB!$A$8:$C$152,3,0)</f>
        <v>A02</v>
      </c>
      <c r="C285" s="136">
        <v>202603</v>
      </c>
      <c r="D285" s="134" t="s">
        <v>646</v>
      </c>
      <c r="E285" s="139">
        <v>46108</v>
      </c>
      <c r="F285" s="144" t="s">
        <v>166</v>
      </c>
      <c r="G285" s="149">
        <v>90000000</v>
      </c>
      <c r="H285" s="149">
        <v>0</v>
      </c>
      <c r="I285" s="149">
        <f>IF(G285&lt;&gt;0,G285,-H285)</f>
        <v>90000000</v>
      </c>
      <c r="J285" s="149">
        <v>0</v>
      </c>
      <c r="K285" s="111" t="s">
        <v>305</v>
      </c>
      <c r="L285" s="151" t="s">
        <v>647</v>
      </c>
    </row>
    <row r="286" spans="1:12" s="111" customFormat="1" ht="12" customHeight="1" x14ac:dyDescent="0.2">
      <c r="A286" s="133"/>
      <c r="B286" s="135" t="str">
        <f>VLOOKUP(F286,BB!$A$8:$C$152,3,0)</f>
        <v>A04A</v>
      </c>
      <c r="C286" s="136">
        <f>C285</f>
        <v>202603</v>
      </c>
      <c r="D286" s="134" t="str">
        <f>D285</f>
        <v>MDR-2603009</v>
      </c>
      <c r="E286" s="139">
        <f>E285</f>
        <v>46108</v>
      </c>
      <c r="F286" s="144" t="s">
        <v>468</v>
      </c>
      <c r="G286" s="146">
        <f>+H285</f>
        <v>0</v>
      </c>
      <c r="H286" s="149">
        <f>+G285</f>
        <v>90000000</v>
      </c>
      <c r="I286" s="149">
        <f>IF(G286&lt;&gt;0,G286,-H286)</f>
        <v>-90000000</v>
      </c>
      <c r="J286" s="146">
        <f>-J285</f>
        <v>0</v>
      </c>
      <c r="K286" s="111" t="str">
        <f>K285</f>
        <v>BANK MASUK</v>
      </c>
      <c r="L286" s="151" t="str">
        <f>L285</f>
        <v>PELUNASAN PIRUT, IWAN RK</v>
      </c>
    </row>
    <row r="287" spans="1:12" s="111" customFormat="1" ht="12" customHeight="1" x14ac:dyDescent="0.2">
      <c r="A287" s="133"/>
      <c r="B287" s="135"/>
      <c r="C287" s="136"/>
      <c r="D287" s="134"/>
      <c r="E287" s="139"/>
      <c r="F287" s="144"/>
      <c r="G287" s="146"/>
      <c r="H287" s="149"/>
      <c r="I287" s="149"/>
      <c r="J287" s="146"/>
      <c r="L287" s="151"/>
    </row>
    <row r="288" spans="1:12" s="111" customFormat="1" ht="12" customHeight="1" x14ac:dyDescent="0.2">
      <c r="A288" s="133"/>
      <c r="B288" s="135" t="str">
        <f>VLOOKUP(F288,BB!$A$8:$C$152,3,0)</f>
        <v>A02</v>
      </c>
      <c r="C288" s="136">
        <v>202603</v>
      </c>
      <c r="D288" s="134" t="s">
        <v>648</v>
      </c>
      <c r="E288" s="139">
        <v>46108</v>
      </c>
      <c r="F288" s="144" t="s">
        <v>166</v>
      </c>
      <c r="G288" s="149">
        <v>0</v>
      </c>
      <c r="H288" s="149">
        <v>11608500</v>
      </c>
      <c r="I288" s="191">
        <f>IF(G288&lt;&gt;0,G288,-H288)</f>
        <v>-11608500</v>
      </c>
      <c r="J288" s="149">
        <v>0</v>
      </c>
      <c r="K288" s="111" t="s">
        <v>304</v>
      </c>
      <c r="L288" s="151" t="s">
        <v>650</v>
      </c>
    </row>
    <row r="289" spans="1:42" s="111" customFormat="1" ht="12" customHeight="1" x14ac:dyDescent="0.2">
      <c r="A289" s="133"/>
      <c r="B289" s="135" t="str">
        <f>VLOOKUP(F289,BB!$A$8:$C$152,3,0)</f>
        <v>P05</v>
      </c>
      <c r="C289" s="136">
        <f t="shared" ref="C289" si="83">+C288</f>
        <v>202603</v>
      </c>
      <c r="D289" s="134" t="str">
        <f t="shared" ref="D289" si="84">+D288</f>
        <v>MDR-2603010</v>
      </c>
      <c r="E289" s="139">
        <f t="shared" ref="E289" si="85">+E288</f>
        <v>46108</v>
      </c>
      <c r="F289" s="144" t="s">
        <v>439</v>
      </c>
      <c r="G289" s="149">
        <f>+H288</f>
        <v>11608500</v>
      </c>
      <c r="H289" s="149">
        <v>0</v>
      </c>
      <c r="I289" s="191">
        <f>IF(G289&lt;&gt;0,G289,-H289)</f>
        <v>11608500</v>
      </c>
      <c r="J289" s="146">
        <v>0</v>
      </c>
      <c r="K289" s="111" t="s">
        <v>304</v>
      </c>
      <c r="L289" s="151" t="str">
        <f>+L288</f>
        <v>PEMBAYARAN KE ORIX SEWA BULAN KE 45 (MAR)</v>
      </c>
    </row>
    <row r="290" spans="1:42" s="111" customFormat="1" ht="12" customHeight="1" x14ac:dyDescent="0.2">
      <c r="A290" s="133"/>
      <c r="B290" s="135"/>
      <c r="C290" s="136"/>
      <c r="D290" s="134"/>
      <c r="E290" s="139"/>
      <c r="F290" s="144"/>
      <c r="G290" s="146"/>
      <c r="H290" s="149"/>
      <c r="I290" s="149"/>
      <c r="J290" s="146"/>
      <c r="L290" s="151"/>
    </row>
    <row r="291" spans="1:42" s="111" customFormat="1" ht="12" customHeight="1" x14ac:dyDescent="0.2">
      <c r="A291" s="133"/>
      <c r="B291" s="135" t="str">
        <f>VLOOKUP(F291,BB!$A$8:$C$152,3,0)</f>
        <v>A02</v>
      </c>
      <c r="C291" s="136">
        <v>202603</v>
      </c>
      <c r="D291" s="134" t="s">
        <v>649</v>
      </c>
      <c r="E291" s="139">
        <v>46108</v>
      </c>
      <c r="F291" s="144" t="s">
        <v>166</v>
      </c>
      <c r="G291" s="149">
        <v>0</v>
      </c>
      <c r="H291" s="149">
        <v>2900</v>
      </c>
      <c r="I291" s="149">
        <f>IF(G291&lt;&gt;0,G291,-H291)</f>
        <v>-2900</v>
      </c>
      <c r="J291" s="149">
        <v>0</v>
      </c>
      <c r="K291" s="111" t="s">
        <v>304</v>
      </c>
      <c r="L291" s="152" t="s">
        <v>407</v>
      </c>
      <c r="M291" s="136"/>
      <c r="N291" s="136"/>
      <c r="O291" s="136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  <c r="AA291" s="136"/>
      <c r="AB291" s="136"/>
      <c r="AC291" s="136"/>
      <c r="AD291" s="136"/>
      <c r="AE291" s="136"/>
      <c r="AF291" s="136"/>
      <c r="AG291" s="136"/>
      <c r="AH291" s="136"/>
      <c r="AI291" s="136"/>
      <c r="AJ291" s="136"/>
      <c r="AK291" s="136"/>
      <c r="AL291" s="136"/>
      <c r="AM291" s="136"/>
      <c r="AN291" s="136"/>
      <c r="AO291" s="136"/>
      <c r="AP291" s="136"/>
    </row>
    <row r="292" spans="1:42" s="111" customFormat="1" ht="12" customHeight="1" x14ac:dyDescent="0.2">
      <c r="A292" s="133"/>
      <c r="B292" s="135" t="str">
        <f>VLOOKUP(F292,BB!$A$8:$C$152,3,0)</f>
        <v>LR07</v>
      </c>
      <c r="C292" s="136">
        <f>+C291</f>
        <v>202603</v>
      </c>
      <c r="D292" s="134" t="str">
        <f>+D291</f>
        <v>MDR-2603011</v>
      </c>
      <c r="E292" s="139">
        <f>+E291</f>
        <v>46108</v>
      </c>
      <c r="F292" s="144" t="s">
        <v>248</v>
      </c>
      <c r="G292" s="146">
        <f>+H291</f>
        <v>2900</v>
      </c>
      <c r="H292" s="149">
        <v>0</v>
      </c>
      <c r="I292" s="149">
        <f>IF(G292&lt;&gt;0,G292,-H292)</f>
        <v>2900</v>
      </c>
      <c r="J292" s="146">
        <v>0</v>
      </c>
      <c r="K292" s="111" t="s">
        <v>304</v>
      </c>
      <c r="L292" s="151" t="str">
        <f>+L291</f>
        <v>CLEARING FEE</v>
      </c>
    </row>
    <row r="293" spans="1:42" s="111" customFormat="1" ht="12" customHeight="1" x14ac:dyDescent="0.2">
      <c r="A293" s="133"/>
      <c r="B293" s="135"/>
      <c r="C293" s="136"/>
      <c r="D293" s="134"/>
      <c r="E293" s="139"/>
      <c r="F293" s="144"/>
      <c r="G293" s="146"/>
      <c r="H293" s="149"/>
      <c r="I293" s="149"/>
      <c r="J293" s="146"/>
      <c r="L293" s="151"/>
    </row>
    <row r="294" spans="1:42" s="111" customFormat="1" ht="12" customHeight="1" x14ac:dyDescent="0.2">
      <c r="A294" s="133"/>
      <c r="B294" s="135" t="str">
        <f>VLOOKUP(F294,BB!$A$8:$C$152,3,0)</f>
        <v>A02</v>
      </c>
      <c r="C294" s="136">
        <v>202603</v>
      </c>
      <c r="D294" s="134" t="s">
        <v>652</v>
      </c>
      <c r="E294" s="139">
        <v>46112</v>
      </c>
      <c r="F294" s="144" t="s">
        <v>166</v>
      </c>
      <c r="G294" s="149">
        <f>IF(SUM(I295:I297)&lt;0,-SUM(I295:I297),0)</f>
        <v>0</v>
      </c>
      <c r="H294" s="149">
        <f>IF(SUM(I295:I297)&gt;0,SUM(I295:I297),0)</f>
        <v>5981.1399999999985</v>
      </c>
      <c r="I294" s="149">
        <f>IF(G294&lt;&gt;0,G294,-H294)</f>
        <v>-5981.1399999999985</v>
      </c>
      <c r="J294" s="146">
        <f>-J293</f>
        <v>0</v>
      </c>
      <c r="K294" s="111" t="str">
        <f>IF(I294&gt;0,"BANK MASUK","BANK KELUAR")</f>
        <v>BANK KELUAR</v>
      </c>
      <c r="L294" s="151" t="str">
        <f>IF(K294="BANK MASUK","PENDAPATAN ATAS REKENING GIRO MANDIRI","BIAYA ATAS REKENING GIRO MANDIRI")</f>
        <v>BIAYA ATAS REKENING GIRO MANDIRI</v>
      </c>
    </row>
    <row r="295" spans="1:42" s="111" customFormat="1" ht="12" customHeight="1" x14ac:dyDescent="0.2">
      <c r="A295" s="133"/>
      <c r="B295" s="135" t="str">
        <f>VLOOKUP(F295,BB!$A$8:$C$152,3,0)</f>
        <v>LR07</v>
      </c>
      <c r="C295" s="136">
        <f t="shared" ref="C295:E295" si="86">C294</f>
        <v>202603</v>
      </c>
      <c r="D295" s="134" t="str">
        <f t="shared" si="86"/>
        <v>MDR-2603012</v>
      </c>
      <c r="E295" s="139">
        <f t="shared" si="86"/>
        <v>46112</v>
      </c>
      <c r="F295" s="144" t="s">
        <v>248</v>
      </c>
      <c r="G295" s="149">
        <v>25000</v>
      </c>
      <c r="H295" s="149">
        <v>0</v>
      </c>
      <c r="I295" s="149">
        <f>IF(G295&lt;&gt;0,G295,-H295)</f>
        <v>25000</v>
      </c>
      <c r="J295" s="146">
        <f>-J294</f>
        <v>0</v>
      </c>
      <c r="K295" s="111" t="str">
        <f>K294</f>
        <v>BANK KELUAR</v>
      </c>
      <c r="L295" s="151" t="s">
        <v>409</v>
      </c>
    </row>
    <row r="296" spans="1:42" s="111" customFormat="1" ht="12" customHeight="1" x14ac:dyDescent="0.2">
      <c r="A296" s="133"/>
      <c r="B296" s="135" t="str">
        <f>VLOOKUP(F296,BB!$A$8:$C$152,3,0)</f>
        <v>LR07</v>
      </c>
      <c r="C296" s="136">
        <f t="shared" ref="C296:E296" si="87">C295</f>
        <v>202603</v>
      </c>
      <c r="D296" s="134" t="str">
        <f t="shared" si="87"/>
        <v>MDR-2603012</v>
      </c>
      <c r="E296" s="139">
        <f t="shared" si="87"/>
        <v>46112</v>
      </c>
      <c r="F296" s="144" t="s">
        <v>248</v>
      </c>
      <c r="G296" s="149">
        <v>0</v>
      </c>
      <c r="H296" s="149">
        <v>23773.58</v>
      </c>
      <c r="I296" s="149">
        <f>IF(G296&lt;&gt;0,G296,-H296)</f>
        <v>-23773.58</v>
      </c>
      <c r="J296" s="146">
        <f>-J295</f>
        <v>0</v>
      </c>
      <c r="K296" s="111" t="str">
        <f>K295</f>
        <v>BANK KELUAR</v>
      </c>
      <c r="L296" s="151" t="s">
        <v>410</v>
      </c>
    </row>
    <row r="297" spans="1:42" s="111" customFormat="1" ht="12" customHeight="1" x14ac:dyDescent="0.2">
      <c r="A297" s="133"/>
      <c r="B297" s="135" t="str">
        <f>VLOOKUP(F297,BB!$A$8:$C$152,3,0)</f>
        <v>LR07</v>
      </c>
      <c r="C297" s="136">
        <f t="shared" ref="C297:E297" si="88">C296</f>
        <v>202603</v>
      </c>
      <c r="D297" s="134" t="str">
        <f t="shared" si="88"/>
        <v>MDR-2603012</v>
      </c>
      <c r="E297" s="139">
        <f t="shared" si="88"/>
        <v>46112</v>
      </c>
      <c r="F297" s="144" t="s">
        <v>248</v>
      </c>
      <c r="G297" s="149">
        <v>4754.72</v>
      </c>
      <c r="H297" s="149">
        <v>0</v>
      </c>
      <c r="I297" s="149">
        <f>IF(G297&lt;&gt;0,G297,-H297)</f>
        <v>4754.72</v>
      </c>
      <c r="J297" s="146">
        <f>-J296</f>
        <v>0</v>
      </c>
      <c r="K297" s="111" t="str">
        <f>K296</f>
        <v>BANK KELUAR</v>
      </c>
      <c r="L297" s="151" t="s">
        <v>411</v>
      </c>
    </row>
    <row r="298" spans="1:42" s="111" customFormat="1" ht="12" customHeight="1" x14ac:dyDescent="0.2">
      <c r="A298" s="133"/>
      <c r="B298" s="135"/>
      <c r="C298" s="136"/>
      <c r="D298" s="134"/>
      <c r="E298" s="139"/>
      <c r="F298" s="144"/>
      <c r="G298" s="146"/>
      <c r="H298" s="149"/>
      <c r="I298" s="149"/>
      <c r="J298" s="146"/>
      <c r="L298" s="151"/>
    </row>
    <row r="299" spans="1:42" s="111" customFormat="1" ht="12" customHeight="1" x14ac:dyDescent="0.2">
      <c r="A299" s="133"/>
      <c r="B299" s="135" t="str">
        <f>VLOOKUP(F299,BB!$A$8:$C$152,3,0)</f>
        <v>A02</v>
      </c>
      <c r="C299" s="136">
        <v>202603</v>
      </c>
      <c r="D299" s="134" t="s">
        <v>653</v>
      </c>
      <c r="E299" s="139">
        <v>46112</v>
      </c>
      <c r="F299" s="144" t="s">
        <v>167</v>
      </c>
      <c r="G299" s="149">
        <v>0</v>
      </c>
      <c r="H299" s="149">
        <v>30000</v>
      </c>
      <c r="I299" s="149">
        <f>IF(G299&lt;&gt;0,G299,-H299)</f>
        <v>-30000</v>
      </c>
      <c r="J299" s="149">
        <v>0</v>
      </c>
      <c r="K299" s="111" t="s">
        <v>304</v>
      </c>
      <c r="L299" s="151" t="s">
        <v>409</v>
      </c>
    </row>
    <row r="300" spans="1:42" s="111" customFormat="1" ht="12" customHeight="1" x14ac:dyDescent="0.2">
      <c r="A300" s="133"/>
      <c r="B300" s="135" t="str">
        <f>VLOOKUP(F300,BB!$A$8:$C$152,3,0)</f>
        <v>LR07</v>
      </c>
      <c r="C300" s="136">
        <f>C299</f>
        <v>202603</v>
      </c>
      <c r="D300" s="134" t="str">
        <f>D299</f>
        <v>BCA-2603001</v>
      </c>
      <c r="E300" s="139">
        <f>E299</f>
        <v>46112</v>
      </c>
      <c r="F300" s="144" t="s">
        <v>248</v>
      </c>
      <c r="G300" s="146">
        <v>30000</v>
      </c>
      <c r="H300" s="149">
        <v>0</v>
      </c>
      <c r="I300" s="149">
        <f>IF(G300&lt;&gt;0,G300,-H300)</f>
        <v>30000</v>
      </c>
      <c r="J300" s="146">
        <v>0</v>
      </c>
      <c r="K300" s="111" t="s">
        <v>304</v>
      </c>
      <c r="L300" s="151" t="s">
        <v>409</v>
      </c>
    </row>
    <row r="301" spans="1:42" s="111" customFormat="1" ht="12" customHeight="1" x14ac:dyDescent="0.2">
      <c r="A301" s="133"/>
      <c r="B301" s="135"/>
      <c r="C301" s="136"/>
      <c r="D301" s="134"/>
      <c r="E301" s="139"/>
      <c r="F301" s="144"/>
      <c r="G301" s="146"/>
      <c r="H301" s="149"/>
      <c r="I301" s="149"/>
      <c r="J301" s="146"/>
      <c r="L301" s="151"/>
    </row>
    <row r="302" spans="1:42" s="111" customFormat="1" ht="12" customHeight="1" x14ac:dyDescent="0.2">
      <c r="A302" s="133"/>
      <c r="B302" s="135" t="str">
        <f>VLOOKUP(F302,BB!$A$8:$C$152,3,0)</f>
        <v>A01</v>
      </c>
      <c r="C302" s="136">
        <v>202603</v>
      </c>
      <c r="D302" s="134" t="s">
        <v>751</v>
      </c>
      <c r="E302" s="139">
        <v>46083</v>
      </c>
      <c r="F302" s="144" t="s">
        <v>163</v>
      </c>
      <c r="G302" s="149">
        <v>321000</v>
      </c>
      <c r="H302" s="149">
        <v>0</v>
      </c>
      <c r="I302" s="149">
        <f>IF(G302&lt;&gt;0,G302,-H302)</f>
        <v>321000</v>
      </c>
      <c r="J302" s="149">
        <v>0</v>
      </c>
      <c r="K302" s="111" t="s">
        <v>509</v>
      </c>
      <c r="L302" s="152" t="s">
        <v>511</v>
      </c>
    </row>
    <row r="303" spans="1:42" s="111" customFormat="1" ht="12" customHeight="1" x14ac:dyDescent="0.2">
      <c r="A303" s="133"/>
      <c r="B303" s="135" t="str">
        <f>VLOOKUP(F303,BB!$A$8:$C$152,3,0)</f>
        <v>A04A</v>
      </c>
      <c r="C303" s="136">
        <f t="shared" ref="C303:E303" si="89">C302</f>
        <v>202603</v>
      </c>
      <c r="D303" s="134" t="str">
        <f t="shared" si="89"/>
        <v>KAS-2603001</v>
      </c>
      <c r="E303" s="139">
        <f t="shared" si="89"/>
        <v>46083</v>
      </c>
      <c r="F303" s="144" t="s">
        <v>471</v>
      </c>
      <c r="G303" s="146">
        <v>0</v>
      </c>
      <c r="H303" s="149">
        <f>+G302</f>
        <v>321000</v>
      </c>
      <c r="I303" s="149">
        <f>IF(G303&lt;&gt;0,G303,-H303)</f>
        <v>-321000</v>
      </c>
      <c r="J303" s="146">
        <f>-J302</f>
        <v>0</v>
      </c>
      <c r="K303" s="111" t="str">
        <f>K302</f>
        <v>KAS MASUK</v>
      </c>
      <c r="L303" s="152" t="str">
        <f>L302</f>
        <v>ANGSURAN PINJAMAN LAIN AN. BUKHORI</v>
      </c>
    </row>
    <row r="304" spans="1:42" s="111" customFormat="1" ht="12" customHeight="1" x14ac:dyDescent="0.2">
      <c r="A304" s="133"/>
      <c r="B304" s="135" t="str">
        <f>VLOOKUP(F304,BB!$A$8:$C$152,3,0)</f>
        <v>LR01C</v>
      </c>
      <c r="C304" s="136">
        <f t="shared" ref="C304:E304" si="90">C303</f>
        <v>202603</v>
      </c>
      <c r="D304" s="134" t="str">
        <f t="shared" si="90"/>
        <v>KAS-2603001</v>
      </c>
      <c r="E304" s="139">
        <f t="shared" si="90"/>
        <v>46083</v>
      </c>
      <c r="F304" s="144" t="s">
        <v>371</v>
      </c>
      <c r="G304" s="146">
        <v>0</v>
      </c>
      <c r="H304" s="149">
        <f>G302-H303</f>
        <v>0</v>
      </c>
      <c r="I304" s="149">
        <f>IF(G304&lt;&gt;0,G304,-H304)</f>
        <v>0</v>
      </c>
      <c r="J304" s="146">
        <f>-J303</f>
        <v>0</v>
      </c>
      <c r="K304" s="111" t="str">
        <f>K303</f>
        <v>KAS MASUK</v>
      </c>
      <c r="L304" s="152" t="str">
        <f>"PENDAPATAN ATAS PINJAMAN LAIN "&amp;MID(L303,24,20)</f>
        <v>PENDAPATAN ATAS PINJAMAN LAIN AN. BUKHORI</v>
      </c>
    </row>
    <row r="305" spans="1:14" s="111" customFormat="1" ht="12" customHeight="1" x14ac:dyDescent="0.2">
      <c r="A305" s="133"/>
      <c r="B305" s="135"/>
      <c r="C305" s="136"/>
      <c r="D305" s="134"/>
      <c r="E305" s="139"/>
      <c r="F305" s="144"/>
      <c r="G305" s="146"/>
      <c r="H305" s="149"/>
      <c r="I305" s="149"/>
      <c r="J305" s="146"/>
      <c r="L305" s="151"/>
    </row>
    <row r="306" spans="1:14" s="111" customFormat="1" ht="12" customHeight="1" x14ac:dyDescent="0.2">
      <c r="A306" s="133"/>
      <c r="B306" s="135" t="str">
        <f>VLOOKUP(F306,BB!$A$8:$C$152,3,0)</f>
        <v>A01</v>
      </c>
      <c r="C306" s="136">
        <v>202603</v>
      </c>
      <c r="D306" s="134" t="s">
        <v>752</v>
      </c>
      <c r="E306" s="139">
        <v>46084</v>
      </c>
      <c r="F306" s="144" t="s">
        <v>163</v>
      </c>
      <c r="G306" s="149">
        <v>350000</v>
      </c>
      <c r="H306" s="149">
        <v>0</v>
      </c>
      <c r="I306" s="149">
        <f>IF(G306&lt;&gt;0,G306,-H306)</f>
        <v>350000</v>
      </c>
      <c r="J306" s="149">
        <v>0</v>
      </c>
      <c r="K306" s="111" t="s">
        <v>509</v>
      </c>
      <c r="L306" s="152" t="s">
        <v>527</v>
      </c>
    </row>
    <row r="307" spans="1:14" s="111" customFormat="1" ht="12" customHeight="1" x14ac:dyDescent="0.2">
      <c r="A307" s="133"/>
      <c r="B307" s="135" t="str">
        <f>VLOOKUP(F307,BB!$A$8:$C$152,3,0)</f>
        <v>A04A</v>
      </c>
      <c r="C307" s="136">
        <f t="shared" ref="C307:E307" si="91">C306</f>
        <v>202603</v>
      </c>
      <c r="D307" s="134" t="str">
        <f t="shared" si="91"/>
        <v>KAS-2603002</v>
      </c>
      <c r="E307" s="139">
        <f t="shared" si="91"/>
        <v>46084</v>
      </c>
      <c r="F307" s="144" t="s">
        <v>471</v>
      </c>
      <c r="G307" s="146">
        <v>0</v>
      </c>
      <c r="H307" s="149">
        <f>+G306</f>
        <v>350000</v>
      </c>
      <c r="I307" s="149">
        <f>IF(G307&lt;&gt;0,G307,-H307)</f>
        <v>-350000</v>
      </c>
      <c r="J307" s="146">
        <f>-J306</f>
        <v>0</v>
      </c>
      <c r="K307" s="111" t="str">
        <f>K306</f>
        <v>KAS MASUK</v>
      </c>
      <c r="L307" s="152" t="str">
        <f>L306</f>
        <v>ANGSURAN PINJAMAN LAIN AN. SOLICHIN</v>
      </c>
    </row>
    <row r="308" spans="1:14" s="111" customFormat="1" ht="12" customHeight="1" x14ac:dyDescent="0.2">
      <c r="A308" s="133"/>
      <c r="B308" s="135" t="str">
        <f>VLOOKUP(F308,BB!$A$8:$C$152,3,0)</f>
        <v>LR01C</v>
      </c>
      <c r="C308" s="136">
        <f t="shared" ref="C308:E308" si="92">C307</f>
        <v>202603</v>
      </c>
      <c r="D308" s="134" t="str">
        <f t="shared" si="92"/>
        <v>KAS-2603002</v>
      </c>
      <c r="E308" s="139">
        <f t="shared" si="92"/>
        <v>46084</v>
      </c>
      <c r="F308" s="144" t="s">
        <v>371</v>
      </c>
      <c r="G308" s="146">
        <v>0</v>
      </c>
      <c r="H308" s="149">
        <f>G306-H307</f>
        <v>0</v>
      </c>
      <c r="I308" s="149">
        <f>IF(G308&lt;&gt;0,G308,-H308)</f>
        <v>0</v>
      </c>
      <c r="J308" s="146">
        <f>-J307</f>
        <v>0</v>
      </c>
      <c r="K308" s="111" t="str">
        <f>K307</f>
        <v>KAS MASUK</v>
      </c>
      <c r="L308" s="152" t="str">
        <f>"PENDAPATAN ATAS PINJAMAN LAIN "&amp;MID(L307,24,20)</f>
        <v>PENDAPATAN ATAS PINJAMAN LAIN AN. SOLICHIN</v>
      </c>
    </row>
    <row r="309" spans="1:14" s="111" customFormat="1" ht="12" customHeight="1" x14ac:dyDescent="0.2">
      <c r="A309" s="133"/>
      <c r="B309" s="135"/>
      <c r="C309" s="136"/>
      <c r="D309" s="134"/>
      <c r="E309" s="139"/>
      <c r="F309" s="144"/>
      <c r="G309" s="146"/>
      <c r="H309" s="149"/>
      <c r="I309" s="149"/>
      <c r="J309" s="146"/>
      <c r="L309" s="151"/>
    </row>
    <row r="310" spans="1:14" s="111" customFormat="1" ht="12" customHeight="1" x14ac:dyDescent="0.2">
      <c r="A310" s="133"/>
      <c r="B310" s="135" t="str">
        <f>VLOOKUP(F310,BB!$A$8:$C$152,3,0)</f>
        <v>A01</v>
      </c>
      <c r="C310" s="136">
        <v>202603</v>
      </c>
      <c r="D310" s="134" t="s">
        <v>753</v>
      </c>
      <c r="E310" s="139">
        <v>46085</v>
      </c>
      <c r="F310" s="144" t="s">
        <v>163</v>
      </c>
      <c r="G310" s="149">
        <v>320000</v>
      </c>
      <c r="H310" s="149">
        <v>0</v>
      </c>
      <c r="I310" s="149">
        <f>IF(G310&lt;&gt;0,G310,-H310)</f>
        <v>320000</v>
      </c>
      <c r="J310" s="149">
        <v>0</v>
      </c>
      <c r="K310" s="111" t="s">
        <v>509</v>
      </c>
      <c r="L310" s="152" t="s">
        <v>512</v>
      </c>
    </row>
    <row r="311" spans="1:14" s="111" customFormat="1" ht="12" customHeight="1" x14ac:dyDescent="0.2">
      <c r="A311" s="133"/>
      <c r="B311" s="135" t="str">
        <f>VLOOKUP(F311,BB!$A$8:$C$152,3,0)</f>
        <v>A04A</v>
      </c>
      <c r="C311" s="136">
        <f t="shared" ref="C311:E311" si="93">C310</f>
        <v>202603</v>
      </c>
      <c r="D311" s="134" t="str">
        <f t="shared" si="93"/>
        <v>KAS-2603003</v>
      </c>
      <c r="E311" s="139">
        <f t="shared" si="93"/>
        <v>46085</v>
      </c>
      <c r="F311" s="144" t="s">
        <v>471</v>
      </c>
      <c r="G311" s="146">
        <v>0</v>
      </c>
      <c r="H311" s="149">
        <f>+G310</f>
        <v>320000</v>
      </c>
      <c r="I311" s="149">
        <f>IF(G311&lt;&gt;0,G311,-H311)</f>
        <v>-320000</v>
      </c>
      <c r="J311" s="146">
        <f>-J310</f>
        <v>0</v>
      </c>
      <c r="K311" s="111" t="str">
        <f>K310</f>
        <v>KAS MASUK</v>
      </c>
      <c r="L311" s="152" t="str">
        <f>L310</f>
        <v>ANGSURAN PINJAMAN LAIN AN. FADELAN</v>
      </c>
    </row>
    <row r="312" spans="1:14" s="111" customFormat="1" ht="12" customHeight="1" x14ac:dyDescent="0.2">
      <c r="A312" s="133"/>
      <c r="B312" s="135" t="str">
        <f>VLOOKUP(F312,BB!$A$8:$C$152,3,0)</f>
        <v>LR01C</v>
      </c>
      <c r="C312" s="136">
        <f t="shared" ref="C312:E312" si="94">C311</f>
        <v>202603</v>
      </c>
      <c r="D312" s="134" t="str">
        <f t="shared" si="94"/>
        <v>KAS-2603003</v>
      </c>
      <c r="E312" s="139">
        <f t="shared" si="94"/>
        <v>46085</v>
      </c>
      <c r="F312" s="144" t="s">
        <v>371</v>
      </c>
      <c r="G312" s="146">
        <v>0</v>
      </c>
      <c r="H312" s="149">
        <f>G310-H311</f>
        <v>0</v>
      </c>
      <c r="I312" s="149">
        <f>IF(G312&lt;&gt;0,G312,-H312)</f>
        <v>0</v>
      </c>
      <c r="J312" s="146">
        <f>-J311</f>
        <v>0</v>
      </c>
      <c r="K312" s="111" t="str">
        <f>K311</f>
        <v>KAS MASUK</v>
      </c>
      <c r="L312" s="152" t="str">
        <f>"PENDAPATAN ATAS PINJAMAN LAIN "&amp;MID(L311,24,20)</f>
        <v>PENDAPATAN ATAS PINJAMAN LAIN AN. FADELAN</v>
      </c>
    </row>
    <row r="313" spans="1:14" s="111" customFormat="1" ht="12" customHeight="1" x14ac:dyDescent="0.2">
      <c r="A313" s="133"/>
      <c r="B313" s="135"/>
      <c r="C313" s="136"/>
      <c r="D313" s="134"/>
      <c r="E313" s="139"/>
      <c r="F313" s="144"/>
      <c r="G313" s="146"/>
      <c r="H313" s="149"/>
      <c r="I313" s="149"/>
      <c r="J313" s="146"/>
      <c r="L313" s="151"/>
    </row>
    <row r="314" spans="1:14" s="111" customFormat="1" ht="12" customHeight="1" x14ac:dyDescent="0.2">
      <c r="A314" s="133"/>
      <c r="B314" s="135" t="str">
        <f>VLOOKUP(F314,BB!$A$8:$C$152,3,0)</f>
        <v>A01</v>
      </c>
      <c r="C314" s="136">
        <v>202603</v>
      </c>
      <c r="D314" s="134" t="s">
        <v>756</v>
      </c>
      <c r="E314" s="139">
        <v>46090</v>
      </c>
      <c r="F314" s="144" t="s">
        <v>163</v>
      </c>
      <c r="G314" s="149">
        <v>0</v>
      </c>
      <c r="H314" s="149">
        <v>750000</v>
      </c>
      <c r="I314" s="149">
        <f>IF(G314&lt;&gt;0,G314,-H314)</f>
        <v>-750000</v>
      </c>
      <c r="J314" s="149">
        <v>0</v>
      </c>
      <c r="K314" s="111" t="s">
        <v>510</v>
      </c>
      <c r="L314" s="152" t="s">
        <v>529</v>
      </c>
      <c r="M314" s="149"/>
      <c r="N314" s="149"/>
    </row>
    <row r="315" spans="1:14" s="111" customFormat="1" ht="12" customHeight="1" x14ac:dyDescent="0.2">
      <c r="A315" s="133"/>
      <c r="B315" s="135" t="str">
        <f>VLOOKUP(F315,BB!$A$8:$C$152,3,0)</f>
        <v>LR05</v>
      </c>
      <c r="C315" s="136">
        <f>C314</f>
        <v>202603</v>
      </c>
      <c r="D315" s="134" t="str">
        <f>D314</f>
        <v>KAS-2603004</v>
      </c>
      <c r="E315" s="139">
        <f>E314</f>
        <v>46090</v>
      </c>
      <c r="F315" s="139" t="s">
        <v>381</v>
      </c>
      <c r="G315" s="146">
        <f>H314</f>
        <v>750000</v>
      </c>
      <c r="H315" s="149">
        <f>G314</f>
        <v>0</v>
      </c>
      <c r="I315" s="149">
        <f>IF(G315&lt;&gt;0,G315,-H315)</f>
        <v>750000</v>
      </c>
      <c r="J315" s="146">
        <f>-J314</f>
        <v>0</v>
      </c>
      <c r="K315" s="111" t="str">
        <f>K314</f>
        <v>KAS KELUAR</v>
      </c>
      <c r="L315" s="151" t="str">
        <f>L314</f>
        <v>SUMBANGAN MUSHOLLA AL MAKMUR</v>
      </c>
      <c r="M315" s="146"/>
      <c r="N315" s="149"/>
    </row>
    <row r="316" spans="1:14" s="111" customFormat="1" ht="12" customHeight="1" x14ac:dyDescent="0.2">
      <c r="A316" s="133"/>
      <c r="B316" s="135"/>
      <c r="C316" s="136"/>
      <c r="D316" s="134"/>
      <c r="E316" s="139"/>
      <c r="F316" s="144"/>
      <c r="G316" s="146"/>
      <c r="H316" s="149"/>
      <c r="I316" s="149"/>
      <c r="J316" s="146"/>
      <c r="L316" s="151"/>
    </row>
    <row r="317" spans="1:14" s="111" customFormat="1" ht="12" customHeight="1" x14ac:dyDescent="0.2">
      <c r="A317" s="133"/>
      <c r="B317" s="135" t="str">
        <f>VLOOKUP(F317,BB!$A$8:$C$152,3,0)</f>
        <v>A01</v>
      </c>
      <c r="C317" s="136">
        <v>202603</v>
      </c>
      <c r="D317" s="134" t="s">
        <v>757</v>
      </c>
      <c r="E317" s="139">
        <v>46090</v>
      </c>
      <c r="F317" s="144" t="s">
        <v>163</v>
      </c>
      <c r="G317" s="149">
        <v>0</v>
      </c>
      <c r="H317" s="149">
        <v>807000</v>
      </c>
      <c r="I317" s="149">
        <f>IF(G317&lt;&gt;0,G317,-H317)</f>
        <v>-807000</v>
      </c>
      <c r="J317" s="149">
        <v>0</v>
      </c>
      <c r="K317" s="111" t="s">
        <v>510</v>
      </c>
      <c r="L317" s="152" t="s">
        <v>758</v>
      </c>
      <c r="M317" s="149"/>
      <c r="N317" s="149"/>
    </row>
    <row r="318" spans="1:14" s="111" customFormat="1" ht="12" customHeight="1" x14ac:dyDescent="0.2">
      <c r="A318" s="133"/>
      <c r="B318" s="135" t="str">
        <f>VLOOKUP(F318,BB!$A$8:$C$152,3,0)</f>
        <v>LR05</v>
      </c>
      <c r="C318" s="136">
        <f>C317</f>
        <v>202603</v>
      </c>
      <c r="D318" s="134" t="str">
        <f>D317</f>
        <v>KAS-2603005</v>
      </c>
      <c r="E318" s="139">
        <f>E317</f>
        <v>46090</v>
      </c>
      <c r="F318" s="139" t="s">
        <v>429</v>
      </c>
      <c r="G318" s="146">
        <f>H317</f>
        <v>807000</v>
      </c>
      <c r="H318" s="149">
        <f>G317</f>
        <v>0</v>
      </c>
      <c r="I318" s="149">
        <f>IF(G318&lt;&gt;0,G318,-H318)</f>
        <v>807000</v>
      </c>
      <c r="J318" s="146">
        <f>-J317</f>
        <v>0</v>
      </c>
      <c r="K318" s="111" t="str">
        <f>K317</f>
        <v>KAS KELUAR</v>
      </c>
      <c r="L318" s="151" t="str">
        <f>L317</f>
        <v>BIAYA RAPAT PENGURUS PRA RAT</v>
      </c>
      <c r="M318" s="146"/>
      <c r="N318" s="149"/>
    </row>
    <row r="319" spans="1:14" s="111" customFormat="1" ht="12" customHeight="1" x14ac:dyDescent="0.2">
      <c r="A319" s="133"/>
      <c r="B319" s="135"/>
      <c r="C319" s="136"/>
      <c r="D319" s="134"/>
      <c r="E319" s="139"/>
      <c r="F319" s="144"/>
      <c r="G319" s="146"/>
      <c r="H319" s="149"/>
      <c r="I319" s="149"/>
      <c r="J319" s="146"/>
      <c r="L319" s="151"/>
    </row>
    <row r="320" spans="1:14" s="111" customFormat="1" ht="12" customHeight="1" x14ac:dyDescent="0.2">
      <c r="A320" s="133"/>
      <c r="B320" s="135" t="str">
        <f>VLOOKUP(F320,BB!$A$8:$C$152,3,0)</f>
        <v>A01</v>
      </c>
      <c r="C320" s="136">
        <v>202603</v>
      </c>
      <c r="D320" s="134" t="s">
        <v>759</v>
      </c>
      <c r="E320" s="139">
        <v>46093</v>
      </c>
      <c r="F320" s="144" t="s">
        <v>163</v>
      </c>
      <c r="G320" s="149">
        <v>0</v>
      </c>
      <c r="H320" s="149">
        <v>26250000</v>
      </c>
      <c r="I320" s="149">
        <f>IF(G320&lt;&gt;0,G320,-H320)</f>
        <v>-26250000</v>
      </c>
      <c r="J320" s="149">
        <v>0</v>
      </c>
      <c r="K320" s="111" t="s">
        <v>510</v>
      </c>
      <c r="L320" s="152" t="s">
        <v>760</v>
      </c>
      <c r="M320" s="149"/>
      <c r="N320" s="149"/>
    </row>
    <row r="321" spans="1:14" s="111" customFormat="1" ht="12" customHeight="1" x14ac:dyDescent="0.2">
      <c r="A321" s="133"/>
      <c r="B321" s="135" t="str">
        <f>VLOOKUP(F321,BB!$A$8:$C$152,3,0)</f>
        <v>LR05</v>
      </c>
      <c r="C321" s="136">
        <f>C320</f>
        <v>202603</v>
      </c>
      <c r="D321" s="134" t="str">
        <f>D320</f>
        <v>KAS-2603006</v>
      </c>
      <c r="E321" s="139">
        <f>E320</f>
        <v>46093</v>
      </c>
      <c r="F321" s="139" t="s">
        <v>429</v>
      </c>
      <c r="G321" s="146">
        <f>H320</f>
        <v>26250000</v>
      </c>
      <c r="H321" s="149">
        <f>G320</f>
        <v>0</v>
      </c>
      <c r="I321" s="149">
        <f>IF(G321&lt;&gt;0,G321,-H321)</f>
        <v>26250000</v>
      </c>
      <c r="J321" s="146">
        <f>-J320</f>
        <v>0</v>
      </c>
      <c r="K321" s="111" t="str">
        <f>K320</f>
        <v>KAS KELUAR</v>
      </c>
      <c r="L321" s="151" t="str">
        <f>L320</f>
        <v>RAT TAHUN BUKU 2025</v>
      </c>
      <c r="M321" s="146"/>
      <c r="N321" s="149"/>
    </row>
    <row r="322" spans="1:14" s="111" customFormat="1" ht="12" customHeight="1" x14ac:dyDescent="0.2">
      <c r="A322" s="133"/>
      <c r="B322" s="135"/>
      <c r="C322" s="136"/>
      <c r="D322" s="134"/>
      <c r="E322" s="139"/>
      <c r="F322" s="144"/>
      <c r="G322" s="146"/>
      <c r="H322" s="149"/>
      <c r="I322" s="149"/>
      <c r="J322" s="146"/>
      <c r="L322" s="151"/>
    </row>
    <row r="323" spans="1:14" s="111" customFormat="1" ht="12" customHeight="1" x14ac:dyDescent="0.2">
      <c r="A323" s="133"/>
      <c r="B323" s="135" t="str">
        <f>VLOOKUP(F323,BB!$A$8:$C$152,3,0)</f>
        <v>A01</v>
      </c>
      <c r="C323" s="136">
        <v>202603</v>
      </c>
      <c r="D323" s="134" t="s">
        <v>761</v>
      </c>
      <c r="E323" s="139">
        <v>46091</v>
      </c>
      <c r="F323" s="144" t="s">
        <v>163</v>
      </c>
      <c r="G323" s="149">
        <v>267500</v>
      </c>
      <c r="H323" s="149">
        <v>0</v>
      </c>
      <c r="I323" s="149">
        <f>IF(G323&lt;&gt;0,G323,-H323)</f>
        <v>267500</v>
      </c>
      <c r="J323" s="149">
        <v>0</v>
      </c>
      <c r="K323" s="111" t="s">
        <v>509</v>
      </c>
      <c r="L323" s="152" t="s">
        <v>762</v>
      </c>
    </row>
    <row r="324" spans="1:14" s="111" customFormat="1" ht="12" customHeight="1" x14ac:dyDescent="0.2">
      <c r="A324" s="133"/>
      <c r="B324" s="135" t="str">
        <f>VLOOKUP(F324,BB!$A$8:$C$152,3,0)</f>
        <v>A04A</v>
      </c>
      <c r="C324" s="136">
        <f t="shared" ref="C324:E324" si="95">C323</f>
        <v>202603</v>
      </c>
      <c r="D324" s="134" t="str">
        <f t="shared" si="95"/>
        <v>KAS-2603007</v>
      </c>
      <c r="E324" s="139">
        <f t="shared" si="95"/>
        <v>46091</v>
      </c>
      <c r="F324" s="144" t="s">
        <v>471</v>
      </c>
      <c r="G324" s="146">
        <v>0</v>
      </c>
      <c r="H324" s="149">
        <f>+G323</f>
        <v>267500</v>
      </c>
      <c r="I324" s="149">
        <f>IF(G324&lt;&gt;0,G324,-H324)</f>
        <v>-267500</v>
      </c>
      <c r="J324" s="146">
        <f>-J323</f>
        <v>0</v>
      </c>
      <c r="K324" s="111" t="str">
        <f>K323</f>
        <v>KAS MASUK</v>
      </c>
      <c r="L324" s="152" t="str">
        <f>L323</f>
        <v>ANGSURAN PINJAMAN LAIN AN. HANDOKO</v>
      </c>
    </row>
    <row r="325" spans="1:14" s="111" customFormat="1" ht="12" customHeight="1" x14ac:dyDescent="0.2">
      <c r="A325" s="133"/>
      <c r="B325" s="135" t="str">
        <f>VLOOKUP(F325,BB!$A$8:$C$152,3,0)</f>
        <v>LR01C</v>
      </c>
      <c r="C325" s="136">
        <f t="shared" ref="C325:E325" si="96">C324</f>
        <v>202603</v>
      </c>
      <c r="D325" s="134" t="str">
        <f t="shared" si="96"/>
        <v>KAS-2603007</v>
      </c>
      <c r="E325" s="139">
        <f t="shared" si="96"/>
        <v>46091</v>
      </c>
      <c r="F325" s="144" t="s">
        <v>371</v>
      </c>
      <c r="G325" s="146">
        <v>0</v>
      </c>
      <c r="H325" s="149">
        <f>G323-H324</f>
        <v>0</v>
      </c>
      <c r="I325" s="149">
        <f>IF(G325&lt;&gt;0,G325,-H325)</f>
        <v>0</v>
      </c>
      <c r="J325" s="146">
        <f>-J324</f>
        <v>0</v>
      </c>
      <c r="K325" s="111" t="str">
        <f>K324</f>
        <v>KAS MASUK</v>
      </c>
      <c r="L325" s="152" t="str">
        <f>"PENDAPATAN ATAS PINJAMAN LAIN "&amp;MID(L324,24,20)</f>
        <v>PENDAPATAN ATAS PINJAMAN LAIN AN. HANDOKO</v>
      </c>
    </row>
    <row r="326" spans="1:14" s="111" customFormat="1" ht="12" customHeight="1" x14ac:dyDescent="0.2">
      <c r="A326" s="133"/>
      <c r="B326" s="135"/>
      <c r="C326" s="136"/>
      <c r="D326" s="134"/>
      <c r="E326" s="139"/>
      <c r="F326" s="144"/>
      <c r="G326" s="146"/>
      <c r="H326" s="149"/>
      <c r="I326" s="149"/>
      <c r="J326" s="146"/>
      <c r="L326" s="151"/>
    </row>
    <row r="327" spans="1:14" s="111" customFormat="1" ht="12" customHeight="1" x14ac:dyDescent="0.2">
      <c r="A327" s="133"/>
      <c r="B327" s="135" t="str">
        <f>VLOOKUP(F327,BB!$A$8:$C$152,3,0)</f>
        <v>A01</v>
      </c>
      <c r="C327" s="136">
        <v>202603</v>
      </c>
      <c r="D327" s="134" t="s">
        <v>763</v>
      </c>
      <c r="E327" s="139">
        <v>46091</v>
      </c>
      <c r="F327" s="144" t="s">
        <v>163</v>
      </c>
      <c r="G327" s="149">
        <v>0</v>
      </c>
      <c r="H327" s="149">
        <v>750000</v>
      </c>
      <c r="I327" s="149">
        <f>IF(G327&lt;&gt;0,G327,-H327)</f>
        <v>-750000</v>
      </c>
      <c r="J327" s="149">
        <v>0</v>
      </c>
      <c r="K327" s="111" t="s">
        <v>510</v>
      </c>
      <c r="L327" s="152" t="s">
        <v>499</v>
      </c>
      <c r="M327" s="149"/>
      <c r="N327" s="149"/>
    </row>
    <row r="328" spans="1:14" s="111" customFormat="1" ht="12" customHeight="1" x14ac:dyDescent="0.2">
      <c r="A328" s="133"/>
      <c r="B328" s="135" t="str">
        <f>VLOOKUP(F328,BB!$A$8:$C$152,3,0)</f>
        <v>LR05</v>
      </c>
      <c r="C328" s="136">
        <f>C327</f>
        <v>202603</v>
      </c>
      <c r="D328" s="134" t="str">
        <f>D327</f>
        <v>KAS-2603008</v>
      </c>
      <c r="E328" s="139">
        <f>E327</f>
        <v>46091</v>
      </c>
      <c r="F328" s="139" t="s">
        <v>234</v>
      </c>
      <c r="G328" s="146">
        <f>H327</f>
        <v>750000</v>
      </c>
      <c r="H328" s="149">
        <f>G327</f>
        <v>0</v>
      </c>
      <c r="I328" s="149">
        <f>IF(G328&lt;&gt;0,G328,-H328)</f>
        <v>750000</v>
      </c>
      <c r="J328" s="146">
        <f>-J327</f>
        <v>0</v>
      </c>
      <c r="K328" s="111" t="str">
        <f>K327</f>
        <v>KAS KELUAR</v>
      </c>
      <c r="L328" s="151" t="str">
        <f>L327</f>
        <v>BY REPRESENTATIF ADMIN KKCS FARID F</v>
      </c>
      <c r="M328" s="146"/>
      <c r="N328" s="149"/>
    </row>
    <row r="329" spans="1:14" s="111" customFormat="1" ht="12" customHeight="1" x14ac:dyDescent="0.2">
      <c r="A329" s="133"/>
      <c r="B329" s="135"/>
      <c r="C329" s="136"/>
      <c r="D329" s="134"/>
      <c r="E329" s="139"/>
      <c r="F329" s="144"/>
      <c r="G329" s="146"/>
      <c r="H329" s="149"/>
      <c r="I329" s="149"/>
      <c r="J329" s="146"/>
      <c r="L329" s="151"/>
    </row>
    <row r="330" spans="1:14" s="111" customFormat="1" ht="12" customHeight="1" x14ac:dyDescent="0.2">
      <c r="A330" s="133"/>
      <c r="B330" s="135" t="str">
        <f>VLOOKUP(F330,BB!$A$8:$C$152,3,0)</f>
        <v>A01</v>
      </c>
      <c r="C330" s="136">
        <v>202603</v>
      </c>
      <c r="D330" s="134" t="s">
        <v>764</v>
      </c>
      <c r="E330" s="139">
        <v>46106</v>
      </c>
      <c r="F330" s="144" t="s">
        <v>163</v>
      </c>
      <c r="G330" s="149">
        <v>200000</v>
      </c>
      <c r="H330" s="149">
        <v>0</v>
      </c>
      <c r="I330" s="149">
        <f>IF(G330&lt;&gt;0,G330,-H330)</f>
        <v>200000</v>
      </c>
      <c r="J330" s="149">
        <v>0</v>
      </c>
      <c r="K330" s="111" t="s">
        <v>509</v>
      </c>
      <c r="L330" s="152" t="s">
        <v>533</v>
      </c>
    </row>
    <row r="331" spans="1:14" s="111" customFormat="1" ht="12" customHeight="1" x14ac:dyDescent="0.2">
      <c r="A331" s="133"/>
      <c r="B331" s="135" t="str">
        <f>VLOOKUP(F331,BB!$A$8:$C$152,3,0)</f>
        <v>A04A</v>
      </c>
      <c r="C331" s="136">
        <f t="shared" ref="C331:E331" si="97">C330</f>
        <v>202603</v>
      </c>
      <c r="D331" s="134" t="str">
        <f t="shared" si="97"/>
        <v>KAS-2603009</v>
      </c>
      <c r="E331" s="139">
        <f t="shared" si="97"/>
        <v>46106</v>
      </c>
      <c r="F331" s="144" t="s">
        <v>471</v>
      </c>
      <c r="G331" s="146">
        <v>0</v>
      </c>
      <c r="H331" s="149">
        <f>+G330</f>
        <v>200000</v>
      </c>
      <c r="I331" s="149">
        <f>IF(G331&lt;&gt;0,G331,-H331)</f>
        <v>-200000</v>
      </c>
      <c r="J331" s="146">
        <f>-J330</f>
        <v>0</v>
      </c>
      <c r="K331" s="111" t="str">
        <f>K330</f>
        <v>KAS MASUK</v>
      </c>
      <c r="L331" s="152" t="str">
        <f>L330</f>
        <v>ANGSURAN PINJAMAN LAIN AN. ARI WIBOWO</v>
      </c>
    </row>
    <row r="332" spans="1:14" s="111" customFormat="1" ht="12" customHeight="1" x14ac:dyDescent="0.2">
      <c r="A332" s="133"/>
      <c r="B332" s="135" t="str">
        <f>VLOOKUP(F332,BB!$A$8:$C$152,3,0)</f>
        <v>LR01C</v>
      </c>
      <c r="C332" s="136">
        <f t="shared" ref="C332:E332" si="98">C331</f>
        <v>202603</v>
      </c>
      <c r="D332" s="134" t="str">
        <f t="shared" si="98"/>
        <v>KAS-2603009</v>
      </c>
      <c r="E332" s="139">
        <f t="shared" si="98"/>
        <v>46106</v>
      </c>
      <c r="F332" s="144" t="s">
        <v>371</v>
      </c>
      <c r="G332" s="146">
        <v>0</v>
      </c>
      <c r="H332" s="149">
        <f>G330-H331</f>
        <v>0</v>
      </c>
      <c r="I332" s="149">
        <f>IF(G332&lt;&gt;0,G332,-H332)</f>
        <v>0</v>
      </c>
      <c r="J332" s="146">
        <f>-J331</f>
        <v>0</v>
      </c>
      <c r="K332" s="111" t="str">
        <f>K331</f>
        <v>KAS MASUK</v>
      </c>
      <c r="L332" s="152" t="str">
        <f>"PENDAPATAN ATAS PINJAMAN LAIN "&amp;MID(L331,24,20)</f>
        <v>PENDAPATAN ATAS PINJAMAN LAIN AN. ARI WIBOWO</v>
      </c>
    </row>
    <row r="333" spans="1:14" s="111" customFormat="1" ht="12" customHeight="1" x14ac:dyDescent="0.2">
      <c r="A333" s="133"/>
      <c r="B333" s="135"/>
      <c r="C333" s="136"/>
      <c r="D333" s="134"/>
      <c r="E333" s="139"/>
      <c r="F333" s="144"/>
      <c r="G333" s="146"/>
      <c r="H333" s="149"/>
      <c r="I333" s="149"/>
      <c r="J333" s="146"/>
      <c r="L333" s="151"/>
    </row>
    <row r="334" spans="1:14" s="111" customFormat="1" ht="12" customHeight="1" x14ac:dyDescent="0.2">
      <c r="A334" s="133"/>
      <c r="B334" s="135" t="str">
        <f>VLOOKUP(F334,BB!$A$8:$C$152,3,0)</f>
        <v>A01</v>
      </c>
      <c r="C334" s="136">
        <v>202603</v>
      </c>
      <c r="D334" s="134" t="s">
        <v>765</v>
      </c>
      <c r="E334" s="139">
        <v>46106</v>
      </c>
      <c r="F334" s="144" t="s">
        <v>163</v>
      </c>
      <c r="G334" s="149">
        <v>321000</v>
      </c>
      <c r="H334" s="149">
        <v>0</v>
      </c>
      <c r="I334" s="149">
        <f>IF(G334&lt;&gt;0,G334,-H334)</f>
        <v>321000</v>
      </c>
      <c r="J334" s="149">
        <v>0</v>
      </c>
      <c r="K334" s="111" t="s">
        <v>509</v>
      </c>
      <c r="L334" s="152" t="s">
        <v>511</v>
      </c>
    </row>
    <row r="335" spans="1:14" s="111" customFormat="1" ht="12" customHeight="1" x14ac:dyDescent="0.2">
      <c r="A335" s="133"/>
      <c r="B335" s="135" t="str">
        <f>VLOOKUP(F335,BB!$A$8:$C$152,3,0)</f>
        <v>A04A</v>
      </c>
      <c r="C335" s="136">
        <f t="shared" ref="C335:E335" si="99">C334</f>
        <v>202603</v>
      </c>
      <c r="D335" s="134" t="str">
        <f t="shared" si="99"/>
        <v>KAS-2603010</v>
      </c>
      <c r="E335" s="139">
        <f t="shared" si="99"/>
        <v>46106</v>
      </c>
      <c r="F335" s="144" t="s">
        <v>471</v>
      </c>
      <c r="G335" s="146">
        <v>0</v>
      </c>
      <c r="H335" s="149">
        <f>+G334</f>
        <v>321000</v>
      </c>
      <c r="I335" s="149">
        <f>IF(G335&lt;&gt;0,G335,-H335)</f>
        <v>-321000</v>
      </c>
      <c r="J335" s="146">
        <f>-J334</f>
        <v>0</v>
      </c>
      <c r="K335" s="111" t="str">
        <f>K334</f>
        <v>KAS MASUK</v>
      </c>
      <c r="L335" s="152" t="str">
        <f>L334</f>
        <v>ANGSURAN PINJAMAN LAIN AN. BUKHORI</v>
      </c>
    </row>
    <row r="336" spans="1:14" s="111" customFormat="1" ht="12" customHeight="1" x14ac:dyDescent="0.2">
      <c r="A336" s="133"/>
      <c r="B336" s="135" t="str">
        <f>VLOOKUP(F336,BB!$A$8:$C$152,3,0)</f>
        <v>LR01C</v>
      </c>
      <c r="C336" s="136">
        <f t="shared" ref="C336:E336" si="100">C335</f>
        <v>202603</v>
      </c>
      <c r="D336" s="134" t="str">
        <f t="shared" si="100"/>
        <v>KAS-2603010</v>
      </c>
      <c r="E336" s="139">
        <f t="shared" si="100"/>
        <v>46106</v>
      </c>
      <c r="F336" s="144" t="s">
        <v>371</v>
      </c>
      <c r="G336" s="146">
        <v>0</v>
      </c>
      <c r="H336" s="149">
        <f>G334-H335</f>
        <v>0</v>
      </c>
      <c r="I336" s="149">
        <f>IF(G336&lt;&gt;0,G336,-H336)</f>
        <v>0</v>
      </c>
      <c r="J336" s="146">
        <f>-J335</f>
        <v>0</v>
      </c>
      <c r="K336" s="111" t="str">
        <f>K335</f>
        <v>KAS MASUK</v>
      </c>
      <c r="L336" s="152" t="str">
        <f>"PENDAPATAN ATAS PINJAMAN LAIN "&amp;MID(L335,24,20)</f>
        <v>PENDAPATAN ATAS PINJAMAN LAIN AN. BUKHORI</v>
      </c>
    </row>
    <row r="337" spans="1:14" s="111" customFormat="1" ht="12" customHeight="1" x14ac:dyDescent="0.2">
      <c r="A337" s="133"/>
      <c r="B337" s="135"/>
      <c r="C337" s="136"/>
      <c r="D337" s="134"/>
      <c r="E337" s="139"/>
      <c r="F337" s="144"/>
      <c r="G337" s="146"/>
      <c r="H337" s="149"/>
      <c r="I337" s="149"/>
      <c r="J337" s="146"/>
      <c r="L337" s="151"/>
    </row>
    <row r="338" spans="1:14" s="111" customFormat="1" ht="12" customHeight="1" x14ac:dyDescent="0.2">
      <c r="A338" s="133"/>
      <c r="B338" s="135" t="str">
        <f>VLOOKUP(F338,BB!$A$8:$C$152,3,0)</f>
        <v>A01</v>
      </c>
      <c r="C338" s="136">
        <v>202603</v>
      </c>
      <c r="D338" s="134" t="s">
        <v>766</v>
      </c>
      <c r="E338" s="139">
        <v>46108</v>
      </c>
      <c r="F338" s="144" t="s">
        <v>163</v>
      </c>
      <c r="G338" s="149">
        <v>267500</v>
      </c>
      <c r="H338" s="149">
        <v>0</v>
      </c>
      <c r="I338" s="149">
        <f>IF(G338&lt;&gt;0,G338,-H338)</f>
        <v>267500</v>
      </c>
      <c r="J338" s="149">
        <v>0</v>
      </c>
      <c r="K338" s="111" t="s">
        <v>509</v>
      </c>
      <c r="L338" s="152" t="s">
        <v>767</v>
      </c>
    </row>
    <row r="339" spans="1:14" s="111" customFormat="1" ht="12" customHeight="1" x14ac:dyDescent="0.2">
      <c r="A339" s="133"/>
      <c r="B339" s="135" t="str">
        <f>VLOOKUP(F339,BB!$A$8:$C$152,3,0)</f>
        <v>A04A</v>
      </c>
      <c r="C339" s="136">
        <f t="shared" ref="C339:E339" si="101">C338</f>
        <v>202603</v>
      </c>
      <c r="D339" s="134" t="str">
        <f t="shared" si="101"/>
        <v>KAS-2603011</v>
      </c>
      <c r="E339" s="139">
        <f t="shared" si="101"/>
        <v>46108</v>
      </c>
      <c r="F339" s="144" t="s">
        <v>471</v>
      </c>
      <c r="G339" s="146">
        <v>0</v>
      </c>
      <c r="H339" s="149">
        <v>360000</v>
      </c>
      <c r="I339" s="149">
        <f>IF(G339&lt;&gt;0,G339,-H339)</f>
        <v>-360000</v>
      </c>
      <c r="J339" s="146">
        <f>-J338</f>
        <v>0</v>
      </c>
      <c r="K339" s="111" t="str">
        <f>K338</f>
        <v>KAS MASUK</v>
      </c>
      <c r="L339" s="152" t="str">
        <f>L338</f>
        <v>PELUNASAN PINJAMAN LAIN AN. AGUS S</v>
      </c>
    </row>
    <row r="340" spans="1:14" s="111" customFormat="1" ht="12" customHeight="1" x14ac:dyDescent="0.2">
      <c r="A340" s="133"/>
      <c r="B340" s="135" t="str">
        <f>VLOOKUP(F340,BB!$A$8:$C$152,3,0)</f>
        <v>LR01C</v>
      </c>
      <c r="C340" s="136">
        <f t="shared" ref="C340:E340" si="102">C339</f>
        <v>202603</v>
      </c>
      <c r="D340" s="134" t="str">
        <f t="shared" si="102"/>
        <v>KAS-2603011</v>
      </c>
      <c r="E340" s="139">
        <f t="shared" si="102"/>
        <v>46108</v>
      </c>
      <c r="F340" s="144" t="s">
        <v>371</v>
      </c>
      <c r="G340" s="146">
        <v>92500</v>
      </c>
      <c r="H340" s="149">
        <v>0</v>
      </c>
      <c r="I340" s="149">
        <f>IF(G340&lt;&gt;0,G340,-H340)</f>
        <v>92500</v>
      </c>
      <c r="J340" s="146">
        <f>-J339</f>
        <v>0</v>
      </c>
      <c r="K340" s="111" t="str">
        <f>K339</f>
        <v>KAS MASUK</v>
      </c>
      <c r="L340" s="152" t="str">
        <f>"BIAYA ATAS PINJAMAN LAIN "&amp;MID(L339,24,20)</f>
        <v>BIAYA ATAS PINJAMAN LAIN  AN. AGUS S</v>
      </c>
    </row>
    <row r="341" spans="1:14" s="111" customFormat="1" ht="12" customHeight="1" x14ac:dyDescent="0.2">
      <c r="A341" s="133"/>
      <c r="B341" s="135"/>
      <c r="C341" s="136"/>
      <c r="D341" s="134"/>
      <c r="E341" s="139"/>
      <c r="F341" s="144"/>
      <c r="G341" s="146"/>
      <c r="H341" s="149"/>
      <c r="I341" s="149"/>
      <c r="J341" s="146"/>
      <c r="L341" s="151"/>
    </row>
    <row r="342" spans="1:14" s="111" customFormat="1" ht="12" customHeight="1" x14ac:dyDescent="0.2">
      <c r="A342" s="133"/>
      <c r="B342" s="135" t="str">
        <f>VLOOKUP(F342,BB!$A$8:$C$152,3,0)</f>
        <v>LR07</v>
      </c>
      <c r="C342" s="136">
        <v>202603</v>
      </c>
      <c r="D342" s="134" t="s">
        <v>654</v>
      </c>
      <c r="E342" s="139">
        <v>46112</v>
      </c>
      <c r="F342" s="134" t="s">
        <v>416</v>
      </c>
      <c r="G342" s="149">
        <v>1500000</v>
      </c>
      <c r="H342" s="149">
        <v>0</v>
      </c>
      <c r="I342" s="149">
        <f>IF(G342&lt;&gt;0,G342,-H342)</f>
        <v>1500000</v>
      </c>
      <c r="J342" s="149">
        <v>0</v>
      </c>
      <c r="K342" s="111" t="s">
        <v>306</v>
      </c>
      <c r="L342" s="152" t="s">
        <v>415</v>
      </c>
      <c r="M342" s="149"/>
      <c r="N342" s="149"/>
    </row>
    <row r="343" spans="1:14" s="111" customFormat="1" ht="12" customHeight="1" x14ac:dyDescent="0.2">
      <c r="A343" s="133"/>
      <c r="B343" s="135" t="str">
        <f>VLOOKUP(F343,BB!$A$8:$C$152,3,0)</f>
        <v>A05</v>
      </c>
      <c r="C343" s="136">
        <f>C342</f>
        <v>202603</v>
      </c>
      <c r="D343" s="134" t="str">
        <f>D342</f>
        <v>JRM-2603001</v>
      </c>
      <c r="E343" s="139">
        <f>E342</f>
        <v>46112</v>
      </c>
      <c r="F343" s="144" t="s">
        <v>172</v>
      </c>
      <c r="G343" s="146">
        <f>H342</f>
        <v>0</v>
      </c>
      <c r="H343" s="149">
        <f>G342</f>
        <v>1500000</v>
      </c>
      <c r="I343" s="149">
        <f>IF(G343&lt;&gt;0,G343,-H343)</f>
        <v>-1500000</v>
      </c>
      <c r="J343" s="146">
        <f>-J342</f>
        <v>0</v>
      </c>
      <c r="K343" s="111" t="str">
        <f>K342</f>
        <v>JURNAL MANUAL</v>
      </c>
      <c r="L343" s="151" t="str">
        <f>L342</f>
        <v>PEMBEBANAN PENYISIHAN PIUTANG</v>
      </c>
      <c r="M343" s="146"/>
      <c r="N343" s="149"/>
    </row>
    <row r="344" spans="1:14" s="111" customFormat="1" ht="12" customHeight="1" x14ac:dyDescent="0.2">
      <c r="A344" s="133"/>
      <c r="B344" s="135"/>
      <c r="C344" s="136"/>
      <c r="D344" s="134"/>
      <c r="E344" s="139"/>
      <c r="F344" s="144"/>
      <c r="G344" s="146"/>
      <c r="H344" s="149"/>
      <c r="I344" s="149"/>
      <c r="J344" s="146"/>
      <c r="L344" s="151"/>
    </row>
    <row r="345" spans="1:14" s="111" customFormat="1" ht="12" customHeight="1" x14ac:dyDescent="0.2">
      <c r="A345" s="133"/>
      <c r="B345" s="135" t="str">
        <f>VLOOKUP(F345,BB!$A$8:$C$152,3,0)</f>
        <v>A04B</v>
      </c>
      <c r="C345" s="136">
        <v>202603</v>
      </c>
      <c r="D345" s="134" t="s">
        <v>651</v>
      </c>
      <c r="E345" s="139">
        <v>46112</v>
      </c>
      <c r="F345" s="134" t="s">
        <v>461</v>
      </c>
      <c r="G345" s="149">
        <f>11760000</f>
        <v>11760000</v>
      </c>
      <c r="H345" s="149">
        <v>0</v>
      </c>
      <c r="I345" s="198">
        <f>IF(G345&lt;&gt;0,G345,-H345)</f>
        <v>11760000</v>
      </c>
      <c r="J345" s="149">
        <v>0</v>
      </c>
      <c r="K345" s="111" t="s">
        <v>306</v>
      </c>
      <c r="L345" s="152" t="s">
        <v>699</v>
      </c>
      <c r="M345" s="149"/>
      <c r="N345" s="149"/>
    </row>
    <row r="346" spans="1:14" s="111" customFormat="1" ht="12" customHeight="1" x14ac:dyDescent="0.2">
      <c r="A346" s="133"/>
      <c r="B346" s="135" t="str">
        <f>VLOOKUP(F346,BB!$A$8:$C$152,3,0)</f>
        <v>P05</v>
      </c>
      <c r="C346" s="136">
        <f>C345</f>
        <v>202603</v>
      </c>
      <c r="D346" s="134" t="str">
        <f>D345</f>
        <v>JRM-2603002</v>
      </c>
      <c r="E346" s="139">
        <f>E345</f>
        <v>46112</v>
      </c>
      <c r="F346" s="144" t="s">
        <v>439</v>
      </c>
      <c r="G346" s="146">
        <f>H345</f>
        <v>0</v>
      </c>
      <c r="H346" s="149">
        <f>11608500</f>
        <v>11608500</v>
      </c>
      <c r="I346" s="198">
        <f>IF(G346&lt;&gt;0,G346,-H346)</f>
        <v>-11608500</v>
      </c>
      <c r="J346" s="146">
        <f>-J345</f>
        <v>0</v>
      </c>
      <c r="K346" s="111" t="str">
        <f>K345</f>
        <v>JURNAL MANUAL</v>
      </c>
      <c r="L346" s="151" t="s">
        <v>700</v>
      </c>
      <c r="M346" s="146"/>
      <c r="N346" s="149"/>
    </row>
    <row r="347" spans="1:14" s="111" customFormat="1" ht="12" customHeight="1" x14ac:dyDescent="0.2">
      <c r="A347" s="133"/>
      <c r="B347" s="135" t="str">
        <f>VLOOKUP(F347,BB!$A$8:$C$152,3,0)</f>
        <v>LR06</v>
      </c>
      <c r="C347" s="136">
        <f t="shared" ref="C347:E347" si="103">+C346</f>
        <v>202603</v>
      </c>
      <c r="D347" s="134" t="str">
        <f t="shared" si="103"/>
        <v>JRM-2603002</v>
      </c>
      <c r="E347" s="139">
        <f t="shared" si="103"/>
        <v>46112</v>
      </c>
      <c r="F347" s="144" t="s">
        <v>394</v>
      </c>
      <c r="G347" s="146">
        <v>0</v>
      </c>
      <c r="H347" s="149">
        <f>+G345-H346</f>
        <v>151500</v>
      </c>
      <c r="I347" s="198">
        <f>IF(G347&lt;&gt;0,G347,-H347)</f>
        <v>-151500</v>
      </c>
      <c r="J347" s="146">
        <v>0</v>
      </c>
      <c r="K347" s="111" t="str">
        <f>+K346</f>
        <v>JURNAL MANUAL</v>
      </c>
      <c r="L347" s="151" t="s">
        <v>501</v>
      </c>
    </row>
    <row r="348" spans="1:14" s="111" customFormat="1" ht="12" customHeight="1" x14ac:dyDescent="0.2">
      <c r="A348" s="133"/>
      <c r="B348" s="135"/>
      <c r="C348" s="136"/>
      <c r="D348" s="134"/>
      <c r="E348" s="139"/>
      <c r="F348" s="144"/>
      <c r="G348" s="146"/>
      <c r="H348" s="149"/>
      <c r="I348" s="197"/>
      <c r="J348" s="146"/>
      <c r="L348" s="151"/>
    </row>
    <row r="349" spans="1:14" s="111" customFormat="1" ht="12" customHeight="1" x14ac:dyDescent="0.2">
      <c r="A349" s="133"/>
      <c r="B349" s="135" t="str">
        <f>VLOOKUP(F349,BB!$A$8:$C$152,3,0)</f>
        <v>A04B</v>
      </c>
      <c r="C349" s="136">
        <v>202603</v>
      </c>
      <c r="D349" s="134" t="s">
        <v>698</v>
      </c>
      <c r="E349" s="139">
        <v>46112</v>
      </c>
      <c r="F349" s="134" t="s">
        <v>464</v>
      </c>
      <c r="G349" s="149">
        <v>15680000</v>
      </c>
      <c r="H349" s="149">
        <v>0</v>
      </c>
      <c r="I349" s="189">
        <f>IF(G349&lt;&gt;0,G349,-H349)</f>
        <v>15680000</v>
      </c>
      <c r="J349" s="149">
        <v>0</v>
      </c>
      <c r="K349" s="111" t="s">
        <v>306</v>
      </c>
      <c r="L349" s="152" t="s">
        <v>717</v>
      </c>
      <c r="M349" s="149"/>
      <c r="N349" s="149"/>
    </row>
    <row r="350" spans="1:14" s="111" customFormat="1" ht="12" customHeight="1" x14ac:dyDescent="0.2">
      <c r="A350" s="133"/>
      <c r="B350" s="135" t="str">
        <f>VLOOKUP(F350,BB!$A$8:$C$152,3,0)</f>
        <v>P05</v>
      </c>
      <c r="C350" s="136">
        <f>C349</f>
        <v>202603</v>
      </c>
      <c r="D350" s="134" t="str">
        <f>D349</f>
        <v>JRM-2603003</v>
      </c>
      <c r="E350" s="139">
        <f>E349</f>
        <v>46112</v>
      </c>
      <c r="F350" s="144" t="s">
        <v>435</v>
      </c>
      <c r="G350" s="146">
        <f>H349</f>
        <v>0</v>
      </c>
      <c r="H350" s="149">
        <v>14475000</v>
      </c>
      <c r="I350" s="189">
        <f>IF(G350&lt;&gt;0,G350,-H350)</f>
        <v>-14475000</v>
      </c>
      <c r="J350" s="146">
        <f>-J349</f>
        <v>0</v>
      </c>
      <c r="K350" s="111" t="str">
        <f>K349</f>
        <v>JURNAL MANUAL</v>
      </c>
      <c r="L350" s="151" t="s">
        <v>718</v>
      </c>
      <c r="M350" s="146"/>
      <c r="N350" s="149"/>
    </row>
    <row r="351" spans="1:14" s="111" customFormat="1" ht="12" customHeight="1" x14ac:dyDescent="0.2">
      <c r="A351" s="133"/>
      <c r="B351" s="135" t="str">
        <f>VLOOKUP(F351,BB!$A$8:$C$152,3,0)</f>
        <v>LR06</v>
      </c>
      <c r="C351" s="136">
        <f t="shared" ref="C351:E351" si="104">+C350</f>
        <v>202603</v>
      </c>
      <c r="D351" s="134" t="str">
        <f t="shared" si="104"/>
        <v>JRM-2603003</v>
      </c>
      <c r="E351" s="139">
        <f t="shared" si="104"/>
        <v>46112</v>
      </c>
      <c r="F351" s="144" t="s">
        <v>403</v>
      </c>
      <c r="G351" s="146">
        <v>0</v>
      </c>
      <c r="H351" s="149">
        <f>+G349-H350</f>
        <v>1205000</v>
      </c>
      <c r="I351" s="189">
        <f>IF(G351&lt;&gt;0,G351,-H351)</f>
        <v>-1205000</v>
      </c>
      <c r="J351" s="146">
        <v>0</v>
      </c>
      <c r="K351" s="111" t="str">
        <f>+K350</f>
        <v>JURNAL MANUAL</v>
      </c>
      <c r="L351" s="151" t="s">
        <v>708</v>
      </c>
    </row>
    <row r="352" spans="1:14" s="111" customFormat="1" ht="12" customHeight="1" x14ac:dyDescent="0.2">
      <c r="A352" s="133"/>
      <c r="B352" s="135"/>
      <c r="C352" s="136"/>
      <c r="D352" s="134"/>
      <c r="E352" s="139"/>
      <c r="F352" s="144"/>
      <c r="G352" s="146"/>
      <c r="H352" s="149"/>
      <c r="I352" s="149"/>
      <c r="J352" s="146"/>
      <c r="L352" s="151"/>
    </row>
    <row r="353" spans="1:14" s="111" customFormat="1" ht="12" customHeight="1" x14ac:dyDescent="0.2">
      <c r="A353" s="133"/>
      <c r="B353" s="135" t="str">
        <f>VLOOKUP(F353,BB!$A$8:$C$152,3,0)</f>
        <v>LR07</v>
      </c>
      <c r="C353" s="136">
        <v>202603</v>
      </c>
      <c r="D353" s="134" t="s">
        <v>716</v>
      </c>
      <c r="E353" s="139">
        <v>46112</v>
      </c>
      <c r="F353" s="134" t="s">
        <v>249</v>
      </c>
      <c r="G353" s="149">
        <v>0.67000031471252441</v>
      </c>
      <c r="H353" s="149">
        <v>0</v>
      </c>
      <c r="I353" s="149">
        <f>IF(G353&lt;&gt;0,G353,-H353)</f>
        <v>0.67000031471252441</v>
      </c>
      <c r="J353" s="149">
        <v>0</v>
      </c>
      <c r="K353" s="111" t="s">
        <v>306</v>
      </c>
      <c r="L353" s="152" t="s">
        <v>608</v>
      </c>
      <c r="M353" s="149"/>
      <c r="N353" s="149"/>
    </row>
    <row r="354" spans="1:14" s="111" customFormat="1" ht="12" customHeight="1" x14ac:dyDescent="0.2">
      <c r="A354" s="133"/>
      <c r="B354" s="135" t="str">
        <f>VLOOKUP(F354,BB!$A$8:$C$152,3,0)</f>
        <v>A04A</v>
      </c>
      <c r="C354" s="136">
        <f>C353</f>
        <v>202603</v>
      </c>
      <c r="D354" s="134" t="str">
        <f>D353</f>
        <v>JRM-2603004</v>
      </c>
      <c r="E354" s="139">
        <f>E353</f>
        <v>46112</v>
      </c>
      <c r="F354" s="144" t="s">
        <v>468</v>
      </c>
      <c r="G354" s="146">
        <f>H353</f>
        <v>0</v>
      </c>
      <c r="H354" s="149">
        <f>G353</f>
        <v>0.67000031471252441</v>
      </c>
      <c r="I354" s="149">
        <f>IF(G354&lt;&gt;0,G354,-H354)</f>
        <v>-0.67000031471252441</v>
      </c>
      <c r="J354" s="146">
        <f>-J353</f>
        <v>0</v>
      </c>
      <c r="K354" s="111" t="str">
        <f>K353</f>
        <v>JURNAL MANUAL</v>
      </c>
      <c r="L354" s="151" t="str">
        <f>L353</f>
        <v>PENYESUAIAN SELISIH PIUTANG RUTIN</v>
      </c>
      <c r="M354" s="146"/>
      <c r="N354" s="149"/>
    </row>
    <row r="355" spans="1:14" s="111" customFormat="1" ht="12" customHeight="1" x14ac:dyDescent="0.2">
      <c r="A355" s="133"/>
      <c r="B355" s="135"/>
      <c r="C355" s="136"/>
      <c r="D355" s="134"/>
      <c r="E355" s="139"/>
      <c r="F355" s="144"/>
      <c r="G355" s="146"/>
      <c r="H355" s="149"/>
      <c r="I355" s="149"/>
      <c r="J355" s="146"/>
      <c r="L355" s="151"/>
    </row>
    <row r="356" spans="1:14" s="111" customFormat="1" ht="12" customHeight="1" x14ac:dyDescent="0.2">
      <c r="A356" s="133"/>
      <c r="B356" s="135"/>
      <c r="C356" s="136"/>
      <c r="D356" s="134"/>
      <c r="E356" s="139"/>
      <c r="F356" s="144"/>
      <c r="G356" s="146"/>
      <c r="H356" s="149"/>
      <c r="I356" s="149"/>
      <c r="J356" s="146"/>
      <c r="L356" s="151"/>
    </row>
    <row r="357" spans="1:14" s="183" customFormat="1" ht="12" customHeight="1" x14ac:dyDescent="0.2">
      <c r="A357" s="172"/>
      <c r="B357" s="173"/>
      <c r="C357" s="174"/>
      <c r="D357" s="175"/>
      <c r="E357" s="176"/>
      <c r="F357" s="180"/>
      <c r="G357" s="181"/>
      <c r="H357" s="182"/>
      <c r="I357" s="182"/>
      <c r="J357" s="181"/>
      <c r="L357" s="184"/>
    </row>
    <row r="358" spans="1:14" s="111" customFormat="1" ht="12" customHeight="1" x14ac:dyDescent="0.2">
      <c r="A358" s="133"/>
      <c r="B358" s="135"/>
      <c r="C358" s="136"/>
      <c r="D358" s="134"/>
      <c r="E358" s="139"/>
      <c r="F358" s="144"/>
      <c r="G358" s="146"/>
      <c r="H358" s="149"/>
      <c r="I358" s="149"/>
      <c r="J358" s="146"/>
      <c r="L358" s="151"/>
    </row>
    <row r="359" spans="1:14" s="111" customFormat="1" ht="12" customHeight="1" x14ac:dyDescent="0.2">
      <c r="A359" s="133"/>
      <c r="B359" s="135" t="str">
        <f>VLOOKUP(F359,BB!$A$8:$C$152,3,0)</f>
        <v>A02</v>
      </c>
      <c r="C359" s="136">
        <v>202604</v>
      </c>
      <c r="D359" s="134" t="s">
        <v>655</v>
      </c>
      <c r="E359" s="139">
        <v>46114</v>
      </c>
      <c r="F359" s="144" t="s">
        <v>166</v>
      </c>
      <c r="G359" s="149">
        <v>0</v>
      </c>
      <c r="H359" s="149">
        <v>15000000</v>
      </c>
      <c r="I359" s="149">
        <f>IF(G359&lt;&gt;0,G359,-H359)</f>
        <v>-15000000</v>
      </c>
      <c r="J359" s="149">
        <v>0</v>
      </c>
      <c r="K359" s="111" t="s">
        <v>304</v>
      </c>
      <c r="L359" s="151" t="s">
        <v>656</v>
      </c>
    </row>
    <row r="360" spans="1:14" s="111" customFormat="1" ht="12" customHeight="1" x14ac:dyDescent="0.2">
      <c r="A360" s="133"/>
      <c r="B360" s="135" t="str">
        <f>VLOOKUP(F360,BB!$A$8:$C$152,3,0)</f>
        <v>A04A</v>
      </c>
      <c r="C360" s="136">
        <f>C359</f>
        <v>202604</v>
      </c>
      <c r="D360" s="134" t="str">
        <f>D359</f>
        <v>MDR-2604001</v>
      </c>
      <c r="E360" s="139">
        <f>E359</f>
        <v>46114</v>
      </c>
      <c r="F360" s="144" t="s">
        <v>468</v>
      </c>
      <c r="G360" s="146">
        <f>+H359</f>
        <v>15000000</v>
      </c>
      <c r="H360" s="149">
        <v>0</v>
      </c>
      <c r="I360" s="149">
        <f>IF(G360&lt;&gt;0,G360,-H360)</f>
        <v>15000000</v>
      </c>
      <c r="J360" s="146">
        <f>-J359</f>
        <v>0</v>
      </c>
      <c r="K360" s="111" t="str">
        <f>K359</f>
        <v>BANK KELUAR</v>
      </c>
      <c r="L360" s="151" t="str">
        <f>L359</f>
        <v>PINJAMAN RUTIN SOEYANTO, 12X</v>
      </c>
    </row>
    <row r="361" spans="1:14" s="111" customFormat="1" ht="12" customHeight="1" x14ac:dyDescent="0.2">
      <c r="A361" s="133"/>
      <c r="B361" s="135"/>
      <c r="C361" s="136"/>
      <c r="D361" s="134"/>
      <c r="E361" s="139"/>
      <c r="F361" s="144"/>
      <c r="G361" s="146"/>
      <c r="H361" s="149"/>
      <c r="I361" s="149"/>
      <c r="J361" s="146"/>
      <c r="L361" s="151"/>
    </row>
    <row r="362" spans="1:14" s="111" customFormat="1" ht="12" customHeight="1" x14ac:dyDescent="0.2">
      <c r="A362" s="133"/>
      <c r="B362" s="135" t="str">
        <f>VLOOKUP(F362,BB!$A$8:$C$152,3,0)</f>
        <v>A02</v>
      </c>
      <c r="C362" s="136">
        <v>202604</v>
      </c>
      <c r="D362" s="134" t="s">
        <v>658</v>
      </c>
      <c r="E362" s="139">
        <v>46114</v>
      </c>
      <c r="F362" s="144" t="s">
        <v>166</v>
      </c>
      <c r="G362" s="149">
        <v>33333333</v>
      </c>
      <c r="H362" s="149">
        <v>0</v>
      </c>
      <c r="I362" s="149">
        <f>IF(G362&lt;&gt;0,G362,-H362)</f>
        <v>33333333</v>
      </c>
      <c r="J362" s="149">
        <v>0</v>
      </c>
      <c r="K362" s="111" t="s">
        <v>305</v>
      </c>
      <c r="L362" s="151" t="s">
        <v>659</v>
      </c>
    </row>
    <row r="363" spans="1:14" s="111" customFormat="1" ht="12" customHeight="1" x14ac:dyDescent="0.2">
      <c r="A363" s="133"/>
      <c r="B363" s="135" t="str">
        <f>VLOOKUP(F363,BB!$A$8:$C$152,3,0)</f>
        <v>A04A</v>
      </c>
      <c r="C363" s="136">
        <f>C362</f>
        <v>202604</v>
      </c>
      <c r="D363" s="134" t="str">
        <f>D362</f>
        <v>MDR-2604002</v>
      </c>
      <c r="E363" s="139">
        <f>E362</f>
        <v>46114</v>
      </c>
      <c r="F363" s="144" t="s">
        <v>468</v>
      </c>
      <c r="G363" s="146">
        <f>+H362</f>
        <v>0</v>
      </c>
      <c r="H363" s="149">
        <f>+G362</f>
        <v>33333333</v>
      </c>
      <c r="I363" s="149">
        <f>IF(G363&lt;&gt;0,G363,-H363)</f>
        <v>-33333333</v>
      </c>
      <c r="J363" s="146">
        <f>-J362</f>
        <v>0</v>
      </c>
      <c r="K363" s="111" t="str">
        <f>K362</f>
        <v>BANK MASUK</v>
      </c>
      <c r="L363" s="151" t="str">
        <f>L362</f>
        <v xml:space="preserve">PELUNASAN PIRUT DARI POT HAK PURNA, SUNACHI </v>
      </c>
    </row>
    <row r="364" spans="1:14" s="111" customFormat="1" ht="12" customHeight="1" x14ac:dyDescent="0.2">
      <c r="A364" s="133"/>
      <c r="B364" s="135"/>
      <c r="C364" s="136"/>
      <c r="D364" s="134"/>
      <c r="E364" s="139"/>
      <c r="F364" s="144"/>
      <c r="G364" s="146"/>
      <c r="H364" s="149"/>
      <c r="I364" s="149"/>
      <c r="J364" s="146"/>
      <c r="L364" s="151"/>
    </row>
    <row r="365" spans="1:14" s="111" customFormat="1" ht="12" customHeight="1" x14ac:dyDescent="0.2">
      <c r="A365" s="133"/>
      <c r="B365" s="135" t="str">
        <f>VLOOKUP(F365,BB!$A$8:$C$152,3,0)</f>
        <v>A02</v>
      </c>
      <c r="C365" s="136">
        <v>202604</v>
      </c>
      <c r="D365" s="134" t="s">
        <v>660</v>
      </c>
      <c r="E365" s="139">
        <v>46121</v>
      </c>
      <c r="F365" s="144" t="s">
        <v>166</v>
      </c>
      <c r="G365" s="149">
        <v>0</v>
      </c>
      <c r="H365" s="149">
        <v>15000000</v>
      </c>
      <c r="I365" s="149">
        <f>IF(G365&lt;&gt;0,G365,-H365)</f>
        <v>-15000000</v>
      </c>
      <c r="J365" s="149">
        <v>0</v>
      </c>
      <c r="K365" s="111" t="s">
        <v>304</v>
      </c>
      <c r="L365" s="151" t="s">
        <v>661</v>
      </c>
    </row>
    <row r="366" spans="1:14" s="111" customFormat="1" ht="12" customHeight="1" x14ac:dyDescent="0.2">
      <c r="A366" s="133"/>
      <c r="B366" s="135" t="str">
        <f>VLOOKUP(F366,BB!$A$8:$C$152,3,0)</f>
        <v>A04A</v>
      </c>
      <c r="C366" s="136">
        <f>C365</f>
        <v>202604</v>
      </c>
      <c r="D366" s="134" t="str">
        <f>D365</f>
        <v>MDR-2604003</v>
      </c>
      <c r="E366" s="139">
        <f>E365</f>
        <v>46121</v>
      </c>
      <c r="F366" s="144" t="s">
        <v>468</v>
      </c>
      <c r="G366" s="146">
        <f>+H365</f>
        <v>15000000</v>
      </c>
      <c r="H366" s="149">
        <v>0</v>
      </c>
      <c r="I366" s="149">
        <f>IF(G366&lt;&gt;0,G366,-H366)</f>
        <v>15000000</v>
      </c>
      <c r="J366" s="146">
        <f>-J365</f>
        <v>0</v>
      </c>
      <c r="K366" s="111" t="str">
        <f>K365</f>
        <v>BANK KELUAR</v>
      </c>
      <c r="L366" s="151" t="str">
        <f>L365</f>
        <v>PINJAMAN RUTIN LAKSANA MUS, 36X</v>
      </c>
    </row>
    <row r="367" spans="1:14" s="111" customFormat="1" ht="12" customHeight="1" x14ac:dyDescent="0.2">
      <c r="A367" s="133"/>
      <c r="B367" s="135"/>
      <c r="C367" s="136"/>
      <c r="D367" s="134"/>
      <c r="E367" s="139"/>
      <c r="F367" s="144"/>
      <c r="G367" s="146"/>
      <c r="H367" s="149"/>
      <c r="I367" s="149"/>
      <c r="J367" s="146"/>
      <c r="L367" s="151"/>
    </row>
    <row r="368" spans="1:14" s="111" customFormat="1" ht="12" customHeight="1" x14ac:dyDescent="0.2">
      <c r="A368" s="133"/>
      <c r="B368" s="135" t="str">
        <f>VLOOKUP(F368,BB!$A$8:$C$152,3,0)</f>
        <v>A02</v>
      </c>
      <c r="C368" s="136">
        <v>202604</v>
      </c>
      <c r="D368" s="134" t="s">
        <v>662</v>
      </c>
      <c r="E368" s="139">
        <v>46121</v>
      </c>
      <c r="F368" s="144" t="s">
        <v>166</v>
      </c>
      <c r="G368" s="149">
        <v>0</v>
      </c>
      <c r="H368" s="149">
        <v>5000000</v>
      </c>
      <c r="I368" s="149">
        <f>IF(G368&lt;&gt;0,G368,-H368)</f>
        <v>-5000000</v>
      </c>
      <c r="J368" s="149">
        <v>0</v>
      </c>
      <c r="K368" s="111" t="s">
        <v>304</v>
      </c>
      <c r="L368" s="151" t="s">
        <v>663</v>
      </c>
    </row>
    <row r="369" spans="1:12" s="111" customFormat="1" ht="12" customHeight="1" x14ac:dyDescent="0.2">
      <c r="A369" s="133"/>
      <c r="B369" s="135" t="str">
        <f>VLOOKUP(F369,BB!$A$8:$C$152,3,0)</f>
        <v>A04A</v>
      </c>
      <c r="C369" s="136">
        <f t="shared" ref="C369:E370" si="105">C368</f>
        <v>202604</v>
      </c>
      <c r="D369" s="134" t="str">
        <f t="shared" si="105"/>
        <v>MDR-2604004</v>
      </c>
      <c r="E369" s="139">
        <f t="shared" si="105"/>
        <v>46121</v>
      </c>
      <c r="F369" s="144" t="s">
        <v>468</v>
      </c>
      <c r="G369" s="146">
        <v>30000000</v>
      </c>
      <c r="H369" s="149">
        <v>0</v>
      </c>
      <c r="I369" s="149">
        <f>IF(G369&lt;&gt;0,G369,-H369)</f>
        <v>30000000</v>
      </c>
      <c r="J369" s="146">
        <f>-J368</f>
        <v>0</v>
      </c>
      <c r="K369" s="111" t="str">
        <f>K368</f>
        <v>BANK KELUAR</v>
      </c>
      <c r="L369" s="151" t="str">
        <f>L368</f>
        <v>PINJAMAN RUTIN TEGUH P, 60X, KOMPENSASI</v>
      </c>
    </row>
    <row r="370" spans="1:12" s="111" customFormat="1" ht="12" customHeight="1" x14ac:dyDescent="0.2">
      <c r="A370" s="133"/>
      <c r="B370" s="135" t="str">
        <f>VLOOKUP(F370,BB!$A$8:$C$152,3,0)</f>
        <v>A04A</v>
      </c>
      <c r="C370" s="136">
        <f t="shared" si="105"/>
        <v>202604</v>
      </c>
      <c r="D370" s="134" t="str">
        <f t="shared" si="105"/>
        <v>MDR-2604004</v>
      </c>
      <c r="E370" s="139">
        <f t="shared" si="105"/>
        <v>46121</v>
      </c>
      <c r="F370" s="144" t="s">
        <v>468</v>
      </c>
      <c r="G370" s="146">
        <v>0</v>
      </c>
      <c r="H370" s="149">
        <f>G369-H368</f>
        <v>25000000</v>
      </c>
      <c r="I370" s="149">
        <f>IF(G370&lt;&gt;0,G370,-H370)</f>
        <v>-25000000</v>
      </c>
      <c r="J370" s="146">
        <f>-J369</f>
        <v>0</v>
      </c>
      <c r="K370" s="111" t="str">
        <f>K369</f>
        <v>BANK KELUAR</v>
      </c>
      <c r="L370" s="151" t="str">
        <f>L369</f>
        <v>PINJAMAN RUTIN TEGUH P, 60X, KOMPENSASI</v>
      </c>
    </row>
    <row r="371" spans="1:12" s="111" customFormat="1" ht="12" customHeight="1" x14ac:dyDescent="0.2">
      <c r="A371" s="133"/>
      <c r="B371" s="135"/>
      <c r="C371" s="136"/>
      <c r="D371" s="134"/>
      <c r="E371" s="139"/>
      <c r="F371" s="144"/>
      <c r="G371" s="146"/>
      <c r="H371" s="149"/>
      <c r="I371" s="149"/>
      <c r="J371" s="146"/>
      <c r="L371" s="151"/>
    </row>
    <row r="372" spans="1:12" s="111" customFormat="1" ht="12" customHeight="1" x14ac:dyDescent="0.2">
      <c r="A372" s="133"/>
      <c r="B372" s="135" t="str">
        <f>VLOOKUP(F372,BB!$A$8:$C$152,3,0)</f>
        <v>A02</v>
      </c>
      <c r="C372" s="136">
        <v>202604</v>
      </c>
      <c r="D372" s="134" t="s">
        <v>664</v>
      </c>
      <c r="E372" s="139">
        <v>46125</v>
      </c>
      <c r="F372" s="144" t="s">
        <v>166</v>
      </c>
      <c r="G372" s="149">
        <v>0</v>
      </c>
      <c r="H372" s="149">
        <v>7000000</v>
      </c>
      <c r="I372" s="149">
        <f>IF(G372&lt;&gt;0,G372,-H372)</f>
        <v>-7000000</v>
      </c>
      <c r="J372" s="149">
        <v>0</v>
      </c>
      <c r="K372" s="111" t="s">
        <v>304</v>
      </c>
      <c r="L372" s="151" t="s">
        <v>537</v>
      </c>
    </row>
    <row r="373" spans="1:12" s="111" customFormat="1" ht="12" customHeight="1" x14ac:dyDescent="0.2">
      <c r="A373" s="133"/>
      <c r="B373" s="135" t="str">
        <f>VLOOKUP(F373,BB!$A$8:$C$152,3,0)</f>
        <v>A04A</v>
      </c>
      <c r="C373" s="136">
        <f>C372</f>
        <v>202604</v>
      </c>
      <c r="D373" s="134" t="str">
        <f>D372</f>
        <v>MDR-2604005</v>
      </c>
      <c r="E373" s="139">
        <f>E372</f>
        <v>46125</v>
      </c>
      <c r="F373" s="144" t="s">
        <v>468</v>
      </c>
      <c r="G373" s="146">
        <f>+H372</f>
        <v>7000000</v>
      </c>
      <c r="H373" s="149">
        <v>0</v>
      </c>
      <c r="I373" s="149">
        <f>IF(G373&lt;&gt;0,G373,-H373)</f>
        <v>7000000</v>
      </c>
      <c r="J373" s="146">
        <f>-J372</f>
        <v>0</v>
      </c>
      <c r="K373" s="111" t="str">
        <f>K372</f>
        <v>BANK KELUAR</v>
      </c>
      <c r="L373" s="151" t="str">
        <f>L372</f>
        <v>PINJAMAN RUTIN SYAMSUL HUDA, 48X</v>
      </c>
    </row>
    <row r="374" spans="1:12" s="111" customFormat="1" ht="12" customHeight="1" x14ac:dyDescent="0.2">
      <c r="A374" s="133"/>
      <c r="B374" s="135"/>
      <c r="C374" s="136"/>
      <c r="D374" s="134"/>
      <c r="E374" s="139"/>
      <c r="F374" s="144"/>
      <c r="G374" s="146"/>
      <c r="H374" s="149"/>
      <c r="I374" s="149"/>
      <c r="J374" s="146"/>
      <c r="L374" s="151"/>
    </row>
    <row r="375" spans="1:12" s="111" customFormat="1" ht="12" customHeight="1" x14ac:dyDescent="0.2">
      <c r="A375" s="133"/>
      <c r="B375" s="135" t="str">
        <f>VLOOKUP(F375,BB!$A$8:$C$152,3,0)</f>
        <v>A02</v>
      </c>
      <c r="C375" s="136">
        <v>202604</v>
      </c>
      <c r="D375" s="134" t="s">
        <v>665</v>
      </c>
      <c r="E375" s="139">
        <v>46127</v>
      </c>
      <c r="F375" s="144" t="s">
        <v>166</v>
      </c>
      <c r="G375" s="149">
        <v>0</v>
      </c>
      <c r="H375" s="149">
        <v>14475000</v>
      </c>
      <c r="I375" s="189">
        <f>IF(G375&lt;&gt;0,G375,-H375)</f>
        <v>-14475000</v>
      </c>
      <c r="J375" s="149">
        <v>0</v>
      </c>
      <c r="K375" s="111" t="s">
        <v>304</v>
      </c>
      <c r="L375" s="152" t="s">
        <v>666</v>
      </c>
    </row>
    <row r="376" spans="1:12" s="111" customFormat="1" ht="12" customHeight="1" x14ac:dyDescent="0.2">
      <c r="A376" s="133"/>
      <c r="B376" s="135" t="str">
        <f>VLOOKUP(F376,BB!$A$8:$C$152,3,0)</f>
        <v>P05</v>
      </c>
      <c r="C376" s="136">
        <f>C375</f>
        <v>202604</v>
      </c>
      <c r="D376" s="134" t="str">
        <f>D375</f>
        <v>MDR-2604006</v>
      </c>
      <c r="E376" s="139">
        <f>E375</f>
        <v>46127</v>
      </c>
      <c r="F376" s="144" t="s">
        <v>435</v>
      </c>
      <c r="G376" s="146">
        <f>H375</f>
        <v>14475000</v>
      </c>
      <c r="H376" s="149">
        <f>G375</f>
        <v>0</v>
      </c>
      <c r="I376" s="189">
        <f>IF(G376&lt;&gt;0,G376,-H376)</f>
        <v>14475000</v>
      </c>
      <c r="J376" s="146">
        <f>-J375</f>
        <v>0</v>
      </c>
      <c r="K376" s="111" t="str">
        <f>K375</f>
        <v>BANK KELUAR</v>
      </c>
      <c r="L376" s="151" t="str">
        <f>L375</f>
        <v>PEMBAYARAN JASA FORKLIFT ACHMAD LUTHFIE PERIODE 202602</v>
      </c>
    </row>
    <row r="377" spans="1:12" s="111" customFormat="1" ht="12" customHeight="1" x14ac:dyDescent="0.2">
      <c r="A377" s="133"/>
      <c r="B377" s="135"/>
      <c r="C377" s="136"/>
      <c r="D377" s="134"/>
      <c r="E377" s="139"/>
      <c r="F377" s="144"/>
      <c r="G377" s="146"/>
      <c r="H377" s="149"/>
      <c r="I377" s="149"/>
      <c r="J377" s="146"/>
      <c r="L377" s="151"/>
    </row>
    <row r="378" spans="1:12" s="111" customFormat="1" ht="12" customHeight="1" x14ac:dyDescent="0.2">
      <c r="A378" s="133"/>
      <c r="B378" s="135" t="str">
        <f>VLOOKUP(F378,BB!$A$8:$C$152,3,0)</f>
        <v>A02</v>
      </c>
      <c r="C378" s="136">
        <v>202604</v>
      </c>
      <c r="D378" s="134" t="s">
        <v>667</v>
      </c>
      <c r="E378" s="139">
        <v>46127</v>
      </c>
      <c r="F378" s="144" t="s">
        <v>166</v>
      </c>
      <c r="G378" s="149">
        <v>15680000</v>
      </c>
      <c r="H378" s="149">
        <v>0</v>
      </c>
      <c r="I378" s="189">
        <f>IF(G378&lt;&gt;0,G378,-H378)</f>
        <v>15680000</v>
      </c>
      <c r="J378" s="149">
        <v>0</v>
      </c>
      <c r="K378" s="111" t="s">
        <v>305</v>
      </c>
      <c r="L378" s="152" t="s">
        <v>668</v>
      </c>
    </row>
    <row r="379" spans="1:12" s="111" customFormat="1" ht="12" customHeight="1" x14ac:dyDescent="0.2">
      <c r="A379" s="133"/>
      <c r="B379" s="135" t="str">
        <f>VLOOKUP(F379,BB!$A$8:$C$152,3,0)</f>
        <v>A04B</v>
      </c>
      <c r="C379" s="136">
        <f t="shared" ref="C379:E379" si="106">C378</f>
        <v>202604</v>
      </c>
      <c r="D379" s="136" t="str">
        <f t="shared" si="106"/>
        <v>MDR-2604007</v>
      </c>
      <c r="E379" s="186">
        <f t="shared" si="106"/>
        <v>46127</v>
      </c>
      <c r="F379" s="144" t="s">
        <v>464</v>
      </c>
      <c r="G379" s="146">
        <v>0</v>
      </c>
      <c r="H379" s="149">
        <f>+G378</f>
        <v>15680000</v>
      </c>
      <c r="I379" s="189">
        <f>IF(G379&lt;&gt;0,G379,-H379)</f>
        <v>-15680000</v>
      </c>
      <c r="J379" s="146">
        <v>0</v>
      </c>
      <c r="K379" s="111" t="str">
        <f>K378</f>
        <v>BANK MASUK</v>
      </c>
      <c r="L379" s="151" t="str">
        <f>L378</f>
        <v>TERIMA DARI GCS SEWA FORKLIFT PERIODE 202602</v>
      </c>
    </row>
    <row r="380" spans="1:12" s="111" customFormat="1" ht="12" customHeight="1" x14ac:dyDescent="0.2">
      <c r="A380" s="133"/>
      <c r="B380" s="135"/>
      <c r="C380" s="136"/>
      <c r="D380" s="134"/>
      <c r="E380" s="139"/>
      <c r="F380" s="144"/>
      <c r="G380" s="146"/>
      <c r="H380" s="149"/>
      <c r="I380" s="149"/>
      <c r="J380" s="146"/>
      <c r="L380" s="151"/>
    </row>
    <row r="381" spans="1:12" s="111" customFormat="1" ht="12" customHeight="1" x14ac:dyDescent="0.2">
      <c r="A381" s="133"/>
      <c r="B381" s="135" t="str">
        <f>VLOOKUP(F381,BB!$A$8:$C$152,3,0)</f>
        <v>A02</v>
      </c>
      <c r="C381" s="136">
        <v>202604</v>
      </c>
      <c r="D381" s="134" t="s">
        <v>669</v>
      </c>
      <c r="E381" s="139">
        <v>46132</v>
      </c>
      <c r="F381" s="144" t="s">
        <v>166</v>
      </c>
      <c r="G381" s="149">
        <v>0</v>
      </c>
      <c r="H381" s="149">
        <v>2000000</v>
      </c>
      <c r="I381" s="149">
        <f>IF(G381&lt;&gt;0,G381,-H381)</f>
        <v>-2000000</v>
      </c>
      <c r="J381" s="149">
        <v>0</v>
      </c>
      <c r="K381" s="111" t="s">
        <v>304</v>
      </c>
      <c r="L381" s="151" t="s">
        <v>670</v>
      </c>
    </row>
    <row r="382" spans="1:12" s="111" customFormat="1" ht="12" customHeight="1" x14ac:dyDescent="0.2">
      <c r="A382" s="133"/>
      <c r="B382" s="135" t="str">
        <f>VLOOKUP(F382,BB!$A$8:$C$152,3,0)</f>
        <v>A04A</v>
      </c>
      <c r="C382" s="136">
        <f>C381</f>
        <v>202604</v>
      </c>
      <c r="D382" s="134" t="str">
        <f>D381</f>
        <v>MDR-2604008</v>
      </c>
      <c r="E382" s="139">
        <f>E381</f>
        <v>46132</v>
      </c>
      <c r="F382" s="144" t="s">
        <v>471</v>
      </c>
      <c r="G382" s="146">
        <f>+H381</f>
        <v>2000000</v>
      </c>
      <c r="H382" s="149">
        <v>0</v>
      </c>
      <c r="I382" s="149">
        <f>IF(G382&lt;&gt;0,G382,-H382)</f>
        <v>2000000</v>
      </c>
      <c r="J382" s="146">
        <f>-J381</f>
        <v>0</v>
      </c>
      <c r="K382" s="111" t="str">
        <f>K381</f>
        <v>BANK KELUAR</v>
      </c>
      <c r="L382" s="151" t="str">
        <f>L381</f>
        <v>PINJAMAN SEMENTARA JOKO PURWANTO</v>
      </c>
    </row>
    <row r="383" spans="1:12" s="111" customFormat="1" ht="12" customHeight="1" x14ac:dyDescent="0.2">
      <c r="A383" s="133"/>
      <c r="B383" s="135"/>
      <c r="C383" s="136"/>
      <c r="D383" s="134"/>
      <c r="E383" s="139"/>
      <c r="F383" s="144"/>
      <c r="G383" s="146"/>
      <c r="H383" s="149"/>
      <c r="I383" s="149"/>
      <c r="J383" s="146"/>
      <c r="L383" s="151"/>
    </row>
    <row r="384" spans="1:12" s="111" customFormat="1" ht="12" customHeight="1" x14ac:dyDescent="0.2">
      <c r="A384" s="133"/>
      <c r="B384" s="135" t="str">
        <f>VLOOKUP(F384,BB!$A$8:$C$152,3,0)</f>
        <v>A02</v>
      </c>
      <c r="C384" s="136">
        <v>202604</v>
      </c>
      <c r="D384" s="134" t="s">
        <v>657</v>
      </c>
      <c r="E384" s="139">
        <v>46136</v>
      </c>
      <c r="F384" s="144" t="s">
        <v>166</v>
      </c>
      <c r="G384" s="146">
        <v>81758440</v>
      </c>
      <c r="H384" s="149">
        <v>0</v>
      </c>
      <c r="I384" s="149">
        <f t="shared" ref="I384:I389" si="107">IF(G384&lt;&gt;0,G384,-H384)</f>
        <v>81758440</v>
      </c>
      <c r="J384" s="149">
        <v>0</v>
      </c>
      <c r="K384" s="111" t="s">
        <v>305</v>
      </c>
      <c r="L384" s="151" t="s">
        <v>671</v>
      </c>
    </row>
    <row r="385" spans="1:12" s="111" customFormat="1" ht="12" customHeight="1" x14ac:dyDescent="0.2">
      <c r="A385" s="133"/>
      <c r="B385" s="135" t="str">
        <f>VLOOKUP(F385,BB!$A$8:$C$152,3,0)</f>
        <v>A04A</v>
      </c>
      <c r="C385" s="136">
        <f t="shared" ref="C385:E385" si="108">C384</f>
        <v>202604</v>
      </c>
      <c r="D385" s="134" t="str">
        <f t="shared" si="108"/>
        <v>MDR-2604009</v>
      </c>
      <c r="E385" s="139">
        <f t="shared" si="108"/>
        <v>46136</v>
      </c>
      <c r="F385" s="144" t="s">
        <v>468</v>
      </c>
      <c r="G385" s="146">
        <v>0</v>
      </c>
      <c r="H385" s="149">
        <v>59901805.555555552</v>
      </c>
      <c r="I385" s="149">
        <f t="shared" si="107"/>
        <v>-59901805.555555552</v>
      </c>
      <c r="J385" s="146">
        <f>-J384</f>
        <v>0</v>
      </c>
      <c r="K385" s="111" t="str">
        <f>K384</f>
        <v>BANK MASUK</v>
      </c>
      <c r="L385" s="151" t="str">
        <f>"ANGSURAN PIRUT DARI "&amp;MID(L384,17,50)</f>
        <v>ANGSURAN PIRUT DARI POTONGAN GAJI BULAN APRIL 2026</v>
      </c>
    </row>
    <row r="386" spans="1:12" s="111" customFormat="1" ht="12" customHeight="1" x14ac:dyDescent="0.2">
      <c r="A386" s="133"/>
      <c r="B386" s="135" t="str">
        <f>VLOOKUP(F386,BB!$A$8:$C$152,3,0)</f>
        <v>P12</v>
      </c>
      <c r="C386" s="136">
        <f t="shared" ref="C386:E386" si="109">C385</f>
        <v>202604</v>
      </c>
      <c r="D386" s="134" t="str">
        <f t="shared" si="109"/>
        <v>MDR-2604009</v>
      </c>
      <c r="E386" s="139">
        <f t="shared" si="109"/>
        <v>46136</v>
      </c>
      <c r="F386" s="140" t="s">
        <v>227</v>
      </c>
      <c r="G386" s="146">
        <v>0</v>
      </c>
      <c r="H386" s="149">
        <v>3800000</v>
      </c>
      <c r="I386" s="149">
        <f t="shared" si="107"/>
        <v>-3800000</v>
      </c>
      <c r="J386" s="146">
        <f>-J385</f>
        <v>0</v>
      </c>
      <c r="K386" s="111" t="str">
        <f>K385</f>
        <v>BANK MASUK</v>
      </c>
      <c r="L386" s="151" t="s">
        <v>500</v>
      </c>
    </row>
    <row r="387" spans="1:12" s="111" customFormat="1" ht="12" customHeight="1" x14ac:dyDescent="0.2">
      <c r="A387" s="133"/>
      <c r="B387" s="135" t="str">
        <f>VLOOKUP(F387,BB!$A$8:$C$152,3,0)</f>
        <v>LR01A</v>
      </c>
      <c r="C387" s="136">
        <f t="shared" ref="C387:E387" si="110">C386</f>
        <v>202604</v>
      </c>
      <c r="D387" s="134" t="str">
        <f t="shared" si="110"/>
        <v>MDR-2604009</v>
      </c>
      <c r="E387" s="139">
        <f t="shared" si="110"/>
        <v>46136</v>
      </c>
      <c r="F387" s="144" t="s">
        <v>369</v>
      </c>
      <c r="G387" s="146">
        <v>0</v>
      </c>
      <c r="H387" s="146">
        <v>77958440.972222224</v>
      </c>
      <c r="I387" s="149">
        <f t="shared" si="107"/>
        <v>-77958440.972222224</v>
      </c>
      <c r="J387" s="146">
        <f>-J386</f>
        <v>0</v>
      </c>
      <c r="K387" s="111" t="str">
        <f>K386</f>
        <v>BANK MASUK</v>
      </c>
      <c r="L387" s="151" t="str">
        <f>"PENDAPATAN PIRUT "&amp;MID(L384,31,50)</f>
        <v>PENDAPATAN PIRUT BULAN APRIL 2026</v>
      </c>
    </row>
    <row r="388" spans="1:12" s="111" customFormat="1" ht="12" customHeight="1" x14ac:dyDescent="0.2">
      <c r="A388" s="133"/>
      <c r="B388" s="135" t="str">
        <f>VLOOKUP(F388,BB!$A$8:$C$152,3,0)</f>
        <v>LR02A</v>
      </c>
      <c r="C388" s="136">
        <f t="shared" ref="C388:E388" si="111">C387</f>
        <v>202604</v>
      </c>
      <c r="D388" s="134" t="str">
        <f t="shared" si="111"/>
        <v>MDR-2604009</v>
      </c>
      <c r="E388" s="139">
        <f t="shared" si="111"/>
        <v>46136</v>
      </c>
      <c r="F388" s="144" t="s">
        <v>373</v>
      </c>
      <c r="G388" s="146">
        <f>H385</f>
        <v>59901805.555555552</v>
      </c>
      <c r="H388" s="146">
        <v>0</v>
      </c>
      <c r="I388" s="149">
        <f t="shared" si="107"/>
        <v>59901805.555555552</v>
      </c>
      <c r="J388" s="146">
        <f>-J387</f>
        <v>0</v>
      </c>
      <c r="K388" s="111" t="str">
        <f>K387</f>
        <v>BANK MASUK</v>
      </c>
      <c r="L388" s="151" t="str">
        <f>"HPP "&amp;MID(L387,12,50)</f>
        <v>HPP PIRUT BULAN APRIL 2026</v>
      </c>
    </row>
    <row r="389" spans="1:12" s="111" customFormat="1" ht="12" customHeight="1" x14ac:dyDescent="0.2">
      <c r="A389" s="133"/>
      <c r="B389" s="135" t="str">
        <f>VLOOKUP(F389,BB!$A$8:$C$152,3,0)</f>
        <v>LR07</v>
      </c>
      <c r="C389" s="136">
        <f t="shared" ref="C389:E389" si="112">C388</f>
        <v>202604</v>
      </c>
      <c r="D389" s="134" t="str">
        <f t="shared" si="112"/>
        <v>MDR-2604009</v>
      </c>
      <c r="E389" s="139">
        <f t="shared" si="112"/>
        <v>46136</v>
      </c>
      <c r="F389" s="144" t="s">
        <v>249</v>
      </c>
      <c r="G389" s="146">
        <f>IF(SUM(I384:I388)&lt;0,-SUM(I384:I388),0)</f>
        <v>0.9722222238779068</v>
      </c>
      <c r="H389" s="146">
        <f>IF(SUM(I384:I388)&gt;0,-SUM(J384:J388),0)</f>
        <v>0</v>
      </c>
      <c r="I389" s="149">
        <f t="shared" si="107"/>
        <v>0.9722222238779068</v>
      </c>
      <c r="J389" s="146">
        <f>-J388</f>
        <v>0</v>
      </c>
      <c r="K389" s="111" t="str">
        <f>K388</f>
        <v>BANK MASUK</v>
      </c>
      <c r="L389" s="151" t="s">
        <v>434</v>
      </c>
    </row>
    <row r="390" spans="1:12" s="111" customFormat="1" ht="12" customHeight="1" x14ac:dyDescent="0.2">
      <c r="A390" s="133"/>
      <c r="B390" s="135"/>
      <c r="C390" s="136"/>
      <c r="D390" s="134"/>
      <c r="E390" s="139"/>
      <c r="F390" s="144"/>
      <c r="G390" s="146"/>
      <c r="H390" s="149"/>
      <c r="I390" s="149"/>
      <c r="J390" s="146"/>
      <c r="L390" s="151"/>
    </row>
    <row r="391" spans="1:12" s="111" customFormat="1" ht="12" customHeight="1" x14ac:dyDescent="0.2">
      <c r="A391" s="133"/>
      <c r="B391" s="135" t="str">
        <f>VLOOKUP(F391,BB!$A$8:$C$152,3,0)</f>
        <v>A02</v>
      </c>
      <c r="C391" s="136">
        <v>202604</v>
      </c>
      <c r="D391" s="134" t="s">
        <v>672</v>
      </c>
      <c r="E391" s="139">
        <v>46136</v>
      </c>
      <c r="F391" s="144" t="s">
        <v>166</v>
      </c>
      <c r="G391" s="149">
        <v>0</v>
      </c>
      <c r="H391" s="149">
        <v>15000000</v>
      </c>
      <c r="I391" s="149">
        <f>IF(G391&lt;&gt;0,G391,-H391)</f>
        <v>-15000000</v>
      </c>
      <c r="J391" s="149">
        <v>0</v>
      </c>
      <c r="K391" s="111" t="s">
        <v>304</v>
      </c>
      <c r="L391" s="151" t="s">
        <v>673</v>
      </c>
    </row>
    <row r="392" spans="1:12" s="111" customFormat="1" ht="12" customHeight="1" x14ac:dyDescent="0.2">
      <c r="A392" s="133"/>
      <c r="B392" s="135" t="str">
        <f>VLOOKUP(F392,BB!$A$8:$C$152,3,0)</f>
        <v>A04A</v>
      </c>
      <c r="C392" s="136">
        <f>C391</f>
        <v>202604</v>
      </c>
      <c r="D392" s="134" t="str">
        <f>D391</f>
        <v>MDR-2604010</v>
      </c>
      <c r="E392" s="139">
        <f>E391</f>
        <v>46136</v>
      </c>
      <c r="F392" s="144" t="s">
        <v>468</v>
      </c>
      <c r="G392" s="146">
        <f>+H391</f>
        <v>15000000</v>
      </c>
      <c r="H392" s="149">
        <v>0</v>
      </c>
      <c r="I392" s="149">
        <f>IF(G392&lt;&gt;0,G392,-H392)</f>
        <v>15000000</v>
      </c>
      <c r="J392" s="146">
        <f>-J391</f>
        <v>0</v>
      </c>
      <c r="K392" s="111" t="str">
        <f>K391</f>
        <v>BANK KELUAR</v>
      </c>
      <c r="L392" s="151" t="str">
        <f>L391</f>
        <v>PINJAMAN RUTIN SUBAGIO JUNAEDI, 12X</v>
      </c>
    </row>
    <row r="393" spans="1:12" s="111" customFormat="1" ht="12" customHeight="1" x14ac:dyDescent="0.2">
      <c r="A393" s="133"/>
      <c r="B393" s="135"/>
      <c r="C393" s="136"/>
      <c r="D393" s="134"/>
      <c r="E393" s="139"/>
      <c r="F393" s="144"/>
      <c r="G393" s="146"/>
      <c r="H393" s="149"/>
      <c r="I393" s="149"/>
      <c r="J393" s="146"/>
      <c r="L393" s="151"/>
    </row>
    <row r="394" spans="1:12" s="111" customFormat="1" ht="12" customHeight="1" x14ac:dyDescent="0.2">
      <c r="A394" s="133"/>
      <c r="B394" s="135" t="str">
        <f>VLOOKUP(F394,BB!$A$8:$C$152,3,0)</f>
        <v>A02</v>
      </c>
      <c r="C394" s="136">
        <v>202604</v>
      </c>
      <c r="D394" s="134" t="s">
        <v>675</v>
      </c>
      <c r="E394" s="139">
        <v>46136</v>
      </c>
      <c r="F394" s="144" t="s">
        <v>166</v>
      </c>
      <c r="G394" s="149">
        <v>0</v>
      </c>
      <c r="H394" s="149">
        <v>10000000</v>
      </c>
      <c r="I394" s="149">
        <f>IF(G394&lt;&gt;0,G394,-H394)</f>
        <v>-10000000</v>
      </c>
      <c r="J394" s="149">
        <v>0</v>
      </c>
      <c r="K394" s="111" t="s">
        <v>304</v>
      </c>
      <c r="L394" s="151" t="s">
        <v>674</v>
      </c>
    </row>
    <row r="395" spans="1:12" s="111" customFormat="1" ht="12" customHeight="1" x14ac:dyDescent="0.2">
      <c r="A395" s="133"/>
      <c r="B395" s="135" t="str">
        <f>VLOOKUP(F395,BB!$A$8:$C$152,3,0)</f>
        <v>A04A</v>
      </c>
      <c r="C395" s="136">
        <f>C394</f>
        <v>202604</v>
      </c>
      <c r="D395" s="134" t="str">
        <f>D394</f>
        <v>MDR-2604011</v>
      </c>
      <c r="E395" s="139">
        <f>E394</f>
        <v>46136</v>
      </c>
      <c r="F395" s="144" t="s">
        <v>468</v>
      </c>
      <c r="G395" s="146">
        <f>+H394</f>
        <v>10000000</v>
      </c>
      <c r="H395" s="149">
        <v>0</v>
      </c>
      <c r="I395" s="149">
        <f>IF(G395&lt;&gt;0,G395,-H395)</f>
        <v>10000000</v>
      </c>
      <c r="J395" s="146">
        <f>-J394</f>
        <v>0</v>
      </c>
      <c r="K395" s="111" t="str">
        <f>K394</f>
        <v>BANK KELUAR</v>
      </c>
      <c r="L395" s="151" t="str">
        <f>L394</f>
        <v>PINJAMAN RUTIN SETYO HARYONO, 48X</v>
      </c>
    </row>
    <row r="396" spans="1:12" s="111" customFormat="1" ht="12" customHeight="1" x14ac:dyDescent="0.2">
      <c r="A396" s="133"/>
      <c r="B396" s="135"/>
      <c r="C396" s="136"/>
      <c r="D396" s="134"/>
      <c r="E396" s="139"/>
      <c r="F396" s="144"/>
      <c r="G396" s="146"/>
      <c r="H396" s="149"/>
      <c r="I396" s="149"/>
      <c r="J396" s="146"/>
      <c r="L396" s="151"/>
    </row>
    <row r="397" spans="1:12" s="111" customFormat="1" ht="12" customHeight="1" x14ac:dyDescent="0.2">
      <c r="A397" s="133"/>
      <c r="B397" s="135" t="str">
        <f>VLOOKUP(F397,BB!$A$8:$C$152,3,0)</f>
        <v>A02</v>
      </c>
      <c r="C397" s="136">
        <v>202604</v>
      </c>
      <c r="D397" s="134" t="s">
        <v>676</v>
      </c>
      <c r="E397" s="139">
        <v>46136</v>
      </c>
      <c r="F397" s="144" t="s">
        <v>166</v>
      </c>
      <c r="G397" s="149">
        <v>0</v>
      </c>
      <c r="H397" s="149">
        <v>20000000</v>
      </c>
      <c r="I397" s="149">
        <f>IF(G397&lt;&gt;0,G397,-H397)</f>
        <v>-20000000</v>
      </c>
      <c r="J397" s="149">
        <v>0</v>
      </c>
      <c r="K397" s="111" t="s">
        <v>304</v>
      </c>
      <c r="L397" s="151" t="s">
        <v>677</v>
      </c>
    </row>
    <row r="398" spans="1:12" s="111" customFormat="1" ht="12" customHeight="1" x14ac:dyDescent="0.2">
      <c r="A398" s="133"/>
      <c r="B398" s="135" t="str">
        <f>VLOOKUP(F398,BB!$A$8:$C$152,3,0)</f>
        <v>A04A</v>
      </c>
      <c r="C398" s="136">
        <f>C397</f>
        <v>202604</v>
      </c>
      <c r="D398" s="134" t="str">
        <f>D397</f>
        <v>MDR-2604012</v>
      </c>
      <c r="E398" s="139">
        <f>E397</f>
        <v>46136</v>
      </c>
      <c r="F398" s="144" t="s">
        <v>468</v>
      </c>
      <c r="G398" s="146">
        <f>+H397</f>
        <v>20000000</v>
      </c>
      <c r="H398" s="149">
        <v>0</v>
      </c>
      <c r="I398" s="149">
        <f>IF(G398&lt;&gt;0,G398,-H398)</f>
        <v>20000000</v>
      </c>
      <c r="J398" s="146">
        <f>-J397</f>
        <v>0</v>
      </c>
      <c r="K398" s="111" t="str">
        <f>K397</f>
        <v>BANK KELUAR</v>
      </c>
      <c r="L398" s="151" t="str">
        <f>L397</f>
        <v>PINJAMAN RUTIN SLAMET RYADI, 36X</v>
      </c>
    </row>
    <row r="399" spans="1:12" s="111" customFormat="1" ht="12" customHeight="1" x14ac:dyDescent="0.2">
      <c r="A399" s="133"/>
      <c r="B399" s="135"/>
      <c r="C399" s="136"/>
      <c r="D399" s="134"/>
      <c r="E399" s="139"/>
      <c r="F399" s="144"/>
      <c r="G399" s="146"/>
      <c r="H399" s="149"/>
      <c r="I399" s="149"/>
      <c r="J399" s="146"/>
      <c r="L399" s="151"/>
    </row>
    <row r="400" spans="1:12" s="111" customFormat="1" ht="12" customHeight="1" x14ac:dyDescent="0.2">
      <c r="A400" s="133"/>
      <c r="B400" s="135" t="str">
        <f>VLOOKUP(F400,BB!$A$8:$C$152,3,0)</f>
        <v>A02</v>
      </c>
      <c r="C400" s="136">
        <v>202604</v>
      </c>
      <c r="D400" s="134" t="s">
        <v>678</v>
      </c>
      <c r="E400" s="139">
        <v>46139</v>
      </c>
      <c r="F400" s="144" t="s">
        <v>166</v>
      </c>
      <c r="G400" s="149">
        <v>2000000</v>
      </c>
      <c r="H400" s="149">
        <v>0</v>
      </c>
      <c r="I400" s="149">
        <f>IF(G400&lt;&gt;0,G400,-H400)</f>
        <v>2000000</v>
      </c>
      <c r="J400" s="149">
        <v>0</v>
      </c>
      <c r="K400" s="111" t="s">
        <v>305</v>
      </c>
      <c r="L400" s="151" t="s">
        <v>679</v>
      </c>
    </row>
    <row r="401" spans="1:42" s="111" customFormat="1" ht="12" customHeight="1" x14ac:dyDescent="0.2">
      <c r="A401" s="133"/>
      <c r="B401" s="135" t="str">
        <f>VLOOKUP(F401,BB!$A$8:$C$152,3,0)</f>
        <v>A04A</v>
      </c>
      <c r="C401" s="136">
        <f>C400</f>
        <v>202604</v>
      </c>
      <c r="D401" s="134" t="str">
        <f>D400</f>
        <v>MDR-2604013</v>
      </c>
      <c r="E401" s="139">
        <f>E400</f>
        <v>46139</v>
      </c>
      <c r="F401" s="144" t="s">
        <v>471</v>
      </c>
      <c r="G401" s="146">
        <f>+H400</f>
        <v>0</v>
      </c>
      <c r="H401" s="149">
        <f>+G400</f>
        <v>2000000</v>
      </c>
      <c r="I401" s="149">
        <f>IF(G401&lt;&gt;0,G401,-H401)</f>
        <v>-2000000</v>
      </c>
      <c r="J401" s="146">
        <f>-J400</f>
        <v>0</v>
      </c>
      <c r="K401" s="111" t="str">
        <f>K400</f>
        <v>BANK MASUK</v>
      </c>
      <c r="L401" s="151" t="str">
        <f>L400</f>
        <v>PENGEMBALIAN PINJAMAN SEMENTARA JOKO PURWANTO</v>
      </c>
    </row>
    <row r="402" spans="1:42" s="111" customFormat="1" ht="12" customHeight="1" x14ac:dyDescent="0.2">
      <c r="A402" s="133"/>
      <c r="B402" s="135"/>
      <c r="C402" s="136"/>
      <c r="D402" s="134"/>
      <c r="E402" s="139"/>
      <c r="F402" s="144"/>
      <c r="G402" s="146"/>
      <c r="H402" s="149"/>
      <c r="I402" s="149"/>
      <c r="J402" s="146"/>
      <c r="L402" s="151"/>
    </row>
    <row r="403" spans="1:42" s="111" customFormat="1" ht="12" customHeight="1" x14ac:dyDescent="0.2">
      <c r="A403" s="133"/>
      <c r="B403" s="135" t="str">
        <f>VLOOKUP(F403,BB!$A$8:$C$152,3,0)</f>
        <v>A02</v>
      </c>
      <c r="C403" s="136">
        <v>202604</v>
      </c>
      <c r="D403" s="134" t="s">
        <v>680</v>
      </c>
      <c r="E403" s="139">
        <v>46142</v>
      </c>
      <c r="F403" s="144" t="s">
        <v>166</v>
      </c>
      <c r="G403" s="149">
        <v>0</v>
      </c>
      <c r="H403" s="149">
        <v>11608500</v>
      </c>
      <c r="I403" s="191">
        <f>IF(G403&lt;&gt;0,G403,-H403)</f>
        <v>-11608500</v>
      </c>
      <c r="J403" s="149">
        <v>0</v>
      </c>
      <c r="K403" s="111" t="s">
        <v>304</v>
      </c>
      <c r="L403" s="151" t="s">
        <v>682</v>
      </c>
    </row>
    <row r="404" spans="1:42" s="111" customFormat="1" ht="12" customHeight="1" x14ac:dyDescent="0.2">
      <c r="A404" s="133"/>
      <c r="B404" s="135" t="str">
        <f>VLOOKUP(F404,BB!$A$8:$C$152,3,0)</f>
        <v>P05</v>
      </c>
      <c r="C404" s="136">
        <f t="shared" ref="C404:E404" si="113">+C403</f>
        <v>202604</v>
      </c>
      <c r="D404" s="134" t="str">
        <f t="shared" si="113"/>
        <v>MDR-2604014</v>
      </c>
      <c r="E404" s="139">
        <f t="shared" si="113"/>
        <v>46142</v>
      </c>
      <c r="F404" s="144" t="s">
        <v>439</v>
      </c>
      <c r="G404" s="149">
        <f>+H403</f>
        <v>11608500</v>
      </c>
      <c r="H404" s="149">
        <v>0</v>
      </c>
      <c r="I404" s="191">
        <f>IF(G404&lt;&gt;0,G404,-H404)</f>
        <v>11608500</v>
      </c>
      <c r="J404" s="146">
        <v>0</v>
      </c>
      <c r="K404" s="111" t="s">
        <v>304</v>
      </c>
      <c r="L404" s="151" t="str">
        <f>+L403</f>
        <v>PEMBAYARAN KE ORIX SEWA BULAN KE 46 (APR)</v>
      </c>
    </row>
    <row r="405" spans="1:42" s="111" customFormat="1" ht="12" customHeight="1" x14ac:dyDescent="0.2">
      <c r="A405" s="133"/>
      <c r="B405" s="135"/>
      <c r="C405" s="136"/>
      <c r="D405" s="134"/>
      <c r="E405" s="139"/>
      <c r="F405" s="144"/>
      <c r="G405" s="146"/>
      <c r="H405" s="149"/>
      <c r="I405" s="149"/>
      <c r="J405" s="146"/>
      <c r="L405" s="151"/>
    </row>
    <row r="406" spans="1:42" s="111" customFormat="1" ht="12" customHeight="1" x14ac:dyDescent="0.2">
      <c r="A406" s="133"/>
      <c r="B406" s="135" t="str">
        <f>VLOOKUP(F406,BB!$A$8:$C$152,3,0)</f>
        <v>A02</v>
      </c>
      <c r="C406" s="136">
        <v>202604</v>
      </c>
      <c r="D406" s="134" t="s">
        <v>681</v>
      </c>
      <c r="E406" s="139">
        <v>46142</v>
      </c>
      <c r="F406" s="144" t="s">
        <v>166</v>
      </c>
      <c r="G406" s="149">
        <v>0</v>
      </c>
      <c r="H406" s="149">
        <v>2900</v>
      </c>
      <c r="I406" s="149">
        <f>IF(G406&lt;&gt;0,G406,-H406)</f>
        <v>-2900</v>
      </c>
      <c r="J406" s="149">
        <v>0</v>
      </c>
      <c r="K406" s="111" t="s">
        <v>304</v>
      </c>
      <c r="L406" s="152" t="s">
        <v>407</v>
      </c>
      <c r="M406" s="136"/>
      <c r="N406" s="136"/>
      <c r="O406" s="136"/>
      <c r="P406" s="136"/>
      <c r="Q406" s="136"/>
      <c r="R406" s="136"/>
      <c r="S406" s="136"/>
      <c r="T406" s="136"/>
      <c r="U406" s="136"/>
      <c r="V406" s="136"/>
      <c r="W406" s="136"/>
      <c r="X406" s="136"/>
      <c r="Y406" s="136"/>
      <c r="Z406" s="136"/>
      <c r="AA406" s="136"/>
      <c r="AB406" s="136"/>
      <c r="AC406" s="136"/>
      <c r="AD406" s="136"/>
      <c r="AE406" s="136"/>
      <c r="AF406" s="136"/>
      <c r="AG406" s="136"/>
      <c r="AH406" s="136"/>
      <c r="AI406" s="136"/>
      <c r="AJ406" s="136"/>
      <c r="AK406" s="136"/>
      <c r="AL406" s="136"/>
      <c r="AM406" s="136"/>
      <c r="AN406" s="136"/>
      <c r="AO406" s="136"/>
      <c r="AP406" s="136"/>
    </row>
    <row r="407" spans="1:42" s="111" customFormat="1" ht="12" customHeight="1" x14ac:dyDescent="0.2">
      <c r="A407" s="133"/>
      <c r="B407" s="135" t="str">
        <f>VLOOKUP(F407,BB!$A$8:$C$152,3,0)</f>
        <v>LR07</v>
      </c>
      <c r="C407" s="136">
        <f>+C406</f>
        <v>202604</v>
      </c>
      <c r="D407" s="134" t="str">
        <f>+D406</f>
        <v>MDR-2604015</v>
      </c>
      <c r="E407" s="139">
        <f>+E406</f>
        <v>46142</v>
      </c>
      <c r="F407" s="144" t="s">
        <v>248</v>
      </c>
      <c r="G407" s="146">
        <f>+H406</f>
        <v>2900</v>
      </c>
      <c r="H407" s="149">
        <v>0</v>
      </c>
      <c r="I407" s="149">
        <f>IF(G407&lt;&gt;0,G407,-H407)</f>
        <v>2900</v>
      </c>
      <c r="J407" s="146">
        <v>0</v>
      </c>
      <c r="K407" s="111" t="s">
        <v>304</v>
      </c>
      <c r="L407" s="151" t="str">
        <f>+L406</f>
        <v>CLEARING FEE</v>
      </c>
    </row>
    <row r="408" spans="1:42" s="111" customFormat="1" ht="12" customHeight="1" x14ac:dyDescent="0.2">
      <c r="A408" s="133"/>
      <c r="B408" s="135"/>
      <c r="C408" s="136"/>
      <c r="D408" s="134"/>
      <c r="E408" s="139"/>
      <c r="F408" s="144"/>
      <c r="G408" s="146"/>
      <c r="H408" s="149"/>
      <c r="I408" s="149"/>
      <c r="J408" s="146"/>
      <c r="L408" s="151"/>
    </row>
    <row r="409" spans="1:42" s="111" customFormat="1" ht="12" customHeight="1" x14ac:dyDescent="0.2">
      <c r="A409" s="133"/>
      <c r="B409" s="135" t="str">
        <f>VLOOKUP(F409,BB!$A$8:$C$152,3,0)</f>
        <v>A02</v>
      </c>
      <c r="C409" s="136">
        <v>202604</v>
      </c>
      <c r="D409" s="134" t="s">
        <v>683</v>
      </c>
      <c r="E409" s="139">
        <v>46142</v>
      </c>
      <c r="F409" s="144" t="s">
        <v>166</v>
      </c>
      <c r="G409" s="149">
        <f>IF(SUM(I410:I412)&lt;0,-SUM(I410:I412),0)</f>
        <v>6095.2499999999973</v>
      </c>
      <c r="H409" s="149">
        <f>IF(SUM(I410:I412)&gt;0,SUM(I410:I412),0)</f>
        <v>0</v>
      </c>
      <c r="I409" s="149">
        <f>IF(G409&lt;&gt;0,G409,-H409)</f>
        <v>6095.2499999999973</v>
      </c>
      <c r="J409" s="146">
        <f>-J408</f>
        <v>0</v>
      </c>
      <c r="K409" s="111" t="str">
        <f>IF(I409&gt;0,"BANK MASUK","BANK KELUAR")</f>
        <v>BANK MASUK</v>
      </c>
      <c r="L409" s="151" t="str">
        <f>IF(K409="BANK MASUK","PENDAPATAN ATAS REKENING GIRO MANDIRI","BIAYA ATAS REKENING GIRO MANDIRI")</f>
        <v>PENDAPATAN ATAS REKENING GIRO MANDIRI</v>
      </c>
    </row>
    <row r="410" spans="1:42" s="111" customFormat="1" ht="12" customHeight="1" x14ac:dyDescent="0.2">
      <c r="A410" s="133"/>
      <c r="B410" s="135" t="str">
        <f>VLOOKUP(F410,BB!$A$8:$C$152,3,0)</f>
        <v>LR07</v>
      </c>
      <c r="C410" s="136">
        <f t="shared" ref="C410:E410" si="114">C409</f>
        <v>202604</v>
      </c>
      <c r="D410" s="134" t="str">
        <f t="shared" si="114"/>
        <v>MDR-2604016</v>
      </c>
      <c r="E410" s="139">
        <f t="shared" si="114"/>
        <v>46142</v>
      </c>
      <c r="F410" s="144" t="s">
        <v>248</v>
      </c>
      <c r="G410" s="149">
        <v>25000</v>
      </c>
      <c r="H410" s="149">
        <v>0</v>
      </c>
      <c r="I410" s="149">
        <f>IF(G410&lt;&gt;0,G410,-H410)</f>
        <v>25000</v>
      </c>
      <c r="J410" s="146">
        <f>-J409</f>
        <v>0</v>
      </c>
      <c r="K410" s="111" t="str">
        <f>K409</f>
        <v>BANK MASUK</v>
      </c>
      <c r="L410" s="151" t="s">
        <v>409</v>
      </c>
    </row>
    <row r="411" spans="1:42" s="111" customFormat="1" ht="12" customHeight="1" x14ac:dyDescent="0.2">
      <c r="A411" s="133"/>
      <c r="B411" s="135" t="str">
        <f>VLOOKUP(F411,BB!$A$8:$C$152,3,0)</f>
        <v>LR07</v>
      </c>
      <c r="C411" s="136">
        <f t="shared" ref="C411:E411" si="115">C410</f>
        <v>202604</v>
      </c>
      <c r="D411" s="134" t="str">
        <f t="shared" si="115"/>
        <v>MDR-2604016</v>
      </c>
      <c r="E411" s="139">
        <f t="shared" si="115"/>
        <v>46142</v>
      </c>
      <c r="F411" s="144" t="s">
        <v>248</v>
      </c>
      <c r="G411" s="149">
        <v>0</v>
      </c>
      <c r="H411" s="149">
        <v>38869.06</v>
      </c>
      <c r="I411" s="149">
        <f>IF(G411&lt;&gt;0,G411,-H411)</f>
        <v>-38869.06</v>
      </c>
      <c r="J411" s="146">
        <f>-J410</f>
        <v>0</v>
      </c>
      <c r="K411" s="111" t="str">
        <f>K410</f>
        <v>BANK MASUK</v>
      </c>
      <c r="L411" s="151" t="s">
        <v>410</v>
      </c>
    </row>
    <row r="412" spans="1:42" s="111" customFormat="1" ht="12" customHeight="1" x14ac:dyDescent="0.2">
      <c r="A412" s="133"/>
      <c r="B412" s="135" t="str">
        <f>VLOOKUP(F412,BB!$A$8:$C$152,3,0)</f>
        <v>LR07</v>
      </c>
      <c r="C412" s="136">
        <f t="shared" ref="C412:E412" si="116">C411</f>
        <v>202604</v>
      </c>
      <c r="D412" s="134" t="str">
        <f t="shared" si="116"/>
        <v>MDR-2604016</v>
      </c>
      <c r="E412" s="139">
        <f t="shared" si="116"/>
        <v>46142</v>
      </c>
      <c r="F412" s="144" t="s">
        <v>248</v>
      </c>
      <c r="G412" s="149">
        <v>7773.81</v>
      </c>
      <c r="H412" s="149">
        <v>0</v>
      </c>
      <c r="I412" s="149">
        <f>IF(G412&lt;&gt;0,G412,-H412)</f>
        <v>7773.81</v>
      </c>
      <c r="J412" s="146">
        <f>-J411</f>
        <v>0</v>
      </c>
      <c r="K412" s="111" t="str">
        <f>K411</f>
        <v>BANK MASUK</v>
      </c>
      <c r="L412" s="151" t="s">
        <v>411</v>
      </c>
    </row>
    <row r="413" spans="1:42" s="111" customFormat="1" ht="12" customHeight="1" x14ac:dyDescent="0.2">
      <c r="A413" s="133"/>
      <c r="B413" s="135"/>
      <c r="C413" s="136"/>
      <c r="D413" s="134"/>
      <c r="E413" s="139"/>
      <c r="F413" s="144"/>
      <c r="G413" s="146"/>
      <c r="H413" s="149"/>
      <c r="I413" s="149"/>
      <c r="J413" s="146"/>
      <c r="L413" s="151"/>
    </row>
    <row r="414" spans="1:42" s="111" customFormat="1" ht="12" customHeight="1" x14ac:dyDescent="0.2">
      <c r="A414" s="133"/>
      <c r="B414" s="135" t="str">
        <f>VLOOKUP(F414,BB!$A$8:$C$152,3,0)</f>
        <v>A02</v>
      </c>
      <c r="C414" s="136">
        <v>202604</v>
      </c>
      <c r="D414" s="134" t="s">
        <v>684</v>
      </c>
      <c r="E414" s="139">
        <v>46142</v>
      </c>
      <c r="F414" s="144" t="s">
        <v>167</v>
      </c>
      <c r="G414" s="149">
        <v>0</v>
      </c>
      <c r="H414" s="149">
        <v>30000</v>
      </c>
      <c r="I414" s="149">
        <f>IF(G414&lt;&gt;0,G414,-H414)</f>
        <v>-30000</v>
      </c>
      <c r="J414" s="149">
        <v>0</v>
      </c>
      <c r="K414" s="111" t="s">
        <v>304</v>
      </c>
      <c r="L414" s="151" t="s">
        <v>409</v>
      </c>
    </row>
    <row r="415" spans="1:42" s="111" customFormat="1" ht="12" customHeight="1" x14ac:dyDescent="0.2">
      <c r="A415" s="133"/>
      <c r="B415" s="135" t="str">
        <f>VLOOKUP(F415,BB!$A$8:$C$152,3,0)</f>
        <v>LR07</v>
      </c>
      <c r="C415" s="136">
        <f>C414</f>
        <v>202604</v>
      </c>
      <c r="D415" s="134" t="str">
        <f>D414</f>
        <v>BCA-2604001</v>
      </c>
      <c r="E415" s="139">
        <f>E414</f>
        <v>46142</v>
      </c>
      <c r="F415" s="144" t="s">
        <v>248</v>
      </c>
      <c r="G415" s="146">
        <v>30000</v>
      </c>
      <c r="H415" s="149">
        <v>0</v>
      </c>
      <c r="I415" s="149">
        <f>IF(G415&lt;&gt;0,G415,-H415)</f>
        <v>30000</v>
      </c>
      <c r="J415" s="146">
        <v>0</v>
      </c>
      <c r="K415" s="111" t="s">
        <v>304</v>
      </c>
      <c r="L415" s="151" t="s">
        <v>409</v>
      </c>
    </row>
    <row r="416" spans="1:42" s="111" customFormat="1" ht="12" customHeight="1" x14ac:dyDescent="0.2">
      <c r="A416" s="133"/>
      <c r="B416" s="135"/>
      <c r="C416" s="136"/>
      <c r="D416" s="134"/>
      <c r="E416" s="139"/>
      <c r="F416" s="144"/>
      <c r="G416" s="146"/>
      <c r="H416" s="149"/>
      <c r="I416" s="149"/>
      <c r="J416" s="146"/>
      <c r="L416" s="151"/>
    </row>
    <row r="417" spans="1:12" s="111" customFormat="1" ht="12" customHeight="1" x14ac:dyDescent="0.2">
      <c r="A417" s="133"/>
      <c r="B417" s="135" t="str">
        <f>VLOOKUP(F417,BB!$A$8:$C$152,3,0)</f>
        <v>A01</v>
      </c>
      <c r="C417" s="136">
        <v>202604</v>
      </c>
      <c r="D417" s="134" t="s">
        <v>768</v>
      </c>
      <c r="E417" s="139">
        <v>46113</v>
      </c>
      <c r="F417" s="144" t="s">
        <v>163</v>
      </c>
      <c r="G417" s="149">
        <v>250000</v>
      </c>
      <c r="H417" s="149">
        <v>0</v>
      </c>
      <c r="I417" s="149">
        <f>IF(G417&lt;&gt;0,G417,-H417)</f>
        <v>250000</v>
      </c>
      <c r="J417" s="149">
        <v>0</v>
      </c>
      <c r="K417" s="111" t="s">
        <v>509</v>
      </c>
      <c r="L417" s="152" t="s">
        <v>769</v>
      </c>
    </row>
    <row r="418" spans="1:12" s="111" customFormat="1" ht="12" customHeight="1" x14ac:dyDescent="0.2">
      <c r="A418" s="133"/>
      <c r="B418" s="135" t="str">
        <f>VLOOKUP(F418,BB!$A$8:$C$152,3,0)</f>
        <v>A04A</v>
      </c>
      <c r="C418" s="136">
        <f t="shared" ref="C418:E418" si="117">C417</f>
        <v>202604</v>
      </c>
      <c r="D418" s="134" t="str">
        <f t="shared" si="117"/>
        <v>KAS-2604001</v>
      </c>
      <c r="E418" s="139">
        <f t="shared" si="117"/>
        <v>46113</v>
      </c>
      <c r="F418" s="144" t="s">
        <v>471</v>
      </c>
      <c r="G418" s="146">
        <v>0</v>
      </c>
      <c r="H418" s="149">
        <f>+G417</f>
        <v>250000</v>
      </c>
      <c r="I418" s="149">
        <f>IF(G418&lt;&gt;0,G418,-H418)</f>
        <v>-250000</v>
      </c>
      <c r="J418" s="146">
        <f>-J417</f>
        <v>0</v>
      </c>
      <c r="K418" s="111" t="str">
        <f>K417</f>
        <v>KAS MASUK</v>
      </c>
      <c r="L418" s="152" t="str">
        <f>L417</f>
        <v>ANGSURAN PINJAMAN LAIN AN. AGUS R</v>
      </c>
    </row>
    <row r="419" spans="1:12" s="111" customFormat="1" ht="12" customHeight="1" x14ac:dyDescent="0.2">
      <c r="A419" s="133"/>
      <c r="B419" s="135" t="str">
        <f>VLOOKUP(F419,BB!$A$8:$C$152,3,0)</f>
        <v>LR01C</v>
      </c>
      <c r="C419" s="136">
        <f t="shared" ref="C419:E419" si="118">C418</f>
        <v>202604</v>
      </c>
      <c r="D419" s="134" t="str">
        <f t="shared" si="118"/>
        <v>KAS-2604001</v>
      </c>
      <c r="E419" s="139">
        <f t="shared" si="118"/>
        <v>46113</v>
      </c>
      <c r="F419" s="144" t="s">
        <v>371</v>
      </c>
      <c r="G419" s="146">
        <v>0</v>
      </c>
      <c r="H419" s="149">
        <f>G417-H418</f>
        <v>0</v>
      </c>
      <c r="I419" s="149">
        <f>IF(G419&lt;&gt;0,G419,-H419)</f>
        <v>0</v>
      </c>
      <c r="J419" s="146">
        <f>-J418</f>
        <v>0</v>
      </c>
      <c r="K419" s="111" t="str">
        <f>K418</f>
        <v>KAS MASUK</v>
      </c>
      <c r="L419" s="152" t="str">
        <f>"PENDAPATAN ATAS PINJAMAN LAIN "&amp;MID(L418,24,20)</f>
        <v>PENDAPATAN ATAS PINJAMAN LAIN AN. AGUS R</v>
      </c>
    </row>
    <row r="420" spans="1:12" s="111" customFormat="1" ht="12" customHeight="1" x14ac:dyDescent="0.2">
      <c r="A420" s="133"/>
      <c r="B420" s="135"/>
      <c r="C420" s="136"/>
      <c r="D420" s="134"/>
      <c r="E420" s="139"/>
      <c r="F420" s="144"/>
      <c r="G420" s="146"/>
      <c r="H420" s="149"/>
      <c r="I420" s="149"/>
      <c r="J420" s="146"/>
      <c r="L420" s="151"/>
    </row>
    <row r="421" spans="1:12" s="111" customFormat="1" ht="12" customHeight="1" x14ac:dyDescent="0.2">
      <c r="A421" s="133"/>
      <c r="B421" s="135" t="str">
        <f>VLOOKUP(F421,BB!$A$8:$C$152,3,0)</f>
        <v>A01</v>
      </c>
      <c r="C421" s="136">
        <v>202604</v>
      </c>
      <c r="D421" s="134" t="s">
        <v>770</v>
      </c>
      <c r="E421" s="139">
        <v>46113</v>
      </c>
      <c r="F421" s="144" t="s">
        <v>163</v>
      </c>
      <c r="G421" s="149">
        <v>350000</v>
      </c>
      <c r="H421" s="149">
        <v>0</v>
      </c>
      <c r="I421" s="149">
        <f>IF(G421&lt;&gt;0,G421,-H421)</f>
        <v>350000</v>
      </c>
      <c r="J421" s="149">
        <v>0</v>
      </c>
      <c r="K421" s="111" t="s">
        <v>509</v>
      </c>
      <c r="L421" s="152" t="s">
        <v>527</v>
      </c>
    </row>
    <row r="422" spans="1:12" s="111" customFormat="1" ht="12" customHeight="1" x14ac:dyDescent="0.2">
      <c r="A422" s="133"/>
      <c r="B422" s="135" t="str">
        <f>VLOOKUP(F422,BB!$A$8:$C$152,3,0)</f>
        <v>A04A</v>
      </c>
      <c r="C422" s="136">
        <f t="shared" ref="C422:E422" si="119">C421</f>
        <v>202604</v>
      </c>
      <c r="D422" s="134" t="str">
        <f t="shared" si="119"/>
        <v>KAS-2604002</v>
      </c>
      <c r="E422" s="139">
        <f t="shared" si="119"/>
        <v>46113</v>
      </c>
      <c r="F422" s="144" t="s">
        <v>471</v>
      </c>
      <c r="G422" s="146">
        <v>0</v>
      </c>
      <c r="H422" s="149">
        <f>+G421</f>
        <v>350000</v>
      </c>
      <c r="I422" s="149">
        <f>IF(G422&lt;&gt;0,G422,-H422)</f>
        <v>-350000</v>
      </c>
      <c r="J422" s="146">
        <f>-J421</f>
        <v>0</v>
      </c>
      <c r="K422" s="111" t="str">
        <f>K421</f>
        <v>KAS MASUK</v>
      </c>
      <c r="L422" s="152" t="str">
        <f>L421</f>
        <v>ANGSURAN PINJAMAN LAIN AN. SOLICHIN</v>
      </c>
    </row>
    <row r="423" spans="1:12" s="111" customFormat="1" ht="12" customHeight="1" x14ac:dyDescent="0.2">
      <c r="A423" s="133"/>
      <c r="B423" s="135" t="str">
        <f>VLOOKUP(F423,BB!$A$8:$C$152,3,0)</f>
        <v>LR01C</v>
      </c>
      <c r="C423" s="136">
        <f t="shared" ref="C423:E423" si="120">C422</f>
        <v>202604</v>
      </c>
      <c r="D423" s="134" t="str">
        <f t="shared" si="120"/>
        <v>KAS-2604002</v>
      </c>
      <c r="E423" s="139">
        <f t="shared" si="120"/>
        <v>46113</v>
      </c>
      <c r="F423" s="144" t="s">
        <v>371</v>
      </c>
      <c r="G423" s="146">
        <v>0</v>
      </c>
      <c r="H423" s="149">
        <f>G421-H422</f>
        <v>0</v>
      </c>
      <c r="I423" s="149">
        <f>IF(G423&lt;&gt;0,G423,-H423)</f>
        <v>0</v>
      </c>
      <c r="J423" s="146">
        <f>-J422</f>
        <v>0</v>
      </c>
      <c r="K423" s="111" t="str">
        <f>K422</f>
        <v>KAS MASUK</v>
      </c>
      <c r="L423" s="152" t="str">
        <f>"PENDAPATAN ATAS PINJAMAN LAIN "&amp;MID(L422,24,20)</f>
        <v>PENDAPATAN ATAS PINJAMAN LAIN AN. SOLICHIN</v>
      </c>
    </row>
    <row r="424" spans="1:12" s="111" customFormat="1" ht="12" customHeight="1" x14ac:dyDescent="0.2">
      <c r="A424" s="133"/>
      <c r="B424" s="135"/>
      <c r="C424" s="136"/>
      <c r="D424" s="134"/>
      <c r="E424" s="139"/>
      <c r="F424" s="144"/>
      <c r="G424" s="146"/>
      <c r="H424" s="149"/>
      <c r="I424" s="149"/>
      <c r="J424" s="146"/>
      <c r="L424" s="151"/>
    </row>
    <row r="425" spans="1:12" s="111" customFormat="1" ht="12" customHeight="1" x14ac:dyDescent="0.2">
      <c r="A425" s="133"/>
      <c r="B425" s="135" t="str">
        <f>VLOOKUP(F425,BB!$A$8:$C$152,3,0)</f>
        <v>A01</v>
      </c>
      <c r="C425" s="136">
        <v>202604</v>
      </c>
      <c r="D425" s="134" t="s">
        <v>771</v>
      </c>
      <c r="E425" s="139">
        <v>46113</v>
      </c>
      <c r="F425" s="144" t="s">
        <v>163</v>
      </c>
      <c r="G425" s="149">
        <v>500000</v>
      </c>
      <c r="H425" s="149">
        <v>0</v>
      </c>
      <c r="I425" s="149">
        <f>IF(G425&lt;&gt;0,G425,-H425)</f>
        <v>500000</v>
      </c>
      <c r="J425" s="149">
        <v>0</v>
      </c>
      <c r="K425" s="111" t="s">
        <v>509</v>
      </c>
      <c r="L425" s="152" t="s">
        <v>525</v>
      </c>
    </row>
    <row r="426" spans="1:12" s="111" customFormat="1" ht="12" customHeight="1" x14ac:dyDescent="0.2">
      <c r="A426" s="133"/>
      <c r="B426" s="135" t="str">
        <f>VLOOKUP(F426,BB!$A$8:$C$152,3,0)</f>
        <v>A04A</v>
      </c>
      <c r="C426" s="136">
        <f t="shared" ref="C426:E426" si="121">C425</f>
        <v>202604</v>
      </c>
      <c r="D426" s="134" t="str">
        <f t="shared" si="121"/>
        <v>KAS-2604003</v>
      </c>
      <c r="E426" s="139">
        <f t="shared" si="121"/>
        <v>46113</v>
      </c>
      <c r="F426" s="144" t="s">
        <v>471</v>
      </c>
      <c r="G426" s="146">
        <v>0</v>
      </c>
      <c r="H426" s="149">
        <f>+G425</f>
        <v>500000</v>
      </c>
      <c r="I426" s="149">
        <f>IF(G426&lt;&gt;0,G426,-H426)</f>
        <v>-500000</v>
      </c>
      <c r="J426" s="146">
        <f>-J425</f>
        <v>0</v>
      </c>
      <c r="K426" s="111" t="str">
        <f>K425</f>
        <v>KAS MASUK</v>
      </c>
      <c r="L426" s="152" t="str">
        <f>L425</f>
        <v>ANGSURAN PINJAMAN LAIN AN. ISFAK</v>
      </c>
    </row>
    <row r="427" spans="1:12" s="111" customFormat="1" ht="12" customHeight="1" x14ac:dyDescent="0.2">
      <c r="A427" s="133"/>
      <c r="B427" s="135" t="str">
        <f>VLOOKUP(F427,BB!$A$8:$C$152,3,0)</f>
        <v>LR01C</v>
      </c>
      <c r="C427" s="136">
        <f t="shared" ref="C427:E427" si="122">C426</f>
        <v>202604</v>
      </c>
      <c r="D427" s="134" t="str">
        <f t="shared" si="122"/>
        <v>KAS-2604003</v>
      </c>
      <c r="E427" s="139">
        <f t="shared" si="122"/>
        <v>46113</v>
      </c>
      <c r="F427" s="144" t="s">
        <v>371</v>
      </c>
      <c r="G427" s="146">
        <v>0</v>
      </c>
      <c r="H427" s="149">
        <f>G425-H426</f>
        <v>0</v>
      </c>
      <c r="I427" s="149">
        <f>IF(G427&lt;&gt;0,G427,-H427)</f>
        <v>0</v>
      </c>
      <c r="J427" s="146">
        <f>-J426</f>
        <v>0</v>
      </c>
      <c r="K427" s="111" t="str">
        <f>K426</f>
        <v>KAS MASUK</v>
      </c>
      <c r="L427" s="152" t="str">
        <f>"PENDAPATAN ATAS PINJAMAN LAIN "&amp;MID(L426,24,20)</f>
        <v>PENDAPATAN ATAS PINJAMAN LAIN AN. ISFAK</v>
      </c>
    </row>
    <row r="428" spans="1:12" s="111" customFormat="1" ht="12" customHeight="1" x14ac:dyDescent="0.2">
      <c r="A428" s="133"/>
      <c r="B428" s="135"/>
      <c r="C428" s="136"/>
      <c r="D428" s="134"/>
      <c r="E428" s="139"/>
      <c r="F428" s="144"/>
      <c r="G428" s="146"/>
      <c r="H428" s="149"/>
      <c r="I428" s="149"/>
      <c r="J428" s="146"/>
      <c r="L428" s="151"/>
    </row>
    <row r="429" spans="1:12" s="111" customFormat="1" ht="12" customHeight="1" x14ac:dyDescent="0.2">
      <c r="A429" s="133"/>
      <c r="B429" s="135" t="str">
        <f>VLOOKUP(F429,BB!$A$8:$C$152,3,0)</f>
        <v>A01</v>
      </c>
      <c r="C429" s="136">
        <v>202604</v>
      </c>
      <c r="D429" s="134" t="s">
        <v>772</v>
      </c>
      <c r="E429" s="139">
        <v>46118</v>
      </c>
      <c r="F429" s="144" t="s">
        <v>163</v>
      </c>
      <c r="G429" s="149">
        <v>267500</v>
      </c>
      <c r="H429" s="149">
        <v>0</v>
      </c>
      <c r="I429" s="149">
        <f>IF(G429&lt;&gt;0,G429,-H429)</f>
        <v>267500</v>
      </c>
      <c r="J429" s="149">
        <v>0</v>
      </c>
      <c r="K429" s="111" t="s">
        <v>509</v>
      </c>
      <c r="L429" s="152" t="s">
        <v>784</v>
      </c>
    </row>
    <row r="430" spans="1:12" s="111" customFormat="1" ht="12" customHeight="1" x14ac:dyDescent="0.2">
      <c r="A430" s="133"/>
      <c r="B430" s="135" t="str">
        <f>VLOOKUP(F430,BB!$A$8:$C$152,3,0)</f>
        <v>A04A</v>
      </c>
      <c r="C430" s="136">
        <f t="shared" ref="C430:E430" si="123">C429</f>
        <v>202604</v>
      </c>
      <c r="D430" s="134" t="str">
        <f t="shared" si="123"/>
        <v>KAS-2604004</v>
      </c>
      <c r="E430" s="139">
        <f t="shared" si="123"/>
        <v>46118</v>
      </c>
      <c r="F430" s="144" t="s">
        <v>471</v>
      </c>
      <c r="G430" s="146">
        <v>0</v>
      </c>
      <c r="H430" s="149">
        <v>92500</v>
      </c>
      <c r="I430" s="149">
        <f>IF(G430&lt;&gt;0,G430,-H430)</f>
        <v>-92500</v>
      </c>
      <c r="J430" s="146">
        <f>-J429</f>
        <v>0</v>
      </c>
      <c r="K430" s="111" t="str">
        <f>K429</f>
        <v>KAS MASUK</v>
      </c>
      <c r="L430" s="152" t="str">
        <f>L429</f>
        <v>PELUNASAN PINJAMAN LAIN AN. HANDOKO TS</v>
      </c>
    </row>
    <row r="431" spans="1:12" s="111" customFormat="1" ht="12" customHeight="1" x14ac:dyDescent="0.2">
      <c r="A431" s="133"/>
      <c r="B431" s="135" t="str">
        <f>VLOOKUP(F431,BB!$A$8:$C$152,3,0)</f>
        <v>LR01C</v>
      </c>
      <c r="C431" s="136">
        <f t="shared" ref="C431:E431" si="124">C430</f>
        <v>202604</v>
      </c>
      <c r="D431" s="134" t="str">
        <f t="shared" si="124"/>
        <v>KAS-2604004</v>
      </c>
      <c r="E431" s="139">
        <f t="shared" si="124"/>
        <v>46118</v>
      </c>
      <c r="F431" s="144" t="s">
        <v>371</v>
      </c>
      <c r="G431" s="146">
        <v>0</v>
      </c>
      <c r="H431" s="149">
        <f>G429-H430</f>
        <v>175000</v>
      </c>
      <c r="I431" s="149">
        <f>IF(G431&lt;&gt;0,G431,-H431)</f>
        <v>-175000</v>
      </c>
      <c r="J431" s="146">
        <f>-J430</f>
        <v>0</v>
      </c>
      <c r="K431" s="111" t="str">
        <f>K430</f>
        <v>KAS MASUK</v>
      </c>
      <c r="L431" s="152" t="str">
        <f>"PENDAPATAN ATAS PINJAMAN LAIN "&amp;MID(L430,24,20)</f>
        <v>PENDAPATAN ATAS PINJAMAN LAIN  AN. HANDOKO TS</v>
      </c>
    </row>
    <row r="432" spans="1:12" s="111" customFormat="1" ht="12" customHeight="1" x14ac:dyDescent="0.2">
      <c r="A432" s="133"/>
      <c r="B432" s="135"/>
      <c r="C432" s="136"/>
      <c r="D432" s="134"/>
      <c r="E432" s="139"/>
      <c r="F432" s="144"/>
      <c r="G432" s="146"/>
      <c r="H432" s="149"/>
      <c r="I432" s="149"/>
      <c r="J432" s="146"/>
      <c r="L432" s="151"/>
    </row>
    <row r="433" spans="1:14" s="111" customFormat="1" ht="12" customHeight="1" x14ac:dyDescent="0.2">
      <c r="A433" s="133"/>
      <c r="B433" s="135" t="str">
        <f>VLOOKUP(F433,BB!$A$8:$C$152,3,0)</f>
        <v>A01</v>
      </c>
      <c r="C433" s="136">
        <v>202604</v>
      </c>
      <c r="D433" s="134" t="s">
        <v>773</v>
      </c>
      <c r="E433" s="139">
        <v>46118</v>
      </c>
      <c r="F433" s="144" t="s">
        <v>163</v>
      </c>
      <c r="G433" s="149">
        <v>0</v>
      </c>
      <c r="H433" s="149">
        <v>2500000</v>
      </c>
      <c r="I433" s="149">
        <f>IF(G433&lt;&gt;0,G433,-H433)</f>
        <v>-2500000</v>
      </c>
      <c r="J433" s="149">
        <v>0</v>
      </c>
      <c r="K433" s="111" t="s">
        <v>510</v>
      </c>
      <c r="L433" s="152" t="s">
        <v>774</v>
      </c>
      <c r="M433" s="149"/>
      <c r="N433" s="149"/>
    </row>
    <row r="434" spans="1:14" s="111" customFormat="1" ht="12" customHeight="1" x14ac:dyDescent="0.2">
      <c r="A434" s="133"/>
      <c r="B434" s="135" t="str">
        <f>VLOOKUP(F434,BB!$A$8:$C$152,3,0)</f>
        <v>A04A</v>
      </c>
      <c r="C434" s="136">
        <f>C433</f>
        <v>202604</v>
      </c>
      <c r="D434" s="134" t="str">
        <f>D433</f>
        <v>KAS-2604005</v>
      </c>
      <c r="E434" s="139">
        <f>E433</f>
        <v>46118</v>
      </c>
      <c r="F434" s="144" t="s">
        <v>471</v>
      </c>
      <c r="G434" s="146">
        <f>H433</f>
        <v>2500000</v>
      </c>
      <c r="H434" s="149">
        <f>G433</f>
        <v>0</v>
      </c>
      <c r="I434" s="149">
        <f>IF(G434&lt;&gt;0,G434,-H434)</f>
        <v>2500000</v>
      </c>
      <c r="J434" s="146">
        <f>-J433</f>
        <v>0</v>
      </c>
      <c r="K434" s="111" t="str">
        <f>K433</f>
        <v>KAS KELUAR</v>
      </c>
      <c r="L434" s="151" t="str">
        <f>L433</f>
        <v>PINJAMAN LAIN AN. HANDOKO TS</v>
      </c>
      <c r="M434" s="146"/>
      <c r="N434" s="149"/>
    </row>
    <row r="435" spans="1:14" s="111" customFormat="1" ht="12" customHeight="1" x14ac:dyDescent="0.2">
      <c r="A435" s="133"/>
      <c r="B435" s="135"/>
      <c r="C435" s="136"/>
      <c r="D435" s="134"/>
      <c r="E435" s="139"/>
      <c r="F435" s="144"/>
      <c r="G435" s="146"/>
      <c r="H435" s="149"/>
      <c r="I435" s="149"/>
      <c r="J435" s="146"/>
      <c r="L435" s="151"/>
    </row>
    <row r="436" spans="1:14" s="111" customFormat="1" ht="12" customHeight="1" x14ac:dyDescent="0.2">
      <c r="A436" s="133"/>
      <c r="B436" s="135" t="str">
        <f>VLOOKUP(F436,BB!$A$8:$C$152,3,0)</f>
        <v>A01</v>
      </c>
      <c r="C436" s="136">
        <v>202604</v>
      </c>
      <c r="D436" s="134" t="s">
        <v>775</v>
      </c>
      <c r="E436" s="139">
        <v>46122</v>
      </c>
      <c r="F436" s="144" t="s">
        <v>163</v>
      </c>
      <c r="G436" s="149">
        <v>0</v>
      </c>
      <c r="H436" s="149">
        <v>750000</v>
      </c>
      <c r="I436" s="149">
        <f>IF(G436&lt;&gt;0,G436,-H436)</f>
        <v>-750000</v>
      </c>
      <c r="J436" s="149">
        <v>0</v>
      </c>
      <c r="K436" s="111" t="s">
        <v>510</v>
      </c>
      <c r="L436" s="152" t="s">
        <v>499</v>
      </c>
      <c r="M436" s="149"/>
      <c r="N436" s="149"/>
    </row>
    <row r="437" spans="1:14" s="111" customFormat="1" ht="12" customHeight="1" x14ac:dyDescent="0.2">
      <c r="A437" s="133"/>
      <c r="B437" s="135" t="str">
        <f>VLOOKUP(F437,BB!$A$8:$C$152,3,0)</f>
        <v>LR05</v>
      </c>
      <c r="C437" s="136">
        <f>C436</f>
        <v>202604</v>
      </c>
      <c r="D437" s="134" t="str">
        <f>D436</f>
        <v>KAS-2604006</v>
      </c>
      <c r="E437" s="139">
        <f>E436</f>
        <v>46122</v>
      </c>
      <c r="F437" s="139" t="s">
        <v>234</v>
      </c>
      <c r="G437" s="146">
        <f>H436</f>
        <v>750000</v>
      </c>
      <c r="H437" s="149">
        <f>G436</f>
        <v>0</v>
      </c>
      <c r="I437" s="149">
        <f>IF(G437&lt;&gt;0,G437,-H437)</f>
        <v>750000</v>
      </c>
      <c r="J437" s="146">
        <f>-J436</f>
        <v>0</v>
      </c>
      <c r="K437" s="111" t="str">
        <f>K436</f>
        <v>KAS KELUAR</v>
      </c>
      <c r="L437" s="151" t="str">
        <f>L436</f>
        <v>BY REPRESENTATIF ADMIN KKCS FARID F</v>
      </c>
      <c r="M437" s="146"/>
      <c r="N437" s="149"/>
    </row>
    <row r="438" spans="1:14" s="111" customFormat="1" ht="12" customHeight="1" x14ac:dyDescent="0.2">
      <c r="A438" s="133"/>
      <c r="B438" s="135"/>
      <c r="C438" s="136"/>
      <c r="D438" s="134"/>
      <c r="E438" s="139"/>
      <c r="F438" s="144"/>
      <c r="G438" s="146"/>
      <c r="H438" s="149"/>
      <c r="I438" s="149"/>
      <c r="J438" s="146"/>
      <c r="L438" s="151"/>
    </row>
    <row r="439" spans="1:14" s="111" customFormat="1" ht="12" customHeight="1" x14ac:dyDescent="0.2">
      <c r="A439" s="133"/>
      <c r="B439" s="135" t="str">
        <f>VLOOKUP(F439,BB!$A$8:$C$152,3,0)</f>
        <v>A01</v>
      </c>
      <c r="C439" s="136">
        <v>202604</v>
      </c>
      <c r="D439" s="134" t="s">
        <v>776</v>
      </c>
      <c r="E439" s="139">
        <v>46122</v>
      </c>
      <c r="F439" s="144" t="s">
        <v>163</v>
      </c>
      <c r="G439" s="149">
        <v>320000</v>
      </c>
      <c r="H439" s="149">
        <v>0</v>
      </c>
      <c r="I439" s="149">
        <f>IF(G439&lt;&gt;0,G439,-H439)</f>
        <v>320000</v>
      </c>
      <c r="J439" s="149">
        <v>0</v>
      </c>
      <c r="K439" s="111" t="s">
        <v>509</v>
      </c>
      <c r="L439" s="152" t="s">
        <v>512</v>
      </c>
    </row>
    <row r="440" spans="1:14" s="111" customFormat="1" ht="12" customHeight="1" x14ac:dyDescent="0.2">
      <c r="A440" s="133"/>
      <c r="B440" s="135" t="str">
        <f>VLOOKUP(F440,BB!$A$8:$C$152,3,0)</f>
        <v>A04A</v>
      </c>
      <c r="C440" s="136">
        <f t="shared" ref="C440:E440" si="125">C439</f>
        <v>202604</v>
      </c>
      <c r="D440" s="134" t="str">
        <f t="shared" si="125"/>
        <v>KAS-2604007</v>
      </c>
      <c r="E440" s="139">
        <f t="shared" si="125"/>
        <v>46122</v>
      </c>
      <c r="F440" s="144" t="s">
        <v>471</v>
      </c>
      <c r="G440" s="146">
        <v>0</v>
      </c>
      <c r="H440" s="149">
        <f>+G439</f>
        <v>320000</v>
      </c>
      <c r="I440" s="149">
        <f>IF(G440&lt;&gt;0,G440,-H440)</f>
        <v>-320000</v>
      </c>
      <c r="J440" s="146">
        <f>-J439</f>
        <v>0</v>
      </c>
      <c r="K440" s="111" t="str">
        <f>K439</f>
        <v>KAS MASUK</v>
      </c>
      <c r="L440" s="152" t="str">
        <f>L439</f>
        <v>ANGSURAN PINJAMAN LAIN AN. FADELAN</v>
      </c>
    </row>
    <row r="441" spans="1:14" s="111" customFormat="1" ht="12" customHeight="1" x14ac:dyDescent="0.2">
      <c r="A441" s="133"/>
      <c r="B441" s="135" t="str">
        <f>VLOOKUP(F441,BB!$A$8:$C$152,3,0)</f>
        <v>LR01C</v>
      </c>
      <c r="C441" s="136">
        <f t="shared" ref="C441:E441" si="126">C440</f>
        <v>202604</v>
      </c>
      <c r="D441" s="134" t="str">
        <f t="shared" si="126"/>
        <v>KAS-2604007</v>
      </c>
      <c r="E441" s="139">
        <f t="shared" si="126"/>
        <v>46122</v>
      </c>
      <c r="F441" s="144" t="s">
        <v>371</v>
      </c>
      <c r="G441" s="146">
        <v>0</v>
      </c>
      <c r="H441" s="149">
        <f>G439-H440</f>
        <v>0</v>
      </c>
      <c r="I441" s="149">
        <f>IF(G441&lt;&gt;0,G441,-H441)</f>
        <v>0</v>
      </c>
      <c r="J441" s="146">
        <f>-J440</f>
        <v>0</v>
      </c>
      <c r="K441" s="111" t="str">
        <f>K440</f>
        <v>KAS MASUK</v>
      </c>
      <c r="L441" s="152" t="str">
        <f>"PENDAPATAN ATAS PINJAMAN LAIN "&amp;MID(L440,24,20)</f>
        <v>PENDAPATAN ATAS PINJAMAN LAIN AN. FADELAN</v>
      </c>
    </row>
    <row r="442" spans="1:14" s="111" customFormat="1" ht="12" customHeight="1" x14ac:dyDescent="0.2">
      <c r="A442" s="133"/>
      <c r="B442" s="135"/>
      <c r="C442" s="136"/>
      <c r="D442" s="134"/>
      <c r="E442" s="139"/>
      <c r="F442" s="144"/>
      <c r="G442" s="146"/>
      <c r="H442" s="149"/>
      <c r="I442" s="149"/>
      <c r="J442" s="146"/>
      <c r="L442" s="151"/>
    </row>
    <row r="443" spans="1:14" s="111" customFormat="1" ht="12" customHeight="1" x14ac:dyDescent="0.2">
      <c r="A443" s="133"/>
      <c r="B443" s="135" t="str">
        <f>VLOOKUP(F443,BB!$A$8:$C$152,3,0)</f>
        <v>A01</v>
      </c>
      <c r="C443" s="136">
        <v>202604</v>
      </c>
      <c r="D443" s="134" t="s">
        <v>777</v>
      </c>
      <c r="E443" s="139">
        <v>46136</v>
      </c>
      <c r="F443" s="144" t="s">
        <v>163</v>
      </c>
      <c r="G443" s="149">
        <v>200000</v>
      </c>
      <c r="H443" s="149">
        <v>0</v>
      </c>
      <c r="I443" s="149">
        <f>IF(G443&lt;&gt;0,G443,-H443)</f>
        <v>200000</v>
      </c>
      <c r="J443" s="149">
        <v>0</v>
      </c>
      <c r="K443" s="111" t="s">
        <v>509</v>
      </c>
      <c r="L443" s="152" t="s">
        <v>533</v>
      </c>
    </row>
    <row r="444" spans="1:14" s="111" customFormat="1" ht="12" customHeight="1" x14ac:dyDescent="0.2">
      <c r="A444" s="133"/>
      <c r="B444" s="135" t="str">
        <f>VLOOKUP(F444,BB!$A$8:$C$152,3,0)</f>
        <v>A04A</v>
      </c>
      <c r="C444" s="136">
        <f t="shared" ref="C444:E444" si="127">C443</f>
        <v>202604</v>
      </c>
      <c r="D444" s="134" t="str">
        <f t="shared" si="127"/>
        <v>KAS-2604008</v>
      </c>
      <c r="E444" s="139">
        <f t="shared" si="127"/>
        <v>46136</v>
      </c>
      <c r="F444" s="144" t="s">
        <v>471</v>
      </c>
      <c r="G444" s="146">
        <v>0</v>
      </c>
      <c r="H444" s="149">
        <f>+G443</f>
        <v>200000</v>
      </c>
      <c r="I444" s="149">
        <f>IF(G444&lt;&gt;0,G444,-H444)</f>
        <v>-200000</v>
      </c>
      <c r="J444" s="146">
        <f>-J443</f>
        <v>0</v>
      </c>
      <c r="K444" s="111" t="str">
        <f>K443</f>
        <v>KAS MASUK</v>
      </c>
      <c r="L444" s="152" t="str">
        <f>L443</f>
        <v>ANGSURAN PINJAMAN LAIN AN. ARI WIBOWO</v>
      </c>
    </row>
    <row r="445" spans="1:14" s="111" customFormat="1" ht="12" customHeight="1" x14ac:dyDescent="0.2">
      <c r="A445" s="133"/>
      <c r="B445" s="135" t="str">
        <f>VLOOKUP(F445,BB!$A$8:$C$152,3,0)</f>
        <v>LR01C</v>
      </c>
      <c r="C445" s="136">
        <f t="shared" ref="C445:E445" si="128">C444</f>
        <v>202604</v>
      </c>
      <c r="D445" s="134" t="str">
        <f t="shared" si="128"/>
        <v>KAS-2604008</v>
      </c>
      <c r="E445" s="139">
        <f t="shared" si="128"/>
        <v>46136</v>
      </c>
      <c r="F445" s="144" t="s">
        <v>371</v>
      </c>
      <c r="G445" s="146">
        <v>0</v>
      </c>
      <c r="H445" s="149">
        <f>G443-H444</f>
        <v>0</v>
      </c>
      <c r="I445" s="149">
        <f>IF(G445&lt;&gt;0,G445,-H445)</f>
        <v>0</v>
      </c>
      <c r="J445" s="146">
        <f>-J444</f>
        <v>0</v>
      </c>
      <c r="K445" s="111" t="str">
        <f>K444</f>
        <v>KAS MASUK</v>
      </c>
      <c r="L445" s="152" t="str">
        <f>"PENDAPATAN ATAS PINJAMAN LAIN "&amp;MID(L444,24,20)</f>
        <v>PENDAPATAN ATAS PINJAMAN LAIN AN. ARI WIBOWO</v>
      </c>
    </row>
    <row r="446" spans="1:14" s="111" customFormat="1" ht="12" customHeight="1" x14ac:dyDescent="0.2">
      <c r="A446" s="133"/>
      <c r="B446" s="135"/>
      <c r="C446" s="136"/>
      <c r="D446" s="134"/>
      <c r="E446" s="139"/>
      <c r="F446" s="144"/>
      <c r="G446" s="146"/>
      <c r="H446" s="149"/>
      <c r="I446" s="149"/>
      <c r="J446" s="146"/>
      <c r="L446" s="151"/>
    </row>
    <row r="447" spans="1:14" s="111" customFormat="1" ht="12" customHeight="1" x14ac:dyDescent="0.2">
      <c r="A447" s="133"/>
      <c r="B447" s="135" t="str">
        <f>VLOOKUP(F447,BB!$A$8:$C$152,3,0)</f>
        <v>A01</v>
      </c>
      <c r="C447" s="136">
        <v>202604</v>
      </c>
      <c r="D447" s="134" t="s">
        <v>778</v>
      </c>
      <c r="E447" s="139">
        <v>46136</v>
      </c>
      <c r="F447" s="144" t="s">
        <v>163</v>
      </c>
      <c r="G447" s="149">
        <v>1160000</v>
      </c>
      <c r="H447" s="149">
        <v>0</v>
      </c>
      <c r="I447" s="149">
        <f>IF(G447&lt;&gt;0,G447,-H447)</f>
        <v>1160000</v>
      </c>
      <c r="J447" s="149">
        <v>0</v>
      </c>
      <c r="K447" s="111" t="s">
        <v>509</v>
      </c>
      <c r="L447" s="152" t="s">
        <v>779</v>
      </c>
    </row>
    <row r="448" spans="1:14" s="111" customFormat="1" ht="12" customHeight="1" x14ac:dyDescent="0.2">
      <c r="A448" s="133"/>
      <c r="B448" s="135" t="str">
        <f>VLOOKUP(F448,BB!$A$8:$C$152,3,0)</f>
        <v>A04A</v>
      </c>
      <c r="C448" s="136">
        <f t="shared" ref="C448:E448" si="129">C447</f>
        <v>202604</v>
      </c>
      <c r="D448" s="134" t="str">
        <f t="shared" si="129"/>
        <v>KAS-2604009</v>
      </c>
      <c r="E448" s="139">
        <f t="shared" si="129"/>
        <v>46136</v>
      </c>
      <c r="F448" s="144" t="s">
        <v>471</v>
      </c>
      <c r="G448" s="146">
        <v>0</v>
      </c>
      <c r="H448" s="149">
        <v>950000</v>
      </c>
      <c r="I448" s="149">
        <f>IF(G448&lt;&gt;0,G448,-H448)</f>
        <v>-950000</v>
      </c>
      <c r="J448" s="146">
        <f>-J447</f>
        <v>0</v>
      </c>
      <c r="K448" s="111" t="str">
        <f>K447</f>
        <v>KAS MASUK</v>
      </c>
      <c r="L448" s="152" t="str">
        <f>L447</f>
        <v>PELUNASANPINJAMAN LAIN AN. SOLICHIN</v>
      </c>
    </row>
    <row r="449" spans="1:14" s="111" customFormat="1" ht="12" customHeight="1" x14ac:dyDescent="0.2">
      <c r="A449" s="133"/>
      <c r="B449" s="135" t="str">
        <f>VLOOKUP(F449,BB!$A$8:$C$152,3,0)</f>
        <v>LR01C</v>
      </c>
      <c r="C449" s="136">
        <f t="shared" ref="C449:E449" si="130">C448</f>
        <v>202604</v>
      </c>
      <c r="D449" s="134" t="str">
        <f t="shared" si="130"/>
        <v>KAS-2604009</v>
      </c>
      <c r="E449" s="139">
        <f t="shared" si="130"/>
        <v>46136</v>
      </c>
      <c r="F449" s="144" t="s">
        <v>371</v>
      </c>
      <c r="G449" s="146">
        <v>0</v>
      </c>
      <c r="H449" s="149">
        <f>G447-H448</f>
        <v>210000</v>
      </c>
      <c r="I449" s="149">
        <f>IF(G449&lt;&gt;0,G449,-H449)</f>
        <v>-210000</v>
      </c>
      <c r="J449" s="146">
        <f>-J448</f>
        <v>0</v>
      </c>
      <c r="K449" s="111" t="str">
        <f>K448</f>
        <v>KAS MASUK</v>
      </c>
      <c r="L449" s="152" t="str">
        <f>"PENDAPATAN ATAS PINJAMAN LAIN "&amp;MID(L448,24,20)</f>
        <v>PENDAPATAN ATAS PINJAMAN LAIN AN. SOLICHIN</v>
      </c>
    </row>
    <row r="450" spans="1:14" s="111" customFormat="1" ht="12" customHeight="1" x14ac:dyDescent="0.2">
      <c r="A450" s="133"/>
      <c r="B450" s="135"/>
      <c r="C450" s="136"/>
      <c r="D450" s="134"/>
      <c r="E450" s="139"/>
      <c r="F450" s="144"/>
      <c r="G450" s="146"/>
      <c r="H450" s="149"/>
      <c r="I450" s="149"/>
      <c r="J450" s="146"/>
      <c r="L450" s="151"/>
    </row>
    <row r="451" spans="1:14" s="111" customFormat="1" ht="12" customHeight="1" x14ac:dyDescent="0.2">
      <c r="A451" s="133"/>
      <c r="B451" s="135" t="str">
        <f>VLOOKUP(F451,BB!$A$8:$C$152,3,0)</f>
        <v>A01</v>
      </c>
      <c r="C451" s="136">
        <v>202604</v>
      </c>
      <c r="D451" s="134" t="s">
        <v>780</v>
      </c>
      <c r="E451" s="139">
        <v>46136</v>
      </c>
      <c r="F451" s="144" t="s">
        <v>163</v>
      </c>
      <c r="G451" s="149">
        <v>0</v>
      </c>
      <c r="H451" s="149">
        <v>3000000</v>
      </c>
      <c r="I451" s="149">
        <f>IF(G451&lt;&gt;0,G451,-H451)</f>
        <v>-3000000</v>
      </c>
      <c r="J451" s="149">
        <v>0</v>
      </c>
      <c r="K451" s="111" t="s">
        <v>510</v>
      </c>
      <c r="L451" s="152" t="s">
        <v>526</v>
      </c>
      <c r="M451" s="149"/>
      <c r="N451" s="149"/>
    </row>
    <row r="452" spans="1:14" s="111" customFormat="1" ht="12" customHeight="1" x14ac:dyDescent="0.2">
      <c r="A452" s="133"/>
      <c r="B452" s="135" t="str">
        <f>VLOOKUP(F452,BB!$A$8:$C$152,3,0)</f>
        <v>A04A</v>
      </c>
      <c r="C452" s="136">
        <f>C451</f>
        <v>202604</v>
      </c>
      <c r="D452" s="134" t="str">
        <f>D451</f>
        <v>KAS-2604010</v>
      </c>
      <c r="E452" s="139">
        <f>E451</f>
        <v>46136</v>
      </c>
      <c r="F452" s="144" t="s">
        <v>471</v>
      </c>
      <c r="G452" s="146">
        <f>H451</f>
        <v>3000000</v>
      </c>
      <c r="H452" s="149">
        <f>G451</f>
        <v>0</v>
      </c>
      <c r="I452" s="149">
        <f>IF(G452&lt;&gt;0,G452,-H452)</f>
        <v>3000000</v>
      </c>
      <c r="J452" s="146">
        <f>-J451</f>
        <v>0</v>
      </c>
      <c r="K452" s="111" t="str">
        <f>K451</f>
        <v>KAS KELUAR</v>
      </c>
      <c r="L452" s="151" t="str">
        <f>L451</f>
        <v>PINJAMAN LAIN AN. SOLICHIN</v>
      </c>
      <c r="M452" s="146"/>
      <c r="N452" s="149"/>
    </row>
    <row r="453" spans="1:14" s="111" customFormat="1" ht="12" customHeight="1" x14ac:dyDescent="0.2">
      <c r="A453" s="133"/>
      <c r="B453" s="135"/>
      <c r="C453" s="136"/>
      <c r="D453" s="134"/>
      <c r="E453" s="139"/>
      <c r="F453" s="144"/>
      <c r="G453" s="146"/>
      <c r="H453" s="149"/>
      <c r="I453" s="149"/>
      <c r="J453" s="146"/>
      <c r="L453" s="151"/>
    </row>
    <row r="454" spans="1:14" s="111" customFormat="1" ht="12" customHeight="1" x14ac:dyDescent="0.2">
      <c r="A454" s="133"/>
      <c r="B454" s="135" t="str">
        <f>VLOOKUP(F454,BB!$A$8:$C$152,3,0)</f>
        <v>A01</v>
      </c>
      <c r="C454" s="136">
        <v>202604</v>
      </c>
      <c r="D454" s="134" t="s">
        <v>781</v>
      </c>
      <c r="E454" s="139">
        <v>46139</v>
      </c>
      <c r="F454" s="144" t="s">
        <v>163</v>
      </c>
      <c r="G454" s="149">
        <v>267500</v>
      </c>
      <c r="H454" s="149">
        <v>0</v>
      </c>
      <c r="I454" s="149">
        <f>IF(G454&lt;&gt;0,G454,-H454)</f>
        <v>267500</v>
      </c>
      <c r="J454" s="149">
        <v>0</v>
      </c>
      <c r="K454" s="111" t="s">
        <v>509</v>
      </c>
      <c r="L454" s="152" t="s">
        <v>734</v>
      </c>
    </row>
    <row r="455" spans="1:14" s="111" customFormat="1" ht="12" customHeight="1" x14ac:dyDescent="0.2">
      <c r="A455" s="133"/>
      <c r="B455" s="135" t="str">
        <f>VLOOKUP(F455,BB!$A$8:$C$152,3,0)</f>
        <v>A04A</v>
      </c>
      <c r="C455" s="136">
        <f t="shared" ref="C455:E455" si="131">C454</f>
        <v>202604</v>
      </c>
      <c r="D455" s="134" t="str">
        <f t="shared" si="131"/>
        <v>KAS-2604011</v>
      </c>
      <c r="E455" s="139">
        <f t="shared" si="131"/>
        <v>46139</v>
      </c>
      <c r="F455" s="144" t="s">
        <v>471</v>
      </c>
      <c r="G455" s="146">
        <v>0</v>
      </c>
      <c r="H455" s="149">
        <f>+G454</f>
        <v>267500</v>
      </c>
      <c r="I455" s="149">
        <f>IF(G455&lt;&gt;0,G455,-H455)</f>
        <v>-267500</v>
      </c>
      <c r="J455" s="146">
        <f>-J454</f>
        <v>0</v>
      </c>
      <c r="K455" s="111" t="str">
        <f>K454</f>
        <v>KAS MASUK</v>
      </c>
      <c r="L455" s="152" t="str">
        <f>L454</f>
        <v>ANGSURAN PINJAMAN LAIN AN. HANDOKO TS</v>
      </c>
    </row>
    <row r="456" spans="1:14" s="111" customFormat="1" ht="12" customHeight="1" x14ac:dyDescent="0.2">
      <c r="A456" s="133"/>
      <c r="B456" s="135" t="str">
        <f>VLOOKUP(F456,BB!$A$8:$C$152,3,0)</f>
        <v>LR01C</v>
      </c>
      <c r="C456" s="136">
        <f t="shared" ref="C456:E456" si="132">C455</f>
        <v>202604</v>
      </c>
      <c r="D456" s="134" t="str">
        <f t="shared" si="132"/>
        <v>KAS-2604011</v>
      </c>
      <c r="E456" s="139">
        <f t="shared" si="132"/>
        <v>46139</v>
      </c>
      <c r="F456" s="144" t="s">
        <v>371</v>
      </c>
      <c r="G456" s="146">
        <v>0</v>
      </c>
      <c r="H456" s="149">
        <f>G454-H455</f>
        <v>0</v>
      </c>
      <c r="I456" s="149">
        <f>IF(G456&lt;&gt;0,G456,-H456)</f>
        <v>0</v>
      </c>
      <c r="J456" s="146">
        <f>-J455</f>
        <v>0</v>
      </c>
      <c r="K456" s="111" t="str">
        <f>K455</f>
        <v>KAS MASUK</v>
      </c>
      <c r="L456" s="152" t="str">
        <f>"PENDAPATAN ATAS PINJAMAN LAIN "&amp;MID(L455,24,20)</f>
        <v>PENDAPATAN ATAS PINJAMAN LAIN AN. HANDOKO TS</v>
      </c>
    </row>
    <row r="457" spans="1:14" s="111" customFormat="1" ht="12" customHeight="1" x14ac:dyDescent="0.2">
      <c r="A457" s="133"/>
      <c r="B457" s="135"/>
      <c r="C457" s="136"/>
      <c r="D457" s="134"/>
      <c r="E457" s="139"/>
      <c r="F457" s="144"/>
      <c r="G457" s="146"/>
      <c r="H457" s="149"/>
      <c r="I457" s="149"/>
      <c r="J457" s="146"/>
      <c r="L457" s="151"/>
    </row>
    <row r="458" spans="1:14" s="111" customFormat="1" ht="12" customHeight="1" x14ac:dyDescent="0.2">
      <c r="A458" s="133"/>
      <c r="B458" s="135" t="str">
        <f>VLOOKUP(F458,BB!$A$8:$C$152,3,0)</f>
        <v>A01</v>
      </c>
      <c r="C458" s="136">
        <v>202604</v>
      </c>
      <c r="D458" s="134" t="s">
        <v>782</v>
      </c>
      <c r="E458" s="139">
        <v>46140</v>
      </c>
      <c r="F458" s="144" t="s">
        <v>163</v>
      </c>
      <c r="G458" s="149">
        <v>321000</v>
      </c>
      <c r="H458" s="149">
        <v>0</v>
      </c>
      <c r="I458" s="149">
        <f>IF(G458&lt;&gt;0,G458,-H458)</f>
        <v>321000</v>
      </c>
      <c r="J458" s="149">
        <v>0</v>
      </c>
      <c r="K458" s="111" t="s">
        <v>509</v>
      </c>
      <c r="L458" s="152" t="s">
        <v>511</v>
      </c>
    </row>
    <row r="459" spans="1:14" s="111" customFormat="1" ht="12" customHeight="1" x14ac:dyDescent="0.2">
      <c r="A459" s="133"/>
      <c r="B459" s="135" t="str">
        <f>VLOOKUP(F459,BB!$A$8:$C$152,3,0)</f>
        <v>A04A</v>
      </c>
      <c r="C459" s="136">
        <f t="shared" ref="C459:E459" si="133">C458</f>
        <v>202604</v>
      </c>
      <c r="D459" s="134" t="str">
        <f t="shared" si="133"/>
        <v>KAS-2604012</v>
      </c>
      <c r="E459" s="139">
        <f t="shared" si="133"/>
        <v>46140</v>
      </c>
      <c r="F459" s="144" t="s">
        <v>471</v>
      </c>
      <c r="G459" s="146">
        <v>0</v>
      </c>
      <c r="H459" s="149">
        <f>+G458</f>
        <v>321000</v>
      </c>
      <c r="I459" s="149">
        <f>IF(G459&lt;&gt;0,G459,-H459)</f>
        <v>-321000</v>
      </c>
      <c r="J459" s="146">
        <f>-J458</f>
        <v>0</v>
      </c>
      <c r="K459" s="111" t="str">
        <f>K458</f>
        <v>KAS MASUK</v>
      </c>
      <c r="L459" s="152" t="str">
        <f>L458</f>
        <v>ANGSURAN PINJAMAN LAIN AN. BUKHORI</v>
      </c>
    </row>
    <row r="460" spans="1:14" s="111" customFormat="1" ht="12" customHeight="1" x14ac:dyDescent="0.2">
      <c r="A460" s="133"/>
      <c r="B460" s="135" t="str">
        <f>VLOOKUP(F460,BB!$A$8:$C$152,3,0)</f>
        <v>LR01C</v>
      </c>
      <c r="C460" s="136">
        <f t="shared" ref="C460:E460" si="134">C459</f>
        <v>202604</v>
      </c>
      <c r="D460" s="134" t="str">
        <f t="shared" si="134"/>
        <v>KAS-2604012</v>
      </c>
      <c r="E460" s="139">
        <f t="shared" si="134"/>
        <v>46140</v>
      </c>
      <c r="F460" s="144" t="s">
        <v>371</v>
      </c>
      <c r="G460" s="146">
        <v>0</v>
      </c>
      <c r="H460" s="149">
        <f>G458-H459</f>
        <v>0</v>
      </c>
      <c r="I460" s="149">
        <f>IF(G460&lt;&gt;0,G460,-H460)</f>
        <v>0</v>
      </c>
      <c r="J460" s="146">
        <f>-J459</f>
        <v>0</v>
      </c>
      <c r="K460" s="111" t="str">
        <f>K459</f>
        <v>KAS MASUK</v>
      </c>
      <c r="L460" s="152" t="str">
        <f>"PENDAPATAN ATAS PINJAMAN LAIN "&amp;MID(L459,24,20)</f>
        <v>PENDAPATAN ATAS PINJAMAN LAIN AN. BUKHORI</v>
      </c>
    </row>
    <row r="461" spans="1:14" s="111" customFormat="1" ht="12" customHeight="1" x14ac:dyDescent="0.2">
      <c r="A461" s="133"/>
      <c r="B461" s="135"/>
      <c r="C461" s="136"/>
      <c r="D461" s="134"/>
      <c r="E461" s="139"/>
      <c r="F461" s="144"/>
      <c r="G461" s="146"/>
      <c r="H461" s="149"/>
      <c r="I461" s="149"/>
      <c r="J461" s="146"/>
      <c r="L461" s="151"/>
    </row>
    <row r="462" spans="1:14" s="111" customFormat="1" ht="12" customHeight="1" x14ac:dyDescent="0.2">
      <c r="A462" s="133"/>
      <c r="B462" s="135" t="str">
        <f>VLOOKUP(F462,BB!$A$8:$C$152,3,0)</f>
        <v>A01</v>
      </c>
      <c r="C462" s="136">
        <v>202604</v>
      </c>
      <c r="D462" s="134" t="s">
        <v>783</v>
      </c>
      <c r="E462" s="139">
        <v>46142</v>
      </c>
      <c r="F462" s="144" t="s">
        <v>163</v>
      </c>
      <c r="G462" s="149">
        <v>500000</v>
      </c>
      <c r="H462" s="149">
        <v>0</v>
      </c>
      <c r="I462" s="149">
        <f>IF(G462&lt;&gt;0,G462,-H462)</f>
        <v>500000</v>
      </c>
      <c r="J462" s="149">
        <v>0</v>
      </c>
      <c r="K462" s="111" t="s">
        <v>509</v>
      </c>
      <c r="L462" s="152" t="s">
        <v>525</v>
      </c>
    </row>
    <row r="463" spans="1:14" s="111" customFormat="1" ht="12" customHeight="1" x14ac:dyDescent="0.2">
      <c r="A463" s="133"/>
      <c r="B463" s="135" t="str">
        <f>VLOOKUP(F463,BB!$A$8:$C$152,3,0)</f>
        <v>A04A</v>
      </c>
      <c r="C463" s="136">
        <f t="shared" ref="C463:E463" si="135">C462</f>
        <v>202604</v>
      </c>
      <c r="D463" s="134" t="str">
        <f t="shared" si="135"/>
        <v>KAS-2604013</v>
      </c>
      <c r="E463" s="139">
        <f t="shared" si="135"/>
        <v>46142</v>
      </c>
      <c r="F463" s="144" t="s">
        <v>471</v>
      </c>
      <c r="G463" s="146">
        <v>0</v>
      </c>
      <c r="H463" s="149">
        <f>+G462</f>
        <v>500000</v>
      </c>
      <c r="I463" s="149">
        <f>IF(G463&lt;&gt;0,G463,-H463)</f>
        <v>-500000</v>
      </c>
      <c r="J463" s="146">
        <f>-J462</f>
        <v>0</v>
      </c>
      <c r="K463" s="111" t="str">
        <f>K462</f>
        <v>KAS MASUK</v>
      </c>
      <c r="L463" s="152" t="str">
        <f>L462</f>
        <v>ANGSURAN PINJAMAN LAIN AN. ISFAK</v>
      </c>
    </row>
    <row r="464" spans="1:14" s="111" customFormat="1" ht="12" customHeight="1" x14ac:dyDescent="0.2">
      <c r="A464" s="133"/>
      <c r="B464" s="135" t="str">
        <f>VLOOKUP(F464,BB!$A$8:$C$152,3,0)</f>
        <v>LR01C</v>
      </c>
      <c r="C464" s="136">
        <f t="shared" ref="C464:E464" si="136">C463</f>
        <v>202604</v>
      </c>
      <c r="D464" s="134" t="str">
        <f t="shared" si="136"/>
        <v>KAS-2604013</v>
      </c>
      <c r="E464" s="139">
        <f t="shared" si="136"/>
        <v>46142</v>
      </c>
      <c r="F464" s="144" t="s">
        <v>371</v>
      </c>
      <c r="G464" s="146">
        <v>0</v>
      </c>
      <c r="H464" s="149">
        <f>G462-H463</f>
        <v>0</v>
      </c>
      <c r="I464" s="149">
        <f>IF(G464&lt;&gt;0,G464,-H464)</f>
        <v>0</v>
      </c>
      <c r="J464" s="146">
        <f>-J463</f>
        <v>0</v>
      </c>
      <c r="K464" s="111" t="str">
        <f>K463</f>
        <v>KAS MASUK</v>
      </c>
      <c r="L464" s="152" t="str">
        <f>"PENDAPATAN ATAS PINJAMAN LAIN "&amp;MID(L463,24,20)</f>
        <v>PENDAPATAN ATAS PINJAMAN LAIN AN. ISFAK</v>
      </c>
    </row>
    <row r="465" spans="1:14" s="111" customFormat="1" ht="12" customHeight="1" x14ac:dyDescent="0.2">
      <c r="A465" s="133"/>
      <c r="B465" s="135"/>
      <c r="C465" s="136"/>
      <c r="D465" s="134"/>
      <c r="E465" s="139"/>
      <c r="F465" s="144"/>
      <c r="G465" s="146"/>
      <c r="H465" s="149"/>
      <c r="I465" s="149"/>
      <c r="J465" s="146"/>
      <c r="L465" s="151"/>
    </row>
    <row r="466" spans="1:14" s="111" customFormat="1" ht="12" customHeight="1" x14ac:dyDescent="0.2">
      <c r="A466" s="133"/>
      <c r="B466" s="135" t="str">
        <f>VLOOKUP(F466,BB!$A$8:$C$152,3,0)</f>
        <v>LR07</v>
      </c>
      <c r="C466" s="136">
        <v>202604</v>
      </c>
      <c r="D466" s="134" t="s">
        <v>685</v>
      </c>
      <c r="E466" s="139">
        <v>46142</v>
      </c>
      <c r="F466" s="134" t="s">
        <v>416</v>
      </c>
      <c r="G466" s="149">
        <v>1500000</v>
      </c>
      <c r="H466" s="149">
        <v>0</v>
      </c>
      <c r="I466" s="149">
        <f>IF(G466&lt;&gt;0,G466,-H466)</f>
        <v>1500000</v>
      </c>
      <c r="J466" s="149">
        <v>0</v>
      </c>
      <c r="K466" s="111" t="s">
        <v>306</v>
      </c>
      <c r="L466" s="152" t="s">
        <v>415</v>
      </c>
      <c r="M466" s="149"/>
      <c r="N466" s="149"/>
    </row>
    <row r="467" spans="1:14" s="111" customFormat="1" ht="12" customHeight="1" x14ac:dyDescent="0.2">
      <c r="A467" s="133"/>
      <c r="B467" s="135" t="str">
        <f>VLOOKUP(F467,BB!$A$8:$C$152,3,0)</f>
        <v>A05</v>
      </c>
      <c r="C467" s="136">
        <f>C466</f>
        <v>202604</v>
      </c>
      <c r="D467" s="134" t="str">
        <f>D466</f>
        <v>JRM-2604001</v>
      </c>
      <c r="E467" s="139">
        <f>E466</f>
        <v>46142</v>
      </c>
      <c r="F467" s="144" t="s">
        <v>172</v>
      </c>
      <c r="G467" s="146">
        <f>H466</f>
        <v>0</v>
      </c>
      <c r="H467" s="149">
        <f>G466</f>
        <v>1500000</v>
      </c>
      <c r="I467" s="149">
        <f>IF(G467&lt;&gt;0,G467,-H467)</f>
        <v>-1500000</v>
      </c>
      <c r="J467" s="146">
        <f>-J466</f>
        <v>0</v>
      </c>
      <c r="K467" s="111" t="str">
        <f>K466</f>
        <v>JURNAL MANUAL</v>
      </c>
      <c r="L467" s="151" t="str">
        <f>L466</f>
        <v>PEMBEBANAN PENYISIHAN PIUTANG</v>
      </c>
      <c r="M467" s="146"/>
      <c r="N467" s="149"/>
    </row>
    <row r="468" spans="1:14" s="111" customFormat="1" ht="12" customHeight="1" x14ac:dyDescent="0.2">
      <c r="A468" s="133"/>
      <c r="B468" s="135"/>
      <c r="C468" s="136"/>
      <c r="D468" s="134"/>
      <c r="E468" s="139"/>
      <c r="F468" s="144"/>
      <c r="G468" s="146"/>
      <c r="H468" s="149"/>
      <c r="I468" s="149"/>
      <c r="J468" s="146"/>
      <c r="L468" s="151"/>
    </row>
    <row r="469" spans="1:14" s="111" customFormat="1" ht="12" customHeight="1" x14ac:dyDescent="0.2">
      <c r="A469" s="133"/>
      <c r="B469" s="135" t="str">
        <f>VLOOKUP(F469,BB!$A$8:$C$152,3,0)</f>
        <v>A04B</v>
      </c>
      <c r="C469" s="136">
        <v>202604</v>
      </c>
      <c r="D469" s="134" t="s">
        <v>686</v>
      </c>
      <c r="E469" s="139">
        <v>46142</v>
      </c>
      <c r="F469" s="134" t="s">
        <v>461</v>
      </c>
      <c r="G469" s="149">
        <f>11760000</f>
        <v>11760000</v>
      </c>
      <c r="H469" s="149">
        <v>0</v>
      </c>
      <c r="I469" s="198">
        <f>IF(G469&lt;&gt;0,G469,-H469)</f>
        <v>11760000</v>
      </c>
      <c r="J469" s="149">
        <v>0</v>
      </c>
      <c r="K469" s="111" t="s">
        <v>306</v>
      </c>
      <c r="L469" s="152" t="s">
        <v>701</v>
      </c>
      <c r="M469" s="149"/>
      <c r="N469" s="149"/>
    </row>
    <row r="470" spans="1:14" s="111" customFormat="1" ht="12" customHeight="1" x14ac:dyDescent="0.2">
      <c r="A470" s="133"/>
      <c r="B470" s="135" t="str">
        <f>VLOOKUP(F470,BB!$A$8:$C$152,3,0)</f>
        <v>P05</v>
      </c>
      <c r="C470" s="136">
        <f>C469</f>
        <v>202604</v>
      </c>
      <c r="D470" s="134" t="str">
        <f>D469</f>
        <v>JRM-2604002</v>
      </c>
      <c r="E470" s="139">
        <f>E469</f>
        <v>46142</v>
      </c>
      <c r="F470" s="144" t="s">
        <v>439</v>
      </c>
      <c r="G470" s="146">
        <f>H469</f>
        <v>0</v>
      </c>
      <c r="H470" s="149">
        <f>11608500</f>
        <v>11608500</v>
      </c>
      <c r="I470" s="198">
        <f>IF(G470&lt;&gt;0,G470,-H470)</f>
        <v>-11608500</v>
      </c>
      <c r="J470" s="146">
        <f>-J469</f>
        <v>0</v>
      </c>
      <c r="K470" s="111" t="str">
        <f>K469</f>
        <v>JURNAL MANUAL</v>
      </c>
      <c r="L470" s="151" t="s">
        <v>702</v>
      </c>
      <c r="M470" s="146"/>
      <c r="N470" s="149"/>
    </row>
    <row r="471" spans="1:14" s="111" customFormat="1" ht="12" customHeight="1" x14ac:dyDescent="0.2">
      <c r="A471" s="133"/>
      <c r="B471" s="135" t="str">
        <f>VLOOKUP(F471,BB!$A$8:$C$152,3,0)</f>
        <v>LR06</v>
      </c>
      <c r="C471" s="136">
        <f t="shared" ref="C471:E471" si="137">+C470</f>
        <v>202604</v>
      </c>
      <c r="D471" s="134" t="str">
        <f t="shared" si="137"/>
        <v>JRM-2604002</v>
      </c>
      <c r="E471" s="139">
        <f t="shared" si="137"/>
        <v>46142</v>
      </c>
      <c r="F471" s="144" t="s">
        <v>394</v>
      </c>
      <c r="G471" s="146">
        <v>0</v>
      </c>
      <c r="H471" s="149">
        <f>+G469-H470</f>
        <v>151500</v>
      </c>
      <c r="I471" s="198">
        <f>IF(G471&lt;&gt;0,G471,-H471)</f>
        <v>-151500</v>
      </c>
      <c r="J471" s="146">
        <v>0</v>
      </c>
      <c r="K471" s="111" t="str">
        <f>+K470</f>
        <v>JURNAL MANUAL</v>
      </c>
      <c r="L471" s="151" t="s">
        <v>501</v>
      </c>
    </row>
    <row r="472" spans="1:14" s="111" customFormat="1" ht="12" customHeight="1" x14ac:dyDescent="0.2">
      <c r="A472" s="133"/>
      <c r="B472" s="135"/>
      <c r="C472" s="136"/>
      <c r="D472" s="134"/>
      <c r="E472" s="139"/>
      <c r="F472" s="144"/>
      <c r="G472" s="146"/>
      <c r="H472" s="149"/>
      <c r="I472" s="197"/>
      <c r="J472" s="146"/>
      <c r="L472" s="151"/>
    </row>
    <row r="473" spans="1:14" s="111" customFormat="1" ht="12" customHeight="1" x14ac:dyDescent="0.2">
      <c r="A473" s="133"/>
      <c r="B473" s="135" t="str">
        <f>VLOOKUP(F473,BB!$A$8:$C$152,3,0)</f>
        <v>A04B</v>
      </c>
      <c r="C473" s="136">
        <v>202604</v>
      </c>
      <c r="D473" s="134" t="s">
        <v>687</v>
      </c>
      <c r="E473" s="139">
        <v>46142</v>
      </c>
      <c r="F473" s="134" t="s">
        <v>464</v>
      </c>
      <c r="G473" s="149">
        <v>15680000</v>
      </c>
      <c r="H473" s="149">
        <v>0</v>
      </c>
      <c r="I473" s="189">
        <f>IF(G473&lt;&gt;0,G473,-H473)</f>
        <v>15680000</v>
      </c>
      <c r="J473" s="149">
        <v>0</v>
      </c>
      <c r="K473" s="111" t="s">
        <v>306</v>
      </c>
      <c r="L473" s="152" t="s">
        <v>719</v>
      </c>
      <c r="M473" s="149"/>
      <c r="N473" s="149"/>
    </row>
    <row r="474" spans="1:14" s="111" customFormat="1" ht="12" customHeight="1" x14ac:dyDescent="0.2">
      <c r="A474" s="133"/>
      <c r="B474" s="135" t="str">
        <f>VLOOKUP(F474,BB!$A$8:$C$152,3,0)</f>
        <v>P05</v>
      </c>
      <c r="C474" s="136">
        <f>C473</f>
        <v>202604</v>
      </c>
      <c r="D474" s="134" t="str">
        <f>D473</f>
        <v>JRM-2604003</v>
      </c>
      <c r="E474" s="139">
        <f>E473</f>
        <v>46142</v>
      </c>
      <c r="F474" s="144" t="s">
        <v>435</v>
      </c>
      <c r="G474" s="146">
        <f>H473</f>
        <v>0</v>
      </c>
      <c r="H474" s="149">
        <v>14475000</v>
      </c>
      <c r="I474" s="189">
        <f>IF(G474&lt;&gt;0,G474,-H474)</f>
        <v>-14475000</v>
      </c>
      <c r="J474" s="146">
        <f>-J473</f>
        <v>0</v>
      </c>
      <c r="K474" s="111" t="str">
        <f>K473</f>
        <v>JURNAL MANUAL</v>
      </c>
      <c r="L474" s="151" t="s">
        <v>720</v>
      </c>
      <c r="M474" s="146"/>
      <c r="N474" s="149"/>
    </row>
    <row r="475" spans="1:14" s="111" customFormat="1" ht="12" customHeight="1" x14ac:dyDescent="0.2">
      <c r="A475" s="133"/>
      <c r="B475" s="135" t="str">
        <f>VLOOKUP(F475,BB!$A$8:$C$152,3,0)</f>
        <v>LR06</v>
      </c>
      <c r="C475" s="136">
        <f t="shared" ref="C475:E475" si="138">+C474</f>
        <v>202604</v>
      </c>
      <c r="D475" s="134" t="str">
        <f t="shared" si="138"/>
        <v>JRM-2604003</v>
      </c>
      <c r="E475" s="139">
        <f t="shared" si="138"/>
        <v>46142</v>
      </c>
      <c r="F475" s="144" t="s">
        <v>403</v>
      </c>
      <c r="G475" s="146">
        <v>0</v>
      </c>
      <c r="H475" s="149">
        <f>+G473-H474</f>
        <v>1205000</v>
      </c>
      <c r="I475" s="189">
        <f>IF(G475&lt;&gt;0,G475,-H475)</f>
        <v>-1205000</v>
      </c>
      <c r="J475" s="146">
        <v>0</v>
      </c>
      <c r="K475" s="111" t="str">
        <f>+K474</f>
        <v>JURNAL MANUAL</v>
      </c>
      <c r="L475" s="151" t="s">
        <v>708</v>
      </c>
    </row>
    <row r="476" spans="1:14" s="111" customFormat="1" ht="12" customHeight="1" x14ac:dyDescent="0.2">
      <c r="A476" s="133"/>
      <c r="B476" s="135"/>
      <c r="C476" s="136"/>
      <c r="D476" s="134"/>
      <c r="E476" s="139"/>
      <c r="F476" s="144"/>
      <c r="G476" s="146"/>
      <c r="H476" s="149"/>
      <c r="I476" s="149"/>
      <c r="J476" s="146"/>
      <c r="L476" s="151"/>
    </row>
    <row r="477" spans="1:14" s="111" customFormat="1" ht="12" customHeight="1" x14ac:dyDescent="0.2">
      <c r="A477" s="133"/>
      <c r="B477" s="135" t="str">
        <f>VLOOKUP(F477,BB!$A$8:$C$152,3,0)</f>
        <v>LR07</v>
      </c>
      <c r="C477" s="136">
        <v>202604</v>
      </c>
      <c r="D477" s="134" t="s">
        <v>688</v>
      </c>
      <c r="E477" s="139">
        <v>46142</v>
      </c>
      <c r="F477" s="134" t="s">
        <v>249</v>
      </c>
      <c r="G477" s="149">
        <v>0.33333277702331543</v>
      </c>
      <c r="H477" s="149">
        <v>0</v>
      </c>
      <c r="I477" s="149">
        <f>IF(G477&lt;&gt;0,G477,-H477)</f>
        <v>0.33333277702331543</v>
      </c>
      <c r="J477" s="149">
        <v>0</v>
      </c>
      <c r="K477" s="111" t="s">
        <v>306</v>
      </c>
      <c r="L477" s="152" t="s">
        <v>608</v>
      </c>
      <c r="M477" s="149"/>
      <c r="N477" s="149"/>
    </row>
    <row r="478" spans="1:14" s="111" customFormat="1" ht="12" customHeight="1" x14ac:dyDescent="0.2">
      <c r="A478" s="133"/>
      <c r="B478" s="135" t="str">
        <f>VLOOKUP(F478,BB!$A$8:$C$152,3,0)</f>
        <v>A04A</v>
      </c>
      <c r="C478" s="136">
        <f>C477</f>
        <v>202604</v>
      </c>
      <c r="D478" s="134" t="str">
        <f>D477</f>
        <v>JRM-2604004</v>
      </c>
      <c r="E478" s="139">
        <f>E477</f>
        <v>46142</v>
      </c>
      <c r="F478" s="144" t="s">
        <v>468</v>
      </c>
      <c r="G478" s="146">
        <f>H477</f>
        <v>0</v>
      </c>
      <c r="H478" s="149">
        <f>G477</f>
        <v>0.33333277702331543</v>
      </c>
      <c r="I478" s="149">
        <f>IF(G478&lt;&gt;0,G478,-H478)</f>
        <v>-0.33333277702331543</v>
      </c>
      <c r="J478" s="146">
        <f>-J477</f>
        <v>0</v>
      </c>
      <c r="K478" s="111" t="str">
        <f>K477</f>
        <v>JURNAL MANUAL</v>
      </c>
      <c r="L478" s="151" t="str">
        <f>L477</f>
        <v>PENYESUAIAN SELISIH PIUTANG RUTIN</v>
      </c>
      <c r="M478" s="146"/>
      <c r="N478" s="149"/>
    </row>
    <row r="479" spans="1:14" s="111" customFormat="1" ht="12" customHeight="1" x14ac:dyDescent="0.2">
      <c r="A479" s="133"/>
      <c r="B479" s="135"/>
      <c r="C479" s="136"/>
      <c r="D479" s="134"/>
      <c r="E479" s="139"/>
      <c r="F479" s="144"/>
      <c r="G479" s="146"/>
      <c r="H479" s="149"/>
      <c r="I479" s="149"/>
      <c r="J479" s="146"/>
      <c r="L479" s="151"/>
    </row>
    <row r="480" spans="1:14" s="111" customFormat="1" ht="12" customHeight="1" x14ac:dyDescent="0.2">
      <c r="A480" s="133"/>
      <c r="B480" s="135"/>
      <c r="C480" s="136"/>
      <c r="D480" s="134"/>
      <c r="E480" s="139"/>
      <c r="F480" s="144"/>
      <c r="G480" s="146"/>
      <c r="H480" s="149"/>
      <c r="I480" s="149"/>
      <c r="J480" s="146"/>
      <c r="L480" s="151"/>
    </row>
    <row r="481" spans="1:42" s="183" customFormat="1" ht="12" customHeight="1" x14ac:dyDescent="0.2">
      <c r="A481" s="172"/>
      <c r="B481" s="173"/>
      <c r="C481" s="174"/>
      <c r="D481" s="175"/>
      <c r="E481" s="176"/>
      <c r="F481" s="180"/>
      <c r="G481" s="181"/>
      <c r="H481" s="182"/>
      <c r="I481" s="182"/>
      <c r="J481" s="181"/>
      <c r="L481" s="184"/>
    </row>
    <row r="482" spans="1:42" s="111" customFormat="1" ht="12" customHeight="1" x14ac:dyDescent="0.2">
      <c r="A482" s="133"/>
      <c r="B482" s="135"/>
      <c r="C482" s="136"/>
      <c r="D482" s="134"/>
      <c r="E482" s="139"/>
      <c r="F482" s="144"/>
      <c r="G482" s="146"/>
      <c r="H482" s="149"/>
      <c r="I482" s="149"/>
      <c r="J482" s="146"/>
      <c r="L482" s="151"/>
    </row>
    <row r="483" spans="1:42" s="111" customFormat="1" ht="12" customHeight="1" x14ac:dyDescent="0.2">
      <c r="A483" s="133"/>
      <c r="B483" s="135" t="str">
        <f>VLOOKUP(F483,BB!$A$8:$C$152,3,0)</f>
        <v>A02</v>
      </c>
      <c r="C483" s="136">
        <v>202605</v>
      </c>
      <c r="D483" s="134" t="s">
        <v>785</v>
      </c>
      <c r="E483" s="139">
        <v>46147</v>
      </c>
      <c r="F483" s="134" t="s">
        <v>166</v>
      </c>
      <c r="G483" s="149">
        <v>0</v>
      </c>
      <c r="H483" s="149">
        <v>10000000</v>
      </c>
      <c r="I483" s="149">
        <f>IF(G483&lt;&gt;0,G483,-H483)</f>
        <v>-10000000</v>
      </c>
      <c r="J483" s="149">
        <v>0</v>
      </c>
      <c r="K483" s="111" t="s">
        <v>304</v>
      </c>
      <c r="L483" s="152" t="s">
        <v>502</v>
      </c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36"/>
      <c r="AE483" s="136"/>
      <c r="AF483" s="136"/>
      <c r="AG483" s="136"/>
      <c r="AH483" s="136"/>
      <c r="AI483" s="136"/>
      <c r="AJ483" s="136"/>
      <c r="AK483" s="136"/>
      <c r="AL483" s="136"/>
      <c r="AM483" s="136"/>
      <c r="AN483" s="136"/>
      <c r="AO483" s="136"/>
      <c r="AP483" s="136"/>
    </row>
    <row r="484" spans="1:42" s="111" customFormat="1" ht="12" customHeight="1" x14ac:dyDescent="0.2">
      <c r="A484" s="133"/>
      <c r="B484" s="135" t="str">
        <f>VLOOKUP(F484,BB!$A$8:$C$152,3,0)</f>
        <v>A01</v>
      </c>
      <c r="C484" s="136">
        <f>C483</f>
        <v>202605</v>
      </c>
      <c r="D484" s="134" t="str">
        <f>D483</f>
        <v>MDR-2605001</v>
      </c>
      <c r="E484" s="139">
        <f>E483</f>
        <v>46147</v>
      </c>
      <c r="F484" s="134" t="s">
        <v>164</v>
      </c>
      <c r="G484" s="146">
        <f>H483</f>
        <v>10000000</v>
      </c>
      <c r="H484" s="149">
        <f>G483</f>
        <v>0</v>
      </c>
      <c r="I484" s="149">
        <f>IF(G484&lt;&gt;0,G484,-H484)</f>
        <v>10000000</v>
      </c>
      <c r="J484" s="146">
        <f>-J483</f>
        <v>0</v>
      </c>
      <c r="K484" s="111" t="str">
        <f>K483</f>
        <v>BANK KELUAR</v>
      </c>
      <c r="L484" s="151" t="str">
        <f>L483</f>
        <v>PEMINDAHAN DANA KE AKUN KAS</v>
      </c>
    </row>
    <row r="485" spans="1:42" s="111" customFormat="1" ht="12" customHeight="1" x14ac:dyDescent="0.2">
      <c r="A485" s="133"/>
      <c r="B485" s="135"/>
      <c r="C485" s="136"/>
      <c r="D485" s="134"/>
      <c r="E485" s="139"/>
      <c r="F485" s="144"/>
      <c r="G485" s="146"/>
      <c r="H485" s="149"/>
      <c r="I485" s="149"/>
      <c r="J485" s="146"/>
      <c r="L485" s="151"/>
    </row>
    <row r="486" spans="1:42" s="111" customFormat="1" ht="12" customHeight="1" x14ac:dyDescent="0.2">
      <c r="A486" s="133"/>
      <c r="B486" s="135" t="str">
        <f>VLOOKUP(F486,BB!$A$8:$C$152,3,0)</f>
        <v>A02</v>
      </c>
      <c r="C486" s="136">
        <v>202605</v>
      </c>
      <c r="D486" s="134" t="s">
        <v>786</v>
      </c>
      <c r="E486" s="139">
        <v>46148</v>
      </c>
      <c r="F486" s="144" t="s">
        <v>166</v>
      </c>
      <c r="G486" s="149">
        <v>0</v>
      </c>
      <c r="H486" s="149">
        <v>10000000</v>
      </c>
      <c r="I486" s="149">
        <f>IF(G486&lt;&gt;0,G486,-H486)</f>
        <v>-10000000</v>
      </c>
      <c r="J486" s="149">
        <v>0</v>
      </c>
      <c r="K486" s="111" t="s">
        <v>304</v>
      </c>
      <c r="L486" s="151" t="s">
        <v>787</v>
      </c>
    </row>
    <row r="487" spans="1:42" s="111" customFormat="1" ht="12" customHeight="1" x14ac:dyDescent="0.2">
      <c r="A487" s="133"/>
      <c r="B487" s="135" t="str">
        <f>VLOOKUP(F487,BB!$A$8:$C$152,3,0)</f>
        <v>A04A</v>
      </c>
      <c r="C487" s="136">
        <f>C486</f>
        <v>202605</v>
      </c>
      <c r="D487" s="134" t="str">
        <f>D486</f>
        <v>MDR-2605002</v>
      </c>
      <c r="E487" s="139">
        <f>E486</f>
        <v>46148</v>
      </c>
      <c r="F487" s="144" t="s">
        <v>468</v>
      </c>
      <c r="G487" s="146">
        <f>+H486</f>
        <v>10000000</v>
      </c>
      <c r="H487" s="149">
        <v>0</v>
      </c>
      <c r="I487" s="149">
        <f>IF(G487&lt;&gt;0,G487,-H487)</f>
        <v>10000000</v>
      </c>
      <c r="J487" s="146">
        <f>-J486</f>
        <v>0</v>
      </c>
      <c r="K487" s="111" t="str">
        <f>K486</f>
        <v>BANK KELUAR</v>
      </c>
      <c r="L487" s="151" t="str">
        <f>L486</f>
        <v>PINJAMAN RUTIN AGA F, 12X</v>
      </c>
    </row>
    <row r="488" spans="1:42" s="111" customFormat="1" ht="12" customHeight="1" x14ac:dyDescent="0.2">
      <c r="A488" s="133"/>
      <c r="B488" s="135"/>
      <c r="C488" s="136"/>
      <c r="D488" s="134"/>
      <c r="E488" s="139"/>
      <c r="F488" s="144"/>
      <c r="G488" s="146"/>
      <c r="H488" s="149"/>
      <c r="I488" s="149"/>
      <c r="J488" s="146"/>
      <c r="L488" s="151"/>
    </row>
    <row r="489" spans="1:42" s="111" customFormat="1" ht="12" customHeight="1" x14ac:dyDescent="0.2">
      <c r="A489" s="133"/>
      <c r="B489" s="135" t="str">
        <f>VLOOKUP(F489,BB!$A$8:$C$152,3,0)</f>
        <v>A02</v>
      </c>
      <c r="C489" s="136">
        <v>202605</v>
      </c>
      <c r="D489" s="134" t="s">
        <v>788</v>
      </c>
      <c r="E489" s="139">
        <v>46149</v>
      </c>
      <c r="F489" s="144" t="s">
        <v>166</v>
      </c>
      <c r="G489" s="149">
        <v>0</v>
      </c>
      <c r="H489" s="149">
        <v>5190000</v>
      </c>
      <c r="I489" s="149">
        <f>IF(G489&lt;&gt;0,G489,-H489)</f>
        <v>-5190000</v>
      </c>
      <c r="J489" s="149">
        <v>0</v>
      </c>
      <c r="K489" s="111" t="s">
        <v>304</v>
      </c>
      <c r="L489" s="151" t="s">
        <v>791</v>
      </c>
    </row>
    <row r="490" spans="1:42" s="111" customFormat="1" ht="12" customHeight="1" x14ac:dyDescent="0.2">
      <c r="A490" s="133"/>
      <c r="B490" s="135" t="str">
        <f>VLOOKUP(F490,BB!$A$8:$C$152,3,0)</f>
        <v>P11</v>
      </c>
      <c r="C490" s="136">
        <f t="shared" ref="C490:E491" si="139">C489</f>
        <v>202605</v>
      </c>
      <c r="D490" s="134" t="str">
        <f t="shared" si="139"/>
        <v>MDR-2605003</v>
      </c>
      <c r="E490" s="139">
        <f t="shared" si="139"/>
        <v>46149</v>
      </c>
      <c r="F490" s="144" t="s">
        <v>226</v>
      </c>
      <c r="G490" s="146">
        <v>100000</v>
      </c>
      <c r="H490" s="149">
        <v>0</v>
      </c>
      <c r="I490" s="149">
        <f>IF(G490&lt;&gt;0,G490,-H490)</f>
        <v>100000</v>
      </c>
      <c r="J490" s="146">
        <f>-J489</f>
        <v>0</v>
      </c>
      <c r="K490" s="111" t="str">
        <f>K489</f>
        <v>BANK KELUAR</v>
      </c>
      <c r="L490" s="151" t="s">
        <v>789</v>
      </c>
    </row>
    <row r="491" spans="1:42" s="111" customFormat="1" ht="12" customHeight="1" x14ac:dyDescent="0.2">
      <c r="A491" s="133"/>
      <c r="B491" s="135" t="str">
        <f>VLOOKUP(F491,BB!$A$8:$C$152,3,0)</f>
        <v>P12</v>
      </c>
      <c r="C491" s="136">
        <f t="shared" si="139"/>
        <v>202605</v>
      </c>
      <c r="D491" s="134" t="str">
        <f t="shared" si="139"/>
        <v>MDR-2605003</v>
      </c>
      <c r="E491" s="139">
        <f t="shared" si="139"/>
        <v>46149</v>
      </c>
      <c r="F491" s="144" t="s">
        <v>227</v>
      </c>
      <c r="G491" s="146">
        <f>+H489-G490</f>
        <v>5090000</v>
      </c>
      <c r="H491" s="149">
        <v>0</v>
      </c>
      <c r="I491" s="149">
        <f>IF(G491&lt;&gt;0,G491,-H491)</f>
        <v>5090000</v>
      </c>
      <c r="J491" s="146">
        <f>-J490</f>
        <v>0</v>
      </c>
      <c r="K491" s="111" t="str">
        <f>K490</f>
        <v>BANK KELUAR</v>
      </c>
      <c r="L491" s="151" t="s">
        <v>790</v>
      </c>
    </row>
    <row r="492" spans="1:42" s="111" customFormat="1" ht="12" customHeight="1" x14ac:dyDescent="0.2">
      <c r="A492" s="133"/>
      <c r="B492" s="135"/>
      <c r="C492" s="136"/>
      <c r="D492" s="134"/>
      <c r="E492" s="139"/>
      <c r="F492" s="144"/>
      <c r="G492" s="146"/>
      <c r="H492" s="149"/>
      <c r="I492" s="149"/>
      <c r="J492" s="146"/>
      <c r="L492" s="151"/>
    </row>
    <row r="493" spans="1:42" s="111" customFormat="1" ht="12" customHeight="1" x14ac:dyDescent="0.2">
      <c r="A493" s="133"/>
      <c r="B493" s="135" t="str">
        <f>VLOOKUP(F493,BB!$A$8:$C$152,3,0)</f>
        <v>A02</v>
      </c>
      <c r="C493" s="136">
        <v>202605</v>
      </c>
      <c r="D493" s="134" t="s">
        <v>795</v>
      </c>
      <c r="E493" s="139">
        <v>46149</v>
      </c>
      <c r="F493" s="144" t="s">
        <v>166</v>
      </c>
      <c r="G493" s="149">
        <v>0</v>
      </c>
      <c r="H493" s="149">
        <v>5240000</v>
      </c>
      <c r="I493" s="149">
        <f>IF(G493&lt;&gt;0,G493,-H493)</f>
        <v>-5240000</v>
      </c>
      <c r="J493" s="149">
        <v>0</v>
      </c>
      <c r="K493" s="111" t="s">
        <v>304</v>
      </c>
      <c r="L493" s="151" t="s">
        <v>792</v>
      </c>
    </row>
    <row r="494" spans="1:42" s="111" customFormat="1" ht="12" customHeight="1" x14ac:dyDescent="0.2">
      <c r="A494" s="133"/>
      <c r="B494" s="135" t="str">
        <f>VLOOKUP(F494,BB!$A$8:$C$152,3,0)</f>
        <v>P11</v>
      </c>
      <c r="C494" s="136">
        <f t="shared" ref="C494:E495" si="140">C493</f>
        <v>202605</v>
      </c>
      <c r="D494" s="134" t="str">
        <f t="shared" si="140"/>
        <v>MDR-2605004</v>
      </c>
      <c r="E494" s="139">
        <f t="shared" si="140"/>
        <v>46149</v>
      </c>
      <c r="F494" s="144" t="s">
        <v>226</v>
      </c>
      <c r="G494" s="146">
        <v>100000</v>
      </c>
      <c r="H494" s="149">
        <v>0</v>
      </c>
      <c r="I494" s="149">
        <f>IF(G494&lt;&gt;0,G494,-H494)</f>
        <v>100000</v>
      </c>
      <c r="J494" s="146">
        <f>-J493</f>
        <v>0</v>
      </c>
      <c r="K494" s="111" t="str">
        <f>K493</f>
        <v>BANK KELUAR</v>
      </c>
      <c r="L494" s="151" t="s">
        <v>793</v>
      </c>
    </row>
    <row r="495" spans="1:42" s="111" customFormat="1" ht="12" customHeight="1" x14ac:dyDescent="0.2">
      <c r="A495" s="133"/>
      <c r="B495" s="135" t="str">
        <f>VLOOKUP(F495,BB!$A$8:$C$152,3,0)</f>
        <v>P12</v>
      </c>
      <c r="C495" s="136">
        <f t="shared" si="140"/>
        <v>202605</v>
      </c>
      <c r="D495" s="134" t="str">
        <f t="shared" si="140"/>
        <v>MDR-2605004</v>
      </c>
      <c r="E495" s="139">
        <f t="shared" si="140"/>
        <v>46149</v>
      </c>
      <c r="F495" s="144" t="s">
        <v>227</v>
      </c>
      <c r="G495" s="146">
        <f>+H493-G494</f>
        <v>5140000</v>
      </c>
      <c r="H495" s="149">
        <v>0</v>
      </c>
      <c r="I495" s="149">
        <f>IF(G495&lt;&gt;0,G495,-H495)</f>
        <v>5140000</v>
      </c>
      <c r="J495" s="146">
        <f>-J494</f>
        <v>0</v>
      </c>
      <c r="K495" s="111" t="str">
        <f>K494</f>
        <v>BANK KELUAR</v>
      </c>
      <c r="L495" s="151" t="s">
        <v>794</v>
      </c>
    </row>
    <row r="496" spans="1:42" s="111" customFormat="1" ht="12" customHeight="1" x14ac:dyDescent="0.2">
      <c r="A496" s="133"/>
      <c r="B496" s="135"/>
      <c r="C496" s="136"/>
      <c r="D496" s="134"/>
      <c r="E496" s="139"/>
      <c r="F496" s="144"/>
      <c r="G496" s="146"/>
      <c r="H496" s="149"/>
      <c r="I496" s="149"/>
      <c r="J496" s="146"/>
      <c r="L496" s="151"/>
    </row>
    <row r="497" spans="1:12" s="111" customFormat="1" ht="12" customHeight="1" x14ac:dyDescent="0.2">
      <c r="A497" s="133"/>
      <c r="B497" s="135" t="str">
        <f>VLOOKUP(F497,BB!$A$8:$C$152,3,0)</f>
        <v>A02</v>
      </c>
      <c r="C497" s="136">
        <v>202605</v>
      </c>
      <c r="D497" s="134" t="s">
        <v>796</v>
      </c>
      <c r="E497" s="139">
        <v>46149</v>
      </c>
      <c r="F497" s="144" t="s">
        <v>166</v>
      </c>
      <c r="G497" s="149">
        <v>0</v>
      </c>
      <c r="H497" s="149">
        <v>5190000</v>
      </c>
      <c r="I497" s="149">
        <f>IF(G497&lt;&gt;0,G497,-H497)</f>
        <v>-5190000</v>
      </c>
      <c r="J497" s="149">
        <v>0</v>
      </c>
      <c r="K497" s="111" t="s">
        <v>304</v>
      </c>
      <c r="L497" s="151" t="s">
        <v>797</v>
      </c>
    </row>
    <row r="498" spans="1:12" s="111" customFormat="1" ht="12" customHeight="1" x14ac:dyDescent="0.2">
      <c r="A498" s="133"/>
      <c r="B498" s="135" t="str">
        <f>VLOOKUP(F498,BB!$A$8:$C$152,3,0)</f>
        <v>P11</v>
      </c>
      <c r="C498" s="136">
        <f t="shared" ref="C498:E499" si="141">C497</f>
        <v>202605</v>
      </c>
      <c r="D498" s="134" t="str">
        <f t="shared" si="141"/>
        <v>MDR-2605005</v>
      </c>
      <c r="E498" s="139">
        <f t="shared" si="141"/>
        <v>46149</v>
      </c>
      <c r="F498" s="144" t="s">
        <v>226</v>
      </c>
      <c r="G498" s="146">
        <v>100000</v>
      </c>
      <c r="H498" s="149">
        <v>0</v>
      </c>
      <c r="I498" s="149">
        <f>IF(G498&lt;&gt;0,G498,-H498)</f>
        <v>100000</v>
      </c>
      <c r="J498" s="146">
        <f>-J497</f>
        <v>0</v>
      </c>
      <c r="K498" s="111" t="str">
        <f>K497</f>
        <v>BANK KELUAR</v>
      </c>
      <c r="L498" s="151" t="s">
        <v>798</v>
      </c>
    </row>
    <row r="499" spans="1:12" s="111" customFormat="1" ht="12" customHeight="1" x14ac:dyDescent="0.2">
      <c r="A499" s="133"/>
      <c r="B499" s="135" t="str">
        <f>VLOOKUP(F499,BB!$A$8:$C$152,3,0)</f>
        <v>P12</v>
      </c>
      <c r="C499" s="136">
        <f t="shared" si="141"/>
        <v>202605</v>
      </c>
      <c r="D499" s="134" t="str">
        <f t="shared" si="141"/>
        <v>MDR-2605005</v>
      </c>
      <c r="E499" s="139">
        <f t="shared" si="141"/>
        <v>46149</v>
      </c>
      <c r="F499" s="144" t="s">
        <v>227</v>
      </c>
      <c r="G499" s="146">
        <f>+H497-G498</f>
        <v>5090000</v>
      </c>
      <c r="H499" s="149">
        <v>0</v>
      </c>
      <c r="I499" s="149">
        <f>IF(G499&lt;&gt;0,G499,-H499)</f>
        <v>5090000</v>
      </c>
      <c r="J499" s="146">
        <f>-J498</f>
        <v>0</v>
      </c>
      <c r="K499" s="111" t="str">
        <f>K498</f>
        <v>BANK KELUAR</v>
      </c>
      <c r="L499" s="151" t="s">
        <v>799</v>
      </c>
    </row>
    <row r="500" spans="1:12" s="111" customFormat="1" ht="12" customHeight="1" x14ac:dyDescent="0.2">
      <c r="A500" s="133"/>
      <c r="B500" s="135"/>
      <c r="C500" s="136"/>
      <c r="D500" s="134"/>
      <c r="E500" s="139"/>
      <c r="F500" s="144"/>
      <c r="G500" s="146"/>
      <c r="H500" s="149"/>
      <c r="I500" s="149"/>
      <c r="J500" s="146"/>
      <c r="L500" s="151"/>
    </row>
    <row r="501" spans="1:12" s="111" customFormat="1" ht="12" customHeight="1" x14ac:dyDescent="0.2">
      <c r="A501" s="133"/>
      <c r="B501" s="135" t="str">
        <f>VLOOKUP(F501,BB!$A$8:$C$152,3,0)</f>
        <v>A02</v>
      </c>
      <c r="C501" s="136">
        <v>202605</v>
      </c>
      <c r="D501" s="134" t="s">
        <v>796</v>
      </c>
      <c r="E501" s="139">
        <v>46150</v>
      </c>
      <c r="F501" s="144" t="s">
        <v>166</v>
      </c>
      <c r="G501" s="149">
        <v>15680000</v>
      </c>
      <c r="H501" s="149">
        <v>0</v>
      </c>
      <c r="I501" s="189">
        <f>IF(G501&lt;&gt;0,G501,-H501)</f>
        <v>15680000</v>
      </c>
      <c r="J501" s="149">
        <v>0</v>
      </c>
      <c r="K501" s="111" t="s">
        <v>305</v>
      </c>
      <c r="L501" s="152" t="s">
        <v>800</v>
      </c>
    </row>
    <row r="502" spans="1:12" s="111" customFormat="1" ht="12" customHeight="1" x14ac:dyDescent="0.2">
      <c r="A502" s="133"/>
      <c r="B502" s="135" t="str">
        <f>VLOOKUP(F502,BB!$A$8:$C$152,3,0)</f>
        <v>A04B</v>
      </c>
      <c r="C502" s="136">
        <f t="shared" ref="C502:E502" si="142">C501</f>
        <v>202605</v>
      </c>
      <c r="D502" s="136" t="str">
        <f t="shared" si="142"/>
        <v>MDR-2605005</v>
      </c>
      <c r="E502" s="186">
        <f t="shared" si="142"/>
        <v>46150</v>
      </c>
      <c r="F502" s="144" t="s">
        <v>464</v>
      </c>
      <c r="G502" s="146">
        <v>0</v>
      </c>
      <c r="H502" s="149">
        <f>+G501</f>
        <v>15680000</v>
      </c>
      <c r="I502" s="189">
        <f>IF(G502&lt;&gt;0,G502,-H502)</f>
        <v>-15680000</v>
      </c>
      <c r="J502" s="146">
        <v>0</v>
      </c>
      <c r="K502" s="111" t="str">
        <f>K501</f>
        <v>BANK MASUK</v>
      </c>
      <c r="L502" s="151" t="str">
        <f>L501</f>
        <v>TERIMA DARI GCS SEWA FORKLIFT PERIODE 202603</v>
      </c>
    </row>
    <row r="503" spans="1:12" s="111" customFormat="1" ht="12" customHeight="1" x14ac:dyDescent="0.2">
      <c r="A503" s="133"/>
      <c r="B503" s="135"/>
      <c r="C503" s="136"/>
      <c r="D503" s="134"/>
      <c r="E503" s="139"/>
      <c r="F503" s="144"/>
      <c r="G503" s="146"/>
      <c r="H503" s="149"/>
      <c r="I503" s="149"/>
      <c r="J503" s="146"/>
      <c r="L503" s="151"/>
    </row>
    <row r="504" spans="1:12" s="111" customFormat="1" ht="12" customHeight="1" x14ac:dyDescent="0.2">
      <c r="A504" s="133"/>
      <c r="B504" s="135" t="str">
        <f>VLOOKUP(F504,BB!$A$8:$C$152,3,0)</f>
        <v>A02</v>
      </c>
      <c r="C504" s="136">
        <v>202605</v>
      </c>
      <c r="D504" s="134" t="s">
        <v>801</v>
      </c>
      <c r="E504" s="139">
        <v>46155</v>
      </c>
      <c r="F504" s="144" t="s">
        <v>166</v>
      </c>
      <c r="G504" s="149">
        <v>35000000</v>
      </c>
      <c r="H504" s="149">
        <v>0</v>
      </c>
      <c r="I504" s="149">
        <f>IF(G504&lt;&gt;0,G504,-H504)</f>
        <v>35000000</v>
      </c>
      <c r="J504" s="149">
        <v>0</v>
      </c>
      <c r="K504" s="111" t="s">
        <v>305</v>
      </c>
      <c r="L504" s="152" t="s">
        <v>803</v>
      </c>
    </row>
    <row r="505" spans="1:12" s="111" customFormat="1" ht="12" customHeight="1" x14ac:dyDescent="0.2">
      <c r="A505" s="133"/>
      <c r="B505" s="135" t="str">
        <f>VLOOKUP(F505,BB!$A$8:$C$152,3,0)</f>
        <v>P06</v>
      </c>
      <c r="C505" s="136">
        <f t="shared" ref="C505:E505" si="143">C504</f>
        <v>202605</v>
      </c>
      <c r="D505" s="136" t="str">
        <f t="shared" si="143"/>
        <v>MDR-2605006</v>
      </c>
      <c r="E505" s="186">
        <f t="shared" si="143"/>
        <v>46155</v>
      </c>
      <c r="F505" s="144" t="s">
        <v>221</v>
      </c>
      <c r="G505" s="146">
        <v>0</v>
      </c>
      <c r="H505" s="149">
        <f>+G504</f>
        <v>35000000</v>
      </c>
      <c r="I505" s="149">
        <f>IF(G505&lt;&gt;0,G505,-H505)</f>
        <v>-35000000</v>
      </c>
      <c r="J505" s="146">
        <v>0</v>
      </c>
      <c r="K505" s="111" t="str">
        <f>K504</f>
        <v>BANK MASUK</v>
      </c>
      <c r="L505" s="151" t="str">
        <f>L504</f>
        <v>TERIMA DARI GCSI UNTUK HEWAN QURBAN</v>
      </c>
    </row>
    <row r="506" spans="1:12" s="111" customFormat="1" ht="12" customHeight="1" x14ac:dyDescent="0.2">
      <c r="A506" s="133"/>
      <c r="B506" s="135"/>
      <c r="C506" s="136"/>
      <c r="D506" s="134"/>
      <c r="E506" s="139"/>
      <c r="F506" s="144"/>
      <c r="G506" s="146"/>
      <c r="H506" s="149"/>
      <c r="I506" s="149"/>
      <c r="J506" s="146"/>
      <c r="L506" s="151"/>
    </row>
    <row r="507" spans="1:12" s="111" customFormat="1" ht="12" customHeight="1" x14ac:dyDescent="0.2">
      <c r="A507" s="133"/>
      <c r="B507" s="135" t="str">
        <f>VLOOKUP(F507,BB!$A$8:$C$152,3,0)</f>
        <v>A02</v>
      </c>
      <c r="C507" s="136">
        <v>202605</v>
      </c>
      <c r="D507" s="134" t="s">
        <v>804</v>
      </c>
      <c r="E507" s="139">
        <v>46161</v>
      </c>
      <c r="F507" s="144" t="s">
        <v>166</v>
      </c>
      <c r="G507" s="149">
        <v>0</v>
      </c>
      <c r="H507" s="149">
        <v>14475000</v>
      </c>
      <c r="I507" s="189">
        <f>IF(G507&lt;&gt;0,G507,-H507)</f>
        <v>-14475000</v>
      </c>
      <c r="J507" s="149">
        <v>0</v>
      </c>
      <c r="K507" s="111" t="s">
        <v>304</v>
      </c>
      <c r="L507" s="152" t="s">
        <v>805</v>
      </c>
    </row>
    <row r="508" spans="1:12" s="111" customFormat="1" ht="12" customHeight="1" x14ac:dyDescent="0.2">
      <c r="A508" s="133"/>
      <c r="B508" s="135" t="str">
        <f>VLOOKUP(F508,BB!$A$8:$C$152,3,0)</f>
        <v>P05</v>
      </c>
      <c r="C508" s="136">
        <f>C507</f>
        <v>202605</v>
      </c>
      <c r="D508" s="134" t="str">
        <f>D507</f>
        <v>MDR-2605007</v>
      </c>
      <c r="E508" s="139">
        <f>E507</f>
        <v>46161</v>
      </c>
      <c r="F508" s="144" t="s">
        <v>435</v>
      </c>
      <c r="G508" s="146">
        <f>H507</f>
        <v>14475000</v>
      </c>
      <c r="H508" s="149">
        <f>G507</f>
        <v>0</v>
      </c>
      <c r="I508" s="189">
        <f>IF(G508&lt;&gt;0,G508,-H508)</f>
        <v>14475000</v>
      </c>
      <c r="J508" s="146">
        <f>-J507</f>
        <v>0</v>
      </c>
      <c r="K508" s="111" t="str">
        <f>K507</f>
        <v>BANK KELUAR</v>
      </c>
      <c r="L508" s="151" t="str">
        <f>L507</f>
        <v>PEMBAYARAN JASA FORKLIFT ACHMAD LUTHFIE PERIODE 202603</v>
      </c>
    </row>
    <row r="509" spans="1:12" s="111" customFormat="1" ht="12" customHeight="1" x14ac:dyDescent="0.2">
      <c r="A509" s="133"/>
      <c r="B509" s="135"/>
      <c r="C509" s="136"/>
      <c r="D509" s="134"/>
      <c r="E509" s="139"/>
      <c r="F509" s="144"/>
      <c r="G509" s="146"/>
      <c r="H509" s="149"/>
      <c r="I509" s="149"/>
      <c r="J509" s="146"/>
      <c r="L509" s="151"/>
    </row>
    <row r="510" spans="1:12" s="111" customFormat="1" ht="12" customHeight="1" x14ac:dyDescent="0.2">
      <c r="A510" s="133"/>
      <c r="B510" s="135" t="str">
        <f>VLOOKUP(F510,BB!$A$8:$C$152,3,0)</f>
        <v>A02</v>
      </c>
      <c r="C510" s="136">
        <v>202605</v>
      </c>
      <c r="D510" s="134" t="s">
        <v>806</v>
      </c>
      <c r="E510" s="139">
        <v>46163</v>
      </c>
      <c r="F510" s="144" t="s">
        <v>166</v>
      </c>
      <c r="G510" s="149">
        <v>0</v>
      </c>
      <c r="H510" s="149">
        <v>23000000</v>
      </c>
      <c r="I510" s="149">
        <f>IF(G510&lt;&gt;0,G510,-H510)</f>
        <v>-23000000</v>
      </c>
      <c r="J510" s="149">
        <v>0</v>
      </c>
      <c r="K510" s="111" t="s">
        <v>304</v>
      </c>
      <c r="L510" s="151" t="s">
        <v>807</v>
      </c>
    </row>
    <row r="511" spans="1:12" s="111" customFormat="1" ht="12" customHeight="1" x14ac:dyDescent="0.2">
      <c r="A511" s="133"/>
      <c r="B511" s="135" t="str">
        <f>VLOOKUP(F511,BB!$A$8:$C$152,3,0)</f>
        <v>A04A</v>
      </c>
      <c r="C511" s="136">
        <f>C510</f>
        <v>202605</v>
      </c>
      <c r="D511" s="134" t="str">
        <f>D510</f>
        <v>MDR-2605008</v>
      </c>
      <c r="E511" s="139">
        <f>E510</f>
        <v>46163</v>
      </c>
      <c r="F511" s="144" t="s">
        <v>468</v>
      </c>
      <c r="G511" s="146">
        <f>+H510</f>
        <v>23000000</v>
      </c>
      <c r="H511" s="149">
        <v>0</v>
      </c>
      <c r="I511" s="149">
        <f>IF(G511&lt;&gt;0,G511,-H511)</f>
        <v>23000000</v>
      </c>
      <c r="J511" s="146">
        <f>-J510</f>
        <v>0</v>
      </c>
      <c r="K511" s="111" t="str">
        <f>K510</f>
        <v>BANK KELUAR</v>
      </c>
      <c r="L511" s="151" t="str">
        <f>L510</f>
        <v>PINJAMAN RUTIN DWI TEGUH, 48X</v>
      </c>
    </row>
    <row r="512" spans="1:12" s="111" customFormat="1" ht="12" customHeight="1" x14ac:dyDescent="0.2">
      <c r="A512" s="133"/>
      <c r="B512" s="135"/>
      <c r="C512" s="136"/>
      <c r="D512" s="134"/>
      <c r="E512" s="139"/>
      <c r="F512" s="144"/>
      <c r="G512" s="146"/>
      <c r="H512" s="149"/>
      <c r="I512" s="149"/>
      <c r="J512" s="146"/>
      <c r="L512" s="151"/>
    </row>
    <row r="513" spans="1:42" s="111" customFormat="1" ht="12" customHeight="1" x14ac:dyDescent="0.2">
      <c r="A513" s="133"/>
      <c r="B513" s="135" t="str">
        <f>VLOOKUP(F513,BB!$A$8:$C$152,3,0)</f>
        <v>A02</v>
      </c>
      <c r="C513" s="136">
        <v>202605</v>
      </c>
      <c r="D513" s="134" t="s">
        <v>808</v>
      </c>
      <c r="E513" s="139">
        <v>46167</v>
      </c>
      <c r="F513" s="144" t="s">
        <v>166</v>
      </c>
      <c r="G513" s="146">
        <v>84943163</v>
      </c>
      <c r="H513" s="149">
        <v>0</v>
      </c>
      <c r="I513" s="149">
        <f t="shared" ref="I513:I518" si="144">IF(G513&lt;&gt;0,G513,-H513)</f>
        <v>84943163</v>
      </c>
      <c r="J513" s="149">
        <v>0</v>
      </c>
      <c r="K513" s="111" t="s">
        <v>305</v>
      </c>
      <c r="L513" s="151" t="s">
        <v>809</v>
      </c>
    </row>
    <row r="514" spans="1:42" s="111" customFormat="1" ht="12" customHeight="1" x14ac:dyDescent="0.2">
      <c r="A514" s="133"/>
      <c r="B514" s="135" t="str">
        <f>VLOOKUP(F514,BB!$A$8:$C$152,3,0)</f>
        <v>A04A</v>
      </c>
      <c r="C514" s="136">
        <f t="shared" ref="C514:E514" si="145">C513</f>
        <v>202605</v>
      </c>
      <c r="D514" s="134" t="str">
        <f t="shared" si="145"/>
        <v>MDR-2605009</v>
      </c>
      <c r="E514" s="139">
        <f t="shared" si="145"/>
        <v>46167</v>
      </c>
      <c r="F514" s="144" t="s">
        <v>468</v>
      </c>
      <c r="G514" s="146">
        <v>0</v>
      </c>
      <c r="H514" s="149">
        <v>62749027.777777769</v>
      </c>
      <c r="I514" s="149">
        <f t="shared" si="144"/>
        <v>-62749027.777777769</v>
      </c>
      <c r="J514" s="146">
        <f>-J513</f>
        <v>0</v>
      </c>
      <c r="K514" s="111" t="str">
        <f>K513</f>
        <v>BANK MASUK</v>
      </c>
      <c r="L514" s="151" t="str">
        <f>"ANGSURAN PIRUT DARI "&amp;MID(L513,17,50)</f>
        <v>ANGSURAN PIRUT DARI POTONGAN GAJI BULAN MEI 2026</v>
      </c>
    </row>
    <row r="515" spans="1:42" s="111" customFormat="1" ht="12" customHeight="1" x14ac:dyDescent="0.2">
      <c r="A515" s="133"/>
      <c r="B515" s="135" t="str">
        <f>VLOOKUP(F515,BB!$A$8:$C$152,3,0)</f>
        <v>P12</v>
      </c>
      <c r="C515" s="136">
        <f t="shared" ref="C515:E515" si="146">C514</f>
        <v>202605</v>
      </c>
      <c r="D515" s="134" t="str">
        <f t="shared" si="146"/>
        <v>MDR-2605009</v>
      </c>
      <c r="E515" s="139">
        <f t="shared" si="146"/>
        <v>46167</v>
      </c>
      <c r="F515" s="140" t="s">
        <v>227</v>
      </c>
      <c r="G515" s="146">
        <v>0</v>
      </c>
      <c r="H515" s="149">
        <v>3800000</v>
      </c>
      <c r="I515" s="149">
        <f t="shared" si="144"/>
        <v>-3800000</v>
      </c>
      <c r="J515" s="146">
        <f>-J514</f>
        <v>0</v>
      </c>
      <c r="K515" s="111" t="str">
        <f>K514</f>
        <v>BANK MASUK</v>
      </c>
      <c r="L515" s="151" t="s">
        <v>500</v>
      </c>
    </row>
    <row r="516" spans="1:42" s="111" customFormat="1" ht="12" customHeight="1" x14ac:dyDescent="0.2">
      <c r="A516" s="133"/>
      <c r="B516" s="135" t="str">
        <f>VLOOKUP(F516,BB!$A$8:$C$152,3,0)</f>
        <v>LR01A</v>
      </c>
      <c r="C516" s="136">
        <f t="shared" ref="C516:E516" si="147">C515</f>
        <v>202605</v>
      </c>
      <c r="D516" s="134" t="str">
        <f t="shared" si="147"/>
        <v>MDR-2605009</v>
      </c>
      <c r="E516" s="139">
        <f t="shared" si="147"/>
        <v>46167</v>
      </c>
      <c r="F516" s="144" t="s">
        <v>369</v>
      </c>
      <c r="G516" s="146">
        <v>0</v>
      </c>
      <c r="H516" s="146">
        <v>81143163.194444463</v>
      </c>
      <c r="I516" s="149">
        <f t="shared" si="144"/>
        <v>-81143163.194444463</v>
      </c>
      <c r="J516" s="146">
        <f>-J515</f>
        <v>0</v>
      </c>
      <c r="K516" s="111" t="str">
        <f>K515</f>
        <v>BANK MASUK</v>
      </c>
      <c r="L516" s="151" t="str">
        <f>"PENDAPATAN PIRUT "&amp;MID(L513,31,50)</f>
        <v>PENDAPATAN PIRUT BULAN MEI 2026</v>
      </c>
    </row>
    <row r="517" spans="1:42" s="111" customFormat="1" ht="12" customHeight="1" x14ac:dyDescent="0.2">
      <c r="A517" s="133"/>
      <c r="B517" s="135" t="str">
        <f>VLOOKUP(F517,BB!$A$8:$C$152,3,0)</f>
        <v>LR02A</v>
      </c>
      <c r="C517" s="136">
        <f t="shared" ref="C517:E517" si="148">C516</f>
        <v>202605</v>
      </c>
      <c r="D517" s="134" t="str">
        <f t="shared" si="148"/>
        <v>MDR-2605009</v>
      </c>
      <c r="E517" s="139">
        <f t="shared" si="148"/>
        <v>46167</v>
      </c>
      <c r="F517" s="144" t="s">
        <v>373</v>
      </c>
      <c r="G517" s="146">
        <f>H514</f>
        <v>62749027.777777769</v>
      </c>
      <c r="H517" s="146">
        <v>0</v>
      </c>
      <c r="I517" s="149">
        <f t="shared" si="144"/>
        <v>62749027.777777769</v>
      </c>
      <c r="J517" s="146">
        <f>-J516</f>
        <v>0</v>
      </c>
      <c r="K517" s="111" t="str">
        <f>K516</f>
        <v>BANK MASUK</v>
      </c>
      <c r="L517" s="151" t="str">
        <f>"HPP "&amp;MID(L516,12,50)</f>
        <v>HPP PIRUT BULAN MEI 2026</v>
      </c>
    </row>
    <row r="518" spans="1:42" s="111" customFormat="1" ht="12" customHeight="1" x14ac:dyDescent="0.2">
      <c r="A518" s="133"/>
      <c r="B518" s="135" t="str">
        <f>VLOOKUP(F518,BB!$A$8:$C$152,3,0)</f>
        <v>LR07</v>
      </c>
      <c r="C518" s="136">
        <f t="shared" ref="C518:E518" si="149">C517</f>
        <v>202605</v>
      </c>
      <c r="D518" s="134" t="str">
        <f t="shared" si="149"/>
        <v>MDR-2605009</v>
      </c>
      <c r="E518" s="139">
        <f t="shared" si="149"/>
        <v>46167</v>
      </c>
      <c r="F518" s="144" t="s">
        <v>249</v>
      </c>
      <c r="G518" s="146">
        <f>IF(SUM(I513:I517)&lt;0,-SUM(I513:I517),0)</f>
        <v>0.19444446265697479</v>
      </c>
      <c r="H518" s="146">
        <f>IF(SUM(I513:I517)&gt;0,-SUM(J513:J517),0)</f>
        <v>0</v>
      </c>
      <c r="I518" s="149">
        <f t="shared" si="144"/>
        <v>0.19444446265697479</v>
      </c>
      <c r="J518" s="146">
        <f>-J517</f>
        <v>0</v>
      </c>
      <c r="K518" s="111" t="str">
        <f>K517</f>
        <v>BANK MASUK</v>
      </c>
      <c r="L518" s="151" t="s">
        <v>434</v>
      </c>
    </row>
    <row r="519" spans="1:42" s="111" customFormat="1" ht="12" customHeight="1" x14ac:dyDescent="0.2">
      <c r="A519" s="133"/>
      <c r="B519" s="135"/>
      <c r="C519" s="136"/>
      <c r="D519" s="134"/>
      <c r="E519" s="139"/>
      <c r="F519" s="144"/>
      <c r="G519" s="146"/>
      <c r="H519" s="149"/>
      <c r="I519" s="149"/>
      <c r="J519" s="146"/>
      <c r="L519" s="151"/>
    </row>
    <row r="520" spans="1:42" s="111" customFormat="1" ht="12" customHeight="1" x14ac:dyDescent="0.2">
      <c r="A520" s="133"/>
      <c r="B520" s="135" t="str">
        <f>VLOOKUP(F520,BB!$A$8:$C$152,3,0)</f>
        <v>A02</v>
      </c>
      <c r="C520" s="136">
        <v>202605</v>
      </c>
      <c r="D520" s="134" t="s">
        <v>810</v>
      </c>
      <c r="E520" s="139">
        <v>46167</v>
      </c>
      <c r="F520" s="144" t="s">
        <v>166</v>
      </c>
      <c r="G520" s="149">
        <v>0</v>
      </c>
      <c r="H520" s="149">
        <v>60000000</v>
      </c>
      <c r="I520" s="149">
        <f>IF(G520&lt;&gt;0,G520,-H520)</f>
        <v>-60000000</v>
      </c>
      <c r="J520" s="149">
        <v>0</v>
      </c>
      <c r="K520" s="111" t="s">
        <v>304</v>
      </c>
      <c r="L520" s="151" t="s">
        <v>811</v>
      </c>
    </row>
    <row r="521" spans="1:42" s="111" customFormat="1" ht="12" customHeight="1" x14ac:dyDescent="0.2">
      <c r="A521" s="133"/>
      <c r="B521" s="135" t="str">
        <f>VLOOKUP(F521,BB!$A$8:$C$152,3,0)</f>
        <v>P06</v>
      </c>
      <c r="C521" s="136">
        <f t="shared" ref="C521:E522" si="150">C520</f>
        <v>202605</v>
      </c>
      <c r="D521" s="134" t="str">
        <f t="shared" si="150"/>
        <v>MDR-2605010</v>
      </c>
      <c r="E521" s="139">
        <f t="shared" si="150"/>
        <v>46167</v>
      </c>
      <c r="F521" s="144" t="s">
        <v>221</v>
      </c>
      <c r="G521" s="146">
        <v>35000000</v>
      </c>
      <c r="H521" s="149">
        <v>0</v>
      </c>
      <c r="I521" s="149">
        <f>IF(G521&lt;&gt;0,G521,-H521)</f>
        <v>35000000</v>
      </c>
      <c r="J521" s="146">
        <f>-J520</f>
        <v>0</v>
      </c>
      <c r="K521" s="111" t="str">
        <f>K520</f>
        <v>BANK KELUAR</v>
      </c>
      <c r="L521" s="151" t="s">
        <v>812</v>
      </c>
    </row>
    <row r="522" spans="1:42" s="111" customFormat="1" ht="12" customHeight="1" x14ac:dyDescent="0.2">
      <c r="A522" s="133"/>
      <c r="B522" s="135" t="str">
        <f>VLOOKUP(F522,BB!$A$8:$C$152,3,0)</f>
        <v>LR05</v>
      </c>
      <c r="C522" s="136">
        <f t="shared" si="150"/>
        <v>202605</v>
      </c>
      <c r="D522" s="134" t="str">
        <f t="shared" si="150"/>
        <v>MDR-2605010</v>
      </c>
      <c r="E522" s="139">
        <f t="shared" si="150"/>
        <v>46167</v>
      </c>
      <c r="F522" s="144" t="s">
        <v>381</v>
      </c>
      <c r="G522" s="146">
        <f>+H520-G521</f>
        <v>25000000</v>
      </c>
      <c r="H522" s="149">
        <v>0</v>
      </c>
      <c r="I522" s="149">
        <f>IF(G522&lt;&gt;0,G522,-H522)</f>
        <v>25000000</v>
      </c>
      <c r="J522" s="146">
        <f>-J521</f>
        <v>0</v>
      </c>
      <c r="K522" s="111" t="str">
        <f>K521</f>
        <v>BANK KELUAR</v>
      </c>
      <c r="L522" s="151" t="s">
        <v>813</v>
      </c>
    </row>
    <row r="523" spans="1:42" s="111" customFormat="1" ht="12" customHeight="1" x14ac:dyDescent="0.2">
      <c r="A523" s="133"/>
      <c r="B523" s="135"/>
      <c r="C523" s="136"/>
      <c r="D523" s="134"/>
      <c r="E523" s="139"/>
      <c r="F523" s="144"/>
      <c r="G523" s="146"/>
      <c r="H523" s="149"/>
      <c r="I523" s="149"/>
      <c r="J523" s="146"/>
      <c r="L523" s="151"/>
    </row>
    <row r="524" spans="1:42" s="111" customFormat="1" ht="12" customHeight="1" x14ac:dyDescent="0.2">
      <c r="A524" s="133"/>
      <c r="B524" s="135" t="str">
        <f>VLOOKUP(F524,BB!$A$8:$C$152,3,0)</f>
        <v>A02</v>
      </c>
      <c r="C524" s="136">
        <v>202605</v>
      </c>
      <c r="D524" s="134" t="s">
        <v>814</v>
      </c>
      <c r="E524" s="139">
        <v>46168</v>
      </c>
      <c r="F524" s="144" t="s">
        <v>166</v>
      </c>
      <c r="G524" s="149">
        <v>0</v>
      </c>
      <c r="H524" s="149">
        <v>11608500</v>
      </c>
      <c r="I524" s="191">
        <f>IF(G524&lt;&gt;0,G524,-H524)</f>
        <v>-11608500</v>
      </c>
      <c r="J524" s="149">
        <v>0</v>
      </c>
      <c r="K524" s="111" t="s">
        <v>304</v>
      </c>
      <c r="L524" s="151" t="s">
        <v>815</v>
      </c>
    </row>
    <row r="525" spans="1:42" s="111" customFormat="1" ht="12" customHeight="1" x14ac:dyDescent="0.2">
      <c r="A525" s="133"/>
      <c r="B525" s="135" t="str">
        <f>VLOOKUP(F525,BB!$A$8:$C$152,3,0)</f>
        <v>P05</v>
      </c>
      <c r="C525" s="136">
        <f t="shared" ref="C525:E525" si="151">+C524</f>
        <v>202605</v>
      </c>
      <c r="D525" s="134" t="str">
        <f t="shared" si="151"/>
        <v>MDR-2605011</v>
      </c>
      <c r="E525" s="139">
        <f t="shared" si="151"/>
        <v>46168</v>
      </c>
      <c r="F525" s="144" t="s">
        <v>439</v>
      </c>
      <c r="G525" s="149">
        <f>+H524</f>
        <v>11608500</v>
      </c>
      <c r="H525" s="149">
        <v>0</v>
      </c>
      <c r="I525" s="191">
        <f>IF(G525&lt;&gt;0,G525,-H525)</f>
        <v>11608500</v>
      </c>
      <c r="J525" s="146">
        <v>0</v>
      </c>
      <c r="K525" s="111" t="s">
        <v>304</v>
      </c>
      <c r="L525" s="151" t="str">
        <f>+L524</f>
        <v>PEMBAYARAN KE ORIX SEWA BULAN KE 47 (MEI)</v>
      </c>
    </row>
    <row r="526" spans="1:42" s="111" customFormat="1" ht="12" customHeight="1" x14ac:dyDescent="0.2">
      <c r="A526" s="133"/>
      <c r="B526" s="135"/>
      <c r="C526" s="136"/>
      <c r="D526" s="134"/>
      <c r="E526" s="139"/>
      <c r="F526" s="144"/>
      <c r="G526" s="146"/>
      <c r="H526" s="149"/>
      <c r="I526" s="149"/>
      <c r="J526" s="146"/>
      <c r="L526" s="151"/>
    </row>
    <row r="527" spans="1:42" s="111" customFormat="1" ht="12" customHeight="1" x14ac:dyDescent="0.2">
      <c r="A527" s="133"/>
      <c r="B527" s="135" t="str">
        <f>VLOOKUP(F527,BB!$A$8:$C$152,3,0)</f>
        <v>A02</v>
      </c>
      <c r="C527" s="136">
        <v>202605</v>
      </c>
      <c r="D527" s="134" t="s">
        <v>816</v>
      </c>
      <c r="E527" s="139">
        <v>46168</v>
      </c>
      <c r="F527" s="134" t="s">
        <v>166</v>
      </c>
      <c r="G527" s="149">
        <v>0</v>
      </c>
      <c r="H527" s="149">
        <v>12000000</v>
      </c>
      <c r="I527" s="149">
        <f>IF(G527&lt;&gt;0,G527,-H527)</f>
        <v>-12000000</v>
      </c>
      <c r="J527" s="149">
        <v>0</v>
      </c>
      <c r="K527" s="111" t="s">
        <v>304</v>
      </c>
      <c r="L527" s="152" t="s">
        <v>502</v>
      </c>
      <c r="M527" s="136"/>
      <c r="N527" s="136"/>
      <c r="O527" s="136"/>
      <c r="P527" s="136"/>
      <c r="Q527" s="136"/>
      <c r="R527" s="136"/>
      <c r="S527" s="136"/>
      <c r="T527" s="136"/>
      <c r="U527" s="136"/>
      <c r="V527" s="136"/>
      <c r="W527" s="136"/>
      <c r="X527" s="136"/>
      <c r="Y527" s="136"/>
      <c r="Z527" s="136"/>
      <c r="AA527" s="136"/>
      <c r="AB527" s="136"/>
      <c r="AC527" s="136"/>
      <c r="AD527" s="136"/>
      <c r="AE527" s="136"/>
      <c r="AF527" s="136"/>
      <c r="AG527" s="136"/>
      <c r="AH527" s="136"/>
      <c r="AI527" s="136"/>
      <c r="AJ527" s="136"/>
      <c r="AK527" s="136"/>
      <c r="AL527" s="136"/>
      <c r="AM527" s="136"/>
      <c r="AN527" s="136"/>
      <c r="AO527" s="136"/>
      <c r="AP527" s="136"/>
    </row>
    <row r="528" spans="1:42" s="111" customFormat="1" ht="12" customHeight="1" x14ac:dyDescent="0.2">
      <c r="A528" s="133"/>
      <c r="B528" s="135" t="str">
        <f>VLOOKUP(F528,BB!$A$8:$C$152,3,0)</f>
        <v>A01</v>
      </c>
      <c r="C528" s="136">
        <f>C527</f>
        <v>202605</v>
      </c>
      <c r="D528" s="134" t="str">
        <f>D527</f>
        <v>MDR-2605012</v>
      </c>
      <c r="E528" s="139">
        <f>E527</f>
        <v>46168</v>
      </c>
      <c r="F528" s="134" t="s">
        <v>164</v>
      </c>
      <c r="G528" s="146">
        <f>H527</f>
        <v>12000000</v>
      </c>
      <c r="H528" s="149">
        <f>G527</f>
        <v>0</v>
      </c>
      <c r="I528" s="149">
        <f>IF(G528&lt;&gt;0,G528,-H528)</f>
        <v>12000000</v>
      </c>
      <c r="J528" s="146">
        <f>-J527</f>
        <v>0</v>
      </c>
      <c r="K528" s="111" t="str">
        <f>K527</f>
        <v>BANK KELUAR</v>
      </c>
      <c r="L528" s="151" t="str">
        <f>L527</f>
        <v>PEMINDAHAN DANA KE AKUN KAS</v>
      </c>
    </row>
    <row r="529" spans="1:42" s="111" customFormat="1" ht="12" customHeight="1" x14ac:dyDescent="0.2">
      <c r="A529" s="133"/>
      <c r="B529" s="135"/>
      <c r="C529" s="136"/>
      <c r="D529" s="134"/>
      <c r="E529" s="139"/>
      <c r="F529" s="144"/>
      <c r="G529" s="146"/>
      <c r="H529" s="149"/>
      <c r="I529" s="149"/>
      <c r="J529" s="146"/>
      <c r="L529" s="151"/>
    </row>
    <row r="530" spans="1:42" s="111" customFormat="1" ht="12" customHeight="1" x14ac:dyDescent="0.2">
      <c r="A530" s="133"/>
      <c r="B530" s="135" t="str">
        <f>VLOOKUP(F530,BB!$A$8:$C$152,3,0)</f>
        <v>A02</v>
      </c>
      <c r="C530" s="136">
        <v>202605</v>
      </c>
      <c r="D530" s="134" t="s">
        <v>817</v>
      </c>
      <c r="E530" s="139">
        <v>46168</v>
      </c>
      <c r="F530" s="144" t="s">
        <v>166</v>
      </c>
      <c r="G530" s="149">
        <v>0</v>
      </c>
      <c r="H530" s="149">
        <v>2900</v>
      </c>
      <c r="I530" s="149">
        <f>IF(G530&lt;&gt;0,G530,-H530)</f>
        <v>-2900</v>
      </c>
      <c r="J530" s="149">
        <v>0</v>
      </c>
      <c r="K530" s="111" t="s">
        <v>304</v>
      </c>
      <c r="L530" s="152" t="s">
        <v>407</v>
      </c>
      <c r="M530" s="136"/>
      <c r="N530" s="136"/>
      <c r="O530" s="136"/>
      <c r="P530" s="136"/>
      <c r="Q530" s="136"/>
      <c r="R530" s="136"/>
      <c r="S530" s="136"/>
      <c r="T530" s="136"/>
      <c r="U530" s="136"/>
      <c r="V530" s="136"/>
      <c r="W530" s="136"/>
      <c r="X530" s="136"/>
      <c r="Y530" s="136"/>
      <c r="Z530" s="136"/>
      <c r="AA530" s="136"/>
      <c r="AB530" s="136"/>
      <c r="AC530" s="136"/>
      <c r="AD530" s="136"/>
      <c r="AE530" s="136"/>
      <c r="AF530" s="136"/>
      <c r="AG530" s="136"/>
      <c r="AH530" s="136"/>
      <c r="AI530" s="136"/>
      <c r="AJ530" s="136"/>
      <c r="AK530" s="136"/>
      <c r="AL530" s="136"/>
      <c r="AM530" s="136"/>
      <c r="AN530" s="136"/>
      <c r="AO530" s="136"/>
      <c r="AP530" s="136"/>
    </row>
    <row r="531" spans="1:42" s="111" customFormat="1" ht="12" customHeight="1" x14ac:dyDescent="0.2">
      <c r="A531" s="133"/>
      <c r="B531" s="135" t="str">
        <f>VLOOKUP(F531,BB!$A$8:$C$152,3,0)</f>
        <v>LR07</v>
      </c>
      <c r="C531" s="136">
        <f>+C530</f>
        <v>202605</v>
      </c>
      <c r="D531" s="134" t="str">
        <f>+D530</f>
        <v>MDR-2605013</v>
      </c>
      <c r="E531" s="139">
        <f>+E530</f>
        <v>46168</v>
      </c>
      <c r="F531" s="144" t="s">
        <v>248</v>
      </c>
      <c r="G531" s="146">
        <f>+H530</f>
        <v>2900</v>
      </c>
      <c r="H531" s="149">
        <v>0</v>
      </c>
      <c r="I531" s="149">
        <f>IF(G531&lt;&gt;0,G531,-H531)</f>
        <v>2900</v>
      </c>
      <c r="J531" s="146">
        <v>0</v>
      </c>
      <c r="K531" s="111" t="s">
        <v>304</v>
      </c>
      <c r="L531" s="151" t="str">
        <f>+L530</f>
        <v>CLEARING FEE</v>
      </c>
    </row>
    <row r="532" spans="1:42" s="111" customFormat="1" ht="12" customHeight="1" x14ac:dyDescent="0.2">
      <c r="A532" s="133"/>
      <c r="B532" s="135"/>
      <c r="C532" s="136"/>
      <c r="D532" s="134"/>
      <c r="E532" s="139"/>
      <c r="F532" s="144"/>
      <c r="G532" s="146"/>
      <c r="H532" s="149"/>
      <c r="I532" s="149"/>
      <c r="J532" s="146"/>
      <c r="L532" s="151"/>
    </row>
    <row r="533" spans="1:42" s="207" customFormat="1" ht="12" customHeight="1" x14ac:dyDescent="0.2">
      <c r="A533" s="199"/>
      <c r="B533" s="200" t="str">
        <f>VLOOKUP(F533,BB!$A$8:$C$152,3,0)</f>
        <v>A02</v>
      </c>
      <c r="C533" s="201">
        <v>202605</v>
      </c>
      <c r="D533" s="202" t="s">
        <v>819</v>
      </c>
      <c r="E533" s="203">
        <v>46168</v>
      </c>
      <c r="F533" s="204" t="s">
        <v>166</v>
      </c>
      <c r="G533" s="206">
        <v>0</v>
      </c>
      <c r="H533" s="206">
        <v>11608500</v>
      </c>
      <c r="I533" s="211">
        <f>IF(G533&lt;&gt;0,G533,-H533)</f>
        <v>-11608500</v>
      </c>
      <c r="J533" s="206">
        <v>0</v>
      </c>
      <c r="K533" s="207" t="s">
        <v>304</v>
      </c>
      <c r="L533" s="208" t="s">
        <v>818</v>
      </c>
    </row>
    <row r="534" spans="1:42" s="207" customFormat="1" ht="12" customHeight="1" x14ac:dyDescent="0.2">
      <c r="A534" s="199"/>
      <c r="B534" s="200" t="str">
        <f>VLOOKUP(F534,BB!$A$8:$C$152,3,0)</f>
        <v>A08</v>
      </c>
      <c r="C534" s="201">
        <f t="shared" ref="C534:E534" si="152">+C533</f>
        <v>202605</v>
      </c>
      <c r="D534" s="202" t="str">
        <f t="shared" si="152"/>
        <v>MDR-2605014</v>
      </c>
      <c r="E534" s="203">
        <f t="shared" si="152"/>
        <v>46168</v>
      </c>
      <c r="F534" s="204" t="s">
        <v>175</v>
      </c>
      <c r="G534" s="206">
        <f>+H533</f>
        <v>11608500</v>
      </c>
      <c r="H534" s="206">
        <v>0</v>
      </c>
      <c r="I534" s="211">
        <f>IF(G534&lt;&gt;0,G534,-H534)</f>
        <v>11608500</v>
      </c>
      <c r="J534" s="205">
        <v>0</v>
      </c>
      <c r="K534" s="207" t="s">
        <v>304</v>
      </c>
      <c r="L534" s="208" t="str">
        <f>+L533</f>
        <v>PEMBAYARAN KE ORIX SEWA BULAN KE 47 (MEI) DOBEL</v>
      </c>
    </row>
    <row r="535" spans="1:42" s="111" customFormat="1" ht="12" customHeight="1" x14ac:dyDescent="0.2">
      <c r="A535" s="133"/>
      <c r="B535" s="135"/>
      <c r="C535" s="136"/>
      <c r="D535" s="134"/>
      <c r="E535" s="139"/>
      <c r="F535" s="144"/>
      <c r="G535" s="146"/>
      <c r="H535" s="149"/>
      <c r="I535" s="149"/>
      <c r="J535" s="146"/>
      <c r="L535" s="151"/>
    </row>
    <row r="536" spans="1:42" s="111" customFormat="1" ht="12" customHeight="1" x14ac:dyDescent="0.2">
      <c r="A536" s="133"/>
      <c r="B536" s="135" t="str">
        <f>VLOOKUP(F536,BB!$A$8:$C$152,3,0)</f>
        <v>A02</v>
      </c>
      <c r="C536" s="136">
        <v>202605</v>
      </c>
      <c r="D536" s="134" t="s">
        <v>820</v>
      </c>
      <c r="E536" s="139">
        <v>46168</v>
      </c>
      <c r="F536" s="144" t="s">
        <v>166</v>
      </c>
      <c r="G536" s="149">
        <v>0</v>
      </c>
      <c r="H536" s="149">
        <v>2900</v>
      </c>
      <c r="I536" s="149">
        <f>IF(G536&lt;&gt;0,G536,-H536)</f>
        <v>-2900</v>
      </c>
      <c r="J536" s="149">
        <v>0</v>
      </c>
      <c r="K536" s="111" t="s">
        <v>304</v>
      </c>
      <c r="L536" s="152" t="s">
        <v>407</v>
      </c>
      <c r="M536" s="136"/>
      <c r="N536" s="136"/>
      <c r="O536" s="136"/>
      <c r="P536" s="136"/>
      <c r="Q536" s="136"/>
      <c r="R536" s="136"/>
      <c r="S536" s="136"/>
      <c r="T536" s="136"/>
      <c r="U536" s="136"/>
      <c r="V536" s="136"/>
      <c r="W536" s="136"/>
      <c r="X536" s="136"/>
      <c r="Y536" s="136"/>
      <c r="Z536" s="136"/>
      <c r="AA536" s="136"/>
      <c r="AB536" s="136"/>
      <c r="AC536" s="136"/>
      <c r="AD536" s="136"/>
      <c r="AE536" s="136"/>
      <c r="AF536" s="136"/>
      <c r="AG536" s="136"/>
      <c r="AH536" s="136"/>
      <c r="AI536" s="136"/>
      <c r="AJ536" s="136"/>
      <c r="AK536" s="136"/>
      <c r="AL536" s="136"/>
      <c r="AM536" s="136"/>
      <c r="AN536" s="136"/>
      <c r="AO536" s="136"/>
      <c r="AP536" s="136"/>
    </row>
    <row r="537" spans="1:42" s="111" customFormat="1" ht="12" customHeight="1" x14ac:dyDescent="0.2">
      <c r="A537" s="133"/>
      <c r="B537" s="135" t="str">
        <f>VLOOKUP(F537,BB!$A$8:$C$152,3,0)</f>
        <v>LR07</v>
      </c>
      <c r="C537" s="136">
        <f>+C536</f>
        <v>202605</v>
      </c>
      <c r="D537" s="134" t="str">
        <f>+D536</f>
        <v>MDR-2605015</v>
      </c>
      <c r="E537" s="139">
        <f>+E536</f>
        <v>46168</v>
      </c>
      <c r="F537" s="144" t="s">
        <v>248</v>
      </c>
      <c r="G537" s="146">
        <f>+H536</f>
        <v>2900</v>
      </c>
      <c r="H537" s="149">
        <v>0</v>
      </c>
      <c r="I537" s="149">
        <f>IF(G537&lt;&gt;0,G537,-H537)</f>
        <v>2900</v>
      </c>
      <c r="J537" s="146">
        <v>0</v>
      </c>
      <c r="K537" s="111" t="s">
        <v>304</v>
      </c>
      <c r="L537" s="151" t="str">
        <f>+L536</f>
        <v>CLEARING FEE</v>
      </c>
    </row>
    <row r="538" spans="1:42" s="111" customFormat="1" ht="12" customHeight="1" x14ac:dyDescent="0.2">
      <c r="A538" s="133"/>
      <c r="B538" s="135"/>
      <c r="C538" s="136"/>
      <c r="D538" s="134"/>
      <c r="E538" s="139"/>
      <c r="F538" s="144"/>
      <c r="G538" s="146"/>
      <c r="H538" s="149"/>
      <c r="I538" s="149"/>
      <c r="J538" s="146"/>
      <c r="L538" s="151"/>
    </row>
    <row r="539" spans="1:42" s="111" customFormat="1" ht="12" customHeight="1" x14ac:dyDescent="0.2">
      <c r="A539" s="133"/>
      <c r="B539" s="135" t="str">
        <f>VLOOKUP(F539,BB!$A$8:$C$152,3,0)</f>
        <v>A02</v>
      </c>
      <c r="C539" s="136">
        <v>202605</v>
      </c>
      <c r="D539" s="134" t="s">
        <v>821</v>
      </c>
      <c r="E539" s="139">
        <v>46168</v>
      </c>
      <c r="F539" s="144" t="s">
        <v>166</v>
      </c>
      <c r="G539" s="149">
        <v>0</v>
      </c>
      <c r="H539" s="149">
        <v>31666667</v>
      </c>
      <c r="I539" s="149">
        <f>IF(G539&lt;&gt;0,G539,-H539)</f>
        <v>-31666667</v>
      </c>
      <c r="J539" s="149">
        <v>0</v>
      </c>
      <c r="K539" s="111" t="s">
        <v>304</v>
      </c>
      <c r="L539" s="151" t="s">
        <v>822</v>
      </c>
    </row>
    <row r="540" spans="1:42" s="111" customFormat="1" ht="12" customHeight="1" x14ac:dyDescent="0.2">
      <c r="A540" s="133"/>
      <c r="B540" s="135" t="str">
        <f>VLOOKUP(F540,BB!$A$8:$C$152,3,0)</f>
        <v>A04A</v>
      </c>
      <c r="C540" s="136">
        <f t="shared" ref="C540:E540" si="153">C539</f>
        <v>202605</v>
      </c>
      <c r="D540" s="134" t="str">
        <f t="shared" si="153"/>
        <v>MDR-2605016</v>
      </c>
      <c r="E540" s="139">
        <f t="shared" si="153"/>
        <v>46168</v>
      </c>
      <c r="F540" s="144" t="s">
        <v>468</v>
      </c>
      <c r="G540" s="146">
        <v>100000000</v>
      </c>
      <c r="H540" s="149">
        <v>0</v>
      </c>
      <c r="I540" s="149">
        <f>IF(G540&lt;&gt;0,G540,-H540)</f>
        <v>100000000</v>
      </c>
      <c r="J540" s="146">
        <f>-J539</f>
        <v>0</v>
      </c>
      <c r="K540" s="111" t="str">
        <f>K539</f>
        <v>BANK KELUAR</v>
      </c>
      <c r="L540" s="151" t="str">
        <f>L539</f>
        <v>PINJAMAN RUTIN BAGUS A, 60X, KOMPENSASI</v>
      </c>
    </row>
    <row r="541" spans="1:42" s="111" customFormat="1" ht="12" customHeight="1" x14ac:dyDescent="0.2">
      <c r="A541" s="133"/>
      <c r="B541" s="135" t="str">
        <f>VLOOKUP(F541,BB!$A$8:$C$152,3,0)</f>
        <v>A04A</v>
      </c>
      <c r="C541" s="136">
        <f t="shared" ref="C541:E541" si="154">C540</f>
        <v>202605</v>
      </c>
      <c r="D541" s="134" t="str">
        <f t="shared" si="154"/>
        <v>MDR-2605016</v>
      </c>
      <c r="E541" s="139">
        <f t="shared" si="154"/>
        <v>46168</v>
      </c>
      <c r="F541" s="144" t="s">
        <v>468</v>
      </c>
      <c r="G541" s="146">
        <v>0</v>
      </c>
      <c r="H541" s="149">
        <f>G540-H539</f>
        <v>68333333</v>
      </c>
      <c r="I541" s="149">
        <f>IF(G541&lt;&gt;0,G541,-H541)</f>
        <v>-68333333</v>
      </c>
      <c r="J541" s="146">
        <f>-J540</f>
        <v>0</v>
      </c>
      <c r="K541" s="111" t="str">
        <f>K540</f>
        <v>BANK KELUAR</v>
      </c>
      <c r="L541" s="151" t="str">
        <f>L540</f>
        <v>PINJAMAN RUTIN BAGUS A, 60X, KOMPENSASI</v>
      </c>
    </row>
    <row r="542" spans="1:42" s="111" customFormat="1" ht="12" customHeight="1" x14ac:dyDescent="0.2">
      <c r="A542" s="133"/>
      <c r="B542" s="135"/>
      <c r="C542" s="136"/>
      <c r="D542" s="134"/>
      <c r="E542" s="139"/>
      <c r="F542" s="144"/>
      <c r="G542" s="146"/>
      <c r="H542" s="149"/>
      <c r="I542" s="149"/>
      <c r="J542" s="146"/>
      <c r="L542" s="151"/>
    </row>
    <row r="543" spans="1:42" s="111" customFormat="1" ht="12" customHeight="1" x14ac:dyDescent="0.2">
      <c r="A543" s="133"/>
      <c r="B543" s="135" t="str">
        <f>VLOOKUP(F543,BB!$A$8:$C$152,3,0)</f>
        <v>A02</v>
      </c>
      <c r="C543" s="136">
        <v>202605</v>
      </c>
      <c r="D543" s="134" t="s">
        <v>823</v>
      </c>
      <c r="E543" s="139">
        <v>46168</v>
      </c>
      <c r="F543" s="144" t="s">
        <v>166</v>
      </c>
      <c r="G543" s="149">
        <v>0</v>
      </c>
      <c r="H543" s="149">
        <v>13333334</v>
      </c>
      <c r="I543" s="149">
        <f>IF(G543&lt;&gt;0,G543,-H543)</f>
        <v>-13333334</v>
      </c>
      <c r="J543" s="149">
        <v>0</v>
      </c>
      <c r="K543" s="111" t="s">
        <v>304</v>
      </c>
      <c r="L543" s="151" t="s">
        <v>824</v>
      </c>
    </row>
    <row r="544" spans="1:42" s="111" customFormat="1" ht="12" customHeight="1" x14ac:dyDescent="0.2">
      <c r="A544" s="133"/>
      <c r="B544" s="135" t="str">
        <f>VLOOKUP(F544,BB!$A$8:$C$152,3,0)</f>
        <v>A04A</v>
      </c>
      <c r="C544" s="136">
        <f t="shared" ref="C544:E544" si="155">C543</f>
        <v>202605</v>
      </c>
      <c r="D544" s="134" t="str">
        <f t="shared" si="155"/>
        <v>MDR-2605017</v>
      </c>
      <c r="E544" s="139">
        <f t="shared" si="155"/>
        <v>46168</v>
      </c>
      <c r="F544" s="144" t="s">
        <v>468</v>
      </c>
      <c r="G544" s="146">
        <v>100000000</v>
      </c>
      <c r="H544" s="149">
        <v>0</v>
      </c>
      <c r="I544" s="149">
        <f>IF(G544&lt;&gt;0,G544,-H544)</f>
        <v>100000000</v>
      </c>
      <c r="J544" s="146">
        <f>-J543</f>
        <v>0</v>
      </c>
      <c r="K544" s="111" t="str">
        <f>K543</f>
        <v>BANK KELUAR</v>
      </c>
      <c r="L544" s="151" t="str">
        <f>L543</f>
        <v>PINJAMAN RUTIN ARDHI Y, 60X, KOMPENSASI</v>
      </c>
    </row>
    <row r="545" spans="1:42" s="111" customFormat="1" ht="12" customHeight="1" x14ac:dyDescent="0.2">
      <c r="A545" s="133"/>
      <c r="B545" s="135" t="str">
        <f>VLOOKUP(F545,BB!$A$8:$C$152,3,0)</f>
        <v>A04A</v>
      </c>
      <c r="C545" s="136">
        <f t="shared" ref="C545:E545" si="156">C544</f>
        <v>202605</v>
      </c>
      <c r="D545" s="134" t="str">
        <f t="shared" si="156"/>
        <v>MDR-2605017</v>
      </c>
      <c r="E545" s="139">
        <f t="shared" si="156"/>
        <v>46168</v>
      </c>
      <c r="F545" s="144" t="s">
        <v>468</v>
      </c>
      <c r="G545" s="146">
        <v>0</v>
      </c>
      <c r="H545" s="149">
        <f>G544-H543</f>
        <v>86666666</v>
      </c>
      <c r="I545" s="149">
        <f>IF(G545&lt;&gt;0,G545,-H545)</f>
        <v>-86666666</v>
      </c>
      <c r="J545" s="146">
        <f>-J544</f>
        <v>0</v>
      </c>
      <c r="K545" s="111" t="str">
        <f>K544</f>
        <v>BANK KELUAR</v>
      </c>
      <c r="L545" s="151" t="str">
        <f>L544</f>
        <v>PINJAMAN RUTIN ARDHI Y, 60X, KOMPENSASI</v>
      </c>
    </row>
    <row r="546" spans="1:42" s="111" customFormat="1" ht="12" customHeight="1" x14ac:dyDescent="0.2">
      <c r="A546" s="133"/>
      <c r="B546" s="135"/>
      <c r="C546" s="136"/>
      <c r="D546" s="134"/>
      <c r="E546" s="139"/>
      <c r="F546" s="144"/>
      <c r="G546" s="146"/>
      <c r="H546" s="149"/>
      <c r="I546" s="149"/>
      <c r="J546" s="146"/>
      <c r="L546" s="151"/>
    </row>
    <row r="547" spans="1:42" s="111" customFormat="1" ht="12" customHeight="1" x14ac:dyDescent="0.2">
      <c r="A547" s="133"/>
      <c r="B547" s="135" t="str">
        <f>VLOOKUP(F547,BB!$A$8:$C$152,3,0)</f>
        <v>A02</v>
      </c>
      <c r="C547" s="136">
        <v>202605</v>
      </c>
      <c r="D547" s="134" t="s">
        <v>825</v>
      </c>
      <c r="E547" s="139">
        <v>46168</v>
      </c>
      <c r="F547" s="144" t="s">
        <v>166</v>
      </c>
      <c r="G547" s="149">
        <v>0</v>
      </c>
      <c r="H547" s="149">
        <v>40000000</v>
      </c>
      <c r="I547" s="149">
        <f>IF(G547&lt;&gt;0,G547,-H547)</f>
        <v>-40000000</v>
      </c>
      <c r="J547" s="149">
        <v>0</v>
      </c>
      <c r="K547" s="111" t="s">
        <v>304</v>
      </c>
      <c r="L547" s="151" t="s">
        <v>826</v>
      </c>
    </row>
    <row r="548" spans="1:42" s="111" customFormat="1" ht="12" customHeight="1" x14ac:dyDescent="0.2">
      <c r="A548" s="133"/>
      <c r="B548" s="135" t="str">
        <f>VLOOKUP(F548,BB!$A$8:$C$152,3,0)</f>
        <v>A04A</v>
      </c>
      <c r="C548" s="136">
        <f>C547</f>
        <v>202605</v>
      </c>
      <c r="D548" s="134" t="str">
        <f>D547</f>
        <v>MDR-2605018</v>
      </c>
      <c r="E548" s="139">
        <f>E547</f>
        <v>46168</v>
      </c>
      <c r="F548" s="144" t="s">
        <v>468</v>
      </c>
      <c r="G548" s="146">
        <f>+H547</f>
        <v>40000000</v>
      </c>
      <c r="H548" s="149">
        <v>0</v>
      </c>
      <c r="I548" s="149">
        <f>IF(G548&lt;&gt;0,G548,-H548)</f>
        <v>40000000</v>
      </c>
      <c r="J548" s="146">
        <f>-J547</f>
        <v>0</v>
      </c>
      <c r="K548" s="111" t="str">
        <f>K547</f>
        <v>BANK KELUAR</v>
      </c>
      <c r="L548" s="151" t="str">
        <f>L547</f>
        <v>PINJAMAN RUTIN IWAN R, 12X</v>
      </c>
    </row>
    <row r="549" spans="1:42" s="111" customFormat="1" ht="12" customHeight="1" x14ac:dyDescent="0.2">
      <c r="A549" s="133"/>
      <c r="B549" s="135"/>
      <c r="C549" s="136"/>
      <c r="D549" s="134"/>
      <c r="E549" s="139"/>
      <c r="F549" s="144"/>
      <c r="G549" s="146"/>
      <c r="H549" s="149"/>
      <c r="I549" s="149"/>
      <c r="J549" s="146"/>
      <c r="L549" s="151"/>
    </row>
    <row r="550" spans="1:42" s="111" customFormat="1" ht="12" customHeight="1" x14ac:dyDescent="0.2">
      <c r="A550" s="133"/>
      <c r="B550" s="135" t="str">
        <f>VLOOKUP(F550,BB!$A$8:$C$152,3,0)</f>
        <v>A02</v>
      </c>
      <c r="C550" s="136">
        <v>202605</v>
      </c>
      <c r="D550" s="134" t="s">
        <v>827</v>
      </c>
      <c r="E550" s="139">
        <v>46168</v>
      </c>
      <c r="F550" s="134" t="s">
        <v>166</v>
      </c>
      <c r="G550" s="149">
        <v>0</v>
      </c>
      <c r="H550" s="149">
        <v>5000000</v>
      </c>
      <c r="I550" s="149">
        <f>IF(G550&lt;&gt;0,G550,-H550)</f>
        <v>-5000000</v>
      </c>
      <c r="J550" s="149">
        <v>0</v>
      </c>
      <c r="K550" s="111" t="s">
        <v>304</v>
      </c>
      <c r="L550" s="152" t="s">
        <v>502</v>
      </c>
      <c r="M550" s="136"/>
      <c r="N550" s="136"/>
      <c r="O550" s="136"/>
      <c r="P550" s="136"/>
      <c r="Q550" s="136"/>
      <c r="R550" s="136"/>
      <c r="S550" s="136"/>
      <c r="T550" s="136"/>
      <c r="U550" s="136"/>
      <c r="V550" s="136"/>
      <c r="W550" s="136"/>
      <c r="X550" s="136"/>
      <c r="Y550" s="136"/>
      <c r="Z550" s="136"/>
      <c r="AA550" s="136"/>
      <c r="AB550" s="136"/>
      <c r="AC550" s="136"/>
      <c r="AD550" s="136"/>
      <c r="AE550" s="136"/>
      <c r="AF550" s="136"/>
      <c r="AG550" s="136"/>
      <c r="AH550" s="136"/>
      <c r="AI550" s="136"/>
      <c r="AJ550" s="136"/>
      <c r="AK550" s="136"/>
      <c r="AL550" s="136"/>
      <c r="AM550" s="136"/>
      <c r="AN550" s="136"/>
      <c r="AO550" s="136"/>
      <c r="AP550" s="136"/>
    </row>
    <row r="551" spans="1:42" s="111" customFormat="1" ht="12" customHeight="1" x14ac:dyDescent="0.2">
      <c r="A551" s="133"/>
      <c r="B551" s="135" t="str">
        <f>VLOOKUP(F551,BB!$A$8:$C$152,3,0)</f>
        <v>A01</v>
      </c>
      <c r="C551" s="136">
        <f>C550</f>
        <v>202605</v>
      </c>
      <c r="D551" s="134" t="str">
        <f>D550</f>
        <v>MDR-2605019</v>
      </c>
      <c r="E551" s="139">
        <f>E550</f>
        <v>46168</v>
      </c>
      <c r="F551" s="134" t="s">
        <v>164</v>
      </c>
      <c r="G551" s="146">
        <f>H550</f>
        <v>5000000</v>
      </c>
      <c r="H551" s="149">
        <f>G550</f>
        <v>0</v>
      </c>
      <c r="I551" s="149">
        <f>IF(G551&lt;&gt;0,G551,-H551)</f>
        <v>5000000</v>
      </c>
      <c r="J551" s="146">
        <f>-J550</f>
        <v>0</v>
      </c>
      <c r="K551" s="111" t="str">
        <f>K550</f>
        <v>BANK KELUAR</v>
      </c>
      <c r="L551" s="151" t="str">
        <f>L550</f>
        <v>PEMINDAHAN DANA KE AKUN KAS</v>
      </c>
    </row>
    <row r="552" spans="1:42" s="111" customFormat="1" ht="12" customHeight="1" x14ac:dyDescent="0.2">
      <c r="A552" s="133"/>
      <c r="B552" s="135"/>
      <c r="C552" s="136"/>
      <c r="D552" s="134"/>
      <c r="E552" s="139"/>
      <c r="F552" s="144"/>
      <c r="G552" s="146"/>
      <c r="H552" s="149"/>
      <c r="I552" s="149"/>
      <c r="J552" s="146"/>
      <c r="L552" s="151"/>
    </row>
    <row r="553" spans="1:42" s="111" customFormat="1" ht="12" customHeight="1" x14ac:dyDescent="0.2">
      <c r="A553" s="133"/>
      <c r="B553" s="135" t="str">
        <f>VLOOKUP(F553,BB!$A$8:$C$152,3,0)</f>
        <v>A02</v>
      </c>
      <c r="C553" s="136">
        <v>202605</v>
      </c>
      <c r="D553" s="134" t="s">
        <v>828</v>
      </c>
      <c r="E553" s="139">
        <v>46173</v>
      </c>
      <c r="F553" s="144" t="s">
        <v>166</v>
      </c>
      <c r="G553" s="149">
        <f>IF(SUM(I554:I556)&lt;0,-SUM(I554:I556),0)</f>
        <v>1465.2999999999975</v>
      </c>
      <c r="H553" s="149">
        <f>IF(SUM(I554:I556)&gt;0,SUM(I554:I556),0)</f>
        <v>0</v>
      </c>
      <c r="I553" s="149">
        <f>IF(G553&lt;&gt;0,G553,-H553)</f>
        <v>1465.2999999999975</v>
      </c>
      <c r="J553" s="146">
        <f>-J552</f>
        <v>0</v>
      </c>
      <c r="K553" s="111" t="str">
        <f>IF(I553&gt;0,"BANK MASUK","BANK KELUAR")</f>
        <v>BANK MASUK</v>
      </c>
      <c r="L553" s="151" t="str">
        <f>IF(K553="BANK MASUK","PENDAPATAN ATAS REKENING GIRO MANDIRI","BIAYA ATAS REKENING GIRO MANDIRI")</f>
        <v>PENDAPATAN ATAS REKENING GIRO MANDIRI</v>
      </c>
    </row>
    <row r="554" spans="1:42" s="111" customFormat="1" ht="12" customHeight="1" x14ac:dyDescent="0.2">
      <c r="A554" s="133"/>
      <c r="B554" s="135" t="str">
        <f>VLOOKUP(F554,BB!$A$8:$C$152,3,0)</f>
        <v>LR07</v>
      </c>
      <c r="C554" s="136">
        <f t="shared" ref="C554:E554" si="157">C553</f>
        <v>202605</v>
      </c>
      <c r="D554" s="134" t="str">
        <f t="shared" si="157"/>
        <v>MDR-2605020</v>
      </c>
      <c r="E554" s="139">
        <f t="shared" si="157"/>
        <v>46173</v>
      </c>
      <c r="F554" s="144" t="s">
        <v>248</v>
      </c>
      <c r="G554" s="149">
        <v>25000</v>
      </c>
      <c r="H554" s="149">
        <v>0</v>
      </c>
      <c r="I554" s="149">
        <f>IF(G554&lt;&gt;0,G554,-H554)</f>
        <v>25000</v>
      </c>
      <c r="J554" s="146">
        <f>-J553</f>
        <v>0</v>
      </c>
      <c r="K554" s="111" t="str">
        <f>K553</f>
        <v>BANK MASUK</v>
      </c>
      <c r="L554" s="151" t="s">
        <v>409</v>
      </c>
    </row>
    <row r="555" spans="1:42" s="111" customFormat="1" ht="12" customHeight="1" x14ac:dyDescent="0.2">
      <c r="A555" s="133"/>
      <c r="B555" s="135" t="str">
        <f>VLOOKUP(F555,BB!$A$8:$C$152,3,0)</f>
        <v>LR07</v>
      </c>
      <c r="C555" s="136">
        <f t="shared" ref="C555:E555" si="158">C554</f>
        <v>202605</v>
      </c>
      <c r="D555" s="134" t="str">
        <f t="shared" si="158"/>
        <v>MDR-2605020</v>
      </c>
      <c r="E555" s="139">
        <f t="shared" si="158"/>
        <v>46173</v>
      </c>
      <c r="F555" s="144" t="s">
        <v>248</v>
      </c>
      <c r="G555" s="149">
        <v>0</v>
      </c>
      <c r="H555" s="149">
        <v>33081.629999999997</v>
      </c>
      <c r="I555" s="149">
        <f>IF(G555&lt;&gt;0,G555,-H555)</f>
        <v>-33081.629999999997</v>
      </c>
      <c r="J555" s="146">
        <f>-J554</f>
        <v>0</v>
      </c>
      <c r="K555" s="111" t="str">
        <f>K554</f>
        <v>BANK MASUK</v>
      </c>
      <c r="L555" s="151" t="s">
        <v>410</v>
      </c>
    </row>
    <row r="556" spans="1:42" s="111" customFormat="1" ht="12" customHeight="1" x14ac:dyDescent="0.2">
      <c r="A556" s="133"/>
      <c r="B556" s="135" t="str">
        <f>VLOOKUP(F556,BB!$A$8:$C$152,3,0)</f>
        <v>LR07</v>
      </c>
      <c r="C556" s="136">
        <f t="shared" ref="C556:E556" si="159">C555</f>
        <v>202605</v>
      </c>
      <c r="D556" s="134" t="str">
        <f t="shared" si="159"/>
        <v>MDR-2605020</v>
      </c>
      <c r="E556" s="139">
        <f t="shared" si="159"/>
        <v>46173</v>
      </c>
      <c r="F556" s="144" t="s">
        <v>248</v>
      </c>
      <c r="G556" s="149">
        <v>6616.33</v>
      </c>
      <c r="H556" s="149">
        <v>0</v>
      </c>
      <c r="I556" s="149">
        <f>IF(G556&lt;&gt;0,G556,-H556)</f>
        <v>6616.33</v>
      </c>
      <c r="J556" s="146">
        <f>-J555</f>
        <v>0</v>
      </c>
      <c r="K556" s="111" t="str">
        <f>K555</f>
        <v>BANK MASUK</v>
      </c>
      <c r="L556" s="151" t="s">
        <v>411</v>
      </c>
    </row>
    <row r="557" spans="1:42" s="111" customFormat="1" ht="12" customHeight="1" x14ac:dyDescent="0.2">
      <c r="A557" s="133"/>
      <c r="B557" s="135"/>
      <c r="C557" s="136"/>
      <c r="D557" s="134"/>
      <c r="E557" s="139"/>
      <c r="F557" s="144"/>
      <c r="G557" s="146"/>
      <c r="H557" s="149"/>
      <c r="I557" s="149"/>
      <c r="J557" s="146"/>
      <c r="L557" s="151"/>
    </row>
    <row r="558" spans="1:42" s="111" customFormat="1" ht="12" customHeight="1" x14ac:dyDescent="0.2">
      <c r="A558" s="133"/>
      <c r="B558" s="135" t="str">
        <f>VLOOKUP(F558,BB!$A$8:$C$152,3,0)</f>
        <v>A02</v>
      </c>
      <c r="C558" s="136">
        <v>202605</v>
      </c>
      <c r="D558" s="134" t="s">
        <v>829</v>
      </c>
      <c r="E558" s="139">
        <v>46173</v>
      </c>
      <c r="F558" s="144" t="s">
        <v>167</v>
      </c>
      <c r="G558" s="149">
        <v>0</v>
      </c>
      <c r="H558" s="149">
        <v>30000</v>
      </c>
      <c r="I558" s="149">
        <f>IF(G558&lt;&gt;0,G558,-H558)</f>
        <v>-30000</v>
      </c>
      <c r="J558" s="149">
        <v>0</v>
      </c>
      <c r="K558" s="111" t="s">
        <v>304</v>
      </c>
      <c r="L558" s="151" t="s">
        <v>409</v>
      </c>
    </row>
    <row r="559" spans="1:42" s="111" customFormat="1" ht="12" customHeight="1" x14ac:dyDescent="0.2">
      <c r="A559" s="133"/>
      <c r="B559" s="135" t="str">
        <f>VLOOKUP(F559,BB!$A$8:$C$152,3,0)</f>
        <v>LR07</v>
      </c>
      <c r="C559" s="136">
        <f>C558</f>
        <v>202605</v>
      </c>
      <c r="D559" s="134" t="str">
        <f>D558</f>
        <v>BCA-2605001</v>
      </c>
      <c r="E559" s="139">
        <f>E558</f>
        <v>46173</v>
      </c>
      <c r="F559" s="144" t="s">
        <v>248</v>
      </c>
      <c r="G559" s="146">
        <v>30000</v>
      </c>
      <c r="H559" s="149">
        <v>0</v>
      </c>
      <c r="I559" s="149">
        <f>IF(G559&lt;&gt;0,G559,-H559)</f>
        <v>30000</v>
      </c>
      <c r="J559" s="146">
        <v>0</v>
      </c>
      <c r="K559" s="111" t="s">
        <v>304</v>
      </c>
      <c r="L559" s="151" t="s">
        <v>409</v>
      </c>
    </row>
    <row r="560" spans="1:42" s="111" customFormat="1" ht="12" customHeight="1" x14ac:dyDescent="0.2">
      <c r="A560" s="133"/>
      <c r="B560" s="135"/>
      <c r="C560" s="136"/>
      <c r="D560" s="134"/>
      <c r="E560" s="139"/>
      <c r="F560" s="144"/>
      <c r="G560" s="146"/>
      <c r="H560" s="149"/>
      <c r="I560" s="149"/>
      <c r="J560" s="146"/>
      <c r="L560" s="151"/>
    </row>
    <row r="561" spans="1:14" s="111" customFormat="1" ht="12" customHeight="1" x14ac:dyDescent="0.2">
      <c r="A561" s="133"/>
      <c r="B561" s="135" t="str">
        <f>VLOOKUP(F561,BB!$A$8:$C$152,3,0)</f>
        <v>A01</v>
      </c>
      <c r="C561" s="136">
        <v>202605</v>
      </c>
      <c r="D561" s="134" t="s">
        <v>830</v>
      </c>
      <c r="E561" s="139">
        <v>46147</v>
      </c>
      <c r="F561" s="144" t="s">
        <v>163</v>
      </c>
      <c r="G561" s="149">
        <v>2720000</v>
      </c>
      <c r="H561" s="149">
        <v>0</v>
      </c>
      <c r="I561" s="149">
        <f>IF(G561&lt;&gt;0,G561,-H561)</f>
        <v>2720000</v>
      </c>
      <c r="J561" s="149">
        <v>0</v>
      </c>
      <c r="K561" s="111" t="s">
        <v>509</v>
      </c>
      <c r="L561" s="152" t="s">
        <v>831</v>
      </c>
    </row>
    <row r="562" spans="1:14" s="111" customFormat="1" ht="12" customHeight="1" x14ac:dyDescent="0.2">
      <c r="A562" s="133"/>
      <c r="B562" s="135" t="str">
        <f>VLOOKUP(F562,BB!$A$8:$C$152,3,0)</f>
        <v>A04A</v>
      </c>
      <c r="C562" s="136">
        <f t="shared" ref="C562:E562" si="160">C561</f>
        <v>202605</v>
      </c>
      <c r="D562" s="134" t="str">
        <f t="shared" si="160"/>
        <v>KAS-2605001</v>
      </c>
      <c r="E562" s="139">
        <f t="shared" si="160"/>
        <v>46147</v>
      </c>
      <c r="F562" s="144" t="s">
        <v>471</v>
      </c>
      <c r="G562" s="146">
        <v>0</v>
      </c>
      <c r="H562" s="149">
        <v>2300000</v>
      </c>
      <c r="I562" s="149">
        <f>IF(G562&lt;&gt;0,G562,-H562)</f>
        <v>-2300000</v>
      </c>
      <c r="J562" s="146">
        <f>-J561</f>
        <v>0</v>
      </c>
      <c r="K562" s="111" t="str">
        <f>K561</f>
        <v>KAS MASUK</v>
      </c>
      <c r="L562" s="152" t="str">
        <f>L561</f>
        <v>PELUNASAN PINJAMAN LAIN AN. FARID F.</v>
      </c>
    </row>
    <row r="563" spans="1:14" s="111" customFormat="1" ht="12" customHeight="1" x14ac:dyDescent="0.2">
      <c r="A563" s="133"/>
      <c r="B563" s="135" t="str">
        <f>VLOOKUP(F563,BB!$A$8:$C$152,3,0)</f>
        <v>LR01C</v>
      </c>
      <c r="C563" s="136">
        <f t="shared" ref="C563:E563" si="161">C562</f>
        <v>202605</v>
      </c>
      <c r="D563" s="134" t="str">
        <f t="shared" si="161"/>
        <v>KAS-2605001</v>
      </c>
      <c r="E563" s="139">
        <f t="shared" si="161"/>
        <v>46147</v>
      </c>
      <c r="F563" s="144" t="s">
        <v>371</v>
      </c>
      <c r="G563" s="146">
        <v>0</v>
      </c>
      <c r="H563" s="149">
        <f>G561-H562</f>
        <v>420000</v>
      </c>
      <c r="I563" s="149">
        <f>IF(G563&lt;&gt;0,G563,-H563)</f>
        <v>-420000</v>
      </c>
      <c r="J563" s="146">
        <f>-J562</f>
        <v>0</v>
      </c>
      <c r="K563" s="111" t="str">
        <f>K562</f>
        <v>KAS MASUK</v>
      </c>
      <c r="L563" s="152" t="str">
        <f>"PENDAPATAN ATAS PINJAMAN LAIN "&amp;MID(L562,24,20)</f>
        <v>PENDAPATAN ATAS PINJAMAN LAIN  AN. FARID F.</v>
      </c>
    </row>
    <row r="564" spans="1:14" s="111" customFormat="1" ht="12" customHeight="1" x14ac:dyDescent="0.2">
      <c r="A564" s="133"/>
      <c r="B564" s="135"/>
      <c r="C564" s="136"/>
      <c r="D564" s="134"/>
      <c r="E564" s="139"/>
      <c r="F564" s="144"/>
      <c r="G564" s="146"/>
      <c r="H564" s="149"/>
      <c r="I564" s="149"/>
      <c r="J564" s="146"/>
      <c r="L564" s="151"/>
    </row>
    <row r="565" spans="1:14" s="111" customFormat="1" ht="12" customHeight="1" x14ac:dyDescent="0.2">
      <c r="A565" s="133"/>
      <c r="B565" s="135" t="str">
        <f>VLOOKUP(F565,BB!$A$8:$C$152,3,0)</f>
        <v>A01</v>
      </c>
      <c r="C565" s="136">
        <v>202605</v>
      </c>
      <c r="D565" s="134" t="s">
        <v>832</v>
      </c>
      <c r="E565" s="139">
        <v>46147</v>
      </c>
      <c r="F565" s="144" t="s">
        <v>163</v>
      </c>
      <c r="G565" s="149">
        <v>0</v>
      </c>
      <c r="H565" s="149">
        <v>5000000</v>
      </c>
      <c r="I565" s="149">
        <f>IF(G565&lt;&gt;0,G565,-H565)</f>
        <v>-5000000</v>
      </c>
      <c r="J565" s="149">
        <v>0</v>
      </c>
      <c r="K565" s="111" t="s">
        <v>510</v>
      </c>
      <c r="L565" s="152" t="s">
        <v>833</v>
      </c>
      <c r="M565" s="149"/>
      <c r="N565" s="149"/>
    </row>
    <row r="566" spans="1:14" s="111" customFormat="1" ht="12" customHeight="1" x14ac:dyDescent="0.2">
      <c r="A566" s="133"/>
      <c r="B566" s="135" t="str">
        <f>VLOOKUP(F566,BB!$A$8:$C$152,3,0)</f>
        <v>A04A</v>
      </c>
      <c r="C566" s="136">
        <f>C565</f>
        <v>202605</v>
      </c>
      <c r="D566" s="134" t="str">
        <f>D565</f>
        <v>KAS-2605002</v>
      </c>
      <c r="E566" s="139">
        <f>E565</f>
        <v>46147</v>
      </c>
      <c r="F566" s="144" t="s">
        <v>471</v>
      </c>
      <c r="G566" s="146">
        <f>H565</f>
        <v>5000000</v>
      </c>
      <c r="H566" s="149">
        <f>G565</f>
        <v>0</v>
      </c>
      <c r="I566" s="149">
        <f>IF(G566&lt;&gt;0,G566,-H566)</f>
        <v>5000000</v>
      </c>
      <c r="J566" s="146">
        <f>-J565</f>
        <v>0</v>
      </c>
      <c r="K566" s="111" t="str">
        <f>K565</f>
        <v>KAS KELUAR</v>
      </c>
      <c r="L566" s="151" t="str">
        <f>L565</f>
        <v>PINJAMAN LAIN AN. FARID F.</v>
      </c>
      <c r="M566" s="146"/>
      <c r="N566" s="149"/>
    </row>
    <row r="567" spans="1:14" s="111" customFormat="1" ht="12" customHeight="1" x14ac:dyDescent="0.2">
      <c r="A567" s="133"/>
      <c r="B567" s="135"/>
      <c r="C567" s="136"/>
      <c r="D567" s="134"/>
      <c r="E567" s="139"/>
      <c r="F567" s="144"/>
      <c r="G567" s="146"/>
      <c r="H567" s="149"/>
      <c r="I567" s="149"/>
      <c r="J567" s="146"/>
      <c r="L567" s="151"/>
    </row>
    <row r="568" spans="1:14" s="111" customFormat="1" ht="12" customHeight="1" x14ac:dyDescent="0.2">
      <c r="A568" s="133"/>
      <c r="B568" s="135" t="str">
        <f>VLOOKUP(F568,BB!$A$8:$C$152,3,0)</f>
        <v>A01</v>
      </c>
      <c r="C568" s="136">
        <v>202605</v>
      </c>
      <c r="D568" s="134" t="s">
        <v>834</v>
      </c>
      <c r="E568" s="139">
        <v>46147</v>
      </c>
      <c r="F568" s="144" t="s">
        <v>163</v>
      </c>
      <c r="G568" s="149">
        <v>10000000</v>
      </c>
      <c r="H568" s="149">
        <v>0</v>
      </c>
      <c r="I568" s="149">
        <f>IF(G568&lt;&gt;0,G568,-H568)</f>
        <v>10000000</v>
      </c>
      <c r="J568" s="149">
        <v>0</v>
      </c>
      <c r="K568" s="111" t="s">
        <v>509</v>
      </c>
      <c r="L568" s="152" t="s">
        <v>755</v>
      </c>
    </row>
    <row r="569" spans="1:14" s="111" customFormat="1" ht="12" customHeight="1" x14ac:dyDescent="0.2">
      <c r="A569" s="133"/>
      <c r="B569" s="135" t="str">
        <f>VLOOKUP(F569,BB!$A$8:$C$152,3,0)</f>
        <v>A01</v>
      </c>
      <c r="C569" s="136">
        <f>C568</f>
        <v>202605</v>
      </c>
      <c r="D569" s="134" t="str">
        <f>D568</f>
        <v>KAS-2605003</v>
      </c>
      <c r="E569" s="139">
        <f>E568</f>
        <v>46147</v>
      </c>
      <c r="F569" s="144" t="s">
        <v>164</v>
      </c>
      <c r="G569" s="146">
        <f>H568</f>
        <v>0</v>
      </c>
      <c r="H569" s="149">
        <f>G568</f>
        <v>10000000</v>
      </c>
      <c r="I569" s="149">
        <f>IF(G569&lt;&gt;0,G569,-H569)</f>
        <v>-10000000</v>
      </c>
      <c r="J569" s="146">
        <f>-J568</f>
        <v>0</v>
      </c>
      <c r="K569" s="111" t="str">
        <f>K568</f>
        <v>KAS MASUK</v>
      </c>
      <c r="L569" s="151" t="str">
        <f>L568</f>
        <v>PEMINDAHAN DARI REK MANDIRI KKCS</v>
      </c>
    </row>
    <row r="570" spans="1:14" s="111" customFormat="1" ht="12" customHeight="1" x14ac:dyDescent="0.2">
      <c r="A570" s="133"/>
      <c r="B570" s="135"/>
      <c r="C570" s="136"/>
      <c r="D570" s="134"/>
      <c r="E570" s="139"/>
      <c r="F570" s="144"/>
      <c r="G570" s="146"/>
      <c r="H570" s="149"/>
      <c r="I570" s="149"/>
      <c r="J570" s="146"/>
      <c r="L570" s="151"/>
    </row>
    <row r="571" spans="1:14" s="111" customFormat="1" ht="12" customHeight="1" x14ac:dyDescent="0.2">
      <c r="A571" s="133"/>
      <c r="B571" s="135" t="str">
        <f>VLOOKUP(F571,BB!$A$8:$C$152,3,0)</f>
        <v>A01</v>
      </c>
      <c r="C571" s="136">
        <v>202605</v>
      </c>
      <c r="D571" s="134" t="s">
        <v>835</v>
      </c>
      <c r="E571" s="139">
        <v>46148</v>
      </c>
      <c r="F571" s="144" t="s">
        <v>163</v>
      </c>
      <c r="G571" s="149">
        <v>0</v>
      </c>
      <c r="H571" s="149">
        <v>1000000</v>
      </c>
      <c r="I571" s="149">
        <f>IF(G571&lt;&gt;0,G571,-H571)</f>
        <v>-1000000</v>
      </c>
      <c r="J571" s="149">
        <v>0</v>
      </c>
      <c r="K571" s="111" t="s">
        <v>510</v>
      </c>
      <c r="L571" s="152" t="s">
        <v>836</v>
      </c>
      <c r="M571" s="149"/>
      <c r="N571" s="149"/>
    </row>
    <row r="572" spans="1:14" s="111" customFormat="1" ht="12" customHeight="1" x14ac:dyDescent="0.2">
      <c r="A572" s="133"/>
      <c r="B572" s="135" t="str">
        <f>VLOOKUP(F572,BB!$A$8:$C$152,3,0)</f>
        <v>LR05</v>
      </c>
      <c r="C572" s="136">
        <f>C571</f>
        <v>202605</v>
      </c>
      <c r="D572" s="134" t="str">
        <f>D571</f>
        <v>KAS-2605004</v>
      </c>
      <c r="E572" s="139">
        <f>E571</f>
        <v>46148</v>
      </c>
      <c r="F572" s="144" t="s">
        <v>381</v>
      </c>
      <c r="G572" s="146">
        <f>H571</f>
        <v>1000000</v>
      </c>
      <c r="H572" s="149">
        <f>G571</f>
        <v>0</v>
      </c>
      <c r="I572" s="149">
        <f>IF(G572&lt;&gt;0,G572,-H572)</f>
        <v>1000000</v>
      </c>
      <c r="J572" s="146">
        <f>-J571</f>
        <v>0</v>
      </c>
      <c r="K572" s="111" t="str">
        <f>K571</f>
        <v>KAS KELUAR</v>
      </c>
      <c r="L572" s="151" t="str">
        <f>L571</f>
        <v>DP KAOS PANITIA QURBAN</v>
      </c>
      <c r="M572" s="146"/>
      <c r="N572" s="149"/>
    </row>
    <row r="573" spans="1:14" s="111" customFormat="1" ht="12" customHeight="1" x14ac:dyDescent="0.2">
      <c r="A573" s="133"/>
      <c r="B573" s="135"/>
      <c r="C573" s="136"/>
      <c r="D573" s="134"/>
      <c r="E573" s="139"/>
      <c r="F573" s="144"/>
      <c r="G573" s="146"/>
      <c r="H573" s="149"/>
      <c r="I573" s="149"/>
      <c r="J573" s="146"/>
      <c r="L573" s="151"/>
    </row>
    <row r="574" spans="1:14" s="111" customFormat="1" ht="12" customHeight="1" x14ac:dyDescent="0.2">
      <c r="A574" s="133"/>
      <c r="B574" s="135" t="str">
        <f>VLOOKUP(F574,BB!$A$8:$C$152,3,0)</f>
        <v>A01</v>
      </c>
      <c r="C574" s="136">
        <v>202605</v>
      </c>
      <c r="D574" s="134" t="s">
        <v>837</v>
      </c>
      <c r="E574" s="139">
        <v>46152</v>
      </c>
      <c r="F574" s="144" t="s">
        <v>163</v>
      </c>
      <c r="G574" s="149">
        <v>0</v>
      </c>
      <c r="H574" s="149">
        <v>750000</v>
      </c>
      <c r="I574" s="149">
        <f>IF(G574&lt;&gt;0,G574,-H574)</f>
        <v>-750000</v>
      </c>
      <c r="J574" s="149">
        <v>0</v>
      </c>
      <c r="K574" s="111" t="s">
        <v>510</v>
      </c>
      <c r="L574" s="152" t="s">
        <v>499</v>
      </c>
      <c r="M574" s="149"/>
      <c r="N574" s="149"/>
    </row>
    <row r="575" spans="1:14" s="111" customFormat="1" ht="12" customHeight="1" x14ac:dyDescent="0.2">
      <c r="A575" s="133"/>
      <c r="B575" s="135" t="str">
        <f>VLOOKUP(F575,BB!$A$8:$C$152,3,0)</f>
        <v>LR05</v>
      </c>
      <c r="C575" s="136">
        <f>C574</f>
        <v>202605</v>
      </c>
      <c r="D575" s="134" t="str">
        <f>D574</f>
        <v>KAS-2605005</v>
      </c>
      <c r="E575" s="139">
        <f>E574</f>
        <v>46152</v>
      </c>
      <c r="F575" s="139" t="s">
        <v>234</v>
      </c>
      <c r="G575" s="146">
        <f>H574</f>
        <v>750000</v>
      </c>
      <c r="H575" s="149">
        <f>G574</f>
        <v>0</v>
      </c>
      <c r="I575" s="149">
        <f>IF(G575&lt;&gt;0,G575,-H575)</f>
        <v>750000</v>
      </c>
      <c r="J575" s="146">
        <f>-J574</f>
        <v>0</v>
      </c>
      <c r="K575" s="111" t="str">
        <f>K574</f>
        <v>KAS KELUAR</v>
      </c>
      <c r="L575" s="151" t="str">
        <f>L574</f>
        <v>BY REPRESENTATIF ADMIN KKCS FARID F</v>
      </c>
      <c r="M575" s="146"/>
      <c r="N575" s="149"/>
    </row>
    <row r="576" spans="1:14" s="111" customFormat="1" ht="12" customHeight="1" x14ac:dyDescent="0.2">
      <c r="A576" s="133"/>
      <c r="B576" s="135"/>
      <c r="C576" s="136"/>
      <c r="D576" s="134"/>
      <c r="E576" s="139"/>
      <c r="F576" s="144"/>
      <c r="G576" s="146"/>
      <c r="H576" s="149"/>
      <c r="I576" s="149"/>
      <c r="J576" s="146"/>
      <c r="L576" s="151"/>
    </row>
    <row r="577" spans="1:12" s="111" customFormat="1" ht="12" customHeight="1" x14ac:dyDescent="0.2">
      <c r="A577" s="133"/>
      <c r="B577" s="135" t="str">
        <f>VLOOKUP(F577,BB!$A$8:$C$152,3,0)</f>
        <v>A01</v>
      </c>
      <c r="C577" s="136">
        <v>202605</v>
      </c>
      <c r="D577" s="134" t="s">
        <v>838</v>
      </c>
      <c r="E577" s="139">
        <v>46152</v>
      </c>
      <c r="F577" s="144" t="s">
        <v>163</v>
      </c>
      <c r="G577" s="149">
        <v>214000</v>
      </c>
      <c r="H577" s="149">
        <v>0</v>
      </c>
      <c r="I577" s="149">
        <f>IF(G577&lt;&gt;0,G577,-H577)</f>
        <v>214000</v>
      </c>
      <c r="J577" s="149">
        <v>0</v>
      </c>
      <c r="K577" s="111" t="s">
        <v>509</v>
      </c>
      <c r="L577" s="152" t="s">
        <v>528</v>
      </c>
    </row>
    <row r="578" spans="1:12" s="111" customFormat="1" ht="12" customHeight="1" x14ac:dyDescent="0.2">
      <c r="A578" s="133"/>
      <c r="B578" s="135" t="str">
        <f>VLOOKUP(F578,BB!$A$8:$C$152,3,0)</f>
        <v>A04A</v>
      </c>
      <c r="C578" s="136">
        <f t="shared" ref="C578:E578" si="162">C577</f>
        <v>202605</v>
      </c>
      <c r="D578" s="134" t="str">
        <f t="shared" si="162"/>
        <v>KAS-2605006</v>
      </c>
      <c r="E578" s="139">
        <f t="shared" si="162"/>
        <v>46152</v>
      </c>
      <c r="F578" s="144" t="s">
        <v>471</v>
      </c>
      <c r="G578" s="146">
        <v>0</v>
      </c>
      <c r="H578" s="149">
        <f>+G577</f>
        <v>214000</v>
      </c>
      <c r="I578" s="149">
        <f>IF(G578&lt;&gt;0,G578,-H578)</f>
        <v>-214000</v>
      </c>
      <c r="J578" s="146">
        <f>-J577</f>
        <v>0</v>
      </c>
      <c r="K578" s="111" t="str">
        <f>K577</f>
        <v>KAS MASUK</v>
      </c>
      <c r="L578" s="152" t="str">
        <f>L577</f>
        <v>ANGSURAN PINJAMAN LAIN AN. SETYO H.</v>
      </c>
    </row>
    <row r="579" spans="1:12" s="111" customFormat="1" ht="12" customHeight="1" x14ac:dyDescent="0.2">
      <c r="A579" s="133"/>
      <c r="B579" s="135" t="str">
        <f>VLOOKUP(F579,BB!$A$8:$C$152,3,0)</f>
        <v>LR01C</v>
      </c>
      <c r="C579" s="136">
        <f t="shared" ref="C579:E579" si="163">C578</f>
        <v>202605</v>
      </c>
      <c r="D579" s="134" t="str">
        <f t="shared" si="163"/>
        <v>KAS-2605006</v>
      </c>
      <c r="E579" s="139">
        <f t="shared" si="163"/>
        <v>46152</v>
      </c>
      <c r="F579" s="144" t="s">
        <v>371</v>
      </c>
      <c r="G579" s="146">
        <v>0</v>
      </c>
      <c r="H579" s="149">
        <f>G577-H578</f>
        <v>0</v>
      </c>
      <c r="I579" s="149">
        <f>IF(G579&lt;&gt;0,G579,-H579)</f>
        <v>0</v>
      </c>
      <c r="J579" s="146">
        <f>-J578</f>
        <v>0</v>
      </c>
      <c r="K579" s="111" t="str">
        <f>K578</f>
        <v>KAS MASUK</v>
      </c>
      <c r="L579" s="152" t="str">
        <f>"PENDAPATAN ATAS PINJAMAN LAIN "&amp;MID(L578,24,20)</f>
        <v>PENDAPATAN ATAS PINJAMAN LAIN AN. SETYO H.</v>
      </c>
    </row>
    <row r="580" spans="1:12" s="111" customFormat="1" ht="12" customHeight="1" x14ac:dyDescent="0.2">
      <c r="A580" s="133"/>
      <c r="B580" s="135"/>
      <c r="C580" s="136"/>
      <c r="D580" s="134"/>
      <c r="E580" s="139"/>
      <c r="F580" s="144"/>
      <c r="G580" s="146"/>
      <c r="H580" s="149"/>
      <c r="I580" s="149"/>
      <c r="J580" s="146"/>
      <c r="L580" s="151"/>
    </row>
    <row r="581" spans="1:12" s="111" customFormat="1" ht="12" customHeight="1" x14ac:dyDescent="0.2">
      <c r="A581" s="133"/>
      <c r="B581" s="135" t="str">
        <f>VLOOKUP(F581,BB!$A$8:$C$152,3,0)</f>
        <v>A01</v>
      </c>
      <c r="C581" s="136">
        <v>202605</v>
      </c>
      <c r="D581" s="134" t="s">
        <v>839</v>
      </c>
      <c r="E581" s="139">
        <v>46152</v>
      </c>
      <c r="F581" s="144" t="s">
        <v>163</v>
      </c>
      <c r="G581" s="149">
        <v>320000</v>
      </c>
      <c r="H581" s="149">
        <v>0</v>
      </c>
      <c r="I581" s="149">
        <f>IF(G581&lt;&gt;0,G581,-H581)</f>
        <v>320000</v>
      </c>
      <c r="J581" s="149">
        <v>0</v>
      </c>
      <c r="K581" s="111" t="s">
        <v>509</v>
      </c>
      <c r="L581" s="152" t="s">
        <v>532</v>
      </c>
    </row>
    <row r="582" spans="1:12" s="111" customFormat="1" ht="12" customHeight="1" x14ac:dyDescent="0.2">
      <c r="A582" s="133"/>
      <c r="B582" s="135" t="str">
        <f>VLOOKUP(F582,BB!$A$8:$C$152,3,0)</f>
        <v>A04A</v>
      </c>
      <c r="C582" s="136">
        <f t="shared" ref="C582:E582" si="164">C581</f>
        <v>202605</v>
      </c>
      <c r="D582" s="134" t="str">
        <f t="shared" si="164"/>
        <v>KAS-2605007</v>
      </c>
      <c r="E582" s="139">
        <f t="shared" si="164"/>
        <v>46152</v>
      </c>
      <c r="F582" s="144" t="s">
        <v>471</v>
      </c>
      <c r="G582" s="146">
        <v>0</v>
      </c>
      <c r="H582" s="149">
        <v>110000</v>
      </c>
      <c r="I582" s="149">
        <f>IF(G582&lt;&gt;0,G582,-H582)</f>
        <v>-110000</v>
      </c>
      <c r="J582" s="146">
        <f>-J581</f>
        <v>0</v>
      </c>
      <c r="K582" s="111" t="str">
        <f>K581</f>
        <v>KAS MASUK</v>
      </c>
      <c r="L582" s="152" t="str">
        <f>L581</f>
        <v>PELUNASAN PINJAMAN LAIN AN. FADELAN</v>
      </c>
    </row>
    <row r="583" spans="1:12" s="111" customFormat="1" ht="12" customHeight="1" x14ac:dyDescent="0.2">
      <c r="A583" s="133"/>
      <c r="B583" s="135" t="str">
        <f>VLOOKUP(F583,BB!$A$8:$C$152,3,0)</f>
        <v>LR01C</v>
      </c>
      <c r="C583" s="136">
        <f t="shared" ref="C583:E583" si="165">C582</f>
        <v>202605</v>
      </c>
      <c r="D583" s="134" t="str">
        <f t="shared" si="165"/>
        <v>KAS-2605007</v>
      </c>
      <c r="E583" s="139">
        <f t="shared" si="165"/>
        <v>46152</v>
      </c>
      <c r="F583" s="144" t="s">
        <v>371</v>
      </c>
      <c r="G583" s="146">
        <v>0</v>
      </c>
      <c r="H583" s="149">
        <f>G581-H582</f>
        <v>210000</v>
      </c>
      <c r="I583" s="149">
        <f>IF(G583&lt;&gt;0,G583,-H583)</f>
        <v>-210000</v>
      </c>
      <c r="J583" s="146">
        <f>-J582</f>
        <v>0</v>
      </c>
      <c r="K583" s="111" t="str">
        <f>K582</f>
        <v>KAS MASUK</v>
      </c>
      <c r="L583" s="152" t="str">
        <f>"PENDAPATAN ATAS PINJAMAN LAIN "&amp;MID(L582,24,20)</f>
        <v>PENDAPATAN ATAS PINJAMAN LAIN  AN. FADELAN</v>
      </c>
    </row>
    <row r="584" spans="1:12" s="111" customFormat="1" ht="12" customHeight="1" x14ac:dyDescent="0.2">
      <c r="A584" s="133"/>
      <c r="B584" s="135"/>
      <c r="C584" s="136"/>
      <c r="D584" s="134"/>
      <c r="E584" s="139"/>
      <c r="F584" s="144"/>
      <c r="G584" s="146"/>
      <c r="H584" s="149"/>
      <c r="I584" s="149"/>
      <c r="J584" s="146"/>
      <c r="L584" s="151"/>
    </row>
    <row r="585" spans="1:12" s="111" customFormat="1" ht="12" customHeight="1" x14ac:dyDescent="0.2">
      <c r="A585" s="133"/>
      <c r="B585" s="135" t="str">
        <f>VLOOKUP(F585,BB!$A$8:$C$152,3,0)</f>
        <v>A01</v>
      </c>
      <c r="C585" s="136">
        <v>202605</v>
      </c>
      <c r="D585" s="134" t="s">
        <v>841</v>
      </c>
      <c r="E585" s="139">
        <v>46162</v>
      </c>
      <c r="F585" s="144" t="s">
        <v>163</v>
      </c>
      <c r="G585" s="149">
        <v>750000</v>
      </c>
      <c r="H585" s="149">
        <v>0</v>
      </c>
      <c r="I585" s="149">
        <f>IF(G585&lt;&gt;0,G585,-H585)</f>
        <v>750000</v>
      </c>
      <c r="J585" s="149">
        <v>0</v>
      </c>
      <c r="K585" s="111" t="s">
        <v>509</v>
      </c>
      <c r="L585" s="152" t="s">
        <v>840</v>
      </c>
    </row>
    <row r="586" spans="1:12" s="111" customFormat="1" ht="12" customHeight="1" x14ac:dyDescent="0.2">
      <c r="A586" s="133"/>
      <c r="B586" s="135" t="str">
        <f>VLOOKUP(F586,BB!$A$8:$C$152,3,0)</f>
        <v>LR06</v>
      </c>
      <c r="C586" s="136">
        <f>C585</f>
        <v>202605</v>
      </c>
      <c r="D586" s="134" t="str">
        <f>D585</f>
        <v>KAS-2605008</v>
      </c>
      <c r="E586" s="139">
        <f>E585</f>
        <v>46162</v>
      </c>
      <c r="F586" s="144" t="s">
        <v>504</v>
      </c>
      <c r="G586" s="146">
        <f>H585</f>
        <v>0</v>
      </c>
      <c r="H586" s="149">
        <f>G585</f>
        <v>750000</v>
      </c>
      <c r="I586" s="149">
        <f>IF(G586&lt;&gt;0,G586,-H586)</f>
        <v>-750000</v>
      </c>
      <c r="J586" s="146">
        <f>-J585</f>
        <v>0</v>
      </c>
      <c r="K586" s="111" t="str">
        <f>K585</f>
        <v>KAS MASUK</v>
      </c>
      <c r="L586" s="151" t="str">
        <f>L585</f>
        <v>TERIMA DARI UNIT BENGKEL</v>
      </c>
    </row>
    <row r="587" spans="1:12" s="111" customFormat="1" ht="12" customHeight="1" x14ac:dyDescent="0.2">
      <c r="A587" s="133"/>
      <c r="B587" s="135"/>
      <c r="C587" s="136"/>
      <c r="D587" s="134"/>
      <c r="E587" s="139"/>
      <c r="F587" s="144"/>
      <c r="G587" s="146"/>
      <c r="H587" s="149"/>
      <c r="I587" s="149"/>
      <c r="J587" s="146"/>
      <c r="L587" s="151"/>
    </row>
    <row r="588" spans="1:12" s="111" customFormat="1" ht="12" customHeight="1" x14ac:dyDescent="0.2">
      <c r="A588" s="133"/>
      <c r="B588" s="135" t="str">
        <f>VLOOKUP(F588,BB!$A$8:$C$152,3,0)</f>
        <v>A01</v>
      </c>
      <c r="C588" s="136">
        <v>202605</v>
      </c>
      <c r="D588" s="134" t="s">
        <v>842</v>
      </c>
      <c r="E588" s="139">
        <v>46162</v>
      </c>
      <c r="F588" s="144" t="s">
        <v>163</v>
      </c>
      <c r="G588" s="149">
        <v>640000</v>
      </c>
      <c r="H588" s="149">
        <v>0</v>
      </c>
      <c r="I588" s="149">
        <f>IF(G588&lt;&gt;0,G588,-H588)</f>
        <v>640000</v>
      </c>
      <c r="J588" s="149">
        <v>0</v>
      </c>
      <c r="K588" s="111" t="s">
        <v>509</v>
      </c>
      <c r="L588" s="152" t="s">
        <v>840</v>
      </c>
    </row>
    <row r="589" spans="1:12" s="111" customFormat="1" ht="12" customHeight="1" x14ac:dyDescent="0.2">
      <c r="A589" s="133"/>
      <c r="B589" s="135" t="str">
        <f>VLOOKUP(F589,BB!$A$8:$C$152,3,0)</f>
        <v>LR06</v>
      </c>
      <c r="C589" s="136">
        <f>C588</f>
        <v>202605</v>
      </c>
      <c r="D589" s="134" t="str">
        <f>D588</f>
        <v>KAS-2605009</v>
      </c>
      <c r="E589" s="139">
        <f>E588</f>
        <v>46162</v>
      </c>
      <c r="F589" s="144" t="s">
        <v>504</v>
      </c>
      <c r="G589" s="146">
        <f>H588</f>
        <v>0</v>
      </c>
      <c r="H589" s="149">
        <f>G588</f>
        <v>640000</v>
      </c>
      <c r="I589" s="149">
        <f>IF(G589&lt;&gt;0,G589,-H589)</f>
        <v>-640000</v>
      </c>
      <c r="J589" s="146">
        <f>-J588</f>
        <v>0</v>
      </c>
      <c r="K589" s="111" t="str">
        <f>K588</f>
        <v>KAS MASUK</v>
      </c>
      <c r="L589" s="151" t="str">
        <f>L588</f>
        <v>TERIMA DARI UNIT BENGKEL</v>
      </c>
    </row>
    <row r="590" spans="1:12" s="111" customFormat="1" ht="12" customHeight="1" x14ac:dyDescent="0.2">
      <c r="A590" s="133"/>
      <c r="B590" s="135"/>
      <c r="C590" s="136"/>
      <c r="D590" s="134"/>
      <c r="E590" s="139"/>
      <c r="F590" s="144"/>
      <c r="G590" s="146"/>
      <c r="H590" s="149"/>
      <c r="I590" s="149"/>
      <c r="J590" s="146"/>
      <c r="L590" s="151"/>
    </row>
    <row r="591" spans="1:12" s="111" customFormat="1" ht="12" customHeight="1" x14ac:dyDescent="0.2">
      <c r="A591" s="133"/>
      <c r="B591" s="135" t="str">
        <f>VLOOKUP(F591,BB!$A$8:$C$152,3,0)</f>
        <v>A01</v>
      </c>
      <c r="C591" s="136">
        <v>202605</v>
      </c>
      <c r="D591" s="134" t="s">
        <v>844</v>
      </c>
      <c r="E591" s="139">
        <v>46162</v>
      </c>
      <c r="F591" s="144" t="s">
        <v>163</v>
      </c>
      <c r="G591" s="149">
        <v>400000</v>
      </c>
      <c r="H591" s="149">
        <v>0</v>
      </c>
      <c r="I591" s="149">
        <f>IF(G591&lt;&gt;0,G591,-H591)</f>
        <v>400000</v>
      </c>
      <c r="J591" s="149">
        <v>0</v>
      </c>
      <c r="K591" s="111" t="s">
        <v>509</v>
      </c>
      <c r="L591" s="152" t="s">
        <v>843</v>
      </c>
    </row>
    <row r="592" spans="1:12" s="111" customFormat="1" ht="12" customHeight="1" x14ac:dyDescent="0.2">
      <c r="A592" s="133"/>
      <c r="B592" s="135" t="str">
        <f>VLOOKUP(F592,BB!$A$8:$C$152,3,0)</f>
        <v>LR06</v>
      </c>
      <c r="C592" s="136">
        <f>C591</f>
        <v>202605</v>
      </c>
      <c r="D592" s="134" t="str">
        <f>D591</f>
        <v>KAS-2605010</v>
      </c>
      <c r="E592" s="139">
        <f>E591</f>
        <v>46162</v>
      </c>
      <c r="F592" s="144" t="s">
        <v>504</v>
      </c>
      <c r="G592" s="146">
        <f>H591</f>
        <v>0</v>
      </c>
      <c r="H592" s="149">
        <f>G591</f>
        <v>400000</v>
      </c>
      <c r="I592" s="149">
        <f>IF(G592&lt;&gt;0,G592,-H592)</f>
        <v>-400000</v>
      </c>
      <c r="J592" s="146">
        <f>-J591</f>
        <v>0</v>
      </c>
      <c r="K592" s="111" t="str">
        <f>K591</f>
        <v>KAS MASUK</v>
      </c>
      <c r="L592" s="151" t="str">
        <f>L591</f>
        <v>TERIMA DARI UNIT LAMPUNG</v>
      </c>
    </row>
    <row r="593" spans="1:14" s="111" customFormat="1" ht="12" customHeight="1" x14ac:dyDescent="0.2">
      <c r="A593" s="133"/>
      <c r="B593" s="135"/>
      <c r="C593" s="136"/>
      <c r="D593" s="134"/>
      <c r="E593" s="139"/>
      <c r="F593" s="144"/>
      <c r="G593" s="146"/>
      <c r="H593" s="149"/>
      <c r="I593" s="149"/>
      <c r="J593" s="146"/>
      <c r="L593" s="151"/>
    </row>
    <row r="594" spans="1:14" s="111" customFormat="1" ht="12" customHeight="1" x14ac:dyDescent="0.2">
      <c r="A594" s="133"/>
      <c r="B594" s="135" t="str">
        <f>VLOOKUP(F594,BB!$A$8:$C$152,3,0)</f>
        <v>A01</v>
      </c>
      <c r="C594" s="136">
        <v>202605</v>
      </c>
      <c r="D594" s="134" t="s">
        <v>846</v>
      </c>
      <c r="E594" s="139">
        <v>46163</v>
      </c>
      <c r="F594" s="144" t="s">
        <v>163</v>
      </c>
      <c r="G594" s="149">
        <v>0</v>
      </c>
      <c r="H594" s="149">
        <v>2556000</v>
      </c>
      <c r="I594" s="149">
        <f>IF(G594&lt;&gt;0,G594,-H594)</f>
        <v>-2556000</v>
      </c>
      <c r="J594" s="149">
        <v>0</v>
      </c>
      <c r="K594" s="111" t="s">
        <v>510</v>
      </c>
      <c r="L594" s="152" t="s">
        <v>845</v>
      </c>
      <c r="M594" s="149"/>
      <c r="N594" s="149"/>
    </row>
    <row r="595" spans="1:14" s="111" customFormat="1" ht="12" customHeight="1" x14ac:dyDescent="0.2">
      <c r="A595" s="133"/>
      <c r="B595" s="135" t="str">
        <f>VLOOKUP(F595,BB!$A$8:$C$152,3,0)</f>
        <v>P04</v>
      </c>
      <c r="C595" s="136">
        <f>C594</f>
        <v>202605</v>
      </c>
      <c r="D595" s="134" t="str">
        <f>D594</f>
        <v>KAS-2605011</v>
      </c>
      <c r="E595" s="139">
        <f>E594</f>
        <v>46163</v>
      </c>
      <c r="F595" s="139" t="s">
        <v>210</v>
      </c>
      <c r="G595" s="146">
        <f>H594</f>
        <v>2556000</v>
      </c>
      <c r="H595" s="149">
        <f>G594</f>
        <v>0</v>
      </c>
      <c r="I595" s="149">
        <f>IF(G595&lt;&gt;0,G595,-H595)</f>
        <v>2556000</v>
      </c>
      <c r="J595" s="146">
        <f>-J594</f>
        <v>0</v>
      </c>
      <c r="K595" s="111" t="str">
        <f>K594</f>
        <v>KAS KELUAR</v>
      </c>
      <c r="L595" s="151" t="str">
        <f>L594</f>
        <v>PEMBAYARAN PAJAK 2025</v>
      </c>
      <c r="M595" s="146"/>
      <c r="N595" s="149"/>
    </row>
    <row r="596" spans="1:14" s="111" customFormat="1" ht="12" customHeight="1" x14ac:dyDescent="0.2">
      <c r="A596" s="133"/>
      <c r="B596" s="135"/>
      <c r="C596" s="136"/>
      <c r="D596" s="134"/>
      <c r="E596" s="139"/>
      <c r="F596" s="144"/>
      <c r="G596" s="146"/>
      <c r="H596" s="149"/>
      <c r="I596" s="149"/>
      <c r="J596" s="146"/>
      <c r="L596" s="151"/>
    </row>
    <row r="597" spans="1:14" s="111" customFormat="1" ht="12" customHeight="1" x14ac:dyDescent="0.2">
      <c r="A597" s="133"/>
      <c r="B597" s="135" t="str">
        <f>VLOOKUP(F597,BB!$A$8:$C$152,3,0)</f>
        <v>A01</v>
      </c>
      <c r="C597" s="136">
        <v>202605</v>
      </c>
      <c r="D597" s="134" t="s">
        <v>848</v>
      </c>
      <c r="E597" s="139">
        <v>46163</v>
      </c>
      <c r="F597" s="144" t="s">
        <v>163</v>
      </c>
      <c r="G597" s="149">
        <v>0</v>
      </c>
      <c r="H597" s="149">
        <v>852000</v>
      </c>
      <c r="I597" s="149">
        <f>IF(G597&lt;&gt;0,G597,-H597)</f>
        <v>-852000</v>
      </c>
      <c r="J597" s="149">
        <v>0</v>
      </c>
      <c r="K597" s="111" t="s">
        <v>510</v>
      </c>
      <c r="L597" s="152" t="s">
        <v>847</v>
      </c>
      <c r="M597" s="149"/>
      <c r="N597" s="149"/>
    </row>
    <row r="598" spans="1:14" s="111" customFormat="1" ht="12" customHeight="1" x14ac:dyDescent="0.2">
      <c r="A598" s="133"/>
      <c r="B598" s="135" t="str">
        <f>VLOOKUP(F598,BB!$A$8:$C$152,3,0)</f>
        <v>P04</v>
      </c>
      <c r="C598" s="136">
        <f>C597</f>
        <v>202605</v>
      </c>
      <c r="D598" s="134" t="str">
        <f>D597</f>
        <v>KAS-2605012</v>
      </c>
      <c r="E598" s="139">
        <f>E597</f>
        <v>46163</v>
      </c>
      <c r="F598" s="139" t="s">
        <v>210</v>
      </c>
      <c r="G598" s="146">
        <f>H597</f>
        <v>852000</v>
      </c>
      <c r="H598" s="149">
        <f>G597</f>
        <v>0</v>
      </c>
      <c r="I598" s="149">
        <f>IF(G598&lt;&gt;0,G598,-H598)</f>
        <v>852000</v>
      </c>
      <c r="J598" s="146">
        <f>-J597</f>
        <v>0</v>
      </c>
      <c r="K598" s="111" t="str">
        <f>K597</f>
        <v>KAS KELUAR</v>
      </c>
      <c r="L598" s="151" t="str">
        <f>L597</f>
        <v>PEMBAYARAN PAJAK 2026</v>
      </c>
      <c r="M598" s="146"/>
      <c r="N598" s="149"/>
    </row>
    <row r="599" spans="1:14" s="111" customFormat="1" ht="12" customHeight="1" x14ac:dyDescent="0.2">
      <c r="A599" s="133"/>
      <c r="B599" s="135"/>
      <c r="C599" s="136"/>
      <c r="D599" s="134"/>
      <c r="E599" s="139"/>
      <c r="F599" s="144"/>
      <c r="G599" s="146"/>
      <c r="H599" s="149"/>
      <c r="I599" s="149"/>
      <c r="J599" s="146"/>
      <c r="L599" s="151"/>
    </row>
    <row r="600" spans="1:14" s="111" customFormat="1" ht="12" customHeight="1" x14ac:dyDescent="0.2">
      <c r="A600" s="133"/>
      <c r="B600" s="135" t="str">
        <f>VLOOKUP(F600,BB!$A$8:$C$152,3,0)</f>
        <v>A01</v>
      </c>
      <c r="C600" s="136">
        <v>202605</v>
      </c>
      <c r="D600" s="134" t="s">
        <v>849</v>
      </c>
      <c r="E600" s="139">
        <v>46167</v>
      </c>
      <c r="F600" s="144" t="s">
        <v>163</v>
      </c>
      <c r="G600" s="149">
        <v>250000</v>
      </c>
      <c r="H600" s="149">
        <v>0</v>
      </c>
      <c r="I600" s="149">
        <f>IF(G600&lt;&gt;0,G600,-H600)</f>
        <v>250000</v>
      </c>
      <c r="J600" s="149">
        <v>0</v>
      </c>
      <c r="K600" s="111" t="s">
        <v>509</v>
      </c>
      <c r="L600" s="152" t="s">
        <v>522</v>
      </c>
    </row>
    <row r="601" spans="1:14" s="111" customFormat="1" ht="12" customHeight="1" x14ac:dyDescent="0.2">
      <c r="A601" s="133"/>
      <c r="B601" s="135" t="str">
        <f>VLOOKUP(F601,BB!$A$8:$C$152,3,0)</f>
        <v>A04A</v>
      </c>
      <c r="C601" s="136">
        <f t="shared" ref="C601:E601" si="166">C600</f>
        <v>202605</v>
      </c>
      <c r="D601" s="134" t="str">
        <f t="shared" si="166"/>
        <v>KAS-2605013</v>
      </c>
      <c r="E601" s="139">
        <f t="shared" si="166"/>
        <v>46167</v>
      </c>
      <c r="F601" s="144" t="s">
        <v>471</v>
      </c>
      <c r="G601" s="146">
        <v>0</v>
      </c>
      <c r="H601" s="149">
        <f>+G600</f>
        <v>250000</v>
      </c>
      <c r="I601" s="149">
        <f>IF(G601&lt;&gt;0,G601,-H601)</f>
        <v>-250000</v>
      </c>
      <c r="J601" s="146">
        <f>-J600</f>
        <v>0</v>
      </c>
      <c r="K601" s="111" t="str">
        <f>K600</f>
        <v>KAS MASUK</v>
      </c>
      <c r="L601" s="152" t="str">
        <f>L600</f>
        <v>ANGSURAN PINJAMAN LAIN AN. AGUS R.</v>
      </c>
    </row>
    <row r="602" spans="1:14" s="111" customFormat="1" ht="12" customHeight="1" x14ac:dyDescent="0.2">
      <c r="A602" s="133"/>
      <c r="B602" s="135" t="str">
        <f>VLOOKUP(F602,BB!$A$8:$C$152,3,0)</f>
        <v>LR01C</v>
      </c>
      <c r="C602" s="136">
        <f t="shared" ref="C602:E602" si="167">C601</f>
        <v>202605</v>
      </c>
      <c r="D602" s="134" t="str">
        <f t="shared" si="167"/>
        <v>KAS-2605013</v>
      </c>
      <c r="E602" s="139">
        <f t="shared" si="167"/>
        <v>46167</v>
      </c>
      <c r="F602" s="144" t="s">
        <v>371</v>
      </c>
      <c r="G602" s="146">
        <v>0</v>
      </c>
      <c r="H602" s="149">
        <f>G600-H601</f>
        <v>0</v>
      </c>
      <c r="I602" s="149">
        <f>IF(G602&lt;&gt;0,G602,-H602)</f>
        <v>0</v>
      </c>
      <c r="J602" s="146">
        <f>-J601</f>
        <v>0</v>
      </c>
      <c r="K602" s="111" t="str">
        <f>K601</f>
        <v>KAS MASUK</v>
      </c>
      <c r="L602" s="152" t="str">
        <f>"PENDAPATAN ATAS PINJAMAN LAIN "&amp;MID(L601,24,20)</f>
        <v>PENDAPATAN ATAS PINJAMAN LAIN AN. AGUS R.</v>
      </c>
    </row>
    <row r="603" spans="1:14" s="111" customFormat="1" ht="12" customHeight="1" x14ac:dyDescent="0.2">
      <c r="A603" s="133"/>
      <c r="B603" s="135"/>
      <c r="C603" s="136"/>
      <c r="D603" s="134"/>
      <c r="E603" s="139"/>
      <c r="F603" s="144"/>
      <c r="G603" s="146"/>
      <c r="H603" s="149"/>
      <c r="I603" s="149"/>
      <c r="J603" s="146"/>
      <c r="L603" s="151"/>
    </row>
    <row r="604" spans="1:14" s="111" customFormat="1" ht="12" customHeight="1" x14ac:dyDescent="0.2">
      <c r="A604" s="133"/>
      <c r="B604" s="135" t="str">
        <f>VLOOKUP(F604,BB!$A$8:$C$152,3,0)</f>
        <v>A01</v>
      </c>
      <c r="C604" s="136">
        <v>202605</v>
      </c>
      <c r="D604" s="134" t="s">
        <v>851</v>
      </c>
      <c r="E604" s="139">
        <v>46167</v>
      </c>
      <c r="F604" s="144" t="s">
        <v>163</v>
      </c>
      <c r="G604" s="149">
        <v>0</v>
      </c>
      <c r="H604" s="149">
        <v>3320000</v>
      </c>
      <c r="I604" s="149">
        <f>IF(G604&lt;&gt;0,G604,-H604)</f>
        <v>-3320000</v>
      </c>
      <c r="J604" s="149">
        <v>0</v>
      </c>
      <c r="K604" s="111" t="s">
        <v>510</v>
      </c>
      <c r="L604" s="152" t="s">
        <v>850</v>
      </c>
      <c r="M604" s="149"/>
      <c r="N604" s="149"/>
    </row>
    <row r="605" spans="1:14" s="111" customFormat="1" ht="12" customHeight="1" x14ac:dyDescent="0.2">
      <c r="A605" s="133"/>
      <c r="B605" s="135" t="str">
        <f>VLOOKUP(F605,BB!$A$8:$C$152,3,0)</f>
        <v>LR05</v>
      </c>
      <c r="C605" s="136">
        <f>C604</f>
        <v>202605</v>
      </c>
      <c r="D605" s="134" t="str">
        <f>D604</f>
        <v>KAS-2605014</v>
      </c>
      <c r="E605" s="139">
        <f>E604</f>
        <v>46167</v>
      </c>
      <c r="F605" s="144" t="s">
        <v>381</v>
      </c>
      <c r="G605" s="146">
        <f>H604</f>
        <v>3320000</v>
      </c>
      <c r="H605" s="149">
        <f>G604</f>
        <v>0</v>
      </c>
      <c r="I605" s="149">
        <f>IF(G605&lt;&gt;0,G605,-H605)</f>
        <v>3320000</v>
      </c>
      <c r="J605" s="146">
        <f>-J604</f>
        <v>0</v>
      </c>
      <c r="K605" s="111" t="str">
        <f>K604</f>
        <v>KAS KELUAR</v>
      </c>
      <c r="L605" s="151" t="str">
        <f>L604</f>
        <v>PELUNASAN KAOS PANITIA QURBAN</v>
      </c>
      <c r="M605" s="146"/>
      <c r="N605" s="149"/>
    </row>
    <row r="606" spans="1:14" s="111" customFormat="1" ht="12" customHeight="1" x14ac:dyDescent="0.2">
      <c r="A606" s="133"/>
      <c r="B606" s="135"/>
      <c r="C606" s="136"/>
      <c r="D606" s="134"/>
      <c r="E606" s="139"/>
      <c r="F606" s="144"/>
      <c r="G606" s="146"/>
      <c r="H606" s="149"/>
      <c r="I606" s="149"/>
      <c r="J606" s="146"/>
      <c r="L606" s="151"/>
    </row>
    <row r="607" spans="1:14" s="111" customFormat="1" ht="12" customHeight="1" x14ac:dyDescent="0.2">
      <c r="A607" s="133"/>
      <c r="B607" s="135" t="str">
        <f>VLOOKUP(F607,BB!$A$8:$C$152,3,0)</f>
        <v>A01</v>
      </c>
      <c r="C607" s="136">
        <v>202605</v>
      </c>
      <c r="D607" s="134" t="s">
        <v>853</v>
      </c>
      <c r="E607" s="139">
        <v>46167</v>
      </c>
      <c r="F607" s="144" t="s">
        <v>163</v>
      </c>
      <c r="G607" s="149">
        <v>0</v>
      </c>
      <c r="H607" s="149">
        <v>170000</v>
      </c>
      <c r="I607" s="149">
        <f>IF(G607&lt;&gt;0,G607,-H607)</f>
        <v>-170000</v>
      </c>
      <c r="J607" s="149">
        <v>0</v>
      </c>
      <c r="K607" s="111" t="s">
        <v>510</v>
      </c>
      <c r="L607" s="152" t="s">
        <v>852</v>
      </c>
      <c r="M607" s="149"/>
      <c r="N607" s="149"/>
    </row>
    <row r="608" spans="1:14" s="111" customFormat="1" ht="12" customHeight="1" x14ac:dyDescent="0.2">
      <c r="A608" s="133"/>
      <c r="B608" s="135" t="str">
        <f>VLOOKUP(F608,BB!$A$8:$C$152,3,0)</f>
        <v>LR05</v>
      </c>
      <c r="C608" s="136">
        <f>C607</f>
        <v>202605</v>
      </c>
      <c r="D608" s="134" t="str">
        <f>D607</f>
        <v>KAS-2605015</v>
      </c>
      <c r="E608" s="139">
        <f>E607</f>
        <v>46167</v>
      </c>
      <c r="F608" s="144" t="s">
        <v>381</v>
      </c>
      <c r="G608" s="146">
        <f>H607</f>
        <v>170000</v>
      </c>
      <c r="H608" s="149">
        <f>G607</f>
        <v>0</v>
      </c>
      <c r="I608" s="149">
        <f>IF(G608&lt;&gt;0,G608,-H608)</f>
        <v>170000</v>
      </c>
      <c r="J608" s="146">
        <f>-J607</f>
        <v>0</v>
      </c>
      <c r="K608" s="111" t="str">
        <f>K607</f>
        <v>KAS KELUAR</v>
      </c>
      <c r="L608" s="151" t="str">
        <f>L607</f>
        <v>KONSUMSI PENGAMBILAN KAOS QURBAN</v>
      </c>
      <c r="M608" s="146"/>
      <c r="N608" s="149"/>
    </row>
    <row r="609" spans="1:14" s="111" customFormat="1" ht="12" customHeight="1" x14ac:dyDescent="0.2">
      <c r="A609" s="133"/>
      <c r="B609" s="135"/>
      <c r="C609" s="136"/>
      <c r="D609" s="134"/>
      <c r="E609" s="139"/>
      <c r="F609" s="144"/>
      <c r="G609" s="146"/>
      <c r="H609" s="149"/>
      <c r="I609" s="149"/>
      <c r="J609" s="146"/>
      <c r="L609" s="151"/>
    </row>
    <row r="610" spans="1:14" s="111" customFormat="1" ht="12" customHeight="1" x14ac:dyDescent="0.2">
      <c r="A610" s="133"/>
      <c r="B610" s="135" t="str">
        <f>VLOOKUP(F610,BB!$A$8:$C$152,3,0)</f>
        <v>A01</v>
      </c>
      <c r="C610" s="136">
        <v>202605</v>
      </c>
      <c r="D610" s="134" t="s">
        <v>854</v>
      </c>
      <c r="E610" s="139">
        <v>46168</v>
      </c>
      <c r="F610" s="144" t="s">
        <v>163</v>
      </c>
      <c r="G610" s="149">
        <v>214000</v>
      </c>
      <c r="H610" s="149">
        <v>0</v>
      </c>
      <c r="I610" s="149">
        <f>IF(G610&lt;&gt;0,G610,-H610)</f>
        <v>214000</v>
      </c>
      <c r="J610" s="149">
        <v>0</v>
      </c>
      <c r="K610" s="111" t="s">
        <v>509</v>
      </c>
      <c r="L610" s="152" t="s">
        <v>528</v>
      </c>
    </row>
    <row r="611" spans="1:14" s="111" customFormat="1" ht="12" customHeight="1" x14ac:dyDescent="0.2">
      <c r="A611" s="133"/>
      <c r="B611" s="135" t="str">
        <f>VLOOKUP(F611,BB!$A$8:$C$152,3,0)</f>
        <v>A04A</v>
      </c>
      <c r="C611" s="136">
        <f t="shared" ref="C611:E611" si="168">C610</f>
        <v>202605</v>
      </c>
      <c r="D611" s="134" t="str">
        <f t="shared" si="168"/>
        <v>KAS-2605016</v>
      </c>
      <c r="E611" s="139">
        <f t="shared" si="168"/>
        <v>46168</v>
      </c>
      <c r="F611" s="144" t="s">
        <v>471</v>
      </c>
      <c r="G611" s="146">
        <v>0</v>
      </c>
      <c r="H611" s="149">
        <f>+G610</f>
        <v>214000</v>
      </c>
      <c r="I611" s="149">
        <f>IF(G611&lt;&gt;0,G611,-H611)</f>
        <v>-214000</v>
      </c>
      <c r="J611" s="146">
        <f>-J610</f>
        <v>0</v>
      </c>
      <c r="K611" s="111" t="str">
        <f>K610</f>
        <v>KAS MASUK</v>
      </c>
      <c r="L611" s="152" t="str">
        <f>L610</f>
        <v>ANGSURAN PINJAMAN LAIN AN. SETYO H.</v>
      </c>
    </row>
    <row r="612" spans="1:14" s="111" customFormat="1" ht="12" customHeight="1" x14ac:dyDescent="0.2">
      <c r="A612" s="133"/>
      <c r="B612" s="135" t="str">
        <f>VLOOKUP(F612,BB!$A$8:$C$152,3,0)</f>
        <v>LR01C</v>
      </c>
      <c r="C612" s="136">
        <f t="shared" ref="C612:E612" si="169">C611</f>
        <v>202605</v>
      </c>
      <c r="D612" s="134" t="str">
        <f t="shared" si="169"/>
        <v>KAS-2605016</v>
      </c>
      <c r="E612" s="139">
        <f t="shared" si="169"/>
        <v>46168</v>
      </c>
      <c r="F612" s="144" t="s">
        <v>371</v>
      </c>
      <c r="G612" s="146">
        <v>0</v>
      </c>
      <c r="H612" s="149">
        <f>G610-H611</f>
        <v>0</v>
      </c>
      <c r="I612" s="149">
        <f>IF(G612&lt;&gt;0,G612,-H612)</f>
        <v>0</v>
      </c>
      <c r="J612" s="146">
        <f>-J611</f>
        <v>0</v>
      </c>
      <c r="K612" s="111" t="str">
        <f>K611</f>
        <v>KAS MASUK</v>
      </c>
      <c r="L612" s="152" t="str">
        <f>"PENDAPATAN ATAS PINJAMAN LAIN "&amp;MID(L611,24,20)</f>
        <v>PENDAPATAN ATAS PINJAMAN LAIN AN. SETYO H.</v>
      </c>
    </row>
    <row r="613" spans="1:14" s="111" customFormat="1" ht="12" customHeight="1" x14ac:dyDescent="0.2">
      <c r="A613" s="133"/>
      <c r="B613" s="135"/>
      <c r="C613" s="136"/>
      <c r="D613" s="134"/>
      <c r="E613" s="139"/>
      <c r="F613" s="144"/>
      <c r="G613" s="146"/>
      <c r="H613" s="149"/>
      <c r="I613" s="149"/>
      <c r="J613" s="146"/>
      <c r="L613" s="151"/>
    </row>
    <row r="614" spans="1:14" s="111" customFormat="1" ht="12" customHeight="1" x14ac:dyDescent="0.2">
      <c r="A614" s="133"/>
      <c r="B614" s="135" t="str">
        <f>VLOOKUP(F614,BB!$A$8:$C$152,3,0)</f>
        <v>A01</v>
      </c>
      <c r="C614" s="136">
        <v>202605</v>
      </c>
      <c r="D614" s="134" t="s">
        <v>855</v>
      </c>
      <c r="E614" s="139">
        <v>46168</v>
      </c>
      <c r="F614" s="144" t="s">
        <v>163</v>
      </c>
      <c r="G614" s="149">
        <v>12000000</v>
      </c>
      <c r="H614" s="149">
        <v>0</v>
      </c>
      <c r="I614" s="149">
        <f>IF(G614&lt;&gt;0,G614,-H614)</f>
        <v>12000000</v>
      </c>
      <c r="J614" s="149">
        <v>0</v>
      </c>
      <c r="K614" s="111" t="s">
        <v>509</v>
      </c>
      <c r="L614" s="152" t="s">
        <v>755</v>
      </c>
    </row>
    <row r="615" spans="1:14" s="111" customFormat="1" ht="12" customHeight="1" x14ac:dyDescent="0.2">
      <c r="A615" s="133"/>
      <c r="B615" s="135" t="str">
        <f>VLOOKUP(F615,BB!$A$8:$C$152,3,0)</f>
        <v>A01</v>
      </c>
      <c r="C615" s="136">
        <f>C614</f>
        <v>202605</v>
      </c>
      <c r="D615" s="134" t="str">
        <f>D614</f>
        <v>KAS-2605017</v>
      </c>
      <c r="E615" s="139">
        <f>E614</f>
        <v>46168</v>
      </c>
      <c r="F615" s="144" t="s">
        <v>164</v>
      </c>
      <c r="G615" s="146">
        <f>H614</f>
        <v>0</v>
      </c>
      <c r="H615" s="149">
        <f>G614</f>
        <v>12000000</v>
      </c>
      <c r="I615" s="149">
        <f>IF(G615&lt;&gt;0,G615,-H615)</f>
        <v>-12000000</v>
      </c>
      <c r="J615" s="146">
        <f>-J614</f>
        <v>0</v>
      </c>
      <c r="K615" s="111" t="str">
        <f>K614</f>
        <v>KAS MASUK</v>
      </c>
      <c r="L615" s="151" t="str">
        <f>L614</f>
        <v>PEMINDAHAN DARI REK MANDIRI KKCS</v>
      </c>
    </row>
    <row r="616" spans="1:14" s="111" customFormat="1" ht="12" customHeight="1" x14ac:dyDescent="0.2">
      <c r="A616" s="133"/>
      <c r="B616" s="135"/>
      <c r="C616" s="136"/>
      <c r="D616" s="134"/>
      <c r="E616" s="139"/>
      <c r="F616" s="144"/>
      <c r="G616" s="146"/>
      <c r="H616" s="149"/>
      <c r="I616" s="149"/>
      <c r="J616" s="146"/>
      <c r="L616" s="151"/>
    </row>
    <row r="617" spans="1:14" s="111" customFormat="1" ht="12" customHeight="1" x14ac:dyDescent="0.2">
      <c r="A617" s="133"/>
      <c r="B617" s="135" t="str">
        <f>VLOOKUP(F617,BB!$A$8:$C$152,3,0)</f>
        <v>A01</v>
      </c>
      <c r="C617" s="136">
        <v>202605</v>
      </c>
      <c r="D617" s="134" t="s">
        <v>856</v>
      </c>
      <c r="E617" s="139">
        <v>46168</v>
      </c>
      <c r="F617" s="144" t="s">
        <v>163</v>
      </c>
      <c r="G617" s="149">
        <v>0</v>
      </c>
      <c r="H617" s="149">
        <v>11983038</v>
      </c>
      <c r="I617" s="149">
        <f>IF(G617&lt;&gt;0,G617,-H617)</f>
        <v>-11983038</v>
      </c>
      <c r="J617" s="149">
        <v>0</v>
      </c>
      <c r="K617" s="111" t="s">
        <v>510</v>
      </c>
      <c r="L617" s="152" t="s">
        <v>857</v>
      </c>
      <c r="M617" s="149"/>
      <c r="N617" s="149"/>
    </row>
    <row r="618" spans="1:14" s="111" customFormat="1" ht="12" customHeight="1" x14ac:dyDescent="0.2">
      <c r="A618" s="133"/>
      <c r="B618" s="135" t="str">
        <f>VLOOKUP(F618,BB!$A$8:$C$152,3,0)</f>
        <v>P04</v>
      </c>
      <c r="C618" s="136">
        <f>C617</f>
        <v>202605</v>
      </c>
      <c r="D618" s="134" t="str">
        <f>D617</f>
        <v>KAS-2605018</v>
      </c>
      <c r="E618" s="139">
        <f>E617</f>
        <v>46168</v>
      </c>
      <c r="F618" s="139" t="s">
        <v>210</v>
      </c>
      <c r="G618" s="146">
        <f>H617</f>
        <v>11983038</v>
      </c>
      <c r="H618" s="149">
        <f>G617</f>
        <v>0</v>
      </c>
      <c r="I618" s="149">
        <f>IF(G618&lt;&gt;0,G618,-H618)</f>
        <v>11983038</v>
      </c>
      <c r="J618" s="146">
        <f>-J617</f>
        <v>0</v>
      </c>
      <c r="K618" s="111" t="str">
        <f>K617</f>
        <v>KAS KELUAR</v>
      </c>
      <c r="L618" s="151" t="str">
        <f>L617</f>
        <v>PEMBAYARAN PPH BADAN TAHUN 2025</v>
      </c>
      <c r="M618" s="146"/>
      <c r="N618" s="149"/>
    </row>
    <row r="619" spans="1:14" s="111" customFormat="1" ht="12" customHeight="1" x14ac:dyDescent="0.2">
      <c r="A619" s="133"/>
      <c r="B619" s="135"/>
      <c r="C619" s="136"/>
      <c r="D619" s="134"/>
      <c r="E619" s="139"/>
      <c r="F619" s="144"/>
      <c r="G619" s="146"/>
      <c r="H619" s="149"/>
      <c r="I619" s="149"/>
      <c r="J619" s="146"/>
      <c r="L619" s="151"/>
    </row>
    <row r="620" spans="1:14" s="111" customFormat="1" ht="12" customHeight="1" x14ac:dyDescent="0.2">
      <c r="A620" s="133"/>
      <c r="B620" s="135" t="str">
        <f>VLOOKUP(F620,BB!$A$8:$C$152,3,0)</f>
        <v>A01</v>
      </c>
      <c r="C620" s="136">
        <v>202605</v>
      </c>
      <c r="D620" s="134" t="s">
        <v>859</v>
      </c>
      <c r="E620" s="139">
        <v>46168</v>
      </c>
      <c r="F620" s="144" t="s">
        <v>163</v>
      </c>
      <c r="G620" s="149">
        <v>0</v>
      </c>
      <c r="H620" s="149">
        <v>426000</v>
      </c>
      <c r="I620" s="149">
        <f>IF(G620&lt;&gt;0,G620,-H620)</f>
        <v>-426000</v>
      </c>
      <c r="J620" s="149">
        <v>0</v>
      </c>
      <c r="K620" s="111" t="s">
        <v>510</v>
      </c>
      <c r="L620" s="152" t="s">
        <v>858</v>
      </c>
      <c r="M620" s="149"/>
      <c r="N620" s="149"/>
    </row>
    <row r="621" spans="1:14" s="111" customFormat="1" ht="12" customHeight="1" x14ac:dyDescent="0.2">
      <c r="A621" s="133"/>
      <c r="B621" s="135" t="str">
        <f>VLOOKUP(F621,BB!$A$8:$C$152,3,0)</f>
        <v>P04</v>
      </c>
      <c r="C621" s="136">
        <f>C620</f>
        <v>202605</v>
      </c>
      <c r="D621" s="134" t="str">
        <f>D620</f>
        <v>KAS-2605019</v>
      </c>
      <c r="E621" s="139">
        <f>E620</f>
        <v>46168</v>
      </c>
      <c r="F621" s="139" t="s">
        <v>210</v>
      </c>
      <c r="G621" s="146">
        <f>H620</f>
        <v>426000</v>
      </c>
      <c r="H621" s="149">
        <f>G620</f>
        <v>0</v>
      </c>
      <c r="I621" s="149">
        <f>IF(G621&lt;&gt;0,G621,-H621)</f>
        <v>426000</v>
      </c>
      <c r="J621" s="146">
        <f>-J620</f>
        <v>0</v>
      </c>
      <c r="K621" s="111" t="str">
        <f>K620</f>
        <v>KAS KELUAR</v>
      </c>
      <c r="L621" s="151" t="str">
        <f>L620</f>
        <v>PEMBAYARAN PPH MEI JUNI 2026</v>
      </c>
      <c r="M621" s="146"/>
      <c r="N621" s="149"/>
    </row>
    <row r="622" spans="1:14" s="111" customFormat="1" ht="12" customHeight="1" x14ac:dyDescent="0.2">
      <c r="A622" s="133"/>
      <c r="B622" s="135"/>
      <c r="C622" s="136"/>
      <c r="D622" s="134"/>
      <c r="E622" s="139"/>
      <c r="F622" s="144"/>
      <c r="G622" s="146"/>
      <c r="H622" s="149"/>
      <c r="I622" s="149"/>
      <c r="J622" s="146"/>
      <c r="L622" s="151"/>
    </row>
    <row r="623" spans="1:14" s="111" customFormat="1" ht="12" customHeight="1" x14ac:dyDescent="0.2">
      <c r="A623" s="133"/>
      <c r="B623" s="135" t="str">
        <f>VLOOKUP(F623,BB!$A$8:$C$152,3,0)</f>
        <v>A01</v>
      </c>
      <c r="C623" s="136">
        <v>202605</v>
      </c>
      <c r="D623" s="134" t="s">
        <v>860</v>
      </c>
      <c r="E623" s="139">
        <v>46168</v>
      </c>
      <c r="F623" s="144" t="s">
        <v>163</v>
      </c>
      <c r="G623" s="149">
        <v>5000000</v>
      </c>
      <c r="H623" s="149">
        <v>0</v>
      </c>
      <c r="I623" s="149">
        <f>IF(G623&lt;&gt;0,G623,-H623)</f>
        <v>5000000</v>
      </c>
      <c r="J623" s="149">
        <v>0</v>
      </c>
      <c r="K623" s="111" t="s">
        <v>509</v>
      </c>
      <c r="L623" s="152" t="s">
        <v>755</v>
      </c>
    </row>
    <row r="624" spans="1:14" s="111" customFormat="1" ht="12" customHeight="1" x14ac:dyDescent="0.2">
      <c r="A624" s="133"/>
      <c r="B624" s="135" t="str">
        <f>VLOOKUP(F624,BB!$A$8:$C$152,3,0)</f>
        <v>A01</v>
      </c>
      <c r="C624" s="136">
        <f>C623</f>
        <v>202605</v>
      </c>
      <c r="D624" s="134" t="str">
        <f>D623</f>
        <v>KAS-2605020</v>
      </c>
      <c r="E624" s="139">
        <f>E623</f>
        <v>46168</v>
      </c>
      <c r="F624" s="144" t="s">
        <v>164</v>
      </c>
      <c r="G624" s="146">
        <f>H623</f>
        <v>0</v>
      </c>
      <c r="H624" s="149">
        <f>G623</f>
        <v>5000000</v>
      </c>
      <c r="I624" s="149">
        <f>IF(G624&lt;&gt;0,G624,-H624)</f>
        <v>-5000000</v>
      </c>
      <c r="J624" s="146">
        <f>-J623</f>
        <v>0</v>
      </c>
      <c r="K624" s="111" t="str">
        <f>K623</f>
        <v>KAS MASUK</v>
      </c>
      <c r="L624" s="151" t="str">
        <f>L623</f>
        <v>PEMINDAHAN DARI REK MANDIRI KKCS</v>
      </c>
    </row>
    <row r="625" spans="1:14" s="111" customFormat="1" ht="12" customHeight="1" x14ac:dyDescent="0.2">
      <c r="A625" s="133"/>
      <c r="B625" s="135"/>
      <c r="C625" s="136"/>
      <c r="D625" s="134"/>
      <c r="E625" s="139"/>
      <c r="F625" s="144"/>
      <c r="G625" s="146"/>
      <c r="H625" s="149"/>
      <c r="I625" s="149"/>
      <c r="J625" s="146"/>
      <c r="L625" s="151"/>
    </row>
    <row r="626" spans="1:14" s="111" customFormat="1" ht="12" customHeight="1" x14ac:dyDescent="0.2">
      <c r="A626" s="133"/>
      <c r="B626" s="135" t="str">
        <f>VLOOKUP(F626,BB!$A$8:$C$152,3,0)</f>
        <v>A01</v>
      </c>
      <c r="C626" s="136">
        <v>202605</v>
      </c>
      <c r="D626" s="134" t="s">
        <v>862</v>
      </c>
      <c r="E626" s="139">
        <v>46168</v>
      </c>
      <c r="F626" s="144" t="s">
        <v>163</v>
      </c>
      <c r="G626" s="149">
        <v>2000000</v>
      </c>
      <c r="H626" s="149">
        <v>0</v>
      </c>
      <c r="I626" s="149">
        <f>IF(G626&lt;&gt;0,G626,-H626)</f>
        <v>2000000</v>
      </c>
      <c r="J626" s="149">
        <v>0</v>
      </c>
      <c r="K626" s="111" t="s">
        <v>509</v>
      </c>
      <c r="L626" s="152" t="s">
        <v>861</v>
      </c>
    </row>
    <row r="627" spans="1:14" s="111" customFormat="1" ht="12" customHeight="1" x14ac:dyDescent="0.2">
      <c r="A627" s="133"/>
      <c r="B627" s="135" t="str">
        <f>VLOOKUP(F627,BB!$A$8:$C$152,3,0)</f>
        <v>A04A</v>
      </c>
      <c r="C627" s="136">
        <f t="shared" ref="C627:E627" si="170">C626</f>
        <v>202605</v>
      </c>
      <c r="D627" s="134" t="str">
        <f t="shared" si="170"/>
        <v>KAS-2605021</v>
      </c>
      <c r="E627" s="139">
        <f t="shared" si="170"/>
        <v>46168</v>
      </c>
      <c r="F627" s="144" t="s">
        <v>471</v>
      </c>
      <c r="G627" s="146">
        <v>0</v>
      </c>
      <c r="H627" s="149">
        <f>+G626</f>
        <v>2000000</v>
      </c>
      <c r="I627" s="149">
        <f>IF(G627&lt;&gt;0,G627,-H627)</f>
        <v>-2000000</v>
      </c>
      <c r="J627" s="146">
        <f>-J626</f>
        <v>0</v>
      </c>
      <c r="K627" s="111" t="str">
        <f>K626</f>
        <v>KAS MASUK</v>
      </c>
      <c r="L627" s="152" t="str">
        <f>L626</f>
        <v>ANGSURAN PINJAMAN LAIN AN. BAGUS A.</v>
      </c>
    </row>
    <row r="628" spans="1:14" s="111" customFormat="1" ht="12" customHeight="1" x14ac:dyDescent="0.2">
      <c r="A628" s="133"/>
      <c r="B628" s="135" t="str">
        <f>VLOOKUP(F628,BB!$A$8:$C$152,3,0)</f>
        <v>LR01C</v>
      </c>
      <c r="C628" s="136">
        <f t="shared" ref="C628:E628" si="171">C627</f>
        <v>202605</v>
      </c>
      <c r="D628" s="134" t="str">
        <f t="shared" si="171"/>
        <v>KAS-2605021</v>
      </c>
      <c r="E628" s="139">
        <f t="shared" si="171"/>
        <v>46168</v>
      </c>
      <c r="F628" s="144" t="s">
        <v>371</v>
      </c>
      <c r="G628" s="146">
        <v>0</v>
      </c>
      <c r="H628" s="149">
        <f>G626-H627</f>
        <v>0</v>
      </c>
      <c r="I628" s="149">
        <f>IF(G628&lt;&gt;0,G628,-H628)</f>
        <v>0</v>
      </c>
      <c r="J628" s="146">
        <f>-J627</f>
        <v>0</v>
      </c>
      <c r="K628" s="111" t="str">
        <f>K627</f>
        <v>KAS MASUK</v>
      </c>
      <c r="L628" s="152" t="str">
        <f>"PENDAPATAN ATAS PINJAMAN LAIN "&amp;MID(L627,24,20)</f>
        <v>PENDAPATAN ATAS PINJAMAN LAIN AN. BAGUS A.</v>
      </c>
    </row>
    <row r="629" spans="1:14" s="111" customFormat="1" ht="12" customHeight="1" x14ac:dyDescent="0.2">
      <c r="A629" s="133"/>
      <c r="B629" s="135"/>
      <c r="C629" s="136"/>
      <c r="D629" s="134"/>
      <c r="E629" s="139"/>
      <c r="F629" s="144"/>
      <c r="G629" s="146"/>
      <c r="H629" s="149"/>
      <c r="I629" s="149"/>
      <c r="J629" s="146"/>
      <c r="L629" s="151"/>
    </row>
    <row r="630" spans="1:14" s="111" customFormat="1" ht="12" customHeight="1" x14ac:dyDescent="0.2">
      <c r="A630" s="133"/>
      <c r="B630" s="135" t="str">
        <f>VLOOKUP(F630,BB!$A$8:$C$152,3,0)</f>
        <v>A01</v>
      </c>
      <c r="C630" s="136">
        <v>202605</v>
      </c>
      <c r="D630" s="134" t="s">
        <v>863</v>
      </c>
      <c r="E630" s="139">
        <v>46171</v>
      </c>
      <c r="F630" s="144" t="s">
        <v>163</v>
      </c>
      <c r="G630" s="149">
        <v>500000</v>
      </c>
      <c r="H630" s="149">
        <v>0</v>
      </c>
      <c r="I630" s="149">
        <f>IF(G630&lt;&gt;0,G630,-H630)</f>
        <v>500000</v>
      </c>
      <c r="J630" s="149">
        <v>0</v>
      </c>
      <c r="K630" s="111" t="s">
        <v>509</v>
      </c>
      <c r="L630" s="152" t="s">
        <v>525</v>
      </c>
    </row>
    <row r="631" spans="1:14" s="111" customFormat="1" ht="12" customHeight="1" x14ac:dyDescent="0.2">
      <c r="A631" s="133"/>
      <c r="B631" s="135" t="str">
        <f>VLOOKUP(F631,BB!$A$8:$C$152,3,0)</f>
        <v>A04A</v>
      </c>
      <c r="C631" s="136">
        <f t="shared" ref="C631:E631" si="172">C630</f>
        <v>202605</v>
      </c>
      <c r="D631" s="134" t="str">
        <f t="shared" si="172"/>
        <v>KAS-2605022</v>
      </c>
      <c r="E631" s="139">
        <f t="shared" si="172"/>
        <v>46171</v>
      </c>
      <c r="F631" s="144" t="s">
        <v>471</v>
      </c>
      <c r="G631" s="146">
        <v>0</v>
      </c>
      <c r="H631" s="149">
        <f>+G630</f>
        <v>500000</v>
      </c>
      <c r="I631" s="149">
        <f>IF(G631&lt;&gt;0,G631,-H631)</f>
        <v>-500000</v>
      </c>
      <c r="J631" s="146">
        <f>-J630</f>
        <v>0</v>
      </c>
      <c r="K631" s="111" t="str">
        <f>K630</f>
        <v>KAS MASUK</v>
      </c>
      <c r="L631" s="152" t="str">
        <f>L630</f>
        <v>ANGSURAN PINJAMAN LAIN AN. ISFAK</v>
      </c>
    </row>
    <row r="632" spans="1:14" s="111" customFormat="1" ht="12" customHeight="1" x14ac:dyDescent="0.2">
      <c r="A632" s="133"/>
      <c r="B632" s="135" t="str">
        <f>VLOOKUP(F632,BB!$A$8:$C$152,3,0)</f>
        <v>LR01C</v>
      </c>
      <c r="C632" s="136">
        <f t="shared" ref="C632:E632" si="173">C631</f>
        <v>202605</v>
      </c>
      <c r="D632" s="134" t="str">
        <f t="shared" si="173"/>
        <v>KAS-2605022</v>
      </c>
      <c r="E632" s="139">
        <f t="shared" si="173"/>
        <v>46171</v>
      </c>
      <c r="F632" s="144" t="s">
        <v>371</v>
      </c>
      <c r="G632" s="146">
        <v>0</v>
      </c>
      <c r="H632" s="149">
        <f>G630-H631</f>
        <v>0</v>
      </c>
      <c r="I632" s="149">
        <f>IF(G632&lt;&gt;0,G632,-H632)</f>
        <v>0</v>
      </c>
      <c r="J632" s="146">
        <f>-J631</f>
        <v>0</v>
      </c>
      <c r="K632" s="111" t="str">
        <f>K631</f>
        <v>KAS MASUK</v>
      </c>
      <c r="L632" s="152" t="str">
        <f>"PENDAPATAN ATAS PINJAMAN LAIN "&amp;MID(L631,24,20)</f>
        <v>PENDAPATAN ATAS PINJAMAN LAIN AN. ISFAK</v>
      </c>
    </row>
    <row r="633" spans="1:14" s="111" customFormat="1" ht="12" customHeight="1" x14ac:dyDescent="0.2">
      <c r="A633" s="133"/>
      <c r="B633" s="135"/>
      <c r="C633" s="136"/>
      <c r="D633" s="134"/>
      <c r="E633" s="139"/>
      <c r="F633" s="144"/>
      <c r="G633" s="146"/>
      <c r="H633" s="149"/>
      <c r="I633" s="149"/>
      <c r="J633" s="146"/>
      <c r="L633" s="151"/>
    </row>
    <row r="634" spans="1:14" s="111" customFormat="1" ht="12" customHeight="1" x14ac:dyDescent="0.2">
      <c r="A634" s="133"/>
      <c r="B634" s="135" t="str">
        <f>VLOOKUP(F634,BB!$A$8:$C$152,3,0)</f>
        <v>A01</v>
      </c>
      <c r="C634" s="136">
        <v>202605</v>
      </c>
      <c r="D634" s="134" t="s">
        <v>864</v>
      </c>
      <c r="E634" s="139">
        <v>46171</v>
      </c>
      <c r="F634" s="144" t="s">
        <v>163</v>
      </c>
      <c r="G634" s="149">
        <v>350000</v>
      </c>
      <c r="H634" s="149">
        <v>0</v>
      </c>
      <c r="I634" s="149">
        <f>IF(G634&lt;&gt;0,G634,-H634)</f>
        <v>350000</v>
      </c>
      <c r="J634" s="149">
        <v>0</v>
      </c>
      <c r="K634" s="111" t="s">
        <v>509</v>
      </c>
      <c r="L634" s="152" t="s">
        <v>527</v>
      </c>
    </row>
    <row r="635" spans="1:14" s="111" customFormat="1" ht="12" customHeight="1" x14ac:dyDescent="0.2">
      <c r="A635" s="133"/>
      <c r="B635" s="135" t="str">
        <f>VLOOKUP(F635,BB!$A$8:$C$152,3,0)</f>
        <v>A04A</v>
      </c>
      <c r="C635" s="136">
        <f t="shared" ref="C635:E635" si="174">C634</f>
        <v>202605</v>
      </c>
      <c r="D635" s="134" t="str">
        <f t="shared" si="174"/>
        <v>KAS-2605023</v>
      </c>
      <c r="E635" s="139">
        <f t="shared" si="174"/>
        <v>46171</v>
      </c>
      <c r="F635" s="144" t="s">
        <v>471</v>
      </c>
      <c r="G635" s="146">
        <v>0</v>
      </c>
      <c r="H635" s="149">
        <f>+G634</f>
        <v>350000</v>
      </c>
      <c r="I635" s="149">
        <f>IF(G635&lt;&gt;0,G635,-H635)</f>
        <v>-350000</v>
      </c>
      <c r="J635" s="146">
        <f>-J634</f>
        <v>0</v>
      </c>
      <c r="K635" s="111" t="str">
        <f>K634</f>
        <v>KAS MASUK</v>
      </c>
      <c r="L635" s="152" t="str">
        <f>L634</f>
        <v>ANGSURAN PINJAMAN LAIN AN. SOLICHIN</v>
      </c>
    </row>
    <row r="636" spans="1:14" s="111" customFormat="1" ht="12" customHeight="1" x14ac:dyDescent="0.2">
      <c r="A636" s="133"/>
      <c r="B636" s="135" t="str">
        <f>VLOOKUP(F636,BB!$A$8:$C$152,3,0)</f>
        <v>LR01C</v>
      </c>
      <c r="C636" s="136">
        <f t="shared" ref="C636:E636" si="175">C635</f>
        <v>202605</v>
      </c>
      <c r="D636" s="134" t="str">
        <f t="shared" si="175"/>
        <v>KAS-2605023</v>
      </c>
      <c r="E636" s="139">
        <f t="shared" si="175"/>
        <v>46171</v>
      </c>
      <c r="F636" s="144" t="s">
        <v>371</v>
      </c>
      <c r="G636" s="146">
        <v>0</v>
      </c>
      <c r="H636" s="149">
        <f>G634-H635</f>
        <v>0</v>
      </c>
      <c r="I636" s="149">
        <f>IF(G636&lt;&gt;0,G636,-H636)</f>
        <v>0</v>
      </c>
      <c r="J636" s="146">
        <f>-J635</f>
        <v>0</v>
      </c>
      <c r="K636" s="111" t="str">
        <f>K635</f>
        <v>KAS MASUK</v>
      </c>
      <c r="L636" s="152" t="str">
        <f>"PENDAPATAN ATAS PINJAMAN LAIN "&amp;MID(L635,24,20)</f>
        <v>PENDAPATAN ATAS PINJAMAN LAIN AN. SOLICHIN</v>
      </c>
    </row>
    <row r="637" spans="1:14" s="111" customFormat="1" ht="12" customHeight="1" x14ac:dyDescent="0.2">
      <c r="A637" s="133"/>
      <c r="B637" s="135"/>
      <c r="C637" s="136"/>
      <c r="D637" s="134"/>
      <c r="E637" s="139"/>
      <c r="F637" s="144"/>
      <c r="G637" s="146"/>
      <c r="H637" s="149"/>
      <c r="I637" s="149"/>
      <c r="J637" s="146"/>
      <c r="L637" s="151"/>
    </row>
    <row r="638" spans="1:14" s="111" customFormat="1" ht="12" customHeight="1" x14ac:dyDescent="0.2">
      <c r="A638" s="133"/>
      <c r="B638" s="135" t="str">
        <f>VLOOKUP(F638,BB!$A$8:$C$152,3,0)</f>
        <v>A01</v>
      </c>
      <c r="C638" s="136">
        <v>202605</v>
      </c>
      <c r="D638" s="134" t="s">
        <v>866</v>
      </c>
      <c r="E638" s="139">
        <v>46172</v>
      </c>
      <c r="F638" s="144" t="s">
        <v>163</v>
      </c>
      <c r="G638" s="149">
        <v>0</v>
      </c>
      <c r="H638" s="149">
        <v>12122600</v>
      </c>
      <c r="I638" s="149">
        <f>IF(G638&lt;&gt;0,G638,-H638)</f>
        <v>-12122600</v>
      </c>
      <c r="J638" s="149">
        <v>0</v>
      </c>
      <c r="K638" s="111" t="s">
        <v>510</v>
      </c>
      <c r="L638" s="152" t="s">
        <v>865</v>
      </c>
      <c r="M638" s="149"/>
      <c r="N638" s="149"/>
    </row>
    <row r="639" spans="1:14" s="111" customFormat="1" ht="12" customHeight="1" x14ac:dyDescent="0.2">
      <c r="A639" s="133"/>
      <c r="B639" s="135" t="str">
        <f>VLOOKUP(F639,BB!$A$8:$C$152,3,0)</f>
        <v>LR05</v>
      </c>
      <c r="C639" s="136">
        <f>C638</f>
        <v>202605</v>
      </c>
      <c r="D639" s="134" t="str">
        <f>D638</f>
        <v>KAS-2605024</v>
      </c>
      <c r="E639" s="139">
        <f>E638</f>
        <v>46172</v>
      </c>
      <c r="F639" s="144" t="s">
        <v>381</v>
      </c>
      <c r="G639" s="146">
        <f>H638</f>
        <v>12122600</v>
      </c>
      <c r="H639" s="149">
        <f>G638</f>
        <v>0</v>
      </c>
      <c r="I639" s="149">
        <f>IF(G639&lt;&gt;0,G639,-H639)</f>
        <v>12122600</v>
      </c>
      <c r="J639" s="146">
        <f>-J638</f>
        <v>0</v>
      </c>
      <c r="K639" s="111" t="str">
        <f>K638</f>
        <v>KAS KELUAR</v>
      </c>
      <c r="L639" s="151" t="str">
        <f>L638</f>
        <v>BIAYA QURBAN TAHUN 2026</v>
      </c>
      <c r="M639" s="146"/>
      <c r="N639" s="149"/>
    </row>
    <row r="640" spans="1:14" s="111" customFormat="1" ht="12" customHeight="1" x14ac:dyDescent="0.2">
      <c r="A640" s="133"/>
      <c r="B640" s="135"/>
      <c r="C640" s="136"/>
      <c r="D640" s="134"/>
      <c r="E640" s="139"/>
      <c r="F640" s="144"/>
      <c r="G640" s="146"/>
      <c r="H640" s="149"/>
      <c r="I640" s="149"/>
      <c r="J640" s="146"/>
      <c r="L640" s="151"/>
    </row>
    <row r="641" spans="1:14" s="111" customFormat="1" ht="12" customHeight="1" x14ac:dyDescent="0.2">
      <c r="A641" s="133"/>
      <c r="B641" s="135" t="str">
        <f>VLOOKUP(F641,BB!$A$8:$C$152,3,0)</f>
        <v>LR07</v>
      </c>
      <c r="C641" s="136">
        <v>202605</v>
      </c>
      <c r="D641" s="134" t="s">
        <v>867</v>
      </c>
      <c r="E641" s="139">
        <v>46173</v>
      </c>
      <c r="F641" s="134" t="s">
        <v>416</v>
      </c>
      <c r="G641" s="149">
        <v>1500000</v>
      </c>
      <c r="H641" s="149">
        <v>0</v>
      </c>
      <c r="I641" s="149">
        <f>IF(G641&lt;&gt;0,G641,-H641)</f>
        <v>1500000</v>
      </c>
      <c r="J641" s="149">
        <v>0</v>
      </c>
      <c r="K641" s="111" t="s">
        <v>306</v>
      </c>
      <c r="L641" s="152" t="s">
        <v>415</v>
      </c>
      <c r="M641" s="149"/>
      <c r="N641" s="149"/>
    </row>
    <row r="642" spans="1:14" s="111" customFormat="1" ht="12" customHeight="1" x14ac:dyDescent="0.2">
      <c r="A642" s="133"/>
      <c r="B642" s="135" t="str">
        <f>VLOOKUP(F642,BB!$A$8:$C$152,3,0)</f>
        <v>A05</v>
      </c>
      <c r="C642" s="136">
        <f>C641</f>
        <v>202605</v>
      </c>
      <c r="D642" s="134" t="str">
        <f>D641</f>
        <v>JRM-2605001</v>
      </c>
      <c r="E642" s="139">
        <f>E641</f>
        <v>46173</v>
      </c>
      <c r="F642" s="144" t="s">
        <v>172</v>
      </c>
      <c r="G642" s="146">
        <f>H641</f>
        <v>0</v>
      </c>
      <c r="H642" s="149">
        <f>G641</f>
        <v>1500000</v>
      </c>
      <c r="I642" s="149">
        <f>IF(G642&lt;&gt;0,G642,-H642)</f>
        <v>-1500000</v>
      </c>
      <c r="J642" s="146">
        <f>-J641</f>
        <v>0</v>
      </c>
      <c r="K642" s="111" t="str">
        <f>K641</f>
        <v>JURNAL MANUAL</v>
      </c>
      <c r="L642" s="151" t="str">
        <f>L641</f>
        <v>PEMBEBANAN PENYISIHAN PIUTANG</v>
      </c>
      <c r="M642" s="146"/>
      <c r="N642" s="149"/>
    </row>
    <row r="643" spans="1:14" s="111" customFormat="1" ht="12" customHeight="1" x14ac:dyDescent="0.2">
      <c r="A643" s="133"/>
      <c r="B643" s="135"/>
      <c r="C643" s="136"/>
      <c r="D643" s="134"/>
      <c r="E643" s="139"/>
      <c r="F643" s="144"/>
      <c r="G643" s="146"/>
      <c r="H643" s="149"/>
      <c r="I643" s="149"/>
      <c r="J643" s="146"/>
      <c r="L643" s="151"/>
    </row>
    <row r="644" spans="1:14" s="111" customFormat="1" ht="12" customHeight="1" x14ac:dyDescent="0.2">
      <c r="A644" s="133"/>
      <c r="B644" s="135" t="str">
        <f>VLOOKUP(F644,BB!$A$8:$C$152,3,0)</f>
        <v>A04B</v>
      </c>
      <c r="C644" s="136">
        <v>202605</v>
      </c>
      <c r="D644" s="134" t="s">
        <v>868</v>
      </c>
      <c r="E644" s="139">
        <v>46173</v>
      </c>
      <c r="F644" s="134" t="s">
        <v>461</v>
      </c>
      <c r="G644" s="149">
        <f>11760000</f>
        <v>11760000</v>
      </c>
      <c r="H644" s="149">
        <v>0</v>
      </c>
      <c r="I644" s="198">
        <f>IF(G644&lt;&gt;0,G644,-H644)</f>
        <v>11760000</v>
      </c>
      <c r="J644" s="149">
        <v>0</v>
      </c>
      <c r="K644" s="111" t="s">
        <v>306</v>
      </c>
      <c r="L644" s="152" t="s">
        <v>871</v>
      </c>
      <c r="M644" s="149"/>
      <c r="N644" s="149"/>
    </row>
    <row r="645" spans="1:14" s="111" customFormat="1" ht="12" customHeight="1" x14ac:dyDescent="0.2">
      <c r="A645" s="133"/>
      <c r="B645" s="135" t="str">
        <f>VLOOKUP(F645,BB!$A$8:$C$152,3,0)</f>
        <v>P05</v>
      </c>
      <c r="C645" s="136">
        <f>C644</f>
        <v>202605</v>
      </c>
      <c r="D645" s="134" t="str">
        <f>D644</f>
        <v>JRM-2605002</v>
      </c>
      <c r="E645" s="139">
        <f>E644</f>
        <v>46173</v>
      </c>
      <c r="F645" s="144" t="s">
        <v>439</v>
      </c>
      <c r="G645" s="146">
        <f>H644</f>
        <v>0</v>
      </c>
      <c r="H645" s="149">
        <f>11608500</f>
        <v>11608500</v>
      </c>
      <c r="I645" s="198">
        <f>IF(G645&lt;&gt;0,G645,-H645)</f>
        <v>-11608500</v>
      </c>
      <c r="J645" s="146">
        <f>-J644</f>
        <v>0</v>
      </c>
      <c r="K645" s="111" t="str">
        <f>K644</f>
        <v>JURNAL MANUAL</v>
      </c>
      <c r="L645" s="151" t="s">
        <v>872</v>
      </c>
      <c r="M645" s="146"/>
      <c r="N645" s="149"/>
    </row>
    <row r="646" spans="1:14" s="111" customFormat="1" ht="12" customHeight="1" x14ac:dyDescent="0.2">
      <c r="A646" s="133"/>
      <c r="B646" s="135" t="str">
        <f>VLOOKUP(F646,BB!$A$8:$C$152,3,0)</f>
        <v>LR06</v>
      </c>
      <c r="C646" s="136">
        <f t="shared" ref="C646:E646" si="176">+C645</f>
        <v>202605</v>
      </c>
      <c r="D646" s="134" t="str">
        <f t="shared" si="176"/>
        <v>JRM-2605002</v>
      </c>
      <c r="E646" s="139">
        <f t="shared" si="176"/>
        <v>46173</v>
      </c>
      <c r="F646" s="144" t="s">
        <v>394</v>
      </c>
      <c r="G646" s="146">
        <v>0</v>
      </c>
      <c r="H646" s="149">
        <f>+G644-H645</f>
        <v>151500</v>
      </c>
      <c r="I646" s="198">
        <f>IF(G646&lt;&gt;0,G646,-H646)</f>
        <v>-151500</v>
      </c>
      <c r="J646" s="146">
        <v>0</v>
      </c>
      <c r="K646" s="111" t="str">
        <f>+K645</f>
        <v>JURNAL MANUAL</v>
      </c>
      <c r="L646" s="151" t="s">
        <v>501</v>
      </c>
    </row>
    <row r="647" spans="1:14" s="111" customFormat="1" ht="12" customHeight="1" x14ac:dyDescent="0.2">
      <c r="A647" s="133"/>
      <c r="B647" s="135"/>
      <c r="C647" s="136"/>
      <c r="D647" s="134"/>
      <c r="E647" s="139"/>
      <c r="F647" s="144"/>
      <c r="G647" s="146"/>
      <c r="H647" s="149"/>
      <c r="I647" s="197"/>
      <c r="J647" s="146"/>
      <c r="L647" s="151"/>
    </row>
    <row r="648" spans="1:14" s="111" customFormat="1" ht="12" customHeight="1" x14ac:dyDescent="0.2">
      <c r="A648" s="133"/>
      <c r="B648" s="135" t="str">
        <f>VLOOKUP(F648,BB!$A$8:$C$152,3,0)</f>
        <v>A04B</v>
      </c>
      <c r="C648" s="136">
        <v>202605</v>
      </c>
      <c r="D648" s="134" t="s">
        <v>869</v>
      </c>
      <c r="E648" s="139">
        <v>46173</v>
      </c>
      <c r="F648" s="134" t="s">
        <v>464</v>
      </c>
      <c r="G648" s="149">
        <v>15680000</v>
      </c>
      <c r="H648" s="149">
        <v>0</v>
      </c>
      <c r="I648" s="189">
        <f>IF(G648&lt;&gt;0,G648,-H648)</f>
        <v>15680000</v>
      </c>
      <c r="J648" s="149">
        <v>0</v>
      </c>
      <c r="K648" s="111" t="s">
        <v>306</v>
      </c>
      <c r="L648" s="152" t="s">
        <v>873</v>
      </c>
      <c r="M648" s="149"/>
      <c r="N648" s="149"/>
    </row>
    <row r="649" spans="1:14" s="111" customFormat="1" ht="12" customHeight="1" x14ac:dyDescent="0.2">
      <c r="A649" s="133"/>
      <c r="B649" s="135" t="str">
        <f>VLOOKUP(F649,BB!$A$8:$C$152,3,0)</f>
        <v>P05</v>
      </c>
      <c r="C649" s="136">
        <f>C648</f>
        <v>202605</v>
      </c>
      <c r="D649" s="134" t="str">
        <f>D648</f>
        <v>JRM-2605003</v>
      </c>
      <c r="E649" s="139">
        <f>E648</f>
        <v>46173</v>
      </c>
      <c r="F649" s="144" t="s">
        <v>435</v>
      </c>
      <c r="G649" s="146">
        <f>H648</f>
        <v>0</v>
      </c>
      <c r="H649" s="149">
        <v>14475000</v>
      </c>
      <c r="I649" s="189">
        <f>IF(G649&lt;&gt;0,G649,-H649)</f>
        <v>-14475000</v>
      </c>
      <c r="J649" s="146">
        <f>-J648</f>
        <v>0</v>
      </c>
      <c r="K649" s="111" t="str">
        <f>K648</f>
        <v>JURNAL MANUAL</v>
      </c>
      <c r="L649" s="151" t="s">
        <v>874</v>
      </c>
      <c r="M649" s="146"/>
      <c r="N649" s="149"/>
    </row>
    <row r="650" spans="1:14" s="111" customFormat="1" ht="12" customHeight="1" x14ac:dyDescent="0.2">
      <c r="A650" s="133"/>
      <c r="B650" s="135" t="str">
        <f>VLOOKUP(F650,BB!$A$8:$C$152,3,0)</f>
        <v>LR06</v>
      </c>
      <c r="C650" s="136">
        <f t="shared" ref="C650:E650" si="177">+C649</f>
        <v>202605</v>
      </c>
      <c r="D650" s="134" t="str">
        <f t="shared" si="177"/>
        <v>JRM-2605003</v>
      </c>
      <c r="E650" s="139">
        <f t="shared" si="177"/>
        <v>46173</v>
      </c>
      <c r="F650" s="144" t="s">
        <v>403</v>
      </c>
      <c r="G650" s="146">
        <v>0</v>
      </c>
      <c r="H650" s="149">
        <f>+G648-H649</f>
        <v>1205000</v>
      </c>
      <c r="I650" s="189">
        <f>IF(G650&lt;&gt;0,G650,-H650)</f>
        <v>-1205000</v>
      </c>
      <c r="J650" s="146">
        <v>0</v>
      </c>
      <c r="K650" s="111" t="str">
        <f>+K649</f>
        <v>JURNAL MANUAL</v>
      </c>
      <c r="L650" s="151" t="s">
        <v>708</v>
      </c>
    </row>
    <row r="651" spans="1:14" s="111" customFormat="1" ht="12" customHeight="1" x14ac:dyDescent="0.2">
      <c r="A651" s="133"/>
      <c r="B651" s="135"/>
      <c r="C651" s="136"/>
      <c r="D651" s="134"/>
      <c r="E651" s="139"/>
      <c r="F651" s="144"/>
      <c r="G651" s="146"/>
      <c r="H651" s="149"/>
      <c r="I651" s="149"/>
      <c r="J651" s="146"/>
      <c r="L651" s="151"/>
    </row>
    <row r="652" spans="1:14" s="111" customFormat="1" ht="12" customHeight="1" x14ac:dyDescent="0.2">
      <c r="A652" s="133"/>
      <c r="B652" s="135" t="str">
        <f>VLOOKUP(F652,BB!$A$8:$C$152,3,0)</f>
        <v>LR07</v>
      </c>
      <c r="C652" s="136">
        <v>202605</v>
      </c>
      <c r="D652" s="134" t="s">
        <v>870</v>
      </c>
      <c r="E652" s="139">
        <v>46173</v>
      </c>
      <c r="F652" s="134" t="s">
        <v>249</v>
      </c>
      <c r="G652" s="149">
        <v>0</v>
      </c>
      <c r="H652" s="149">
        <v>0</v>
      </c>
      <c r="I652" s="149">
        <f>IF(G652&lt;&gt;0,G652,-H652)</f>
        <v>0</v>
      </c>
      <c r="J652" s="149">
        <v>0</v>
      </c>
      <c r="K652" s="111" t="s">
        <v>306</v>
      </c>
      <c r="L652" s="152" t="s">
        <v>608</v>
      </c>
      <c r="M652" s="149"/>
      <c r="N652" s="149"/>
    </row>
    <row r="653" spans="1:14" s="111" customFormat="1" ht="12" customHeight="1" x14ac:dyDescent="0.2">
      <c r="A653" s="133"/>
      <c r="B653" s="135" t="str">
        <f>VLOOKUP(F653,BB!$A$8:$C$152,3,0)</f>
        <v>A04A</v>
      </c>
      <c r="C653" s="136">
        <f>C652</f>
        <v>202605</v>
      </c>
      <c r="D653" s="134" t="str">
        <f>D652</f>
        <v>JRM-2605004</v>
      </c>
      <c r="E653" s="139">
        <f>E652</f>
        <v>46173</v>
      </c>
      <c r="F653" s="144" t="s">
        <v>468</v>
      </c>
      <c r="G653" s="146">
        <f>H652</f>
        <v>0</v>
      </c>
      <c r="H653" s="149">
        <f>G652</f>
        <v>0</v>
      </c>
      <c r="I653" s="149">
        <f>IF(G653&lt;&gt;0,G653,-H653)</f>
        <v>0</v>
      </c>
      <c r="J653" s="146">
        <f>-J652</f>
        <v>0</v>
      </c>
      <c r="K653" s="111" t="str">
        <f>K652</f>
        <v>JURNAL MANUAL</v>
      </c>
      <c r="L653" s="151" t="str">
        <f>L652</f>
        <v>PENYESUAIAN SELISIH PIUTANG RUTIN</v>
      </c>
      <c r="M653" s="146"/>
      <c r="N653" s="149"/>
    </row>
    <row r="654" spans="1:14" s="111" customFormat="1" ht="12" customHeight="1" x14ac:dyDescent="0.2">
      <c r="A654" s="133"/>
      <c r="B654" s="135"/>
      <c r="C654" s="136"/>
      <c r="D654" s="134"/>
      <c r="E654" s="139"/>
      <c r="F654" s="144"/>
      <c r="G654" s="146"/>
      <c r="H654" s="149"/>
      <c r="I654" s="149"/>
      <c r="J654" s="146"/>
      <c r="L654" s="151"/>
    </row>
    <row r="655" spans="1:14" s="111" customFormat="1" ht="12" customHeight="1" x14ac:dyDescent="0.2">
      <c r="A655" s="133"/>
      <c r="B655" s="135"/>
      <c r="C655" s="136"/>
      <c r="D655" s="134"/>
      <c r="E655" s="139"/>
      <c r="F655" s="144"/>
      <c r="G655" s="146"/>
      <c r="H655" s="149"/>
      <c r="I655" s="149"/>
      <c r="J655" s="146"/>
      <c r="L655" s="151"/>
    </row>
    <row r="656" spans="1:14" s="183" customFormat="1" ht="12" customHeight="1" x14ac:dyDescent="0.2">
      <c r="A656" s="172"/>
      <c r="B656" s="173"/>
      <c r="C656" s="174"/>
      <c r="D656" s="175"/>
      <c r="E656" s="176"/>
      <c r="F656" s="180"/>
      <c r="G656" s="181"/>
      <c r="H656" s="182"/>
      <c r="I656" s="182"/>
      <c r="J656" s="181"/>
      <c r="L656" s="184"/>
    </row>
    <row r="657" spans="1:42" s="111" customFormat="1" ht="12" customHeight="1" x14ac:dyDescent="0.2">
      <c r="A657" s="133"/>
      <c r="B657" s="135"/>
      <c r="C657" s="136"/>
      <c r="D657" s="134"/>
      <c r="E657" s="139"/>
      <c r="F657" s="144"/>
      <c r="G657" s="146"/>
      <c r="H657" s="149"/>
      <c r="I657" s="149"/>
      <c r="J657" s="146"/>
      <c r="L657" s="151"/>
    </row>
    <row r="658" spans="1:42" s="111" customFormat="1" ht="12" customHeight="1" x14ac:dyDescent="0.2">
      <c r="A658" s="133"/>
      <c r="B658" s="135" t="str">
        <f>VLOOKUP(F658,BB!$A$8:$C$152,3,0)</f>
        <v>A02</v>
      </c>
      <c r="C658" s="136">
        <v>202606</v>
      </c>
      <c r="D658" s="134" t="s">
        <v>875</v>
      </c>
      <c r="E658" s="139">
        <v>46175</v>
      </c>
      <c r="F658" s="144" t="s">
        <v>166</v>
      </c>
      <c r="G658" s="149">
        <v>160719913</v>
      </c>
      <c r="H658" s="149">
        <v>0</v>
      </c>
      <c r="I658" s="149">
        <f>IF(G658&lt;&gt;0,G658,-H658)</f>
        <v>160719913</v>
      </c>
      <c r="J658" s="149">
        <v>0</v>
      </c>
      <c r="K658" s="111" t="s">
        <v>305</v>
      </c>
      <c r="L658" s="152" t="s">
        <v>876</v>
      </c>
    </row>
    <row r="659" spans="1:42" s="111" customFormat="1" ht="12" customHeight="1" x14ac:dyDescent="0.2">
      <c r="A659" s="133"/>
      <c r="B659" s="135" t="str">
        <f>VLOOKUP(F659,BB!$A$8:$C$152,3,0)</f>
        <v>P06</v>
      </c>
      <c r="C659" s="136">
        <f t="shared" ref="C659:E659" si="178">C658</f>
        <v>202606</v>
      </c>
      <c r="D659" s="136" t="str">
        <f t="shared" si="178"/>
        <v>MDR-2606001</v>
      </c>
      <c r="E659" s="186">
        <f t="shared" si="178"/>
        <v>46175</v>
      </c>
      <c r="F659" s="144" t="s">
        <v>221</v>
      </c>
      <c r="G659" s="146">
        <v>0</v>
      </c>
      <c r="H659" s="149">
        <f>+G658</f>
        <v>160719913</v>
      </c>
      <c r="I659" s="149">
        <f>IF(G659&lt;&gt;0,G659,-H659)</f>
        <v>-160719913</v>
      </c>
      <c r="J659" s="146">
        <v>0</v>
      </c>
      <c r="K659" s="111" t="str">
        <f>K658</f>
        <v>BANK MASUK</v>
      </c>
      <c r="L659" s="151" t="str">
        <f>L658</f>
        <v>TERIMA DARI GCS PEMBY. KEND. INNOVA</v>
      </c>
    </row>
    <row r="660" spans="1:42" s="111" customFormat="1" ht="12" customHeight="1" x14ac:dyDescent="0.2">
      <c r="A660" s="133"/>
      <c r="B660" s="135"/>
      <c r="C660" s="136"/>
      <c r="D660" s="134"/>
      <c r="E660" s="139"/>
      <c r="F660" s="144"/>
      <c r="G660" s="146"/>
      <c r="H660" s="149"/>
      <c r="I660" s="149"/>
      <c r="J660" s="146"/>
      <c r="L660" s="151"/>
    </row>
    <row r="661" spans="1:42" s="111" customFormat="1" ht="12" customHeight="1" x14ac:dyDescent="0.2">
      <c r="A661" s="133"/>
      <c r="B661" s="135" t="str">
        <f>VLOOKUP(F661,BB!$A$8:$C$152,3,0)</f>
        <v>A02</v>
      </c>
      <c r="C661" s="136">
        <v>202606</v>
      </c>
      <c r="D661" s="134" t="s">
        <v>877</v>
      </c>
      <c r="E661" s="139">
        <v>46175</v>
      </c>
      <c r="F661" s="134" t="s">
        <v>166</v>
      </c>
      <c r="G661" s="149">
        <v>0</v>
      </c>
      <c r="H661" s="149">
        <v>160719913</v>
      </c>
      <c r="I661" s="149">
        <f>IF(G661&lt;&gt;0,G661,-H661)</f>
        <v>-160719913</v>
      </c>
      <c r="J661" s="149">
        <v>0</v>
      </c>
      <c r="K661" s="111" t="s">
        <v>304</v>
      </c>
      <c r="L661" s="152" t="s">
        <v>878</v>
      </c>
      <c r="M661" s="136"/>
      <c r="N661" s="136"/>
      <c r="O661" s="136"/>
      <c r="P661" s="136"/>
      <c r="Q661" s="136"/>
      <c r="R661" s="136"/>
      <c r="S661" s="136"/>
      <c r="T661" s="136"/>
      <c r="U661" s="136"/>
      <c r="V661" s="136"/>
      <c r="W661" s="136"/>
      <c r="X661" s="136"/>
      <c r="Y661" s="136"/>
      <c r="Z661" s="136"/>
      <c r="AA661" s="136"/>
      <c r="AB661" s="136"/>
      <c r="AC661" s="136"/>
      <c r="AD661" s="136"/>
      <c r="AE661" s="136"/>
      <c r="AF661" s="136"/>
      <c r="AG661" s="136"/>
      <c r="AH661" s="136"/>
      <c r="AI661" s="136"/>
      <c r="AJ661" s="136"/>
      <c r="AK661" s="136"/>
      <c r="AL661" s="136"/>
      <c r="AM661" s="136"/>
      <c r="AN661" s="136"/>
      <c r="AO661" s="136"/>
      <c r="AP661" s="136"/>
    </row>
    <row r="662" spans="1:42" s="111" customFormat="1" ht="12" customHeight="1" x14ac:dyDescent="0.2">
      <c r="A662" s="133"/>
      <c r="B662" s="135" t="str">
        <f>VLOOKUP(F662,BB!$A$8:$C$152,3,0)</f>
        <v>P06</v>
      </c>
      <c r="C662" s="136">
        <f>C661</f>
        <v>202606</v>
      </c>
      <c r="D662" s="134" t="str">
        <f>D661</f>
        <v>MDR-2606002</v>
      </c>
      <c r="E662" s="139">
        <f>E661</f>
        <v>46175</v>
      </c>
      <c r="F662" s="144" t="s">
        <v>221</v>
      </c>
      <c r="G662" s="146">
        <f>H661</f>
        <v>160719913</v>
      </c>
      <c r="H662" s="149">
        <f>G661</f>
        <v>0</v>
      </c>
      <c r="I662" s="149">
        <f>IF(G662&lt;&gt;0,G662,-H662)</f>
        <v>160719913</v>
      </c>
      <c r="J662" s="146">
        <f>-J661</f>
        <v>0</v>
      </c>
      <c r="K662" s="111" t="str">
        <f>K661</f>
        <v>BANK KELUAR</v>
      </c>
      <c r="L662" s="151" t="str">
        <f>L661</f>
        <v>PEMBAYARAN INNOVA ORIX</v>
      </c>
    </row>
    <row r="663" spans="1:42" s="111" customFormat="1" ht="12" customHeight="1" x14ac:dyDescent="0.2">
      <c r="A663" s="133"/>
      <c r="B663" s="135"/>
      <c r="C663" s="136"/>
      <c r="D663" s="134"/>
      <c r="E663" s="139"/>
      <c r="F663" s="144"/>
      <c r="G663" s="146"/>
      <c r="H663" s="149"/>
      <c r="I663" s="149"/>
      <c r="J663" s="146"/>
      <c r="L663" s="151"/>
    </row>
    <row r="664" spans="1:42" s="111" customFormat="1" ht="12" customHeight="1" x14ac:dyDescent="0.2">
      <c r="A664" s="133"/>
      <c r="B664" s="135" t="str">
        <f>VLOOKUP(F664,BB!$A$8:$C$152,3,0)</f>
        <v>A02</v>
      </c>
      <c r="C664" s="136">
        <v>202606</v>
      </c>
      <c r="D664" s="134" t="s">
        <v>879</v>
      </c>
      <c r="E664" s="139">
        <v>46175</v>
      </c>
      <c r="F664" s="144" t="s">
        <v>166</v>
      </c>
      <c r="G664" s="149">
        <v>0</v>
      </c>
      <c r="H664" s="149">
        <v>2900</v>
      </c>
      <c r="I664" s="149">
        <f>IF(G664&lt;&gt;0,G664,-H664)</f>
        <v>-2900</v>
      </c>
      <c r="J664" s="149">
        <v>0</v>
      </c>
      <c r="K664" s="111" t="s">
        <v>304</v>
      </c>
      <c r="L664" s="152" t="s">
        <v>407</v>
      </c>
      <c r="M664" s="136"/>
      <c r="N664" s="136"/>
      <c r="O664" s="136"/>
      <c r="P664" s="136"/>
      <c r="Q664" s="136"/>
      <c r="R664" s="136"/>
      <c r="S664" s="136"/>
      <c r="T664" s="136"/>
      <c r="U664" s="136"/>
      <c r="V664" s="136"/>
      <c r="W664" s="136"/>
      <c r="X664" s="136"/>
      <c r="Y664" s="136"/>
      <c r="Z664" s="136"/>
      <c r="AA664" s="136"/>
      <c r="AB664" s="136"/>
      <c r="AC664" s="136"/>
      <c r="AD664" s="136"/>
      <c r="AE664" s="136"/>
      <c r="AF664" s="136"/>
      <c r="AG664" s="136"/>
      <c r="AH664" s="136"/>
      <c r="AI664" s="136"/>
      <c r="AJ664" s="136"/>
      <c r="AK664" s="136"/>
      <c r="AL664" s="136"/>
      <c r="AM664" s="136"/>
      <c r="AN664" s="136"/>
      <c r="AO664" s="136"/>
      <c r="AP664" s="136"/>
    </row>
    <row r="665" spans="1:42" s="111" customFormat="1" ht="12" customHeight="1" x14ac:dyDescent="0.2">
      <c r="A665" s="133"/>
      <c r="B665" s="135" t="str">
        <f>VLOOKUP(F665,BB!$A$8:$C$152,3,0)</f>
        <v>LR07</v>
      </c>
      <c r="C665" s="136">
        <f>+C664</f>
        <v>202606</v>
      </c>
      <c r="D665" s="134" t="str">
        <f>+D664</f>
        <v>MDR-2606003</v>
      </c>
      <c r="E665" s="139">
        <f>+E664</f>
        <v>46175</v>
      </c>
      <c r="F665" s="144" t="s">
        <v>248</v>
      </c>
      <c r="G665" s="146">
        <f>+H664</f>
        <v>2900</v>
      </c>
      <c r="H665" s="149">
        <v>0</v>
      </c>
      <c r="I665" s="149">
        <f>IF(G665&lt;&gt;0,G665,-H665)</f>
        <v>2900</v>
      </c>
      <c r="J665" s="146">
        <v>0</v>
      </c>
      <c r="K665" s="111" t="s">
        <v>304</v>
      </c>
      <c r="L665" s="151" t="str">
        <f>+L664</f>
        <v>CLEARING FEE</v>
      </c>
    </row>
    <row r="666" spans="1:42" s="111" customFormat="1" ht="12" customHeight="1" x14ac:dyDescent="0.2">
      <c r="A666" s="133"/>
      <c r="B666" s="135"/>
      <c r="C666" s="136"/>
      <c r="D666" s="134"/>
      <c r="E666" s="139"/>
      <c r="F666" s="144"/>
      <c r="G666" s="146"/>
      <c r="H666" s="149"/>
      <c r="I666" s="149"/>
      <c r="J666" s="146"/>
      <c r="L666" s="151"/>
    </row>
    <row r="667" spans="1:42" s="111" customFormat="1" ht="12" customHeight="1" x14ac:dyDescent="0.2">
      <c r="A667" s="133"/>
      <c r="B667" s="135" t="str">
        <f>VLOOKUP(F667,BB!$A$8:$C$152,3,0)</f>
        <v>A02</v>
      </c>
      <c r="C667" s="136">
        <v>202606</v>
      </c>
      <c r="D667" s="134" t="s">
        <v>880</v>
      </c>
      <c r="E667" s="139">
        <v>46178</v>
      </c>
      <c r="F667" s="134" t="s">
        <v>166</v>
      </c>
      <c r="G667" s="149">
        <v>0</v>
      </c>
      <c r="H667" s="149">
        <v>5000000</v>
      </c>
      <c r="I667" s="149">
        <f>IF(G667&lt;&gt;0,G667,-H667)</f>
        <v>-5000000</v>
      </c>
      <c r="J667" s="149">
        <v>0</v>
      </c>
      <c r="K667" s="111" t="s">
        <v>304</v>
      </c>
      <c r="L667" s="152" t="s">
        <v>502</v>
      </c>
      <c r="M667" s="136"/>
      <c r="N667" s="136"/>
      <c r="O667" s="136"/>
      <c r="P667" s="136"/>
      <c r="Q667" s="136"/>
      <c r="R667" s="136"/>
      <c r="S667" s="136"/>
      <c r="T667" s="136"/>
      <c r="U667" s="136"/>
      <c r="V667" s="136"/>
      <c r="W667" s="136"/>
      <c r="X667" s="136"/>
      <c r="Y667" s="136"/>
      <c r="Z667" s="136"/>
      <c r="AA667" s="136"/>
      <c r="AB667" s="136"/>
      <c r="AC667" s="136"/>
      <c r="AD667" s="136"/>
      <c r="AE667" s="136"/>
      <c r="AF667" s="136"/>
      <c r="AG667" s="136"/>
      <c r="AH667" s="136"/>
      <c r="AI667" s="136"/>
      <c r="AJ667" s="136"/>
      <c r="AK667" s="136"/>
      <c r="AL667" s="136"/>
      <c r="AM667" s="136"/>
      <c r="AN667" s="136"/>
      <c r="AO667" s="136"/>
      <c r="AP667" s="136"/>
    </row>
    <row r="668" spans="1:42" s="111" customFormat="1" ht="12" customHeight="1" x14ac:dyDescent="0.2">
      <c r="A668" s="133"/>
      <c r="B668" s="135" t="str">
        <f>VLOOKUP(F668,BB!$A$8:$C$152,3,0)</f>
        <v>A01</v>
      </c>
      <c r="C668" s="136">
        <f>C667</f>
        <v>202606</v>
      </c>
      <c r="D668" s="134" t="str">
        <f>D667</f>
        <v>MDR-2606004</v>
      </c>
      <c r="E668" s="139">
        <f>E667</f>
        <v>46178</v>
      </c>
      <c r="F668" s="134" t="s">
        <v>164</v>
      </c>
      <c r="G668" s="146">
        <f>H667</f>
        <v>5000000</v>
      </c>
      <c r="H668" s="149">
        <f>G667</f>
        <v>0</v>
      </c>
      <c r="I668" s="149">
        <f>IF(G668&lt;&gt;0,G668,-H668)</f>
        <v>5000000</v>
      </c>
      <c r="J668" s="146">
        <f>-J667</f>
        <v>0</v>
      </c>
      <c r="K668" s="111" t="str">
        <f>K667</f>
        <v>BANK KELUAR</v>
      </c>
      <c r="L668" s="151" t="str">
        <f>L667</f>
        <v>PEMINDAHAN DANA KE AKUN KAS</v>
      </c>
    </row>
    <row r="669" spans="1:42" s="111" customFormat="1" ht="12" customHeight="1" x14ac:dyDescent="0.2">
      <c r="A669" s="133"/>
      <c r="B669" s="135"/>
      <c r="C669" s="136"/>
      <c r="D669" s="134"/>
      <c r="E669" s="139"/>
      <c r="F669" s="144"/>
      <c r="G669" s="146"/>
      <c r="H669" s="149"/>
      <c r="I669" s="149"/>
      <c r="J669" s="146"/>
      <c r="L669" s="151"/>
    </row>
    <row r="670" spans="1:42" s="111" customFormat="1" ht="12" customHeight="1" x14ac:dyDescent="0.2">
      <c r="A670" s="133"/>
      <c r="B670" s="135" t="str">
        <f>VLOOKUP(F670,BB!$A$8:$C$152,3,0)</f>
        <v>A02</v>
      </c>
      <c r="C670" s="136">
        <v>202606</v>
      </c>
      <c r="D670" s="134" t="s">
        <v>881</v>
      </c>
      <c r="E670" s="139">
        <v>46181</v>
      </c>
      <c r="F670" s="144" t="s">
        <v>166</v>
      </c>
      <c r="G670" s="149">
        <v>15680000</v>
      </c>
      <c r="H670" s="149">
        <v>0</v>
      </c>
      <c r="I670" s="189">
        <f>IF(G670&lt;&gt;0,G670,-H670)</f>
        <v>15680000</v>
      </c>
      <c r="J670" s="149">
        <v>0</v>
      </c>
      <c r="K670" s="111" t="s">
        <v>305</v>
      </c>
      <c r="L670" s="152" t="s">
        <v>882</v>
      </c>
    </row>
    <row r="671" spans="1:42" s="111" customFormat="1" ht="12" customHeight="1" x14ac:dyDescent="0.2">
      <c r="A671" s="133"/>
      <c r="B671" s="135" t="str">
        <f>VLOOKUP(F671,BB!$A$8:$C$152,3,0)</f>
        <v>A04B</v>
      </c>
      <c r="C671" s="136">
        <f t="shared" ref="C671:E671" si="179">C670</f>
        <v>202606</v>
      </c>
      <c r="D671" s="136" t="str">
        <f t="shared" si="179"/>
        <v>MDR-2606005</v>
      </c>
      <c r="E671" s="186">
        <f t="shared" si="179"/>
        <v>46181</v>
      </c>
      <c r="F671" s="144" t="s">
        <v>464</v>
      </c>
      <c r="G671" s="146">
        <v>0</v>
      </c>
      <c r="H671" s="149">
        <f>+G670</f>
        <v>15680000</v>
      </c>
      <c r="I671" s="189">
        <f>IF(G671&lt;&gt;0,G671,-H671)</f>
        <v>-15680000</v>
      </c>
      <c r="J671" s="146">
        <v>0</v>
      </c>
      <c r="K671" s="111" t="str">
        <f>K670</f>
        <v>BANK MASUK</v>
      </c>
      <c r="L671" s="151" t="str">
        <f>L670</f>
        <v>TERIMA DARI GCS SEWA FORKLIFT PERIODE 202604</v>
      </c>
    </row>
    <row r="672" spans="1:42" s="111" customFormat="1" ht="12" customHeight="1" x14ac:dyDescent="0.2">
      <c r="A672" s="133"/>
      <c r="B672" s="135"/>
      <c r="C672" s="136"/>
      <c r="D672" s="134"/>
      <c r="E672" s="139"/>
      <c r="F672" s="144"/>
      <c r="G672" s="146"/>
      <c r="H672" s="149"/>
      <c r="I672" s="149"/>
      <c r="J672" s="146"/>
      <c r="L672" s="151"/>
    </row>
    <row r="673" spans="1:12" s="111" customFormat="1" ht="12" customHeight="1" x14ac:dyDescent="0.2">
      <c r="A673" s="133"/>
      <c r="B673" s="135" t="str">
        <f>VLOOKUP(F673,BB!$A$8:$C$152,3,0)</f>
        <v>A02</v>
      </c>
      <c r="C673" s="136">
        <v>202606</v>
      </c>
      <c r="D673" s="134" t="s">
        <v>883</v>
      </c>
      <c r="E673" s="139">
        <v>46190</v>
      </c>
      <c r="F673" s="144" t="s">
        <v>166</v>
      </c>
      <c r="G673" s="149">
        <v>0</v>
      </c>
      <c r="H673" s="149">
        <v>14475000</v>
      </c>
      <c r="I673" s="189">
        <f>IF(G673&lt;&gt;0,G673,-H673)</f>
        <v>-14475000</v>
      </c>
      <c r="J673" s="149">
        <v>0</v>
      </c>
      <c r="K673" s="111" t="s">
        <v>304</v>
      </c>
      <c r="L673" s="152" t="s">
        <v>884</v>
      </c>
    </row>
    <row r="674" spans="1:12" s="111" customFormat="1" ht="12" customHeight="1" x14ac:dyDescent="0.2">
      <c r="A674" s="133"/>
      <c r="B674" s="135" t="str">
        <f>VLOOKUP(F674,BB!$A$8:$C$152,3,0)</f>
        <v>P05</v>
      </c>
      <c r="C674" s="136">
        <f>C673</f>
        <v>202606</v>
      </c>
      <c r="D674" s="134" t="str">
        <f>D673</f>
        <v>MDR-2606006</v>
      </c>
      <c r="E674" s="139">
        <f>E673</f>
        <v>46190</v>
      </c>
      <c r="F674" s="144" t="s">
        <v>435</v>
      </c>
      <c r="G674" s="146">
        <f>H673</f>
        <v>14475000</v>
      </c>
      <c r="H674" s="149">
        <f>G673</f>
        <v>0</v>
      </c>
      <c r="I674" s="189">
        <f>IF(G674&lt;&gt;0,G674,-H674)</f>
        <v>14475000</v>
      </c>
      <c r="J674" s="146">
        <f>-J673</f>
        <v>0</v>
      </c>
      <c r="K674" s="111" t="str">
        <f>K673</f>
        <v>BANK KELUAR</v>
      </c>
      <c r="L674" s="151" t="str">
        <f>L673</f>
        <v>PEMBAYARAN JASA FORKLIFT ACHMAD LUTHFIE PERIODE 202604</v>
      </c>
    </row>
    <row r="675" spans="1:12" s="111" customFormat="1" ht="12" customHeight="1" x14ac:dyDescent="0.2">
      <c r="A675" s="133"/>
      <c r="B675" s="135"/>
      <c r="C675" s="136"/>
      <c r="D675" s="134"/>
      <c r="E675" s="139"/>
      <c r="F675" s="144"/>
      <c r="G675" s="146"/>
      <c r="H675" s="149"/>
      <c r="I675" s="149"/>
      <c r="J675" s="146"/>
      <c r="L675" s="151"/>
    </row>
    <row r="676" spans="1:12" s="111" customFormat="1" ht="12" customHeight="1" x14ac:dyDescent="0.2">
      <c r="A676" s="133"/>
      <c r="B676" s="135" t="str">
        <f>VLOOKUP(F676,BB!$A$8:$C$152,3,0)</f>
        <v>A02</v>
      </c>
      <c r="C676" s="136">
        <v>202606</v>
      </c>
      <c r="D676" s="134" t="s">
        <v>885</v>
      </c>
      <c r="E676" s="139">
        <v>46198</v>
      </c>
      <c r="F676" s="144" t="s">
        <v>166</v>
      </c>
      <c r="G676" s="146">
        <v>86575663</v>
      </c>
      <c r="H676" s="149">
        <v>0</v>
      </c>
      <c r="I676" s="149">
        <f t="shared" ref="I676:I681" si="180">IF(G676&lt;&gt;0,G676,-H676)</f>
        <v>86575663</v>
      </c>
      <c r="J676" s="149">
        <v>0</v>
      </c>
      <c r="K676" s="111" t="s">
        <v>305</v>
      </c>
      <c r="L676" s="151" t="s">
        <v>886</v>
      </c>
    </row>
    <row r="677" spans="1:12" s="111" customFormat="1" ht="12" customHeight="1" x14ac:dyDescent="0.2">
      <c r="A677" s="133"/>
      <c r="B677" s="135" t="str">
        <f>VLOOKUP(F677,BB!$A$8:$C$152,3,0)</f>
        <v>A04A</v>
      </c>
      <c r="C677" s="136">
        <f t="shared" ref="C677:E677" si="181">C676</f>
        <v>202606</v>
      </c>
      <c r="D677" s="134" t="str">
        <f t="shared" si="181"/>
        <v>MDR-2606007</v>
      </c>
      <c r="E677" s="139">
        <f t="shared" si="181"/>
        <v>46198</v>
      </c>
      <c r="F677" s="144" t="s">
        <v>468</v>
      </c>
      <c r="G677" s="146">
        <v>0</v>
      </c>
      <c r="H677" s="149">
        <v>63894861.111111097</v>
      </c>
      <c r="I677" s="149">
        <f t="shared" si="180"/>
        <v>-63894861.111111097</v>
      </c>
      <c r="J677" s="146">
        <f>-J676</f>
        <v>0</v>
      </c>
      <c r="K677" s="111" t="str">
        <f>K676</f>
        <v>BANK MASUK</v>
      </c>
      <c r="L677" s="151" t="str">
        <f>"ANGSURAN PIRUT DARI "&amp;MID(L676,17,50)</f>
        <v>ANGSURAN PIRUT DARI POTONGAN GAJI BULAN JUNI 2026</v>
      </c>
    </row>
    <row r="678" spans="1:12" s="111" customFormat="1" ht="12" customHeight="1" x14ac:dyDescent="0.2">
      <c r="A678" s="133"/>
      <c r="B678" s="135" t="str">
        <f>VLOOKUP(F678,BB!$A$8:$C$152,3,0)</f>
        <v>P12</v>
      </c>
      <c r="C678" s="136">
        <f t="shared" ref="C678:E678" si="182">C677</f>
        <v>202606</v>
      </c>
      <c r="D678" s="134" t="str">
        <f t="shared" si="182"/>
        <v>MDR-2606007</v>
      </c>
      <c r="E678" s="139">
        <f t="shared" si="182"/>
        <v>46198</v>
      </c>
      <c r="F678" s="140" t="s">
        <v>227</v>
      </c>
      <c r="G678" s="146">
        <v>0</v>
      </c>
      <c r="H678" s="149">
        <v>3850000</v>
      </c>
      <c r="I678" s="149">
        <f t="shared" si="180"/>
        <v>-3850000</v>
      </c>
      <c r="J678" s="146">
        <f>-J677</f>
        <v>0</v>
      </c>
      <c r="K678" s="111" t="str">
        <f>K677</f>
        <v>BANK MASUK</v>
      </c>
      <c r="L678" s="151" t="s">
        <v>500</v>
      </c>
    </row>
    <row r="679" spans="1:12" s="111" customFormat="1" ht="12" customHeight="1" x14ac:dyDescent="0.2">
      <c r="A679" s="133"/>
      <c r="B679" s="135" t="str">
        <f>VLOOKUP(F679,BB!$A$8:$C$152,3,0)</f>
        <v>LR01A</v>
      </c>
      <c r="C679" s="136">
        <f t="shared" ref="C679:E679" si="183">C678</f>
        <v>202606</v>
      </c>
      <c r="D679" s="134" t="str">
        <f t="shared" si="183"/>
        <v>MDR-2606007</v>
      </c>
      <c r="E679" s="139">
        <f t="shared" si="183"/>
        <v>46198</v>
      </c>
      <c r="F679" s="144" t="s">
        <v>369</v>
      </c>
      <c r="G679" s="146">
        <v>0</v>
      </c>
      <c r="H679" s="146">
        <v>82725663.194444463</v>
      </c>
      <c r="I679" s="149">
        <f t="shared" si="180"/>
        <v>-82725663.194444463</v>
      </c>
      <c r="J679" s="146">
        <f>-J678</f>
        <v>0</v>
      </c>
      <c r="K679" s="111" t="str">
        <f>K678</f>
        <v>BANK MASUK</v>
      </c>
      <c r="L679" s="151" t="str">
        <f>"PENDAPATAN PIRUT "&amp;MID(L676,31,50)</f>
        <v>PENDAPATAN PIRUT BULAN JUNI 2026</v>
      </c>
    </row>
    <row r="680" spans="1:12" s="111" customFormat="1" ht="12" customHeight="1" x14ac:dyDescent="0.2">
      <c r="A680" s="133"/>
      <c r="B680" s="135" t="str">
        <f>VLOOKUP(F680,BB!$A$8:$C$152,3,0)</f>
        <v>LR02A</v>
      </c>
      <c r="C680" s="136">
        <f t="shared" ref="C680:E680" si="184">C679</f>
        <v>202606</v>
      </c>
      <c r="D680" s="134" t="str">
        <f t="shared" si="184"/>
        <v>MDR-2606007</v>
      </c>
      <c r="E680" s="139">
        <f t="shared" si="184"/>
        <v>46198</v>
      </c>
      <c r="F680" s="144" t="s">
        <v>373</v>
      </c>
      <c r="G680" s="146">
        <f>H677</f>
        <v>63894861.111111097</v>
      </c>
      <c r="H680" s="146">
        <v>0</v>
      </c>
      <c r="I680" s="149">
        <f t="shared" si="180"/>
        <v>63894861.111111097</v>
      </c>
      <c r="J680" s="146">
        <f>-J679</f>
        <v>0</v>
      </c>
      <c r="K680" s="111" t="str">
        <f>K679</f>
        <v>BANK MASUK</v>
      </c>
      <c r="L680" s="151" t="str">
        <f>"HPP "&amp;MID(L679,12,50)</f>
        <v>HPP PIRUT BULAN JUNI 2026</v>
      </c>
    </row>
    <row r="681" spans="1:12" s="111" customFormat="1" ht="12" customHeight="1" x14ac:dyDescent="0.2">
      <c r="A681" s="133"/>
      <c r="B681" s="135" t="str">
        <f>VLOOKUP(F681,BB!$A$8:$C$152,3,0)</f>
        <v>LR07</v>
      </c>
      <c r="C681" s="136">
        <f t="shared" ref="C681:E681" si="185">C680</f>
        <v>202606</v>
      </c>
      <c r="D681" s="134" t="str">
        <f t="shared" si="185"/>
        <v>MDR-2606007</v>
      </c>
      <c r="E681" s="139">
        <f t="shared" si="185"/>
        <v>46198</v>
      </c>
      <c r="F681" s="144" t="s">
        <v>249</v>
      </c>
      <c r="G681" s="146">
        <f>IF(SUM(I676:I680)&lt;0,-SUM(I676:I680),0)</f>
        <v>0.19444446265697479</v>
      </c>
      <c r="H681" s="146">
        <f>IF(SUM(I676:I680)&gt;0,-SUM(J676:J680),0)</f>
        <v>0</v>
      </c>
      <c r="I681" s="149">
        <f t="shared" si="180"/>
        <v>0.19444446265697479</v>
      </c>
      <c r="J681" s="146">
        <f>-J680</f>
        <v>0</v>
      </c>
      <c r="K681" s="111" t="str">
        <f>K680</f>
        <v>BANK MASUK</v>
      </c>
      <c r="L681" s="151" t="s">
        <v>434</v>
      </c>
    </row>
    <row r="682" spans="1:12" s="111" customFormat="1" ht="12" customHeight="1" x14ac:dyDescent="0.2">
      <c r="A682" s="133"/>
      <c r="B682" s="135"/>
      <c r="C682" s="136"/>
      <c r="D682" s="134"/>
      <c r="E682" s="139"/>
      <c r="F682" s="144"/>
      <c r="G682" s="146"/>
      <c r="H682" s="149"/>
      <c r="I682" s="149"/>
      <c r="J682" s="146"/>
      <c r="L682" s="151"/>
    </row>
    <row r="683" spans="1:12" s="111" customFormat="1" ht="12" customHeight="1" x14ac:dyDescent="0.2">
      <c r="A683" s="133"/>
      <c r="B683" s="135" t="str">
        <f>VLOOKUP(F683,BB!$A$8:$C$152,3,0)</f>
        <v>A02</v>
      </c>
      <c r="C683" s="136">
        <v>202606</v>
      </c>
      <c r="D683" s="134" t="s">
        <v>887</v>
      </c>
      <c r="E683" s="139">
        <v>46198</v>
      </c>
      <c r="F683" s="144" t="s">
        <v>166</v>
      </c>
      <c r="G683" s="149">
        <v>0</v>
      </c>
      <c r="H683" s="149">
        <v>10000000</v>
      </c>
      <c r="I683" s="149">
        <f>IF(G683&lt;&gt;0,G683,-H683)</f>
        <v>-10000000</v>
      </c>
      <c r="J683" s="149">
        <v>0</v>
      </c>
      <c r="K683" s="111" t="s">
        <v>304</v>
      </c>
      <c r="L683" s="151" t="s">
        <v>888</v>
      </c>
    </row>
    <row r="684" spans="1:12" s="111" customFormat="1" ht="12" customHeight="1" x14ac:dyDescent="0.2">
      <c r="A684" s="133"/>
      <c r="B684" s="135" t="str">
        <f>VLOOKUP(F684,BB!$A$8:$C$152,3,0)</f>
        <v>A04A</v>
      </c>
      <c r="C684" s="136">
        <f>C683</f>
        <v>202606</v>
      </c>
      <c r="D684" s="134" t="str">
        <f>D683</f>
        <v>MDR-2606008</v>
      </c>
      <c r="E684" s="139">
        <f>E683</f>
        <v>46198</v>
      </c>
      <c r="F684" s="144" t="s">
        <v>468</v>
      </c>
      <c r="G684" s="146">
        <f>+H683</f>
        <v>10000000</v>
      </c>
      <c r="H684" s="149">
        <v>0</v>
      </c>
      <c r="I684" s="149">
        <f>IF(G684&lt;&gt;0,G684,-H684)</f>
        <v>10000000</v>
      </c>
      <c r="J684" s="146">
        <f>-J683</f>
        <v>0</v>
      </c>
      <c r="K684" s="111" t="str">
        <f>K683</f>
        <v>BANK KELUAR</v>
      </c>
      <c r="L684" s="151" t="str">
        <f>L683</f>
        <v>PINJAMAN RUTIN BAMBANG SYAMADJI, 36X</v>
      </c>
    </row>
    <row r="685" spans="1:12" s="111" customFormat="1" ht="12" customHeight="1" x14ac:dyDescent="0.2">
      <c r="A685" s="133"/>
      <c r="B685" s="135"/>
      <c r="C685" s="136"/>
      <c r="D685" s="134"/>
      <c r="E685" s="139"/>
      <c r="F685" s="144"/>
      <c r="G685" s="146"/>
      <c r="H685" s="149"/>
      <c r="I685" s="149"/>
      <c r="J685" s="146"/>
      <c r="L685" s="151"/>
    </row>
    <row r="686" spans="1:12" s="111" customFormat="1" ht="12" customHeight="1" x14ac:dyDescent="0.2">
      <c r="A686" s="133"/>
      <c r="B686" s="135" t="str">
        <f>VLOOKUP(F686,BB!$A$8:$C$152,3,0)</f>
        <v>A02</v>
      </c>
      <c r="C686" s="136">
        <v>202606</v>
      </c>
      <c r="D686" s="134" t="s">
        <v>889</v>
      </c>
      <c r="E686" s="139">
        <v>46203</v>
      </c>
      <c r="F686" s="144" t="s">
        <v>166</v>
      </c>
      <c r="G686" s="149">
        <f>IF(SUM(I687:I689)&lt;0,-SUM(I687:I689),0)</f>
        <v>0</v>
      </c>
      <c r="H686" s="149">
        <f>IF(SUM(I687:I689)&gt;0,SUM(I687:I689),0)</f>
        <v>20077.899999999998</v>
      </c>
      <c r="I686" s="149">
        <f>IF(G686&lt;&gt;0,G686,-H686)</f>
        <v>-20077.899999999998</v>
      </c>
      <c r="J686" s="146">
        <f>-J685</f>
        <v>0</v>
      </c>
      <c r="K686" s="111" t="str">
        <f>IF(I686&gt;0,"BANK MASUK","BANK KELUAR")</f>
        <v>BANK KELUAR</v>
      </c>
      <c r="L686" s="151" t="str">
        <f>IF(K686="BANK MASUK","PENDAPATAN ATAS REKENING GIRO MANDIRI","BIAYA ATAS REKENING GIRO MANDIRI")</f>
        <v>BIAYA ATAS REKENING GIRO MANDIRI</v>
      </c>
    </row>
    <row r="687" spans="1:12" s="111" customFormat="1" ht="12" customHeight="1" x14ac:dyDescent="0.2">
      <c r="A687" s="133"/>
      <c r="B687" s="135" t="str">
        <f>VLOOKUP(F687,BB!$A$8:$C$152,3,0)</f>
        <v>LR07</v>
      </c>
      <c r="C687" s="136">
        <f t="shared" ref="C687:E687" si="186">C686</f>
        <v>202606</v>
      </c>
      <c r="D687" s="134" t="str">
        <f t="shared" si="186"/>
        <v>MDR-2606009</v>
      </c>
      <c r="E687" s="139">
        <f t="shared" si="186"/>
        <v>46203</v>
      </c>
      <c r="F687" s="144" t="s">
        <v>248</v>
      </c>
      <c r="G687" s="149">
        <v>25000</v>
      </c>
      <c r="H687" s="149">
        <v>0</v>
      </c>
      <c r="I687" s="149">
        <f>IF(G687&lt;&gt;0,G687,-H687)</f>
        <v>25000</v>
      </c>
      <c r="J687" s="146">
        <f>-J686</f>
        <v>0</v>
      </c>
      <c r="K687" s="111" t="str">
        <f>K686</f>
        <v>BANK KELUAR</v>
      </c>
      <c r="L687" s="151" t="s">
        <v>409</v>
      </c>
    </row>
    <row r="688" spans="1:12" s="111" customFormat="1" ht="12" customHeight="1" x14ac:dyDescent="0.2">
      <c r="A688" s="133"/>
      <c r="B688" s="135" t="str">
        <f>VLOOKUP(F688,BB!$A$8:$C$152,3,0)</f>
        <v>LR07</v>
      </c>
      <c r="C688" s="136">
        <f t="shared" ref="C688:E688" si="187">C687</f>
        <v>202606</v>
      </c>
      <c r="D688" s="134" t="str">
        <f t="shared" si="187"/>
        <v>MDR-2606009</v>
      </c>
      <c r="E688" s="139">
        <f t="shared" si="187"/>
        <v>46203</v>
      </c>
      <c r="F688" s="144" t="s">
        <v>248</v>
      </c>
      <c r="G688" s="149">
        <v>0</v>
      </c>
      <c r="H688" s="149">
        <v>6152.63</v>
      </c>
      <c r="I688" s="149">
        <f>IF(G688&lt;&gt;0,G688,-H688)</f>
        <v>-6152.63</v>
      </c>
      <c r="J688" s="146">
        <f>-J687</f>
        <v>0</v>
      </c>
      <c r="K688" s="111" t="str">
        <f>K687</f>
        <v>BANK KELUAR</v>
      </c>
      <c r="L688" s="151" t="s">
        <v>410</v>
      </c>
    </row>
    <row r="689" spans="1:14" s="111" customFormat="1" ht="12" customHeight="1" x14ac:dyDescent="0.2">
      <c r="A689" s="133"/>
      <c r="B689" s="135" t="str">
        <f>VLOOKUP(F689,BB!$A$8:$C$152,3,0)</f>
        <v>LR07</v>
      </c>
      <c r="C689" s="136">
        <f t="shared" ref="C689:E689" si="188">C688</f>
        <v>202606</v>
      </c>
      <c r="D689" s="134" t="str">
        <f t="shared" si="188"/>
        <v>MDR-2606009</v>
      </c>
      <c r="E689" s="139">
        <f t="shared" si="188"/>
        <v>46203</v>
      </c>
      <c r="F689" s="144" t="s">
        <v>248</v>
      </c>
      <c r="G689" s="149">
        <v>1230.53</v>
      </c>
      <c r="H689" s="149">
        <v>0</v>
      </c>
      <c r="I689" s="149">
        <f>IF(G689&lt;&gt;0,G689,-H689)</f>
        <v>1230.53</v>
      </c>
      <c r="J689" s="146">
        <f>-J688</f>
        <v>0</v>
      </c>
      <c r="K689" s="111" t="str">
        <f>K688</f>
        <v>BANK KELUAR</v>
      </c>
      <c r="L689" s="151" t="s">
        <v>411</v>
      </c>
    </row>
    <row r="690" spans="1:14" s="111" customFormat="1" ht="12" customHeight="1" x14ac:dyDescent="0.2">
      <c r="A690" s="133"/>
      <c r="B690" s="135"/>
      <c r="C690" s="136"/>
      <c r="D690" s="134"/>
      <c r="E690" s="139"/>
      <c r="F690" s="144"/>
      <c r="G690" s="146"/>
      <c r="H690" s="149"/>
      <c r="I690" s="149"/>
      <c r="J690" s="146"/>
      <c r="L690" s="151"/>
    </row>
    <row r="691" spans="1:14" s="111" customFormat="1" ht="12" customHeight="1" x14ac:dyDescent="0.2">
      <c r="A691" s="133"/>
      <c r="B691" s="135" t="str">
        <f>VLOOKUP(F691,BB!$A$8:$C$152,3,0)</f>
        <v>A02</v>
      </c>
      <c r="C691" s="136">
        <v>202606</v>
      </c>
      <c r="D691" s="134" t="s">
        <v>890</v>
      </c>
      <c r="E691" s="139">
        <v>46203</v>
      </c>
      <c r="F691" s="144" t="s">
        <v>167</v>
      </c>
      <c r="G691" s="149">
        <v>0</v>
      </c>
      <c r="H691" s="149">
        <v>30000</v>
      </c>
      <c r="I691" s="149">
        <f>IF(G691&lt;&gt;0,G691,-H691)</f>
        <v>-30000</v>
      </c>
      <c r="J691" s="149">
        <v>0</v>
      </c>
      <c r="K691" s="111" t="s">
        <v>304</v>
      </c>
      <c r="L691" s="151" t="s">
        <v>409</v>
      </c>
    </row>
    <row r="692" spans="1:14" s="111" customFormat="1" ht="12" customHeight="1" x14ac:dyDescent="0.2">
      <c r="A692" s="133"/>
      <c r="B692" s="135" t="str">
        <f>VLOOKUP(F692,BB!$A$8:$C$152,3,0)</f>
        <v>LR07</v>
      </c>
      <c r="C692" s="136">
        <f>C691</f>
        <v>202606</v>
      </c>
      <c r="D692" s="134" t="str">
        <f>D691</f>
        <v>BCA-2606001</v>
      </c>
      <c r="E692" s="139">
        <f>E691</f>
        <v>46203</v>
      </c>
      <c r="F692" s="144" t="s">
        <v>248</v>
      </c>
      <c r="G692" s="146">
        <v>30000</v>
      </c>
      <c r="H692" s="149">
        <v>0</v>
      </c>
      <c r="I692" s="149">
        <f>IF(G692&lt;&gt;0,G692,-H692)</f>
        <v>30000</v>
      </c>
      <c r="J692" s="146">
        <v>0</v>
      </c>
      <c r="K692" s="111" t="s">
        <v>304</v>
      </c>
      <c r="L692" s="151" t="s">
        <v>409</v>
      </c>
    </row>
    <row r="693" spans="1:14" s="111" customFormat="1" ht="12" customHeight="1" x14ac:dyDescent="0.2">
      <c r="A693" s="133"/>
      <c r="B693" s="135"/>
      <c r="C693" s="136"/>
      <c r="D693" s="134"/>
      <c r="E693" s="139"/>
      <c r="F693" s="144"/>
      <c r="G693" s="146"/>
      <c r="H693" s="149"/>
      <c r="I693" s="149"/>
      <c r="J693" s="146"/>
      <c r="L693" s="151"/>
    </row>
    <row r="694" spans="1:14" s="111" customFormat="1" ht="12" customHeight="1" x14ac:dyDescent="0.2">
      <c r="A694" s="133"/>
      <c r="B694" s="135" t="str">
        <f>VLOOKUP(F694,BB!$A$8:$C$152,3,0)</f>
        <v>A01</v>
      </c>
      <c r="C694" s="136">
        <v>202606</v>
      </c>
      <c r="D694" s="134" t="s">
        <v>891</v>
      </c>
      <c r="E694" s="139">
        <v>46178</v>
      </c>
      <c r="F694" s="144" t="s">
        <v>163</v>
      </c>
      <c r="G694" s="149">
        <v>642000</v>
      </c>
      <c r="H694" s="149">
        <v>0</v>
      </c>
      <c r="I694" s="149">
        <f>IF(G694&lt;&gt;0,G694,-H694)</f>
        <v>642000</v>
      </c>
      <c r="J694" s="149">
        <v>0</v>
      </c>
      <c r="K694" s="111" t="s">
        <v>509</v>
      </c>
      <c r="L694" s="152" t="s">
        <v>530</v>
      </c>
    </row>
    <row r="695" spans="1:14" s="111" customFormat="1" ht="12" customHeight="1" x14ac:dyDescent="0.2">
      <c r="A695" s="133"/>
      <c r="B695" s="135" t="str">
        <f>VLOOKUP(F695,BB!$A$8:$C$152,3,0)</f>
        <v>A04A</v>
      </c>
      <c r="C695" s="136">
        <f t="shared" ref="C695:E695" si="189">C694</f>
        <v>202606</v>
      </c>
      <c r="D695" s="134" t="str">
        <f t="shared" si="189"/>
        <v>KAS-2606001</v>
      </c>
      <c r="E695" s="139">
        <f t="shared" si="189"/>
        <v>46178</v>
      </c>
      <c r="F695" s="144" t="s">
        <v>471</v>
      </c>
      <c r="G695" s="146">
        <v>0</v>
      </c>
      <c r="H695" s="149">
        <v>432000</v>
      </c>
      <c r="I695" s="149">
        <f>IF(G695&lt;&gt;0,G695,-H695)</f>
        <v>-432000</v>
      </c>
      <c r="J695" s="146">
        <f>-J694</f>
        <v>0</v>
      </c>
      <c r="K695" s="111" t="str">
        <f>K694</f>
        <v>KAS MASUK</v>
      </c>
      <c r="L695" s="152" t="str">
        <f>L694</f>
        <v>PELUNASAN PINJAMAN LAIN AN. BUKHORI</v>
      </c>
    </row>
    <row r="696" spans="1:14" s="111" customFormat="1" ht="12" customHeight="1" x14ac:dyDescent="0.2">
      <c r="A696" s="133"/>
      <c r="B696" s="135" t="str">
        <f>VLOOKUP(F696,BB!$A$8:$C$152,3,0)</f>
        <v>LR01C</v>
      </c>
      <c r="C696" s="136">
        <f t="shared" ref="C696:E696" si="190">C695</f>
        <v>202606</v>
      </c>
      <c r="D696" s="134" t="str">
        <f t="shared" si="190"/>
        <v>KAS-2606001</v>
      </c>
      <c r="E696" s="139">
        <f t="shared" si="190"/>
        <v>46178</v>
      </c>
      <c r="F696" s="144" t="s">
        <v>371</v>
      </c>
      <c r="G696" s="146">
        <v>0</v>
      </c>
      <c r="H696" s="149">
        <f>G694-H695</f>
        <v>210000</v>
      </c>
      <c r="I696" s="149">
        <f>IF(G696&lt;&gt;0,G696,-H696)</f>
        <v>-210000</v>
      </c>
      <c r="J696" s="146">
        <f>-J695</f>
        <v>0</v>
      </c>
      <c r="K696" s="111" t="str">
        <f>K695</f>
        <v>KAS MASUK</v>
      </c>
      <c r="L696" s="152" t="str">
        <f>"PENDAPATAN ATAS PINJAMAN LAIN "&amp;MID(L695,24,20)</f>
        <v>PENDAPATAN ATAS PINJAMAN LAIN  AN. BUKHORI</v>
      </c>
    </row>
    <row r="697" spans="1:14" s="111" customFormat="1" ht="12" customHeight="1" x14ac:dyDescent="0.2">
      <c r="A697" s="133"/>
      <c r="B697" s="135"/>
      <c r="C697" s="136"/>
      <c r="D697" s="134"/>
      <c r="E697" s="139"/>
      <c r="F697" s="144"/>
      <c r="G697" s="146"/>
      <c r="H697" s="149"/>
      <c r="I697" s="149"/>
      <c r="J697" s="146"/>
      <c r="L697" s="151"/>
    </row>
    <row r="698" spans="1:14" s="111" customFormat="1" ht="12" customHeight="1" x14ac:dyDescent="0.2">
      <c r="A698" s="133"/>
      <c r="B698" s="135" t="str">
        <f>VLOOKUP(F698,BB!$A$8:$C$152,3,0)</f>
        <v>A01</v>
      </c>
      <c r="C698" s="136">
        <v>202606</v>
      </c>
      <c r="D698" s="134" t="s">
        <v>892</v>
      </c>
      <c r="E698" s="139">
        <v>46178</v>
      </c>
      <c r="F698" s="144" t="s">
        <v>163</v>
      </c>
      <c r="G698" s="149">
        <v>0</v>
      </c>
      <c r="H698" s="149">
        <v>3000000</v>
      </c>
      <c r="I698" s="149">
        <f>IF(G698&lt;&gt;0,G698,-H698)</f>
        <v>-3000000</v>
      </c>
      <c r="J698" s="149">
        <v>0</v>
      </c>
      <c r="K698" s="111" t="s">
        <v>510</v>
      </c>
      <c r="L698" s="152" t="s">
        <v>531</v>
      </c>
      <c r="M698" s="149"/>
      <c r="N698" s="149"/>
    </row>
    <row r="699" spans="1:14" s="111" customFormat="1" ht="12" customHeight="1" x14ac:dyDescent="0.2">
      <c r="A699" s="133"/>
      <c r="B699" s="135" t="str">
        <f>VLOOKUP(F699,BB!$A$8:$C$152,3,0)</f>
        <v>A04A</v>
      </c>
      <c r="C699" s="136">
        <f>C698</f>
        <v>202606</v>
      </c>
      <c r="D699" s="134" t="str">
        <f>D698</f>
        <v>KAS-2606002</v>
      </c>
      <c r="E699" s="139">
        <f>E698</f>
        <v>46178</v>
      </c>
      <c r="F699" s="144" t="s">
        <v>471</v>
      </c>
      <c r="G699" s="146">
        <f>H698</f>
        <v>3000000</v>
      </c>
      <c r="H699" s="149">
        <f>G698</f>
        <v>0</v>
      </c>
      <c r="I699" s="149">
        <f>IF(G699&lt;&gt;0,G699,-H699)</f>
        <v>3000000</v>
      </c>
      <c r="J699" s="146">
        <f>-J698</f>
        <v>0</v>
      </c>
      <c r="K699" s="111" t="str">
        <f>K698</f>
        <v>KAS KELUAR</v>
      </c>
      <c r="L699" s="151" t="str">
        <f>L698</f>
        <v>PINJAMAN LAIN AN. BUKHORI</v>
      </c>
      <c r="M699" s="146"/>
      <c r="N699" s="149"/>
    </row>
    <row r="700" spans="1:14" s="111" customFormat="1" ht="12" customHeight="1" x14ac:dyDescent="0.2">
      <c r="A700" s="133"/>
      <c r="B700" s="135"/>
      <c r="C700" s="136"/>
      <c r="D700" s="134"/>
      <c r="E700" s="139"/>
      <c r="F700" s="144"/>
      <c r="G700" s="146"/>
      <c r="H700" s="149"/>
      <c r="I700" s="149"/>
      <c r="J700" s="146"/>
      <c r="L700" s="151"/>
    </row>
    <row r="701" spans="1:14" s="111" customFormat="1" ht="12" customHeight="1" x14ac:dyDescent="0.2">
      <c r="A701" s="133"/>
      <c r="B701" s="135" t="str">
        <f>VLOOKUP(F701,BB!$A$8:$C$152,3,0)</f>
        <v>A01</v>
      </c>
      <c r="C701" s="136">
        <v>202606</v>
      </c>
      <c r="D701" s="134" t="s">
        <v>894</v>
      </c>
      <c r="E701" s="139">
        <v>46178</v>
      </c>
      <c r="F701" s="144" t="s">
        <v>163</v>
      </c>
      <c r="G701" s="149">
        <v>0</v>
      </c>
      <c r="H701" s="149">
        <v>2500000</v>
      </c>
      <c r="I701" s="149">
        <f>IF(G701&lt;&gt;0,G701,-H701)</f>
        <v>-2500000</v>
      </c>
      <c r="J701" s="149">
        <v>0</v>
      </c>
      <c r="K701" s="111" t="s">
        <v>510</v>
      </c>
      <c r="L701" s="152" t="s">
        <v>893</v>
      </c>
      <c r="M701" s="149"/>
      <c r="N701" s="149"/>
    </row>
    <row r="702" spans="1:14" s="111" customFormat="1" ht="12" customHeight="1" x14ac:dyDescent="0.2">
      <c r="A702" s="133"/>
      <c r="B702" s="135" t="str">
        <f>VLOOKUP(F702,BB!$A$8:$C$152,3,0)</f>
        <v>A04A</v>
      </c>
      <c r="C702" s="136">
        <f>C701</f>
        <v>202606</v>
      </c>
      <c r="D702" s="134" t="str">
        <f>D701</f>
        <v>KAS-2606003</v>
      </c>
      <c r="E702" s="139">
        <f>E701</f>
        <v>46178</v>
      </c>
      <c r="F702" s="144" t="s">
        <v>471</v>
      </c>
      <c r="G702" s="146">
        <f>H701</f>
        <v>2500000</v>
      </c>
      <c r="H702" s="149">
        <f>G701</f>
        <v>0</v>
      </c>
      <c r="I702" s="149">
        <f>IF(G702&lt;&gt;0,G702,-H702)</f>
        <v>2500000</v>
      </c>
      <c r="J702" s="146">
        <f>-J701</f>
        <v>0</v>
      </c>
      <c r="K702" s="111" t="str">
        <f>K701</f>
        <v>KAS KELUAR</v>
      </c>
      <c r="L702" s="151" t="str">
        <f>L701</f>
        <v>PINJAMAN LAIN AN. ARDHI Y.</v>
      </c>
      <c r="M702" s="146"/>
      <c r="N702" s="149"/>
    </row>
    <row r="703" spans="1:14" s="111" customFormat="1" ht="12" customHeight="1" x14ac:dyDescent="0.2">
      <c r="A703" s="133"/>
      <c r="B703" s="135"/>
      <c r="C703" s="136"/>
      <c r="D703" s="134"/>
      <c r="E703" s="139"/>
      <c r="F703" s="144"/>
      <c r="G703" s="146"/>
      <c r="H703" s="149"/>
      <c r="I703" s="149"/>
      <c r="J703" s="146"/>
      <c r="L703" s="151"/>
    </row>
    <row r="704" spans="1:14" s="111" customFormat="1" ht="12" customHeight="1" x14ac:dyDescent="0.2">
      <c r="A704" s="133"/>
      <c r="B704" s="135" t="str">
        <f>VLOOKUP(F704,BB!$A$8:$C$152,3,0)</f>
        <v>A01</v>
      </c>
      <c r="C704" s="136">
        <v>202606</v>
      </c>
      <c r="D704" s="134" t="s">
        <v>895</v>
      </c>
      <c r="E704" s="139">
        <v>46178</v>
      </c>
      <c r="F704" s="144" t="s">
        <v>163</v>
      </c>
      <c r="G704" s="149">
        <v>5000000</v>
      </c>
      <c r="H704" s="149">
        <v>0</v>
      </c>
      <c r="I704" s="149">
        <f>IF(G704&lt;&gt;0,G704,-H704)</f>
        <v>5000000</v>
      </c>
      <c r="J704" s="149">
        <v>0</v>
      </c>
      <c r="K704" s="111" t="s">
        <v>509</v>
      </c>
      <c r="L704" s="152" t="s">
        <v>755</v>
      </c>
    </row>
    <row r="705" spans="1:14" s="111" customFormat="1" ht="12" customHeight="1" x14ac:dyDescent="0.2">
      <c r="A705" s="133"/>
      <c r="B705" s="135" t="str">
        <f>VLOOKUP(F705,BB!$A$8:$C$152,3,0)</f>
        <v>A01</v>
      </c>
      <c r="C705" s="136">
        <f>C704</f>
        <v>202606</v>
      </c>
      <c r="D705" s="134" t="str">
        <f>D704</f>
        <v>KAS-2606004</v>
      </c>
      <c r="E705" s="139">
        <f>E704</f>
        <v>46178</v>
      </c>
      <c r="F705" s="144" t="s">
        <v>164</v>
      </c>
      <c r="G705" s="146">
        <f>H704</f>
        <v>0</v>
      </c>
      <c r="H705" s="149">
        <f>G704</f>
        <v>5000000</v>
      </c>
      <c r="I705" s="149">
        <f>IF(G705&lt;&gt;0,G705,-H705)</f>
        <v>-5000000</v>
      </c>
      <c r="J705" s="146">
        <f>-J704</f>
        <v>0</v>
      </c>
      <c r="K705" s="111" t="str">
        <f>K704</f>
        <v>KAS MASUK</v>
      </c>
      <c r="L705" s="151" t="str">
        <f>L704</f>
        <v>PEMINDAHAN DARI REK MANDIRI KKCS</v>
      </c>
    </row>
    <row r="706" spans="1:14" s="111" customFormat="1" ht="12" customHeight="1" x14ac:dyDescent="0.2">
      <c r="A706" s="133"/>
      <c r="B706" s="135"/>
      <c r="C706" s="136"/>
      <c r="D706" s="134"/>
      <c r="E706" s="139"/>
      <c r="F706" s="144"/>
      <c r="G706" s="146"/>
      <c r="H706" s="149"/>
      <c r="I706" s="149"/>
      <c r="J706" s="146"/>
      <c r="L706" s="151"/>
    </row>
    <row r="707" spans="1:14" s="111" customFormat="1" ht="12" customHeight="1" x14ac:dyDescent="0.2">
      <c r="A707" s="133"/>
      <c r="B707" s="135" t="str">
        <f>VLOOKUP(F707,BB!$A$8:$C$152,3,0)</f>
        <v>A01</v>
      </c>
      <c r="C707" s="136">
        <v>202606</v>
      </c>
      <c r="D707" s="134" t="s">
        <v>896</v>
      </c>
      <c r="E707" s="139">
        <v>46178</v>
      </c>
      <c r="F707" s="144" t="s">
        <v>163</v>
      </c>
      <c r="G707" s="149">
        <v>0</v>
      </c>
      <c r="H707" s="149">
        <v>1000000</v>
      </c>
      <c r="I707" s="149">
        <f>IF(G707&lt;&gt;0,G707,-H707)</f>
        <v>-1000000</v>
      </c>
      <c r="J707" s="149">
        <v>0</v>
      </c>
      <c r="K707" s="111" t="s">
        <v>510</v>
      </c>
      <c r="L707" s="152" t="s">
        <v>897</v>
      </c>
      <c r="M707" s="149"/>
      <c r="N707" s="149"/>
    </row>
    <row r="708" spans="1:14" s="111" customFormat="1" ht="12" customHeight="1" x14ac:dyDescent="0.2">
      <c r="A708" s="133"/>
      <c r="B708" s="135" t="str">
        <f>VLOOKUP(F708,BB!$A$8:$C$152,3,0)</f>
        <v>LR05</v>
      </c>
      <c r="C708" s="136">
        <f>C707</f>
        <v>202606</v>
      </c>
      <c r="D708" s="134" t="str">
        <f>D707</f>
        <v>KAS-2606005</v>
      </c>
      <c r="E708" s="139">
        <f>E707</f>
        <v>46178</v>
      </c>
      <c r="F708" s="139" t="s">
        <v>234</v>
      </c>
      <c r="G708" s="146">
        <f>H707</f>
        <v>1000000</v>
      </c>
      <c r="H708" s="149">
        <f>G707</f>
        <v>0</v>
      </c>
      <c r="I708" s="149">
        <f>IF(G708&lt;&gt;0,G708,-H708)</f>
        <v>1000000</v>
      </c>
      <c r="J708" s="146">
        <f>-J707</f>
        <v>0</v>
      </c>
      <c r="K708" s="111" t="str">
        <f>K707</f>
        <v>KAS KELUAR</v>
      </c>
      <c r="L708" s="151" t="str">
        <f>L707</f>
        <v>BY REPRESENTATIF PERPAJAKAN (AGA)</v>
      </c>
      <c r="M708" s="146"/>
      <c r="N708" s="149"/>
    </row>
    <row r="709" spans="1:14" s="111" customFormat="1" ht="12" customHeight="1" x14ac:dyDescent="0.2">
      <c r="A709" s="133"/>
      <c r="B709" s="135"/>
      <c r="C709" s="136"/>
      <c r="D709" s="134"/>
      <c r="E709" s="139"/>
      <c r="F709" s="144"/>
      <c r="G709" s="146"/>
      <c r="H709" s="149"/>
      <c r="I709" s="149"/>
      <c r="J709" s="146"/>
      <c r="L709" s="151"/>
    </row>
    <row r="710" spans="1:14" s="111" customFormat="1" ht="12" customHeight="1" x14ac:dyDescent="0.2">
      <c r="A710" s="133"/>
      <c r="B710" s="135" t="str">
        <f>VLOOKUP(F710,BB!$A$8:$C$152,3,0)</f>
        <v>A01</v>
      </c>
      <c r="C710" s="136">
        <v>202606</v>
      </c>
      <c r="D710" s="134" t="s">
        <v>898</v>
      </c>
      <c r="E710" s="139">
        <v>46182</v>
      </c>
      <c r="F710" s="144" t="s">
        <v>163</v>
      </c>
      <c r="G710" s="149">
        <v>0</v>
      </c>
      <c r="H710" s="149">
        <v>1500000</v>
      </c>
      <c r="I710" s="149">
        <f>IF(G710&lt;&gt;0,G710,-H710)</f>
        <v>-1500000</v>
      </c>
      <c r="J710" s="149">
        <v>0</v>
      </c>
      <c r="K710" s="111" t="s">
        <v>510</v>
      </c>
      <c r="L710" s="152" t="s">
        <v>899</v>
      </c>
      <c r="M710" s="149"/>
      <c r="N710" s="149"/>
    </row>
    <row r="711" spans="1:14" s="111" customFormat="1" ht="12" customHeight="1" x14ac:dyDescent="0.2">
      <c r="A711" s="133"/>
      <c r="B711" s="135" t="str">
        <f>VLOOKUP(F711,BB!$A$8:$C$152,3,0)</f>
        <v>A04A</v>
      </c>
      <c r="C711" s="136">
        <f>C710</f>
        <v>202606</v>
      </c>
      <c r="D711" s="134" t="str">
        <f>D710</f>
        <v>KAS-2606006</v>
      </c>
      <c r="E711" s="139">
        <f>E710</f>
        <v>46182</v>
      </c>
      <c r="F711" s="144" t="s">
        <v>471</v>
      </c>
      <c r="G711" s="146">
        <f>H710</f>
        <v>1500000</v>
      </c>
      <c r="H711" s="149">
        <f>G710</f>
        <v>0</v>
      </c>
      <c r="I711" s="149">
        <f>IF(G711&lt;&gt;0,G711,-H711)</f>
        <v>1500000</v>
      </c>
      <c r="J711" s="146">
        <f>-J710</f>
        <v>0</v>
      </c>
      <c r="K711" s="111" t="str">
        <f>K710</f>
        <v>KAS KELUAR</v>
      </c>
      <c r="L711" s="151" t="str">
        <f>L710</f>
        <v>PINJAMAN LAIN AN. AGUS S.</v>
      </c>
      <c r="M711" s="146"/>
      <c r="N711" s="149"/>
    </row>
    <row r="712" spans="1:14" s="111" customFormat="1" ht="12" customHeight="1" x14ac:dyDescent="0.2">
      <c r="A712" s="133"/>
      <c r="B712" s="135"/>
      <c r="C712" s="136"/>
      <c r="D712" s="134"/>
      <c r="E712" s="139"/>
      <c r="F712" s="144"/>
      <c r="G712" s="146"/>
      <c r="H712" s="149"/>
      <c r="I712" s="149"/>
      <c r="J712" s="146"/>
      <c r="L712" s="151"/>
    </row>
    <row r="713" spans="1:14" s="111" customFormat="1" ht="12" customHeight="1" x14ac:dyDescent="0.2">
      <c r="A713" s="133"/>
      <c r="B713" s="135" t="str">
        <f>VLOOKUP(F713,BB!$A$8:$C$152,3,0)</f>
        <v>A01</v>
      </c>
      <c r="C713" s="136">
        <v>202606</v>
      </c>
      <c r="D713" s="134" t="s">
        <v>900</v>
      </c>
      <c r="E713" s="139">
        <v>46183</v>
      </c>
      <c r="F713" s="144" t="s">
        <v>163</v>
      </c>
      <c r="G713" s="149">
        <v>0</v>
      </c>
      <c r="H713" s="149">
        <v>750000</v>
      </c>
      <c r="I713" s="149">
        <f>IF(G713&lt;&gt;0,G713,-H713)</f>
        <v>-750000</v>
      </c>
      <c r="J713" s="149">
        <v>0</v>
      </c>
      <c r="K713" s="111" t="s">
        <v>510</v>
      </c>
      <c r="L713" s="152" t="s">
        <v>499</v>
      </c>
      <c r="M713" s="149"/>
      <c r="N713" s="149"/>
    </row>
    <row r="714" spans="1:14" s="111" customFormat="1" ht="12" customHeight="1" x14ac:dyDescent="0.2">
      <c r="A714" s="133"/>
      <c r="B714" s="135" t="str">
        <f>VLOOKUP(F714,BB!$A$8:$C$152,3,0)</f>
        <v>LR05</v>
      </c>
      <c r="C714" s="136">
        <f>C713</f>
        <v>202606</v>
      </c>
      <c r="D714" s="134" t="str">
        <f>D713</f>
        <v>KAS-2606007</v>
      </c>
      <c r="E714" s="139">
        <f>E713</f>
        <v>46183</v>
      </c>
      <c r="F714" s="139" t="s">
        <v>234</v>
      </c>
      <c r="G714" s="146">
        <f>H713</f>
        <v>750000</v>
      </c>
      <c r="H714" s="149">
        <f>G713</f>
        <v>0</v>
      </c>
      <c r="I714" s="149">
        <f>IF(G714&lt;&gt;0,G714,-H714)</f>
        <v>750000</v>
      </c>
      <c r="J714" s="146">
        <f>-J713</f>
        <v>0</v>
      </c>
      <c r="K714" s="111" t="str">
        <f>K713</f>
        <v>KAS KELUAR</v>
      </c>
      <c r="L714" s="151" t="str">
        <f>L713</f>
        <v>BY REPRESENTATIF ADMIN KKCS FARID F</v>
      </c>
      <c r="M714" s="146"/>
      <c r="N714" s="149"/>
    </row>
    <row r="715" spans="1:14" s="111" customFormat="1" ht="12" customHeight="1" x14ac:dyDescent="0.2">
      <c r="A715" s="133"/>
      <c r="B715" s="135"/>
      <c r="C715" s="136"/>
      <c r="D715" s="134"/>
      <c r="E715" s="139"/>
      <c r="F715" s="144"/>
      <c r="G715" s="146"/>
      <c r="H715" s="149"/>
      <c r="I715" s="149"/>
      <c r="J715" s="146"/>
      <c r="L715" s="151"/>
    </row>
    <row r="716" spans="1:14" s="111" customFormat="1" ht="12" customHeight="1" x14ac:dyDescent="0.2">
      <c r="A716" s="133"/>
      <c r="B716" s="135" t="str">
        <f>VLOOKUP(F716,BB!$A$8:$C$152,3,0)</f>
        <v>A01</v>
      </c>
      <c r="C716" s="136">
        <v>202606</v>
      </c>
      <c r="D716" s="134" t="s">
        <v>901</v>
      </c>
      <c r="E716" s="139">
        <v>46185</v>
      </c>
      <c r="F716" s="144" t="s">
        <v>163</v>
      </c>
      <c r="G716" s="149">
        <v>0</v>
      </c>
      <c r="H716" s="149">
        <v>1500000</v>
      </c>
      <c r="I716" s="149">
        <f>IF(G716&lt;&gt;0,G716,-H716)</f>
        <v>-1500000</v>
      </c>
      <c r="J716" s="149">
        <v>0</v>
      </c>
      <c r="K716" s="111" t="s">
        <v>510</v>
      </c>
      <c r="L716" s="152" t="s">
        <v>902</v>
      </c>
      <c r="M716" s="149"/>
      <c r="N716" s="149"/>
    </row>
    <row r="717" spans="1:14" s="111" customFormat="1" ht="12" customHeight="1" x14ac:dyDescent="0.2">
      <c r="A717" s="133"/>
      <c r="B717" s="135" t="str">
        <f>VLOOKUP(F717,BB!$A$8:$C$152,3,0)</f>
        <v>LR05</v>
      </c>
      <c r="C717" s="136">
        <f>C716</f>
        <v>202606</v>
      </c>
      <c r="D717" s="134" t="str">
        <f>D716</f>
        <v>KAS-2606008</v>
      </c>
      <c r="E717" s="139">
        <f>E716</f>
        <v>46185</v>
      </c>
      <c r="F717" s="139" t="s">
        <v>381</v>
      </c>
      <c r="G717" s="146">
        <f>H716</f>
        <v>1500000</v>
      </c>
      <c r="H717" s="149">
        <f>G716</f>
        <v>0</v>
      </c>
      <c r="I717" s="149">
        <f>IF(G717&lt;&gt;0,G717,-H717)</f>
        <v>1500000</v>
      </c>
      <c r="J717" s="146">
        <f>-J716</f>
        <v>0</v>
      </c>
      <c r="K717" s="111" t="str">
        <f>K716</f>
        <v>KAS KELUAR</v>
      </c>
      <c r="L717" s="151" t="str">
        <f>L716</f>
        <v>BY KHOTMIL QURAN</v>
      </c>
      <c r="M717" s="146"/>
      <c r="N717" s="149"/>
    </row>
    <row r="718" spans="1:14" s="111" customFormat="1" ht="12" customHeight="1" x14ac:dyDescent="0.2">
      <c r="A718" s="133"/>
      <c r="B718" s="135"/>
      <c r="C718" s="136"/>
      <c r="D718" s="134"/>
      <c r="E718" s="139"/>
      <c r="F718" s="144"/>
      <c r="G718" s="146"/>
      <c r="H718" s="149"/>
      <c r="I718" s="149"/>
      <c r="J718" s="146"/>
      <c r="L718" s="151"/>
    </row>
    <row r="719" spans="1:14" s="111" customFormat="1" ht="12" customHeight="1" x14ac:dyDescent="0.2">
      <c r="A719" s="133"/>
      <c r="B719" s="135" t="str">
        <f>VLOOKUP(F719,BB!$A$8:$C$152,3,0)</f>
        <v>A01</v>
      </c>
      <c r="C719" s="136">
        <v>202606</v>
      </c>
      <c r="D719" s="134" t="s">
        <v>903</v>
      </c>
      <c r="E719" s="139">
        <v>46198</v>
      </c>
      <c r="F719" s="144" t="s">
        <v>163</v>
      </c>
      <c r="G719" s="149">
        <v>200000</v>
      </c>
      <c r="H719" s="149">
        <v>0</v>
      </c>
      <c r="I719" s="149">
        <f>IF(G719&lt;&gt;0,G719,-H719)</f>
        <v>200000</v>
      </c>
      <c r="J719" s="149">
        <v>0</v>
      </c>
      <c r="K719" s="111" t="s">
        <v>509</v>
      </c>
      <c r="L719" s="152" t="s">
        <v>533</v>
      </c>
    </row>
    <row r="720" spans="1:14" s="111" customFormat="1" ht="12" customHeight="1" x14ac:dyDescent="0.2">
      <c r="A720" s="133"/>
      <c r="B720" s="135" t="str">
        <f>VLOOKUP(F720,BB!$A$8:$C$152,3,0)</f>
        <v>A04A</v>
      </c>
      <c r="C720" s="136">
        <f t="shared" ref="C720:E720" si="191">C719</f>
        <v>202606</v>
      </c>
      <c r="D720" s="134" t="str">
        <f t="shared" si="191"/>
        <v>KAS-2606009</v>
      </c>
      <c r="E720" s="139">
        <f t="shared" si="191"/>
        <v>46198</v>
      </c>
      <c r="F720" s="144" t="s">
        <v>471</v>
      </c>
      <c r="G720" s="146">
        <v>0</v>
      </c>
      <c r="H720" s="149">
        <f>+G719</f>
        <v>200000</v>
      </c>
      <c r="I720" s="149">
        <f>IF(G720&lt;&gt;0,G720,-H720)</f>
        <v>-200000</v>
      </c>
      <c r="J720" s="146">
        <f>-J719</f>
        <v>0</v>
      </c>
      <c r="K720" s="111" t="str">
        <f>K719</f>
        <v>KAS MASUK</v>
      </c>
      <c r="L720" s="152" t="str">
        <f>L719</f>
        <v>ANGSURAN PINJAMAN LAIN AN. ARI WIBOWO</v>
      </c>
    </row>
    <row r="721" spans="1:14" s="111" customFormat="1" ht="12" customHeight="1" x14ac:dyDescent="0.2">
      <c r="A721" s="133"/>
      <c r="B721" s="135" t="str">
        <f>VLOOKUP(F721,BB!$A$8:$C$152,3,0)</f>
        <v>LR01C</v>
      </c>
      <c r="C721" s="136">
        <f t="shared" ref="C721:E721" si="192">C720</f>
        <v>202606</v>
      </c>
      <c r="D721" s="134" t="str">
        <f t="shared" si="192"/>
        <v>KAS-2606009</v>
      </c>
      <c r="E721" s="139">
        <f t="shared" si="192"/>
        <v>46198</v>
      </c>
      <c r="F721" s="144" t="s">
        <v>371</v>
      </c>
      <c r="G721" s="146">
        <v>0</v>
      </c>
      <c r="H721" s="149">
        <f>G719-H720</f>
        <v>0</v>
      </c>
      <c r="I721" s="149">
        <f>IF(G721&lt;&gt;0,G721,-H721)</f>
        <v>0</v>
      </c>
      <c r="J721" s="146">
        <f>-J720</f>
        <v>0</v>
      </c>
      <c r="K721" s="111" t="str">
        <f>K720</f>
        <v>KAS MASUK</v>
      </c>
      <c r="L721" s="152" t="str">
        <f>"PENDAPATAN ATAS PINJAMAN LAIN "&amp;MID(L720,24,20)</f>
        <v>PENDAPATAN ATAS PINJAMAN LAIN AN. ARI WIBOWO</v>
      </c>
    </row>
    <row r="722" spans="1:14" s="111" customFormat="1" ht="12" customHeight="1" x14ac:dyDescent="0.2">
      <c r="A722" s="133"/>
      <c r="B722" s="135"/>
      <c r="C722" s="136"/>
      <c r="D722" s="134"/>
      <c r="E722" s="139"/>
      <c r="F722" s="144"/>
      <c r="G722" s="146"/>
      <c r="H722" s="149"/>
      <c r="I722" s="149"/>
      <c r="J722" s="146"/>
      <c r="L722" s="151"/>
    </row>
    <row r="723" spans="1:14" s="111" customFormat="1" ht="12" customHeight="1" x14ac:dyDescent="0.2">
      <c r="A723" s="133"/>
      <c r="B723" s="135" t="str">
        <f>VLOOKUP(F723,BB!$A$8:$C$152,3,0)</f>
        <v>A01</v>
      </c>
      <c r="C723" s="136">
        <v>202606</v>
      </c>
      <c r="D723" s="134" t="s">
        <v>904</v>
      </c>
      <c r="E723" s="139">
        <v>46199</v>
      </c>
      <c r="F723" s="144" t="s">
        <v>163</v>
      </c>
      <c r="G723" s="149">
        <v>214000</v>
      </c>
      <c r="H723" s="149">
        <v>0</v>
      </c>
      <c r="I723" s="149">
        <f>IF(G723&lt;&gt;0,G723,-H723)</f>
        <v>214000</v>
      </c>
      <c r="J723" s="149">
        <v>0</v>
      </c>
      <c r="K723" s="111" t="s">
        <v>509</v>
      </c>
      <c r="L723" s="152" t="s">
        <v>528</v>
      </c>
    </row>
    <row r="724" spans="1:14" s="111" customFormat="1" ht="12" customHeight="1" x14ac:dyDescent="0.2">
      <c r="A724" s="133"/>
      <c r="B724" s="135" t="str">
        <f>VLOOKUP(F724,BB!$A$8:$C$152,3,0)</f>
        <v>A04A</v>
      </c>
      <c r="C724" s="136">
        <f t="shared" ref="C724:E724" si="193">C723</f>
        <v>202606</v>
      </c>
      <c r="D724" s="134" t="str">
        <f t="shared" si="193"/>
        <v>KAS-2606010</v>
      </c>
      <c r="E724" s="139">
        <f t="shared" si="193"/>
        <v>46199</v>
      </c>
      <c r="F724" s="144" t="s">
        <v>471</v>
      </c>
      <c r="G724" s="146">
        <v>0</v>
      </c>
      <c r="H724" s="149">
        <f>+G723</f>
        <v>214000</v>
      </c>
      <c r="I724" s="149">
        <f>IF(G724&lt;&gt;0,G724,-H724)</f>
        <v>-214000</v>
      </c>
      <c r="J724" s="146">
        <f>-J723</f>
        <v>0</v>
      </c>
      <c r="K724" s="111" t="str">
        <f>K723</f>
        <v>KAS MASUK</v>
      </c>
      <c r="L724" s="152" t="str">
        <f>L723</f>
        <v>ANGSURAN PINJAMAN LAIN AN. SETYO H.</v>
      </c>
    </row>
    <row r="725" spans="1:14" s="111" customFormat="1" ht="12" customHeight="1" x14ac:dyDescent="0.2">
      <c r="A725" s="133"/>
      <c r="B725" s="135" t="str">
        <f>VLOOKUP(F725,BB!$A$8:$C$152,3,0)</f>
        <v>LR01C</v>
      </c>
      <c r="C725" s="136">
        <f t="shared" ref="C725:E725" si="194">C724</f>
        <v>202606</v>
      </c>
      <c r="D725" s="134" t="str">
        <f t="shared" si="194"/>
        <v>KAS-2606010</v>
      </c>
      <c r="E725" s="139">
        <f t="shared" si="194"/>
        <v>46199</v>
      </c>
      <c r="F725" s="144" t="s">
        <v>371</v>
      </c>
      <c r="G725" s="146">
        <v>0</v>
      </c>
      <c r="H725" s="149">
        <f>G723-H724</f>
        <v>0</v>
      </c>
      <c r="I725" s="149">
        <f>IF(G725&lt;&gt;0,G725,-H725)</f>
        <v>0</v>
      </c>
      <c r="J725" s="146">
        <f>-J724</f>
        <v>0</v>
      </c>
      <c r="K725" s="111" t="str">
        <f>K724</f>
        <v>KAS MASUK</v>
      </c>
      <c r="L725" s="152" t="str">
        <f>"PENDAPATAN ATAS PINJAMAN LAIN "&amp;MID(L724,24,20)</f>
        <v>PENDAPATAN ATAS PINJAMAN LAIN AN. SETYO H.</v>
      </c>
    </row>
    <row r="726" spans="1:14" s="111" customFormat="1" ht="12" customHeight="1" x14ac:dyDescent="0.2">
      <c r="A726" s="133"/>
      <c r="B726" s="135"/>
      <c r="C726" s="136"/>
      <c r="D726" s="134"/>
      <c r="E726" s="139"/>
      <c r="F726" s="144"/>
      <c r="G726" s="146"/>
      <c r="H726" s="149"/>
      <c r="I726" s="149"/>
      <c r="J726" s="146"/>
      <c r="L726" s="151"/>
    </row>
    <row r="727" spans="1:14" s="111" customFormat="1" ht="12" customHeight="1" x14ac:dyDescent="0.2">
      <c r="A727" s="133"/>
      <c r="B727" s="135" t="str">
        <f>VLOOKUP(F727,BB!$A$8:$C$152,3,0)</f>
        <v>A01</v>
      </c>
      <c r="C727" s="136">
        <v>202606</v>
      </c>
      <c r="D727" s="134" t="s">
        <v>905</v>
      </c>
      <c r="E727" s="139">
        <v>46199</v>
      </c>
      <c r="F727" s="144" t="s">
        <v>163</v>
      </c>
      <c r="G727" s="149">
        <v>1070000</v>
      </c>
      <c r="H727" s="149">
        <v>0</v>
      </c>
      <c r="I727" s="149">
        <f>IF(G727&lt;&gt;0,G727,-H727)</f>
        <v>1070000</v>
      </c>
      <c r="J727" s="149">
        <v>0</v>
      </c>
      <c r="K727" s="111" t="s">
        <v>509</v>
      </c>
      <c r="L727" s="152" t="s">
        <v>907</v>
      </c>
    </row>
    <row r="728" spans="1:14" s="111" customFormat="1" ht="12" customHeight="1" x14ac:dyDescent="0.2">
      <c r="A728" s="133"/>
      <c r="B728" s="135" t="str">
        <f>VLOOKUP(F728,BB!$A$8:$C$152,3,0)</f>
        <v>A04A</v>
      </c>
      <c r="C728" s="136">
        <f t="shared" ref="C728:E728" si="195">C727</f>
        <v>202606</v>
      </c>
      <c r="D728" s="134" t="str">
        <f t="shared" si="195"/>
        <v>KAS-2606011</v>
      </c>
      <c r="E728" s="139">
        <f t="shared" si="195"/>
        <v>46199</v>
      </c>
      <c r="F728" s="144" t="s">
        <v>471</v>
      </c>
      <c r="G728" s="146">
        <v>0</v>
      </c>
      <c r="H728" s="149">
        <v>1058500</v>
      </c>
      <c r="I728" s="149">
        <f>IF(G728&lt;&gt;0,G728,-H728)</f>
        <v>-1058500</v>
      </c>
      <c r="J728" s="146">
        <f>-J727</f>
        <v>0</v>
      </c>
      <c r="K728" s="111" t="str">
        <f>K727</f>
        <v>KAS MASUK</v>
      </c>
      <c r="L728" s="152" t="str">
        <f>L727</f>
        <v>PELUNASAN PINJAMAN LAIN AN. SETYO H.</v>
      </c>
    </row>
    <row r="729" spans="1:14" s="111" customFormat="1" ht="12" customHeight="1" x14ac:dyDescent="0.2">
      <c r="A729" s="133"/>
      <c r="B729" s="135" t="str">
        <f>VLOOKUP(F729,BB!$A$8:$C$152,3,0)</f>
        <v>LR01C</v>
      </c>
      <c r="C729" s="136">
        <f t="shared" ref="C729:E729" si="196">C728</f>
        <v>202606</v>
      </c>
      <c r="D729" s="134" t="str">
        <f t="shared" si="196"/>
        <v>KAS-2606011</v>
      </c>
      <c r="E729" s="139">
        <f t="shared" si="196"/>
        <v>46199</v>
      </c>
      <c r="F729" s="144" t="s">
        <v>371</v>
      </c>
      <c r="G729" s="146">
        <v>0</v>
      </c>
      <c r="H729" s="149">
        <f>G727-H728</f>
        <v>11500</v>
      </c>
      <c r="I729" s="149">
        <f>IF(G729&lt;&gt;0,G729,-H729)</f>
        <v>-11500</v>
      </c>
      <c r="J729" s="146">
        <f>-J728</f>
        <v>0</v>
      </c>
      <c r="K729" s="111" t="str">
        <f>K728</f>
        <v>KAS MASUK</v>
      </c>
      <c r="L729" s="152" t="str">
        <f>"PENDAPATAN ATAS PINJAMAN LAIN "&amp;MID(L728,24,20)</f>
        <v>PENDAPATAN ATAS PINJAMAN LAIN  AN. SETYO H.</v>
      </c>
    </row>
    <row r="730" spans="1:14" s="111" customFormat="1" ht="12" customHeight="1" x14ac:dyDescent="0.2">
      <c r="A730" s="133"/>
      <c r="B730" s="135"/>
      <c r="C730" s="136"/>
      <c r="D730" s="134"/>
      <c r="E730" s="139"/>
      <c r="F730" s="144"/>
      <c r="G730" s="146"/>
      <c r="H730" s="149"/>
      <c r="I730" s="149"/>
      <c r="J730" s="146"/>
      <c r="L730" s="151"/>
    </row>
    <row r="731" spans="1:14" s="111" customFormat="1" ht="12" customHeight="1" x14ac:dyDescent="0.2">
      <c r="A731" s="133"/>
      <c r="B731" s="135" t="str">
        <f>VLOOKUP(F731,BB!$A$8:$C$152,3,0)</f>
        <v>A01</v>
      </c>
      <c r="C731" s="136">
        <v>202606</v>
      </c>
      <c r="D731" s="134" t="s">
        <v>906</v>
      </c>
      <c r="E731" s="139">
        <v>46203</v>
      </c>
      <c r="F731" s="144" t="s">
        <v>163</v>
      </c>
      <c r="G731" s="149">
        <v>0</v>
      </c>
      <c r="H731" s="149">
        <v>2000000</v>
      </c>
      <c r="I731" s="149">
        <f>IF(G731&lt;&gt;0,G731,-H731)</f>
        <v>-2000000</v>
      </c>
      <c r="J731" s="149">
        <v>0</v>
      </c>
      <c r="K731" s="111" t="s">
        <v>510</v>
      </c>
      <c r="L731" s="152" t="s">
        <v>521</v>
      </c>
      <c r="M731" s="149"/>
      <c r="N731" s="149"/>
    </row>
    <row r="732" spans="1:14" s="111" customFormat="1" ht="12" customHeight="1" x14ac:dyDescent="0.2">
      <c r="A732" s="133"/>
      <c r="B732" s="135" t="str">
        <f>VLOOKUP(F732,BB!$A$8:$C$152,3,0)</f>
        <v>A04A</v>
      </c>
      <c r="C732" s="136">
        <f>C731</f>
        <v>202606</v>
      </c>
      <c r="D732" s="134" t="str">
        <f>D731</f>
        <v>KAS-2606012</v>
      </c>
      <c r="E732" s="139">
        <f>E731</f>
        <v>46203</v>
      </c>
      <c r="F732" s="144" t="s">
        <v>471</v>
      </c>
      <c r="G732" s="146">
        <f>H731</f>
        <v>2000000</v>
      </c>
      <c r="H732" s="149">
        <f>G731</f>
        <v>0</v>
      </c>
      <c r="I732" s="149">
        <f>IF(G732&lt;&gt;0,G732,-H732)</f>
        <v>2000000</v>
      </c>
      <c r="J732" s="146">
        <f>-J731</f>
        <v>0</v>
      </c>
      <c r="K732" s="111" t="str">
        <f>K731</f>
        <v>KAS KELUAR</v>
      </c>
      <c r="L732" s="151" t="str">
        <f>L731</f>
        <v>PINJAMAN LAIN AN. SETYO H.</v>
      </c>
      <c r="M732" s="146"/>
      <c r="N732" s="149"/>
    </row>
    <row r="733" spans="1:14" s="111" customFormat="1" ht="12" customHeight="1" x14ac:dyDescent="0.2">
      <c r="A733" s="133"/>
      <c r="B733" s="135"/>
      <c r="C733" s="136"/>
      <c r="D733" s="134"/>
      <c r="E733" s="139"/>
      <c r="F733" s="144"/>
      <c r="G733" s="146"/>
      <c r="H733" s="149"/>
      <c r="I733" s="149"/>
      <c r="J733" s="146"/>
      <c r="L733" s="151"/>
    </row>
    <row r="734" spans="1:14" s="111" customFormat="1" ht="12" customHeight="1" x14ac:dyDescent="0.2">
      <c r="A734" s="133"/>
      <c r="B734" s="135" t="str">
        <f>VLOOKUP(F734,BB!$A$8:$C$152,3,0)</f>
        <v>A01</v>
      </c>
      <c r="C734" s="136">
        <v>202606</v>
      </c>
      <c r="D734" s="134" t="s">
        <v>908</v>
      </c>
      <c r="E734" s="139">
        <v>46203</v>
      </c>
      <c r="F734" s="144" t="s">
        <v>163</v>
      </c>
      <c r="G734" s="149">
        <v>500000</v>
      </c>
      <c r="H734" s="149">
        <v>0</v>
      </c>
      <c r="I734" s="149">
        <f>IF(G734&lt;&gt;0,G734,-H734)</f>
        <v>500000</v>
      </c>
      <c r="J734" s="149">
        <v>0</v>
      </c>
      <c r="K734" s="111" t="s">
        <v>509</v>
      </c>
      <c r="L734" s="152" t="s">
        <v>534</v>
      </c>
    </row>
    <row r="735" spans="1:14" s="111" customFormat="1" ht="12" customHeight="1" x14ac:dyDescent="0.2">
      <c r="A735" s="133"/>
      <c r="B735" s="135" t="str">
        <f>VLOOKUP(F735,BB!$A$8:$C$152,3,0)</f>
        <v>A04A</v>
      </c>
      <c r="C735" s="136">
        <f t="shared" ref="C735:E735" si="197">C734</f>
        <v>202606</v>
      </c>
      <c r="D735" s="134" t="str">
        <f t="shared" si="197"/>
        <v>KAS-2606013</v>
      </c>
      <c r="E735" s="139">
        <f t="shared" si="197"/>
        <v>46203</v>
      </c>
      <c r="F735" s="144" t="s">
        <v>471</v>
      </c>
      <c r="G735" s="146">
        <v>0</v>
      </c>
      <c r="H735" s="149">
        <f>+G734</f>
        <v>500000</v>
      </c>
      <c r="I735" s="149">
        <f>IF(G735&lt;&gt;0,G735,-H735)</f>
        <v>-500000</v>
      </c>
      <c r="J735" s="146">
        <f>-J734</f>
        <v>0</v>
      </c>
      <c r="K735" s="111" t="str">
        <f>K734</f>
        <v>KAS MASUK</v>
      </c>
      <c r="L735" s="152" t="str">
        <f>L734</f>
        <v>ANGSURAN PINJAMAN LAIN AN. NANANG BUDI</v>
      </c>
    </row>
    <row r="736" spans="1:14" s="111" customFormat="1" ht="12" customHeight="1" x14ac:dyDescent="0.2">
      <c r="A736" s="133"/>
      <c r="B736" s="135" t="str">
        <f>VLOOKUP(F736,BB!$A$8:$C$152,3,0)</f>
        <v>LR01C</v>
      </c>
      <c r="C736" s="136">
        <f t="shared" ref="C736:E736" si="198">C735</f>
        <v>202606</v>
      </c>
      <c r="D736" s="134" t="str">
        <f t="shared" si="198"/>
        <v>KAS-2606013</v>
      </c>
      <c r="E736" s="139">
        <f t="shared" si="198"/>
        <v>46203</v>
      </c>
      <c r="F736" s="144" t="s">
        <v>371</v>
      </c>
      <c r="G736" s="146">
        <v>0</v>
      </c>
      <c r="H736" s="149">
        <f>G734-H735</f>
        <v>0</v>
      </c>
      <c r="I736" s="149">
        <f>IF(G736&lt;&gt;0,G736,-H736)</f>
        <v>0</v>
      </c>
      <c r="J736" s="146">
        <f>-J735</f>
        <v>0</v>
      </c>
      <c r="K736" s="111" t="str">
        <f>K735</f>
        <v>KAS MASUK</v>
      </c>
      <c r="L736" s="152" t="str">
        <f>"PENDAPATAN ATAS PINJAMAN LAIN "&amp;MID(L735,24,20)</f>
        <v>PENDAPATAN ATAS PINJAMAN LAIN AN. NANANG BUDI</v>
      </c>
    </row>
    <row r="737" spans="1:14" s="111" customFormat="1" ht="12" customHeight="1" x14ac:dyDescent="0.2">
      <c r="A737" s="133"/>
      <c r="B737" s="135"/>
      <c r="C737" s="136"/>
      <c r="D737" s="134"/>
      <c r="E737" s="139"/>
      <c r="F737" s="144"/>
      <c r="G737" s="146"/>
      <c r="H737" s="149"/>
      <c r="I737" s="149"/>
      <c r="J737" s="146"/>
      <c r="L737" s="151"/>
    </row>
    <row r="738" spans="1:14" s="111" customFormat="1" ht="12" customHeight="1" x14ac:dyDescent="0.2">
      <c r="A738" s="133"/>
      <c r="B738" s="135" t="str">
        <f>VLOOKUP(F738,BB!$A$8:$C$152,3,0)</f>
        <v>LR07</v>
      </c>
      <c r="C738" s="136">
        <v>202606</v>
      </c>
      <c r="D738" s="134" t="s">
        <v>909</v>
      </c>
      <c r="E738" s="139">
        <v>46203</v>
      </c>
      <c r="F738" s="134" t="s">
        <v>416</v>
      </c>
      <c r="G738" s="149">
        <v>1500000</v>
      </c>
      <c r="H738" s="149">
        <v>0</v>
      </c>
      <c r="I738" s="149">
        <f>IF(G738&lt;&gt;0,G738,-H738)</f>
        <v>1500000</v>
      </c>
      <c r="J738" s="149">
        <v>0</v>
      </c>
      <c r="K738" s="111" t="s">
        <v>306</v>
      </c>
      <c r="L738" s="152" t="s">
        <v>415</v>
      </c>
      <c r="M738" s="149"/>
      <c r="N738" s="149"/>
    </row>
    <row r="739" spans="1:14" s="111" customFormat="1" ht="12" customHeight="1" x14ac:dyDescent="0.2">
      <c r="A739" s="133"/>
      <c r="B739" s="135" t="str">
        <f>VLOOKUP(F739,BB!$A$8:$C$152,3,0)</f>
        <v>A05</v>
      </c>
      <c r="C739" s="136">
        <f>C738</f>
        <v>202606</v>
      </c>
      <c r="D739" s="134" t="str">
        <f>D738</f>
        <v>JRM-2606001</v>
      </c>
      <c r="E739" s="139">
        <f>E738</f>
        <v>46203</v>
      </c>
      <c r="F739" s="144" t="s">
        <v>172</v>
      </c>
      <c r="G739" s="146">
        <f>H738</f>
        <v>0</v>
      </c>
      <c r="H739" s="149">
        <f>G738</f>
        <v>1500000</v>
      </c>
      <c r="I739" s="149">
        <f>IF(G739&lt;&gt;0,G739,-H739)</f>
        <v>-1500000</v>
      </c>
      <c r="J739" s="146">
        <f>-J738</f>
        <v>0</v>
      </c>
      <c r="K739" s="111" t="str">
        <f>K738</f>
        <v>JURNAL MANUAL</v>
      </c>
      <c r="L739" s="151" t="str">
        <f>L738</f>
        <v>PEMBEBANAN PENYISIHAN PIUTANG</v>
      </c>
      <c r="M739" s="146"/>
      <c r="N739" s="149"/>
    </row>
    <row r="740" spans="1:14" s="111" customFormat="1" ht="12" customHeight="1" x14ac:dyDescent="0.2">
      <c r="A740" s="133"/>
      <c r="B740" s="135"/>
      <c r="C740" s="136"/>
      <c r="D740" s="134"/>
      <c r="E740" s="139"/>
      <c r="F740" s="144"/>
      <c r="G740" s="146"/>
      <c r="H740" s="149"/>
      <c r="I740" s="149"/>
      <c r="J740" s="146"/>
      <c r="L740" s="151"/>
    </row>
    <row r="741" spans="1:14" s="111" customFormat="1" ht="12" customHeight="1" x14ac:dyDescent="0.2">
      <c r="A741" s="133"/>
      <c r="B741" s="135" t="str">
        <f>VLOOKUP(F741,BB!$A$8:$C$152,3,0)</f>
        <v>A04B</v>
      </c>
      <c r="C741" s="136">
        <v>202606</v>
      </c>
      <c r="D741" s="134" t="s">
        <v>910</v>
      </c>
      <c r="E741" s="139">
        <v>46203</v>
      </c>
      <c r="F741" s="134" t="s">
        <v>464</v>
      </c>
      <c r="G741" s="149">
        <v>15680000</v>
      </c>
      <c r="H741" s="149">
        <v>0</v>
      </c>
      <c r="I741" s="189">
        <f>IF(G741&lt;&gt;0,G741,-H741)</f>
        <v>15680000</v>
      </c>
      <c r="J741" s="149">
        <v>0</v>
      </c>
      <c r="K741" s="111" t="s">
        <v>306</v>
      </c>
      <c r="L741" s="152" t="s">
        <v>912</v>
      </c>
      <c r="M741" s="149"/>
      <c r="N741" s="149"/>
    </row>
    <row r="742" spans="1:14" s="111" customFormat="1" ht="12" customHeight="1" x14ac:dyDescent="0.2">
      <c r="A742" s="133"/>
      <c r="B742" s="135" t="str">
        <f>VLOOKUP(F742,BB!$A$8:$C$152,3,0)</f>
        <v>P05</v>
      </c>
      <c r="C742" s="136">
        <f>C741</f>
        <v>202606</v>
      </c>
      <c r="D742" s="134" t="str">
        <f>D741</f>
        <v>JRM-2606002</v>
      </c>
      <c r="E742" s="139">
        <f>E741</f>
        <v>46203</v>
      </c>
      <c r="F742" s="144" t="s">
        <v>435</v>
      </c>
      <c r="G742" s="146">
        <f>H741</f>
        <v>0</v>
      </c>
      <c r="H742" s="149">
        <v>14475000</v>
      </c>
      <c r="I742" s="189">
        <f>IF(G742&lt;&gt;0,G742,-H742)</f>
        <v>-14475000</v>
      </c>
      <c r="J742" s="146">
        <f>-J741</f>
        <v>0</v>
      </c>
      <c r="K742" s="111" t="str">
        <f>K741</f>
        <v>JURNAL MANUAL</v>
      </c>
      <c r="L742" s="151" t="s">
        <v>913</v>
      </c>
      <c r="M742" s="146"/>
      <c r="N742" s="149"/>
    </row>
    <row r="743" spans="1:14" s="111" customFormat="1" ht="12" customHeight="1" x14ac:dyDescent="0.2">
      <c r="A743" s="133"/>
      <c r="B743" s="135" t="str">
        <f>VLOOKUP(F743,BB!$A$8:$C$152,3,0)</f>
        <v>LR06</v>
      </c>
      <c r="C743" s="136">
        <f t="shared" ref="C743:E743" si="199">+C742</f>
        <v>202606</v>
      </c>
      <c r="D743" s="134" t="str">
        <f t="shared" si="199"/>
        <v>JRM-2606002</v>
      </c>
      <c r="E743" s="139">
        <f t="shared" si="199"/>
        <v>46203</v>
      </c>
      <c r="F743" s="144" t="s">
        <v>403</v>
      </c>
      <c r="G743" s="146">
        <v>0</v>
      </c>
      <c r="H743" s="149">
        <f>+G741-H742</f>
        <v>1205000</v>
      </c>
      <c r="I743" s="189">
        <f>IF(G743&lt;&gt;0,G743,-H743)</f>
        <v>-1205000</v>
      </c>
      <c r="J743" s="146">
        <v>0</v>
      </c>
      <c r="K743" s="111" t="str">
        <f>+K742</f>
        <v>JURNAL MANUAL</v>
      </c>
      <c r="L743" s="151" t="s">
        <v>708</v>
      </c>
    </row>
    <row r="744" spans="1:14" s="111" customFormat="1" ht="12" customHeight="1" x14ac:dyDescent="0.2">
      <c r="A744" s="133"/>
      <c r="B744" s="135"/>
      <c r="C744" s="136"/>
      <c r="D744" s="134"/>
      <c r="E744" s="139"/>
      <c r="F744" s="144"/>
      <c r="G744" s="146"/>
      <c r="H744" s="149"/>
      <c r="I744" s="149"/>
      <c r="J744" s="146"/>
      <c r="L744" s="151"/>
    </row>
    <row r="745" spans="1:14" s="111" customFormat="1" ht="12" customHeight="1" x14ac:dyDescent="0.2">
      <c r="A745" s="133"/>
      <c r="B745" s="135" t="str">
        <f>VLOOKUP(F745,BB!$A$8:$C$152,3,0)</f>
        <v>LR07</v>
      </c>
      <c r="C745" s="136">
        <v>202606</v>
      </c>
      <c r="D745" s="134" t="s">
        <v>911</v>
      </c>
      <c r="E745" s="139">
        <v>46203</v>
      </c>
      <c r="F745" s="134" t="s">
        <v>249</v>
      </c>
      <c r="G745" s="149">
        <v>0</v>
      </c>
      <c r="H745" s="149">
        <v>0</v>
      </c>
      <c r="I745" s="149">
        <f>IF(G745&lt;&gt;0,G745,-H745)</f>
        <v>0</v>
      </c>
      <c r="J745" s="149">
        <v>0</v>
      </c>
      <c r="K745" s="111" t="s">
        <v>306</v>
      </c>
      <c r="L745" s="152" t="s">
        <v>608</v>
      </c>
      <c r="M745" s="149"/>
      <c r="N745" s="149"/>
    </row>
    <row r="746" spans="1:14" s="111" customFormat="1" ht="12" customHeight="1" x14ac:dyDescent="0.2">
      <c r="A746" s="133"/>
      <c r="B746" s="135" t="str">
        <f>VLOOKUP(F746,BB!$A$8:$C$152,3,0)</f>
        <v>A04A</v>
      </c>
      <c r="C746" s="136">
        <f>C745</f>
        <v>202606</v>
      </c>
      <c r="D746" s="134" t="str">
        <f>D745</f>
        <v>JRM-2606003</v>
      </c>
      <c r="E746" s="139">
        <f>E745</f>
        <v>46203</v>
      </c>
      <c r="F746" s="144" t="s">
        <v>468</v>
      </c>
      <c r="G746" s="146">
        <f>H745</f>
        <v>0</v>
      </c>
      <c r="H746" s="149">
        <f>G745</f>
        <v>0</v>
      </c>
      <c r="I746" s="149">
        <f>IF(G746&lt;&gt;0,G746,-H746)</f>
        <v>0</v>
      </c>
      <c r="J746" s="146">
        <f>-J745</f>
        <v>0</v>
      </c>
      <c r="K746" s="111" t="str">
        <f>K745</f>
        <v>JURNAL MANUAL</v>
      </c>
      <c r="L746" s="151" t="str">
        <f>L745</f>
        <v>PENYESUAIAN SELISIH PIUTANG RUTIN</v>
      </c>
      <c r="M746" s="146"/>
      <c r="N746" s="149"/>
    </row>
    <row r="747" spans="1:14" s="111" customFormat="1" ht="12" customHeight="1" x14ac:dyDescent="0.2">
      <c r="A747" s="133"/>
      <c r="B747" s="135"/>
      <c r="C747" s="136"/>
      <c r="D747" s="134"/>
      <c r="E747" s="139"/>
      <c r="F747" s="144"/>
      <c r="G747" s="146"/>
      <c r="H747" s="149"/>
      <c r="I747" s="149"/>
      <c r="J747" s="146"/>
      <c r="L747" s="151"/>
    </row>
    <row r="748" spans="1:14" s="111" customFormat="1" ht="12" customHeight="1" x14ac:dyDescent="0.2">
      <c r="A748" s="133"/>
      <c r="B748" s="135"/>
      <c r="C748" s="136"/>
      <c r="D748" s="134"/>
      <c r="E748" s="139"/>
      <c r="F748" s="144"/>
      <c r="G748" s="146"/>
      <c r="H748" s="149"/>
      <c r="I748" s="149"/>
      <c r="J748" s="146"/>
      <c r="L748" s="151"/>
    </row>
    <row r="749" spans="1:14" s="183" customFormat="1" ht="12" customHeight="1" x14ac:dyDescent="0.2">
      <c r="A749" s="172"/>
      <c r="B749" s="173"/>
      <c r="C749" s="174"/>
      <c r="D749" s="175"/>
      <c r="E749" s="176"/>
      <c r="F749" s="180"/>
      <c r="G749" s="181"/>
      <c r="H749" s="182"/>
      <c r="I749" s="182"/>
      <c r="J749" s="181"/>
      <c r="L749" s="184"/>
    </row>
    <row r="750" spans="1:14" s="111" customFormat="1" ht="12" customHeight="1" x14ac:dyDescent="0.2">
      <c r="A750" s="133"/>
      <c r="B750" s="135"/>
      <c r="C750" s="136"/>
      <c r="D750" s="134"/>
      <c r="E750" s="139"/>
      <c r="F750" s="144"/>
      <c r="G750" s="146"/>
      <c r="H750" s="149"/>
      <c r="I750" s="149"/>
      <c r="J750" s="146"/>
      <c r="L750" s="151"/>
    </row>
    <row r="751" spans="1:14" s="111" customFormat="1" ht="12" customHeight="1" x14ac:dyDescent="0.2">
      <c r="A751" s="133"/>
      <c r="B751" s="135" t="str">
        <f>VLOOKUP(F751,BB!$A$8:$C$152,3,0)</f>
        <v>A02</v>
      </c>
      <c r="C751" s="136">
        <v>202607</v>
      </c>
      <c r="D751" s="134" t="s">
        <v>914</v>
      </c>
      <c r="E751" s="139">
        <v>46205</v>
      </c>
      <c r="F751" s="144" t="s">
        <v>166</v>
      </c>
      <c r="G751" s="149">
        <v>0</v>
      </c>
      <c r="H751" s="149">
        <v>14166667</v>
      </c>
      <c r="I751" s="149">
        <f>IF(G751&lt;&gt;0,G751,-H751)</f>
        <v>-14166667</v>
      </c>
      <c r="J751" s="149">
        <v>0</v>
      </c>
      <c r="K751" s="111" t="s">
        <v>304</v>
      </c>
      <c r="L751" s="151" t="s">
        <v>552</v>
      </c>
    </row>
    <row r="752" spans="1:14" s="111" customFormat="1" ht="12" customHeight="1" x14ac:dyDescent="0.2">
      <c r="A752" s="133"/>
      <c r="B752" s="135" t="str">
        <f>VLOOKUP(F752,BB!$A$8:$C$152,3,0)</f>
        <v>A04A</v>
      </c>
      <c r="C752" s="136">
        <f t="shared" ref="C752:E752" si="200">C751</f>
        <v>202607</v>
      </c>
      <c r="D752" s="134" t="str">
        <f t="shared" si="200"/>
        <v>MDR-2607001</v>
      </c>
      <c r="E752" s="139">
        <f t="shared" si="200"/>
        <v>46205</v>
      </c>
      <c r="F752" s="144" t="s">
        <v>468</v>
      </c>
      <c r="G752" s="146">
        <v>30000000</v>
      </c>
      <c r="H752" s="149">
        <v>0</v>
      </c>
      <c r="I752" s="149">
        <f>IF(G752&lt;&gt;0,G752,-H752)</f>
        <v>30000000</v>
      </c>
      <c r="J752" s="146">
        <f>-J751</f>
        <v>0</v>
      </c>
      <c r="K752" s="111" t="str">
        <f>K751</f>
        <v>BANK KELUAR</v>
      </c>
      <c r="L752" s="151" t="str">
        <f>L751</f>
        <v>PINJAMAN RUTIN SUGENG H, 36X, KOMPENSASI</v>
      </c>
    </row>
    <row r="753" spans="1:42" s="111" customFormat="1" ht="12" customHeight="1" x14ac:dyDescent="0.2">
      <c r="A753" s="133"/>
      <c r="B753" s="135" t="str">
        <f>VLOOKUP(F753,BB!$A$8:$C$152,3,0)</f>
        <v>A04A</v>
      </c>
      <c r="C753" s="136">
        <f t="shared" ref="C753:E753" si="201">C752</f>
        <v>202607</v>
      </c>
      <c r="D753" s="134" t="str">
        <f t="shared" si="201"/>
        <v>MDR-2607001</v>
      </c>
      <c r="E753" s="139">
        <f t="shared" si="201"/>
        <v>46205</v>
      </c>
      <c r="F753" s="144" t="s">
        <v>468</v>
      </c>
      <c r="G753" s="146">
        <v>0</v>
      </c>
      <c r="H753" s="149">
        <f>G752-H751</f>
        <v>15833333</v>
      </c>
      <c r="I753" s="149">
        <f>IF(G753&lt;&gt;0,G753,-H753)</f>
        <v>-15833333</v>
      </c>
      <c r="J753" s="146">
        <f>-J752</f>
        <v>0</v>
      </c>
      <c r="K753" s="111" t="str">
        <f>K752</f>
        <v>BANK KELUAR</v>
      </c>
      <c r="L753" s="151" t="str">
        <f>L752</f>
        <v>PINJAMAN RUTIN SUGENG H, 36X, KOMPENSASI</v>
      </c>
    </row>
    <row r="754" spans="1:42" s="111" customFormat="1" ht="12" customHeight="1" x14ac:dyDescent="0.2">
      <c r="A754" s="133"/>
      <c r="B754" s="135"/>
      <c r="C754" s="136"/>
      <c r="D754" s="134"/>
      <c r="E754" s="139"/>
      <c r="F754" s="144"/>
      <c r="G754" s="146"/>
      <c r="H754" s="149"/>
      <c r="I754" s="149"/>
      <c r="J754" s="146"/>
      <c r="L754" s="151"/>
    </row>
    <row r="755" spans="1:42" s="111" customFormat="1" ht="12" customHeight="1" x14ac:dyDescent="0.2">
      <c r="A755" s="133"/>
      <c r="B755" s="135" t="str">
        <f>VLOOKUP(F755,BB!$A$8:$C$152,3,0)</f>
        <v>A02</v>
      </c>
      <c r="C755" s="136">
        <v>202607</v>
      </c>
      <c r="D755" s="134" t="s">
        <v>915</v>
      </c>
      <c r="E755" s="139">
        <v>46205</v>
      </c>
      <c r="F755" s="144" t="s">
        <v>166</v>
      </c>
      <c r="G755" s="149">
        <v>0</v>
      </c>
      <c r="H755" s="149">
        <v>20000000</v>
      </c>
      <c r="I755" s="149">
        <f>IF(G755&lt;&gt;0,G755,-H755)</f>
        <v>-20000000</v>
      </c>
      <c r="J755" s="149">
        <v>0</v>
      </c>
      <c r="K755" s="111" t="s">
        <v>304</v>
      </c>
      <c r="L755" s="151" t="s">
        <v>916</v>
      </c>
    </row>
    <row r="756" spans="1:42" s="111" customFormat="1" ht="12" customHeight="1" x14ac:dyDescent="0.2">
      <c r="A756" s="133"/>
      <c r="B756" s="135" t="str">
        <f>VLOOKUP(F756,BB!$A$8:$C$152,3,0)</f>
        <v>A04A</v>
      </c>
      <c r="C756" s="136">
        <f>C755</f>
        <v>202607</v>
      </c>
      <c r="D756" s="134" t="str">
        <f>D755</f>
        <v>MDR-2607002</v>
      </c>
      <c r="E756" s="139">
        <f>E755</f>
        <v>46205</v>
      </c>
      <c r="F756" s="144" t="s">
        <v>468</v>
      </c>
      <c r="G756" s="146">
        <f>+H755</f>
        <v>20000000</v>
      </c>
      <c r="H756" s="149">
        <v>0</v>
      </c>
      <c r="I756" s="149">
        <f>IF(G756&lt;&gt;0,G756,-H756)</f>
        <v>20000000</v>
      </c>
      <c r="J756" s="146">
        <f>-J755</f>
        <v>0</v>
      </c>
      <c r="K756" s="111" t="str">
        <f>K755</f>
        <v>BANK KELUAR</v>
      </c>
      <c r="L756" s="151" t="str">
        <f>L755</f>
        <v>PINJAMAN RUTIN DEWA PUTU, 36X</v>
      </c>
    </row>
    <row r="757" spans="1:42" s="111" customFormat="1" ht="12" customHeight="1" x14ac:dyDescent="0.2">
      <c r="A757" s="133"/>
      <c r="B757" s="135"/>
      <c r="C757" s="136"/>
      <c r="D757" s="134"/>
      <c r="E757" s="139"/>
      <c r="F757" s="144"/>
      <c r="G757" s="146"/>
      <c r="H757" s="149"/>
      <c r="I757" s="149"/>
      <c r="J757" s="146"/>
      <c r="L757" s="151"/>
    </row>
    <row r="758" spans="1:42" s="111" customFormat="1" ht="12" customHeight="1" x14ac:dyDescent="0.2">
      <c r="A758" s="133"/>
      <c r="B758" s="135" t="str">
        <f>VLOOKUP(F758,BB!$A$8:$C$152,3,0)</f>
        <v>A02</v>
      </c>
      <c r="C758" s="136">
        <v>202607</v>
      </c>
      <c r="D758" s="134" t="s">
        <v>917</v>
      </c>
      <c r="E758" s="139">
        <v>46205</v>
      </c>
      <c r="F758" s="134" t="s">
        <v>166</v>
      </c>
      <c r="G758" s="149">
        <v>0</v>
      </c>
      <c r="H758" s="149">
        <v>5000000</v>
      </c>
      <c r="I758" s="149">
        <f>IF(G758&lt;&gt;0,G758,-H758)</f>
        <v>-5000000</v>
      </c>
      <c r="J758" s="149">
        <v>0</v>
      </c>
      <c r="K758" s="111" t="s">
        <v>304</v>
      </c>
      <c r="L758" s="152" t="s">
        <v>502</v>
      </c>
      <c r="M758" s="136"/>
      <c r="N758" s="136"/>
      <c r="O758" s="136"/>
      <c r="P758" s="136"/>
      <c r="Q758" s="136"/>
      <c r="R758" s="136"/>
      <c r="S758" s="136"/>
      <c r="T758" s="136"/>
      <c r="U758" s="136"/>
      <c r="V758" s="136"/>
      <c r="W758" s="136"/>
      <c r="X758" s="136"/>
      <c r="Y758" s="136"/>
      <c r="Z758" s="136"/>
      <c r="AA758" s="136"/>
      <c r="AB758" s="136"/>
      <c r="AC758" s="136"/>
      <c r="AD758" s="136"/>
      <c r="AE758" s="136"/>
      <c r="AF758" s="136"/>
      <c r="AG758" s="136"/>
      <c r="AH758" s="136"/>
      <c r="AI758" s="136"/>
      <c r="AJ758" s="136"/>
      <c r="AK758" s="136"/>
      <c r="AL758" s="136"/>
      <c r="AM758" s="136"/>
      <c r="AN758" s="136"/>
      <c r="AO758" s="136"/>
      <c r="AP758" s="136"/>
    </row>
    <row r="759" spans="1:42" s="111" customFormat="1" ht="12" customHeight="1" x14ac:dyDescent="0.2">
      <c r="A759" s="133"/>
      <c r="B759" s="135" t="str">
        <f>VLOOKUP(F759,BB!$A$8:$C$152,3,0)</f>
        <v>A01</v>
      </c>
      <c r="C759" s="136">
        <f>C758</f>
        <v>202607</v>
      </c>
      <c r="D759" s="134" t="str">
        <f>D758</f>
        <v>MDR-2607003</v>
      </c>
      <c r="E759" s="139">
        <f>E758</f>
        <v>46205</v>
      </c>
      <c r="F759" s="134" t="s">
        <v>164</v>
      </c>
      <c r="G759" s="146">
        <f>H758</f>
        <v>5000000</v>
      </c>
      <c r="H759" s="149">
        <f>G758</f>
        <v>0</v>
      </c>
      <c r="I759" s="149">
        <f>IF(G759&lt;&gt;0,G759,-H759)</f>
        <v>5000000</v>
      </c>
      <c r="J759" s="146">
        <f>-J758</f>
        <v>0</v>
      </c>
      <c r="K759" s="111" t="str">
        <f>K758</f>
        <v>BANK KELUAR</v>
      </c>
      <c r="L759" s="151" t="str">
        <f>L758</f>
        <v>PEMINDAHAN DANA KE AKUN KAS</v>
      </c>
    </row>
    <row r="760" spans="1:42" s="111" customFormat="1" ht="12" customHeight="1" x14ac:dyDescent="0.2">
      <c r="A760" s="133"/>
      <c r="B760" s="135"/>
      <c r="C760" s="136"/>
      <c r="D760" s="134"/>
      <c r="E760" s="139"/>
      <c r="F760" s="144"/>
      <c r="G760" s="146"/>
      <c r="H760" s="149"/>
      <c r="I760" s="149"/>
      <c r="J760" s="146"/>
      <c r="L760" s="151"/>
    </row>
    <row r="761" spans="1:42" s="111" customFormat="1" ht="12" customHeight="1" x14ac:dyDescent="0.2">
      <c r="A761" s="133"/>
      <c r="B761" s="135" t="str">
        <f>VLOOKUP(F761,BB!$A$8:$C$152,3,0)</f>
        <v>A02</v>
      </c>
      <c r="C761" s="136">
        <v>202607</v>
      </c>
      <c r="D761" s="134" t="s">
        <v>918</v>
      </c>
      <c r="E761" s="139">
        <v>46205</v>
      </c>
      <c r="F761" s="144" t="s">
        <v>166</v>
      </c>
      <c r="G761" s="149">
        <v>0</v>
      </c>
      <c r="H761" s="149">
        <v>24000000</v>
      </c>
      <c r="I761" s="149">
        <f>IF(G761&lt;&gt;0,G761,-H761)</f>
        <v>-24000000</v>
      </c>
      <c r="J761" s="149">
        <v>0</v>
      </c>
      <c r="K761" s="111" t="s">
        <v>304</v>
      </c>
      <c r="L761" s="151" t="s">
        <v>919</v>
      </c>
    </row>
    <row r="762" spans="1:42" s="111" customFormat="1" ht="12" customHeight="1" x14ac:dyDescent="0.2">
      <c r="A762" s="133"/>
      <c r="B762" s="135" t="str">
        <f>VLOOKUP(F762,BB!$A$8:$C$152,3,0)</f>
        <v>A04A</v>
      </c>
      <c r="C762" s="136">
        <f>C761</f>
        <v>202607</v>
      </c>
      <c r="D762" s="134" t="str">
        <f>D761</f>
        <v>MDR-2607004</v>
      </c>
      <c r="E762" s="139">
        <f>E761</f>
        <v>46205</v>
      </c>
      <c r="F762" s="144" t="s">
        <v>468</v>
      </c>
      <c r="G762" s="146">
        <f>+H761</f>
        <v>24000000</v>
      </c>
      <c r="H762" s="149">
        <v>0</v>
      </c>
      <c r="I762" s="149">
        <f>IF(G762&lt;&gt;0,G762,-H762)</f>
        <v>24000000</v>
      </c>
      <c r="J762" s="146">
        <f>-J761</f>
        <v>0</v>
      </c>
      <c r="K762" s="111" t="str">
        <f>K761</f>
        <v>BANK KELUAR</v>
      </c>
      <c r="L762" s="151" t="str">
        <f>L761</f>
        <v>PINJAMAN RUTIN FARID F, 60X</v>
      </c>
    </row>
    <row r="763" spans="1:42" s="111" customFormat="1" ht="12" customHeight="1" x14ac:dyDescent="0.2">
      <c r="A763" s="133"/>
      <c r="B763" s="135"/>
      <c r="C763" s="136"/>
      <c r="D763" s="134"/>
      <c r="E763" s="139"/>
      <c r="F763" s="144"/>
      <c r="G763" s="146"/>
      <c r="H763" s="149"/>
      <c r="I763" s="149"/>
      <c r="J763" s="146"/>
      <c r="L763" s="151"/>
    </row>
    <row r="764" spans="1:42" s="111" customFormat="1" ht="12" customHeight="1" x14ac:dyDescent="0.2">
      <c r="A764" s="133"/>
      <c r="B764" s="135" t="str">
        <f>VLOOKUP(F764,BB!$A$8:$C$152,3,0)</f>
        <v>A02</v>
      </c>
      <c r="C764" s="136">
        <v>202607</v>
      </c>
      <c r="D764" s="134" t="s">
        <v>920</v>
      </c>
      <c r="E764" s="139">
        <v>46206</v>
      </c>
      <c r="F764" s="144" t="s">
        <v>166</v>
      </c>
      <c r="G764" s="149">
        <v>15680000</v>
      </c>
      <c r="H764" s="149">
        <v>0</v>
      </c>
      <c r="I764" s="189">
        <f>IF(G764&lt;&gt;0,G764,-H764)</f>
        <v>15680000</v>
      </c>
      <c r="J764" s="149">
        <v>0</v>
      </c>
      <c r="K764" s="111" t="s">
        <v>305</v>
      </c>
      <c r="L764" s="152" t="s">
        <v>921</v>
      </c>
    </row>
    <row r="765" spans="1:42" s="111" customFormat="1" ht="12" customHeight="1" x14ac:dyDescent="0.2">
      <c r="A765" s="133"/>
      <c r="B765" s="135" t="str">
        <f>VLOOKUP(F765,BB!$A$8:$C$152,3,0)</f>
        <v>A04B</v>
      </c>
      <c r="C765" s="136">
        <f t="shared" ref="C765:E765" si="202">C764</f>
        <v>202607</v>
      </c>
      <c r="D765" s="136" t="str">
        <f t="shared" si="202"/>
        <v>MDR-2607005</v>
      </c>
      <c r="E765" s="186">
        <f t="shared" si="202"/>
        <v>46206</v>
      </c>
      <c r="F765" s="144" t="s">
        <v>464</v>
      </c>
      <c r="G765" s="146">
        <v>0</v>
      </c>
      <c r="H765" s="149">
        <f>+G764</f>
        <v>15680000</v>
      </c>
      <c r="I765" s="189">
        <f>IF(G765&lt;&gt;0,G765,-H765)</f>
        <v>-15680000</v>
      </c>
      <c r="J765" s="146">
        <v>0</v>
      </c>
      <c r="K765" s="111" t="str">
        <f>K764</f>
        <v>BANK MASUK</v>
      </c>
      <c r="L765" s="151" t="str">
        <f>L764</f>
        <v>TERIMA DARI GCS SEWA FORKLIFT PERIODE 202605</v>
      </c>
    </row>
    <row r="766" spans="1:42" s="111" customFormat="1" ht="12" customHeight="1" x14ac:dyDescent="0.2">
      <c r="A766" s="133"/>
      <c r="B766" s="135"/>
      <c r="C766" s="136"/>
      <c r="D766" s="134"/>
      <c r="E766" s="139"/>
      <c r="F766" s="144"/>
      <c r="G766" s="146"/>
      <c r="H766" s="149"/>
      <c r="I766" s="149"/>
      <c r="J766" s="146"/>
      <c r="L766" s="151"/>
    </row>
    <row r="767" spans="1:42" s="111" customFormat="1" ht="12" customHeight="1" x14ac:dyDescent="0.2">
      <c r="A767" s="133"/>
      <c r="B767" s="135" t="str">
        <f>VLOOKUP(F767,BB!$A$8:$C$152,3,0)</f>
        <v>A02</v>
      </c>
      <c r="C767" s="136">
        <v>202607</v>
      </c>
      <c r="D767" s="134" t="s">
        <v>922</v>
      </c>
      <c r="E767" s="139">
        <v>46210</v>
      </c>
      <c r="F767" s="144" t="s">
        <v>166</v>
      </c>
      <c r="G767" s="149">
        <v>0</v>
      </c>
      <c r="H767" s="149">
        <v>8333333</v>
      </c>
      <c r="I767" s="149">
        <f>IF(G767&lt;&gt;0,G767,-H767)</f>
        <v>-8333333</v>
      </c>
      <c r="J767" s="149">
        <v>0</v>
      </c>
      <c r="K767" s="111" t="s">
        <v>304</v>
      </c>
      <c r="L767" s="151" t="s">
        <v>564</v>
      </c>
    </row>
    <row r="768" spans="1:42" s="111" customFormat="1" ht="12" customHeight="1" x14ac:dyDescent="0.2">
      <c r="A768" s="133"/>
      <c r="B768" s="135" t="str">
        <f>VLOOKUP(F768,BB!$A$8:$C$152,3,0)</f>
        <v>A04A</v>
      </c>
      <c r="C768" s="136">
        <f t="shared" ref="C768:E768" si="203">C767</f>
        <v>202607</v>
      </c>
      <c r="D768" s="134" t="str">
        <f t="shared" si="203"/>
        <v>MDR-2607006</v>
      </c>
      <c r="E768" s="139">
        <f t="shared" si="203"/>
        <v>46210</v>
      </c>
      <c r="F768" s="144" t="s">
        <v>468</v>
      </c>
      <c r="G768" s="146">
        <v>100000000</v>
      </c>
      <c r="H768" s="149">
        <v>0</v>
      </c>
      <c r="I768" s="149">
        <f>IF(G768&lt;&gt;0,G768,-H768)</f>
        <v>100000000</v>
      </c>
      <c r="J768" s="146">
        <f>-J767</f>
        <v>0</v>
      </c>
      <c r="K768" s="111" t="str">
        <f>K767</f>
        <v>BANK KELUAR</v>
      </c>
      <c r="L768" s="151" t="str">
        <f>L767</f>
        <v>PINJAMAN RUTIN DARWANTO, 60X, KOMPENSASI</v>
      </c>
    </row>
    <row r="769" spans="1:12" s="111" customFormat="1" ht="12" customHeight="1" x14ac:dyDescent="0.2">
      <c r="A769" s="133"/>
      <c r="B769" s="135" t="str">
        <f>VLOOKUP(F769,BB!$A$8:$C$152,3,0)</f>
        <v>A04A</v>
      </c>
      <c r="C769" s="136">
        <f t="shared" ref="C769:E769" si="204">C768</f>
        <v>202607</v>
      </c>
      <c r="D769" s="134" t="str">
        <f t="shared" si="204"/>
        <v>MDR-2607006</v>
      </c>
      <c r="E769" s="139">
        <f t="shared" si="204"/>
        <v>46210</v>
      </c>
      <c r="F769" s="144" t="s">
        <v>468</v>
      </c>
      <c r="G769" s="146">
        <v>0</v>
      </c>
      <c r="H769" s="149">
        <f>G768-H767</f>
        <v>91666667</v>
      </c>
      <c r="I769" s="149">
        <f>IF(G769&lt;&gt;0,G769,-H769)</f>
        <v>-91666667</v>
      </c>
      <c r="J769" s="146">
        <f>-J768</f>
        <v>0</v>
      </c>
      <c r="K769" s="111" t="str">
        <f>K768</f>
        <v>BANK KELUAR</v>
      </c>
      <c r="L769" s="151" t="str">
        <f>L768</f>
        <v>PINJAMAN RUTIN DARWANTO, 60X, KOMPENSASI</v>
      </c>
    </row>
    <row r="770" spans="1:12" s="111" customFormat="1" ht="12" customHeight="1" x14ac:dyDescent="0.2">
      <c r="A770" s="133"/>
      <c r="B770" s="135"/>
      <c r="C770" s="136"/>
      <c r="D770" s="134"/>
      <c r="E770" s="139"/>
      <c r="F770" s="144"/>
      <c r="G770" s="146"/>
      <c r="H770" s="149"/>
      <c r="I770" s="149"/>
      <c r="J770" s="146"/>
      <c r="L770" s="151"/>
    </row>
    <row r="771" spans="1:12" s="111" customFormat="1" ht="12" customHeight="1" x14ac:dyDescent="0.2">
      <c r="A771" s="133"/>
      <c r="B771" s="135" t="str">
        <f>VLOOKUP(F771,BB!$A$8:$C$152,3,0)</f>
        <v>A02</v>
      </c>
      <c r="C771" s="136">
        <v>202607</v>
      </c>
      <c r="D771" s="134" t="s">
        <v>923</v>
      </c>
      <c r="E771" s="139">
        <v>46219</v>
      </c>
      <c r="F771" s="144" t="s">
        <v>166</v>
      </c>
      <c r="G771" s="149">
        <v>0</v>
      </c>
      <c r="H771" s="149">
        <v>14475000</v>
      </c>
      <c r="I771" s="189">
        <f>IF(G771&lt;&gt;0,G771,-H771)</f>
        <v>-14475000</v>
      </c>
      <c r="J771" s="149">
        <v>0</v>
      </c>
      <c r="K771" s="111" t="s">
        <v>304</v>
      </c>
      <c r="L771" s="152" t="s">
        <v>924</v>
      </c>
    </row>
    <row r="772" spans="1:12" s="111" customFormat="1" ht="12" customHeight="1" x14ac:dyDescent="0.2">
      <c r="A772" s="133"/>
      <c r="B772" s="135" t="str">
        <f>VLOOKUP(F772,BB!$A$8:$C$152,3,0)</f>
        <v>P05</v>
      </c>
      <c r="C772" s="136">
        <f>C771</f>
        <v>202607</v>
      </c>
      <c r="D772" s="134" t="str">
        <f>D771</f>
        <v>MDR-2607007</v>
      </c>
      <c r="E772" s="139">
        <f>E771</f>
        <v>46219</v>
      </c>
      <c r="F772" s="144" t="s">
        <v>435</v>
      </c>
      <c r="G772" s="146">
        <f>H771</f>
        <v>14475000</v>
      </c>
      <c r="H772" s="149">
        <f>G771</f>
        <v>0</v>
      </c>
      <c r="I772" s="189">
        <f>IF(G772&lt;&gt;0,G772,-H772)</f>
        <v>14475000</v>
      </c>
      <c r="J772" s="146">
        <f>-J771</f>
        <v>0</v>
      </c>
      <c r="K772" s="111" t="str">
        <f>K771</f>
        <v>BANK KELUAR</v>
      </c>
      <c r="L772" s="151" t="str">
        <f>L771</f>
        <v>PEMBAYARAN JASA FORKLIFT ACHMAD LUTHFIE PERIODE 202605</v>
      </c>
    </row>
    <row r="773" spans="1:12" s="111" customFormat="1" ht="12" customHeight="1" x14ac:dyDescent="0.2">
      <c r="A773" s="133"/>
      <c r="B773" s="135"/>
      <c r="C773" s="136"/>
      <c r="D773" s="134"/>
      <c r="E773" s="139"/>
      <c r="F773" s="144"/>
      <c r="G773" s="146"/>
      <c r="H773" s="149"/>
      <c r="I773" s="149"/>
      <c r="J773" s="146"/>
      <c r="L773" s="151"/>
    </row>
    <row r="774" spans="1:12" s="111" customFormat="1" ht="12" customHeight="1" x14ac:dyDescent="0.2">
      <c r="A774" s="133"/>
      <c r="B774" s="135" t="str">
        <f>VLOOKUP(F774,BB!$A$8:$C$152,3,0)</f>
        <v>A02</v>
      </c>
      <c r="C774" s="136">
        <v>202607</v>
      </c>
      <c r="D774" s="134" t="s">
        <v>925</v>
      </c>
      <c r="E774" s="139">
        <v>46226</v>
      </c>
      <c r="F774" s="144" t="s">
        <v>166</v>
      </c>
      <c r="G774" s="149">
        <v>15680000</v>
      </c>
      <c r="H774" s="149">
        <v>0</v>
      </c>
      <c r="I774" s="189">
        <f>IF(G774&lt;&gt;0,G774,-H774)</f>
        <v>15680000</v>
      </c>
      <c r="J774" s="149">
        <v>0</v>
      </c>
      <c r="K774" s="111" t="s">
        <v>305</v>
      </c>
      <c r="L774" s="152" t="s">
        <v>926</v>
      </c>
    </row>
    <row r="775" spans="1:12" s="111" customFormat="1" ht="12" customHeight="1" x14ac:dyDescent="0.2">
      <c r="A775" s="133"/>
      <c r="B775" s="135" t="str">
        <f>VLOOKUP(F775,BB!$A$8:$C$152,3,0)</f>
        <v>A04B</v>
      </c>
      <c r="C775" s="136">
        <f t="shared" ref="C775:E775" si="205">C774</f>
        <v>202607</v>
      </c>
      <c r="D775" s="136" t="str">
        <f t="shared" si="205"/>
        <v>MDR-2607008</v>
      </c>
      <c r="E775" s="186">
        <f t="shared" si="205"/>
        <v>46226</v>
      </c>
      <c r="F775" s="144" t="s">
        <v>464</v>
      </c>
      <c r="G775" s="146">
        <v>0</v>
      </c>
      <c r="H775" s="149">
        <f>+G774</f>
        <v>15680000</v>
      </c>
      <c r="I775" s="189">
        <f>IF(G775&lt;&gt;0,G775,-H775)</f>
        <v>-15680000</v>
      </c>
      <c r="J775" s="146">
        <v>0</v>
      </c>
      <c r="K775" s="111" t="str">
        <f>K774</f>
        <v>BANK MASUK</v>
      </c>
      <c r="L775" s="151" t="str">
        <f>L774</f>
        <v>TERIMA DARI GCS SEWA FORKLIFT PERIODE 202606</v>
      </c>
    </row>
    <row r="776" spans="1:12" s="111" customFormat="1" ht="12" customHeight="1" x14ac:dyDescent="0.2">
      <c r="A776" s="133"/>
      <c r="B776" s="135"/>
      <c r="C776" s="136"/>
      <c r="D776" s="134"/>
      <c r="E776" s="139"/>
      <c r="F776" s="144"/>
      <c r="G776" s="146"/>
      <c r="H776" s="149"/>
      <c r="I776" s="149"/>
      <c r="J776" s="146"/>
      <c r="L776" s="151"/>
    </row>
    <row r="777" spans="1:12" s="111" customFormat="1" ht="12" customHeight="1" x14ac:dyDescent="0.2">
      <c r="A777" s="133"/>
      <c r="B777" s="135" t="str">
        <f>VLOOKUP(F777,BB!$A$8:$C$152,3,0)</f>
        <v>A02</v>
      </c>
      <c r="C777" s="136">
        <v>202607</v>
      </c>
      <c r="D777" s="134" t="s">
        <v>927</v>
      </c>
      <c r="E777" s="139">
        <v>46227</v>
      </c>
      <c r="F777" s="144" t="s">
        <v>166</v>
      </c>
      <c r="G777" s="146">
        <v>88166496</v>
      </c>
      <c r="H777" s="149">
        <v>0</v>
      </c>
      <c r="I777" s="149">
        <f t="shared" ref="I777:I782" si="206">IF(G777&lt;&gt;0,G777,-H777)</f>
        <v>88166496</v>
      </c>
      <c r="J777" s="149">
        <v>0</v>
      </c>
      <c r="K777" s="111" t="s">
        <v>305</v>
      </c>
      <c r="L777" s="151" t="s">
        <v>928</v>
      </c>
    </row>
    <row r="778" spans="1:12" s="111" customFormat="1" ht="12" customHeight="1" x14ac:dyDescent="0.2">
      <c r="A778" s="133"/>
      <c r="B778" s="135" t="str">
        <f>VLOOKUP(F778,BB!$A$8:$C$152,3,0)</f>
        <v>A04A</v>
      </c>
      <c r="C778" s="136">
        <f t="shared" ref="C778:E778" si="207">C777</f>
        <v>202607</v>
      </c>
      <c r="D778" s="134" t="str">
        <f t="shared" si="207"/>
        <v>MDR-2607009</v>
      </c>
      <c r="E778" s="139">
        <f t="shared" si="207"/>
        <v>46227</v>
      </c>
      <c r="F778" s="144" t="s">
        <v>468</v>
      </c>
      <c r="G778" s="146">
        <v>0</v>
      </c>
      <c r="H778" s="149">
        <v>65128194.44444444</v>
      </c>
      <c r="I778" s="149">
        <f t="shared" si="206"/>
        <v>-65128194.44444444</v>
      </c>
      <c r="J778" s="146">
        <f>-J777</f>
        <v>0</v>
      </c>
      <c r="K778" s="111" t="str">
        <f>K777</f>
        <v>BANK MASUK</v>
      </c>
      <c r="L778" s="151" t="str">
        <f>"ANGSURAN PIRUT DARI "&amp;MID(L777,17,50)</f>
        <v>ANGSURAN PIRUT DARI POTONGAN GAJI BULAN JULI 2026</v>
      </c>
    </row>
    <row r="779" spans="1:12" s="111" customFormat="1" ht="12" customHeight="1" x14ac:dyDescent="0.2">
      <c r="A779" s="133"/>
      <c r="B779" s="135" t="str">
        <f>VLOOKUP(F779,BB!$A$8:$C$152,3,0)</f>
        <v>P12</v>
      </c>
      <c r="C779" s="136">
        <f t="shared" ref="C779:E779" si="208">C778</f>
        <v>202607</v>
      </c>
      <c r="D779" s="134" t="str">
        <f t="shared" si="208"/>
        <v>MDR-2607009</v>
      </c>
      <c r="E779" s="139">
        <f t="shared" si="208"/>
        <v>46227</v>
      </c>
      <c r="F779" s="140" t="s">
        <v>227</v>
      </c>
      <c r="G779" s="146">
        <v>0</v>
      </c>
      <c r="H779" s="149">
        <v>3850000</v>
      </c>
      <c r="I779" s="149">
        <f t="shared" si="206"/>
        <v>-3850000</v>
      </c>
      <c r="J779" s="146">
        <f>-J778</f>
        <v>0</v>
      </c>
      <c r="K779" s="111" t="str">
        <f>K778</f>
        <v>BANK MASUK</v>
      </c>
      <c r="L779" s="151" t="s">
        <v>500</v>
      </c>
    </row>
    <row r="780" spans="1:12" s="111" customFormat="1" ht="12" customHeight="1" x14ac:dyDescent="0.2">
      <c r="A780" s="133"/>
      <c r="B780" s="135" t="str">
        <f>VLOOKUP(F780,BB!$A$8:$C$152,3,0)</f>
        <v>LR01A</v>
      </c>
      <c r="C780" s="136">
        <f t="shared" ref="C780:E780" si="209">C779</f>
        <v>202607</v>
      </c>
      <c r="D780" s="134" t="str">
        <f t="shared" si="209"/>
        <v>MDR-2607009</v>
      </c>
      <c r="E780" s="139">
        <f t="shared" si="209"/>
        <v>46227</v>
      </c>
      <c r="F780" s="144" t="s">
        <v>369</v>
      </c>
      <c r="G780" s="146">
        <v>0</v>
      </c>
      <c r="H780" s="146">
        <v>84316496.527777776</v>
      </c>
      <c r="I780" s="149">
        <f t="shared" si="206"/>
        <v>-84316496.527777776</v>
      </c>
      <c r="J780" s="146">
        <f>-J779</f>
        <v>0</v>
      </c>
      <c r="K780" s="111" t="str">
        <f>K779</f>
        <v>BANK MASUK</v>
      </c>
      <c r="L780" s="151" t="str">
        <f>"PENDAPATAN PIRUT "&amp;MID(L777,31,50)</f>
        <v>PENDAPATAN PIRUT BULAN JULI 2026</v>
      </c>
    </row>
    <row r="781" spans="1:12" s="111" customFormat="1" ht="12" customHeight="1" x14ac:dyDescent="0.2">
      <c r="A781" s="133"/>
      <c r="B781" s="135" t="str">
        <f>VLOOKUP(F781,BB!$A$8:$C$152,3,0)</f>
        <v>LR02A</v>
      </c>
      <c r="C781" s="136">
        <f t="shared" ref="C781:E781" si="210">C780</f>
        <v>202607</v>
      </c>
      <c r="D781" s="134" t="str">
        <f t="shared" si="210"/>
        <v>MDR-2607009</v>
      </c>
      <c r="E781" s="139">
        <f t="shared" si="210"/>
        <v>46227</v>
      </c>
      <c r="F781" s="144" t="s">
        <v>373</v>
      </c>
      <c r="G781" s="146">
        <f>H778</f>
        <v>65128194.44444444</v>
      </c>
      <c r="H781" s="146">
        <v>0</v>
      </c>
      <c r="I781" s="149">
        <f t="shared" si="206"/>
        <v>65128194.44444444</v>
      </c>
      <c r="J781" s="146">
        <f>-J780</f>
        <v>0</v>
      </c>
      <c r="K781" s="111" t="str">
        <f>K780</f>
        <v>BANK MASUK</v>
      </c>
      <c r="L781" s="151" t="str">
        <f>"HPP "&amp;MID(L780,12,50)</f>
        <v>HPP PIRUT BULAN JULI 2026</v>
      </c>
    </row>
    <row r="782" spans="1:12" s="111" customFormat="1" ht="12" customHeight="1" x14ac:dyDescent="0.2">
      <c r="A782" s="133"/>
      <c r="B782" s="135" t="str">
        <f>VLOOKUP(F782,BB!$A$8:$C$152,3,0)</f>
        <v>LR07</v>
      </c>
      <c r="C782" s="136">
        <f t="shared" ref="C782:E782" si="211">C781</f>
        <v>202607</v>
      </c>
      <c r="D782" s="134" t="str">
        <f t="shared" si="211"/>
        <v>MDR-2607009</v>
      </c>
      <c r="E782" s="139">
        <f t="shared" si="211"/>
        <v>46227</v>
      </c>
      <c r="F782" s="144" t="s">
        <v>249</v>
      </c>
      <c r="G782" s="146">
        <f>IF(SUM(I777:I781)&lt;0,-SUM(I777:I781),0)</f>
        <v>0.5277777761220932</v>
      </c>
      <c r="H782" s="146">
        <f>IF(SUM(I777:I781)&gt;0,-SUM(J777:J781),0)</f>
        <v>0</v>
      </c>
      <c r="I782" s="149">
        <f t="shared" si="206"/>
        <v>0.5277777761220932</v>
      </c>
      <c r="J782" s="146">
        <f>-J781</f>
        <v>0</v>
      </c>
      <c r="K782" s="111" t="str">
        <f>K781</f>
        <v>BANK MASUK</v>
      </c>
      <c r="L782" s="151" t="s">
        <v>434</v>
      </c>
    </row>
    <row r="783" spans="1:12" s="111" customFormat="1" ht="12" customHeight="1" x14ac:dyDescent="0.2">
      <c r="A783" s="133"/>
      <c r="B783" s="135"/>
      <c r="C783" s="136"/>
      <c r="D783" s="134"/>
      <c r="E783" s="139"/>
      <c r="F783" s="144"/>
      <c r="G783" s="146"/>
      <c r="H783" s="149"/>
      <c r="I783" s="149"/>
      <c r="J783" s="146"/>
      <c r="L783" s="151"/>
    </row>
    <row r="784" spans="1:12" s="111" customFormat="1" ht="12" customHeight="1" x14ac:dyDescent="0.2">
      <c r="A784" s="133"/>
      <c r="B784" s="135" t="str">
        <f>VLOOKUP(F784,BB!$A$8:$C$152,3,0)</f>
        <v>A02</v>
      </c>
      <c r="C784" s="136">
        <v>202607</v>
      </c>
      <c r="D784" s="134" t="s">
        <v>929</v>
      </c>
      <c r="E784" s="139">
        <v>46230</v>
      </c>
      <c r="F784" s="144" t="s">
        <v>166</v>
      </c>
      <c r="G784" s="149">
        <v>0</v>
      </c>
      <c r="H784" s="149">
        <v>20000000</v>
      </c>
      <c r="I784" s="149">
        <f>IF(G784&lt;&gt;0,G784,-H784)</f>
        <v>-20000000</v>
      </c>
      <c r="J784" s="149">
        <v>0</v>
      </c>
      <c r="K784" s="111" t="s">
        <v>304</v>
      </c>
      <c r="L784" s="151" t="s">
        <v>930</v>
      </c>
    </row>
    <row r="785" spans="1:12" s="111" customFormat="1" ht="12" customHeight="1" x14ac:dyDescent="0.2">
      <c r="A785" s="133"/>
      <c r="B785" s="135" t="str">
        <f>VLOOKUP(F785,BB!$A$8:$C$152,3,0)</f>
        <v>A04A</v>
      </c>
      <c r="C785" s="136">
        <f t="shared" ref="C785:E785" si="212">C784</f>
        <v>202607</v>
      </c>
      <c r="D785" s="134" t="str">
        <f t="shared" si="212"/>
        <v>MDR-2607010</v>
      </c>
      <c r="E785" s="139">
        <f t="shared" si="212"/>
        <v>46230</v>
      </c>
      <c r="F785" s="144" t="s">
        <v>468</v>
      </c>
      <c r="G785" s="146">
        <v>100000000</v>
      </c>
      <c r="H785" s="149">
        <v>0</v>
      </c>
      <c r="I785" s="149">
        <f>IF(G785&lt;&gt;0,G785,-H785)</f>
        <v>100000000</v>
      </c>
      <c r="J785" s="146">
        <f>-J784</f>
        <v>0</v>
      </c>
      <c r="K785" s="111" t="str">
        <f>K784</f>
        <v>BANK KELUAR</v>
      </c>
      <c r="L785" s="151" t="str">
        <f>L784</f>
        <v>PINJAMAN RUTIN JOKO P, 60X, KOMPENSASI</v>
      </c>
    </row>
    <row r="786" spans="1:12" s="111" customFormat="1" ht="12" customHeight="1" x14ac:dyDescent="0.2">
      <c r="A786" s="133"/>
      <c r="B786" s="135" t="str">
        <f>VLOOKUP(F786,BB!$A$8:$C$152,3,0)</f>
        <v>A04A</v>
      </c>
      <c r="C786" s="136">
        <f t="shared" ref="C786:E786" si="213">C785</f>
        <v>202607</v>
      </c>
      <c r="D786" s="134" t="str">
        <f t="shared" si="213"/>
        <v>MDR-2607010</v>
      </c>
      <c r="E786" s="139">
        <f t="shared" si="213"/>
        <v>46230</v>
      </c>
      <c r="F786" s="144" t="s">
        <v>468</v>
      </c>
      <c r="G786" s="146">
        <v>0</v>
      </c>
      <c r="H786" s="149">
        <f>G785-H784</f>
        <v>80000000</v>
      </c>
      <c r="I786" s="149">
        <f>IF(G786&lt;&gt;0,G786,-H786)</f>
        <v>-80000000</v>
      </c>
      <c r="J786" s="146">
        <f>-J785</f>
        <v>0</v>
      </c>
      <c r="K786" s="111" t="str">
        <f>K785</f>
        <v>BANK KELUAR</v>
      </c>
      <c r="L786" s="151" t="str">
        <f>L785</f>
        <v>PINJAMAN RUTIN JOKO P, 60X, KOMPENSASI</v>
      </c>
    </row>
    <row r="787" spans="1:12" s="111" customFormat="1" ht="12" customHeight="1" x14ac:dyDescent="0.2">
      <c r="A787" s="133"/>
      <c r="B787" s="135"/>
      <c r="C787" s="136"/>
      <c r="D787" s="134"/>
      <c r="E787" s="139"/>
      <c r="F787" s="144"/>
      <c r="G787" s="146"/>
      <c r="H787" s="149"/>
      <c r="I787" s="149"/>
      <c r="J787" s="146"/>
      <c r="L787" s="151"/>
    </row>
    <row r="788" spans="1:12" s="111" customFormat="1" ht="12" customHeight="1" x14ac:dyDescent="0.2">
      <c r="A788" s="133"/>
      <c r="B788" s="135" t="str">
        <f>VLOOKUP(F788,BB!$A$8:$C$152,3,0)</f>
        <v>A02</v>
      </c>
      <c r="C788" s="136">
        <v>202607</v>
      </c>
      <c r="D788" s="134" t="s">
        <v>931</v>
      </c>
      <c r="E788" s="139">
        <v>46234</v>
      </c>
      <c r="F788" s="144" t="s">
        <v>166</v>
      </c>
      <c r="G788" s="149">
        <f>IF(SUM(I789:I791)&lt;0,-SUM(I789:I791),0)</f>
        <v>0</v>
      </c>
      <c r="H788" s="149">
        <f>IF(SUM(I789:I791)&gt;0,SUM(I789:I791),0)</f>
        <v>14454.71</v>
      </c>
      <c r="I788" s="149">
        <f>IF(G788&lt;&gt;0,G788,-H788)</f>
        <v>-14454.71</v>
      </c>
      <c r="J788" s="146">
        <f>-J787</f>
        <v>0</v>
      </c>
      <c r="K788" s="111" t="str">
        <f>IF(I788&gt;0,"BANK MASUK","BANK KELUAR")</f>
        <v>BANK KELUAR</v>
      </c>
      <c r="L788" s="151" t="str">
        <f>IF(K788="BANK MASUK","PENDAPATAN ATAS REKENING GIRO MANDIRI","BIAYA ATAS REKENING GIRO MANDIRI")</f>
        <v>BIAYA ATAS REKENING GIRO MANDIRI</v>
      </c>
    </row>
    <row r="789" spans="1:12" s="111" customFormat="1" ht="12" customHeight="1" x14ac:dyDescent="0.2">
      <c r="A789" s="133"/>
      <c r="B789" s="135" t="str">
        <f>VLOOKUP(F789,BB!$A$8:$C$152,3,0)</f>
        <v>LR07</v>
      </c>
      <c r="C789" s="136">
        <f t="shared" ref="C789:E789" si="214">C788</f>
        <v>202607</v>
      </c>
      <c r="D789" s="134" t="str">
        <f t="shared" si="214"/>
        <v>MDR-2607011</v>
      </c>
      <c r="E789" s="139">
        <f t="shared" si="214"/>
        <v>46234</v>
      </c>
      <c r="F789" s="144" t="s">
        <v>248</v>
      </c>
      <c r="G789" s="149">
        <v>25000</v>
      </c>
      <c r="H789" s="149">
        <v>0</v>
      </c>
      <c r="I789" s="149">
        <f>IF(G789&lt;&gt;0,G789,-H789)</f>
        <v>25000</v>
      </c>
      <c r="J789" s="146">
        <f>-J788</f>
        <v>0</v>
      </c>
      <c r="K789" s="111" t="str">
        <f>K788</f>
        <v>BANK KELUAR</v>
      </c>
      <c r="L789" s="151" t="s">
        <v>409</v>
      </c>
    </row>
    <row r="790" spans="1:12" s="111" customFormat="1" ht="12" customHeight="1" x14ac:dyDescent="0.2">
      <c r="A790" s="133"/>
      <c r="B790" s="135" t="str">
        <f>VLOOKUP(F790,BB!$A$8:$C$152,3,0)</f>
        <v>LR07</v>
      </c>
      <c r="C790" s="136">
        <f t="shared" ref="C790:E790" si="215">C789</f>
        <v>202607</v>
      </c>
      <c r="D790" s="134" t="str">
        <f t="shared" si="215"/>
        <v>MDR-2607011</v>
      </c>
      <c r="E790" s="139">
        <f t="shared" si="215"/>
        <v>46234</v>
      </c>
      <c r="F790" s="144" t="s">
        <v>248</v>
      </c>
      <c r="G790" s="149">
        <v>0</v>
      </c>
      <c r="H790" s="149">
        <v>13181.61</v>
      </c>
      <c r="I790" s="149">
        <f>IF(G790&lt;&gt;0,G790,-H790)</f>
        <v>-13181.61</v>
      </c>
      <c r="J790" s="146">
        <f>-J789</f>
        <v>0</v>
      </c>
      <c r="K790" s="111" t="str">
        <f>K789</f>
        <v>BANK KELUAR</v>
      </c>
      <c r="L790" s="151" t="s">
        <v>410</v>
      </c>
    </row>
    <row r="791" spans="1:12" s="111" customFormat="1" ht="12" customHeight="1" x14ac:dyDescent="0.2">
      <c r="A791" s="133"/>
      <c r="B791" s="135" t="str">
        <f>VLOOKUP(F791,BB!$A$8:$C$152,3,0)</f>
        <v>LR07</v>
      </c>
      <c r="C791" s="136">
        <f t="shared" ref="C791:E791" si="216">C790</f>
        <v>202607</v>
      </c>
      <c r="D791" s="134" t="str">
        <f t="shared" si="216"/>
        <v>MDR-2607011</v>
      </c>
      <c r="E791" s="139">
        <f t="shared" si="216"/>
        <v>46234</v>
      </c>
      <c r="F791" s="144" t="s">
        <v>248</v>
      </c>
      <c r="G791" s="149">
        <v>2636.32</v>
      </c>
      <c r="H791" s="149">
        <v>0</v>
      </c>
      <c r="I791" s="149">
        <f>IF(G791&lt;&gt;0,G791,-H791)</f>
        <v>2636.32</v>
      </c>
      <c r="J791" s="146">
        <f>-J790</f>
        <v>0</v>
      </c>
      <c r="K791" s="111" t="str">
        <f>K790</f>
        <v>BANK KELUAR</v>
      </c>
      <c r="L791" s="151" t="s">
        <v>411</v>
      </c>
    </row>
    <row r="792" spans="1:12" s="111" customFormat="1" ht="12" customHeight="1" x14ac:dyDescent="0.2">
      <c r="A792" s="133"/>
      <c r="B792" s="135"/>
      <c r="C792" s="136"/>
      <c r="D792" s="134"/>
      <c r="E792" s="139"/>
      <c r="F792" s="144"/>
      <c r="G792" s="146"/>
      <c r="H792" s="149"/>
      <c r="I792" s="149"/>
      <c r="J792" s="146"/>
      <c r="L792" s="151"/>
    </row>
    <row r="793" spans="1:12" s="111" customFormat="1" ht="12" customHeight="1" x14ac:dyDescent="0.2">
      <c r="A793" s="133"/>
      <c r="B793" s="135" t="str">
        <f>VLOOKUP(F793,BB!$A$8:$C$152,3,0)</f>
        <v>A02</v>
      </c>
      <c r="C793" s="136">
        <v>202607</v>
      </c>
      <c r="D793" s="134" t="s">
        <v>932</v>
      </c>
      <c r="E793" s="139">
        <v>46234</v>
      </c>
      <c r="F793" s="144" t="s">
        <v>167</v>
      </c>
      <c r="G793" s="149">
        <v>0</v>
      </c>
      <c r="H793" s="149">
        <v>30000</v>
      </c>
      <c r="I793" s="149">
        <f>IF(G793&lt;&gt;0,G793,-H793)</f>
        <v>-30000</v>
      </c>
      <c r="J793" s="149">
        <v>0</v>
      </c>
      <c r="K793" s="111" t="s">
        <v>304</v>
      </c>
      <c r="L793" s="151" t="s">
        <v>409</v>
      </c>
    </row>
    <row r="794" spans="1:12" s="111" customFormat="1" ht="12" customHeight="1" x14ac:dyDescent="0.2">
      <c r="A794" s="133"/>
      <c r="B794" s="135" t="str">
        <f>VLOOKUP(F794,BB!$A$8:$C$152,3,0)</f>
        <v>LR07</v>
      </c>
      <c r="C794" s="136">
        <f>C793</f>
        <v>202607</v>
      </c>
      <c r="D794" s="134" t="str">
        <f>D793</f>
        <v>BCA-2607001</v>
      </c>
      <c r="E794" s="139">
        <f>E793</f>
        <v>46234</v>
      </c>
      <c r="F794" s="144" t="s">
        <v>248</v>
      </c>
      <c r="G794" s="146">
        <v>30000</v>
      </c>
      <c r="H794" s="149">
        <v>0</v>
      </c>
      <c r="I794" s="149">
        <f>IF(G794&lt;&gt;0,G794,-H794)</f>
        <v>30000</v>
      </c>
      <c r="J794" s="146">
        <v>0</v>
      </c>
      <c r="K794" s="111" t="s">
        <v>304</v>
      </c>
      <c r="L794" s="151" t="s">
        <v>409</v>
      </c>
    </row>
    <row r="795" spans="1:12" s="111" customFormat="1" ht="12" customHeight="1" x14ac:dyDescent="0.2">
      <c r="A795" s="133"/>
      <c r="B795" s="135"/>
      <c r="C795" s="136"/>
      <c r="D795" s="134"/>
      <c r="E795" s="139"/>
      <c r="F795" s="144"/>
      <c r="G795" s="146"/>
      <c r="H795" s="149"/>
      <c r="I795" s="149"/>
      <c r="J795" s="146"/>
      <c r="L795" s="151"/>
    </row>
    <row r="796" spans="1:12" s="111" customFormat="1" ht="12" customHeight="1" x14ac:dyDescent="0.2">
      <c r="A796" s="133"/>
      <c r="B796" s="135" t="str">
        <f>VLOOKUP(F796,BB!$A$8:$C$152,3,0)</f>
        <v>A01</v>
      </c>
      <c r="C796" s="136">
        <v>202607</v>
      </c>
      <c r="D796" s="134" t="s">
        <v>933</v>
      </c>
      <c r="E796" s="139">
        <v>46205</v>
      </c>
      <c r="F796" s="144" t="s">
        <v>163</v>
      </c>
      <c r="G796" s="149">
        <v>5000000</v>
      </c>
      <c r="H796" s="149">
        <v>0</v>
      </c>
      <c r="I796" s="149">
        <f>IF(G796&lt;&gt;0,G796,-H796)</f>
        <v>5000000</v>
      </c>
      <c r="J796" s="149">
        <v>0</v>
      </c>
      <c r="K796" s="111" t="s">
        <v>509</v>
      </c>
      <c r="L796" s="152" t="s">
        <v>755</v>
      </c>
    </row>
    <row r="797" spans="1:12" s="111" customFormat="1" ht="12" customHeight="1" x14ac:dyDescent="0.2">
      <c r="A797" s="133"/>
      <c r="B797" s="135" t="str">
        <f>VLOOKUP(F797,BB!$A$8:$C$152,3,0)</f>
        <v>A01</v>
      </c>
      <c r="C797" s="136">
        <f>C796</f>
        <v>202607</v>
      </c>
      <c r="D797" s="134" t="str">
        <f>D796</f>
        <v>KAS-2607001</v>
      </c>
      <c r="E797" s="139">
        <f>E796</f>
        <v>46205</v>
      </c>
      <c r="F797" s="144" t="s">
        <v>164</v>
      </c>
      <c r="G797" s="146">
        <f>H796</f>
        <v>0</v>
      </c>
      <c r="H797" s="149">
        <f>G796</f>
        <v>5000000</v>
      </c>
      <c r="I797" s="149">
        <f>IF(G797&lt;&gt;0,G797,-H797)</f>
        <v>-5000000</v>
      </c>
      <c r="J797" s="146">
        <f>-J796</f>
        <v>0</v>
      </c>
      <c r="K797" s="111" t="str">
        <f>K796</f>
        <v>KAS MASUK</v>
      </c>
      <c r="L797" s="151" t="str">
        <f>L796</f>
        <v>PEMINDAHAN DARI REK MANDIRI KKCS</v>
      </c>
    </row>
    <row r="798" spans="1:12" s="111" customFormat="1" ht="12" customHeight="1" x14ac:dyDescent="0.2">
      <c r="A798" s="133"/>
      <c r="B798" s="135"/>
      <c r="C798" s="136"/>
      <c r="D798" s="134"/>
      <c r="E798" s="139"/>
      <c r="F798" s="144"/>
      <c r="G798" s="146"/>
      <c r="H798" s="149"/>
      <c r="I798" s="149"/>
      <c r="J798" s="146"/>
      <c r="L798" s="151"/>
    </row>
    <row r="799" spans="1:12" s="111" customFormat="1" ht="12" customHeight="1" x14ac:dyDescent="0.2">
      <c r="A799" s="133"/>
      <c r="B799" s="135" t="str">
        <f>VLOOKUP(F799,BB!$A$8:$C$152,3,0)</f>
        <v>A01</v>
      </c>
      <c r="C799" s="136">
        <v>202607</v>
      </c>
      <c r="D799" s="134" t="s">
        <v>934</v>
      </c>
      <c r="E799" s="139">
        <v>46205</v>
      </c>
      <c r="F799" s="144" t="s">
        <v>163</v>
      </c>
      <c r="G799" s="149">
        <v>0</v>
      </c>
      <c r="H799" s="149">
        <v>370000</v>
      </c>
      <c r="I799" s="149">
        <f>IF(G799&lt;&gt;0,G799,-H799)</f>
        <v>-370000</v>
      </c>
      <c r="J799" s="149">
        <v>0</v>
      </c>
      <c r="K799" s="111" t="s">
        <v>510</v>
      </c>
      <c r="L799" s="152" t="s">
        <v>935</v>
      </c>
    </row>
    <row r="800" spans="1:12" s="111" customFormat="1" ht="12" customHeight="1" x14ac:dyDescent="0.2">
      <c r="A800" s="133"/>
      <c r="B800" s="135" t="str">
        <f>VLOOKUP(F800,BB!$A$8:$C$152,3,0)</f>
        <v>LR05</v>
      </c>
      <c r="C800" s="136">
        <f>C799</f>
        <v>202607</v>
      </c>
      <c r="D800" s="134" t="str">
        <f>D799</f>
        <v>KAS-2607002</v>
      </c>
      <c r="E800" s="139">
        <f>E799</f>
        <v>46205</v>
      </c>
      <c r="F800" s="139" t="s">
        <v>385</v>
      </c>
      <c r="G800" s="146">
        <f>H799</f>
        <v>370000</v>
      </c>
      <c r="H800" s="149">
        <f>G799</f>
        <v>0</v>
      </c>
      <c r="I800" s="149">
        <f>IF(G800&lt;&gt;0,G800,-H800)</f>
        <v>370000</v>
      </c>
      <c r="J800" s="146">
        <f>-J799</f>
        <v>0</v>
      </c>
      <c r="K800" s="111" t="str">
        <f>K799</f>
        <v>KAS KELUAR</v>
      </c>
      <c r="L800" s="151" t="str">
        <f>L799</f>
        <v>BAJU JALAN SEHAT KOPERASI</v>
      </c>
    </row>
    <row r="801" spans="1:14" s="111" customFormat="1" ht="12" customHeight="1" x14ac:dyDescent="0.2">
      <c r="A801" s="133"/>
      <c r="B801" s="135"/>
      <c r="C801" s="136"/>
      <c r="D801" s="134"/>
      <c r="E801" s="139"/>
      <c r="F801" s="144"/>
      <c r="G801" s="146"/>
      <c r="H801" s="149"/>
      <c r="I801" s="149"/>
      <c r="J801" s="146"/>
      <c r="L801" s="151"/>
    </row>
    <row r="802" spans="1:14" s="111" customFormat="1" ht="12" customHeight="1" x14ac:dyDescent="0.2">
      <c r="A802" s="133"/>
      <c r="B802" s="135" t="str">
        <f>VLOOKUP(F802,BB!$A$8:$C$152,3,0)</f>
        <v>A01</v>
      </c>
      <c r="C802" s="136">
        <v>202607</v>
      </c>
      <c r="D802" s="134" t="s">
        <v>936</v>
      </c>
      <c r="E802" s="139">
        <v>46209</v>
      </c>
      <c r="F802" s="144" t="s">
        <v>163</v>
      </c>
      <c r="G802" s="149">
        <v>350000</v>
      </c>
      <c r="H802" s="149">
        <v>0</v>
      </c>
      <c r="I802" s="149">
        <f>IF(G802&lt;&gt;0,G802,-H802)</f>
        <v>350000</v>
      </c>
      <c r="J802" s="149">
        <v>0</v>
      </c>
      <c r="K802" s="111" t="s">
        <v>509</v>
      </c>
      <c r="L802" s="152" t="s">
        <v>527</v>
      </c>
    </row>
    <row r="803" spans="1:14" s="111" customFormat="1" ht="12" customHeight="1" x14ac:dyDescent="0.2">
      <c r="A803" s="133"/>
      <c r="B803" s="135" t="str">
        <f>VLOOKUP(F803,BB!$A$8:$C$152,3,0)</f>
        <v>A04A</v>
      </c>
      <c r="C803" s="136">
        <f t="shared" ref="C803:E803" si="217">C802</f>
        <v>202607</v>
      </c>
      <c r="D803" s="134" t="str">
        <f t="shared" si="217"/>
        <v>KAS-2607003</v>
      </c>
      <c r="E803" s="139">
        <f t="shared" si="217"/>
        <v>46209</v>
      </c>
      <c r="F803" s="144" t="s">
        <v>471</v>
      </c>
      <c r="G803" s="146">
        <v>0</v>
      </c>
      <c r="H803" s="149">
        <f>+G802</f>
        <v>350000</v>
      </c>
      <c r="I803" s="149">
        <f>IF(G803&lt;&gt;0,G803,-H803)</f>
        <v>-350000</v>
      </c>
      <c r="J803" s="146">
        <f>-J802</f>
        <v>0</v>
      </c>
      <c r="K803" s="111" t="str">
        <f>K802</f>
        <v>KAS MASUK</v>
      </c>
      <c r="L803" s="152" t="str">
        <f>L802</f>
        <v>ANGSURAN PINJAMAN LAIN AN. SOLICHIN</v>
      </c>
    </row>
    <row r="804" spans="1:14" s="111" customFormat="1" ht="12" customHeight="1" x14ac:dyDescent="0.2">
      <c r="A804" s="133"/>
      <c r="B804" s="135" t="str">
        <f>VLOOKUP(F804,BB!$A$8:$C$152,3,0)</f>
        <v>LR01C</v>
      </c>
      <c r="C804" s="136">
        <f t="shared" ref="C804:E804" si="218">C803</f>
        <v>202607</v>
      </c>
      <c r="D804" s="134" t="str">
        <f t="shared" si="218"/>
        <v>KAS-2607003</v>
      </c>
      <c r="E804" s="139">
        <f t="shared" si="218"/>
        <v>46209</v>
      </c>
      <c r="F804" s="144" t="s">
        <v>371</v>
      </c>
      <c r="G804" s="146">
        <v>0</v>
      </c>
      <c r="H804" s="149">
        <f>G802-H803</f>
        <v>0</v>
      </c>
      <c r="I804" s="149">
        <f>IF(G804&lt;&gt;0,G804,-H804)</f>
        <v>0</v>
      </c>
      <c r="J804" s="146">
        <f>-J803</f>
        <v>0</v>
      </c>
      <c r="K804" s="111" t="str">
        <f>K803</f>
        <v>KAS MASUK</v>
      </c>
      <c r="L804" s="152" t="str">
        <f>"PENDAPATAN ATAS PINJAMAN LAIN "&amp;MID(L803,24,20)</f>
        <v>PENDAPATAN ATAS PINJAMAN LAIN AN. SOLICHIN</v>
      </c>
    </row>
    <row r="805" spans="1:14" s="111" customFormat="1" ht="12" customHeight="1" x14ac:dyDescent="0.2">
      <c r="A805" s="133"/>
      <c r="B805" s="135"/>
      <c r="C805" s="136"/>
      <c r="D805" s="134"/>
      <c r="E805" s="139"/>
      <c r="F805" s="144"/>
      <c r="G805" s="146"/>
      <c r="H805" s="149"/>
      <c r="I805" s="149"/>
      <c r="J805" s="146"/>
      <c r="L805" s="151"/>
    </row>
    <row r="806" spans="1:14" s="111" customFormat="1" ht="12" customHeight="1" x14ac:dyDescent="0.2">
      <c r="A806" s="133"/>
      <c r="B806" s="135" t="str">
        <f>VLOOKUP(F806,BB!$A$8:$C$152,3,0)</f>
        <v>A01</v>
      </c>
      <c r="C806" s="136">
        <v>202607</v>
      </c>
      <c r="D806" s="134" t="s">
        <v>937</v>
      </c>
      <c r="E806" s="139">
        <v>46209</v>
      </c>
      <c r="F806" s="144" t="s">
        <v>163</v>
      </c>
      <c r="G806" s="149">
        <v>500000</v>
      </c>
      <c r="H806" s="149">
        <v>0</v>
      </c>
      <c r="I806" s="149">
        <f>IF(G806&lt;&gt;0,G806,-H806)</f>
        <v>500000</v>
      </c>
      <c r="J806" s="149">
        <v>0</v>
      </c>
      <c r="K806" s="111" t="s">
        <v>509</v>
      </c>
      <c r="L806" s="152" t="s">
        <v>525</v>
      </c>
    </row>
    <row r="807" spans="1:14" s="111" customFormat="1" ht="12" customHeight="1" x14ac:dyDescent="0.2">
      <c r="A807" s="133"/>
      <c r="B807" s="135" t="str">
        <f>VLOOKUP(F807,BB!$A$8:$C$152,3,0)</f>
        <v>A04A</v>
      </c>
      <c r="C807" s="136">
        <f t="shared" ref="C807:E807" si="219">C806</f>
        <v>202607</v>
      </c>
      <c r="D807" s="134" t="str">
        <f t="shared" si="219"/>
        <v>KAS-2607004</v>
      </c>
      <c r="E807" s="139">
        <f t="shared" si="219"/>
        <v>46209</v>
      </c>
      <c r="F807" s="144" t="s">
        <v>471</v>
      </c>
      <c r="G807" s="146">
        <v>0</v>
      </c>
      <c r="H807" s="149">
        <f>+G806</f>
        <v>500000</v>
      </c>
      <c r="I807" s="149">
        <f>IF(G807&lt;&gt;0,G807,-H807)</f>
        <v>-500000</v>
      </c>
      <c r="J807" s="146">
        <f>-J806</f>
        <v>0</v>
      </c>
      <c r="K807" s="111" t="str">
        <f>K806</f>
        <v>KAS MASUK</v>
      </c>
      <c r="L807" s="152" t="str">
        <f>L806</f>
        <v>ANGSURAN PINJAMAN LAIN AN. ISFAK</v>
      </c>
    </row>
    <row r="808" spans="1:14" s="111" customFormat="1" ht="12" customHeight="1" x14ac:dyDescent="0.2">
      <c r="A808" s="133"/>
      <c r="B808" s="135" t="str">
        <f>VLOOKUP(F808,BB!$A$8:$C$152,3,0)</f>
        <v>LR01C</v>
      </c>
      <c r="C808" s="136">
        <f t="shared" ref="C808:E808" si="220">C807</f>
        <v>202607</v>
      </c>
      <c r="D808" s="134" t="str">
        <f t="shared" si="220"/>
        <v>KAS-2607004</v>
      </c>
      <c r="E808" s="139">
        <f t="shared" si="220"/>
        <v>46209</v>
      </c>
      <c r="F808" s="144" t="s">
        <v>371</v>
      </c>
      <c r="G808" s="146">
        <v>0</v>
      </c>
      <c r="H808" s="149">
        <f>G806-H807</f>
        <v>0</v>
      </c>
      <c r="I808" s="149">
        <f>IF(G808&lt;&gt;0,G808,-H808)</f>
        <v>0</v>
      </c>
      <c r="J808" s="146">
        <f>-J807</f>
        <v>0</v>
      </c>
      <c r="K808" s="111" t="str">
        <f>K807</f>
        <v>KAS MASUK</v>
      </c>
      <c r="L808" s="152" t="str">
        <f>"PENDAPATAN ATAS PINJAMAN LAIN "&amp;MID(L807,24,20)</f>
        <v>PENDAPATAN ATAS PINJAMAN LAIN AN. ISFAK</v>
      </c>
    </row>
    <row r="809" spans="1:14" s="111" customFormat="1" ht="12" customHeight="1" x14ac:dyDescent="0.2">
      <c r="A809" s="133"/>
      <c r="B809" s="135"/>
      <c r="C809" s="136"/>
      <c r="D809" s="134"/>
      <c r="E809" s="139"/>
      <c r="F809" s="144"/>
      <c r="G809" s="146"/>
      <c r="H809" s="149"/>
      <c r="I809" s="149"/>
      <c r="J809" s="146"/>
      <c r="L809" s="151"/>
    </row>
    <row r="810" spans="1:14" s="111" customFormat="1" ht="12" customHeight="1" x14ac:dyDescent="0.2">
      <c r="A810" s="133"/>
      <c r="B810" s="135" t="str">
        <f>VLOOKUP(F810,BB!$A$8:$C$152,3,0)</f>
        <v>A01</v>
      </c>
      <c r="C810" s="136">
        <v>202607</v>
      </c>
      <c r="D810" s="134" t="s">
        <v>938</v>
      </c>
      <c r="E810" s="139">
        <v>46213</v>
      </c>
      <c r="F810" s="144" t="s">
        <v>163</v>
      </c>
      <c r="G810" s="149">
        <v>0</v>
      </c>
      <c r="H810" s="149">
        <v>750000</v>
      </c>
      <c r="I810" s="149">
        <f>IF(G810&lt;&gt;0,G810,-H810)</f>
        <v>-750000</v>
      </c>
      <c r="J810" s="149">
        <v>0</v>
      </c>
      <c r="K810" s="111" t="s">
        <v>510</v>
      </c>
      <c r="L810" s="152" t="s">
        <v>499</v>
      </c>
      <c r="M810" s="149"/>
      <c r="N810" s="149"/>
    </row>
    <row r="811" spans="1:14" s="111" customFormat="1" ht="12" customHeight="1" x14ac:dyDescent="0.2">
      <c r="A811" s="133"/>
      <c r="B811" s="135" t="str">
        <f>VLOOKUP(F811,BB!$A$8:$C$152,3,0)</f>
        <v>LR05</v>
      </c>
      <c r="C811" s="136">
        <f>C810</f>
        <v>202607</v>
      </c>
      <c r="D811" s="134" t="str">
        <f>D810</f>
        <v>KAS-2607005</v>
      </c>
      <c r="E811" s="139">
        <f>E810</f>
        <v>46213</v>
      </c>
      <c r="F811" s="139" t="s">
        <v>234</v>
      </c>
      <c r="G811" s="146">
        <f>H810</f>
        <v>750000</v>
      </c>
      <c r="H811" s="149">
        <f>G810</f>
        <v>0</v>
      </c>
      <c r="I811" s="149">
        <f>IF(G811&lt;&gt;0,G811,-H811)</f>
        <v>750000</v>
      </c>
      <c r="J811" s="146">
        <f>-J810</f>
        <v>0</v>
      </c>
      <c r="K811" s="111" t="str">
        <f>K810</f>
        <v>KAS KELUAR</v>
      </c>
      <c r="L811" s="151" t="str">
        <f>L810</f>
        <v>BY REPRESENTATIF ADMIN KKCS FARID F</v>
      </c>
      <c r="M811" s="146"/>
      <c r="N811" s="149"/>
    </row>
    <row r="812" spans="1:14" s="111" customFormat="1" ht="12" customHeight="1" x14ac:dyDescent="0.2">
      <c r="A812" s="133"/>
      <c r="B812" s="135"/>
      <c r="C812" s="136"/>
      <c r="D812" s="134"/>
      <c r="E812" s="139"/>
      <c r="F812" s="144"/>
      <c r="G812" s="146"/>
      <c r="H812" s="149"/>
      <c r="I812" s="149"/>
      <c r="J812" s="146"/>
      <c r="L812" s="151"/>
    </row>
    <row r="813" spans="1:14" s="111" customFormat="1" ht="12" customHeight="1" x14ac:dyDescent="0.2">
      <c r="A813" s="133"/>
      <c r="B813" s="135" t="str">
        <f>VLOOKUP(F813,BB!$A$8:$C$152,3,0)</f>
        <v>A01</v>
      </c>
      <c r="C813" s="136">
        <v>202607</v>
      </c>
      <c r="D813" s="134" t="s">
        <v>939</v>
      </c>
      <c r="E813" s="139">
        <v>46217</v>
      </c>
      <c r="F813" s="144" t="s">
        <v>163</v>
      </c>
      <c r="G813" s="149">
        <v>250000</v>
      </c>
      <c r="H813" s="149">
        <v>0</v>
      </c>
      <c r="I813" s="149">
        <f>IF(G813&lt;&gt;0,G813,-H813)</f>
        <v>250000</v>
      </c>
      <c r="J813" s="149">
        <v>0</v>
      </c>
      <c r="K813" s="111" t="s">
        <v>509</v>
      </c>
      <c r="L813" s="152" t="s">
        <v>769</v>
      </c>
    </row>
    <row r="814" spans="1:14" s="111" customFormat="1" ht="12" customHeight="1" x14ac:dyDescent="0.2">
      <c r="A814" s="133"/>
      <c r="B814" s="135" t="str">
        <f>VLOOKUP(F814,BB!$A$8:$C$152,3,0)</f>
        <v>A04A</v>
      </c>
      <c r="C814" s="136">
        <f t="shared" ref="C814:E814" si="221">C813</f>
        <v>202607</v>
      </c>
      <c r="D814" s="134" t="str">
        <f t="shared" si="221"/>
        <v>KAS-2607006</v>
      </c>
      <c r="E814" s="139">
        <f t="shared" si="221"/>
        <v>46217</v>
      </c>
      <c r="F814" s="144" t="s">
        <v>471</v>
      </c>
      <c r="G814" s="146">
        <v>0</v>
      </c>
      <c r="H814" s="149">
        <f>+G813</f>
        <v>250000</v>
      </c>
      <c r="I814" s="149">
        <f>IF(G814&lt;&gt;0,G814,-H814)</f>
        <v>-250000</v>
      </c>
      <c r="J814" s="146">
        <f>-J813</f>
        <v>0</v>
      </c>
      <c r="K814" s="111" t="str">
        <f>K813</f>
        <v>KAS MASUK</v>
      </c>
      <c r="L814" s="152" t="str">
        <f>L813</f>
        <v>ANGSURAN PINJAMAN LAIN AN. AGUS R</v>
      </c>
    </row>
    <row r="815" spans="1:14" s="111" customFormat="1" ht="12" customHeight="1" x14ac:dyDescent="0.2">
      <c r="A815" s="133"/>
      <c r="B815" s="135" t="str">
        <f>VLOOKUP(F815,BB!$A$8:$C$152,3,0)</f>
        <v>LR01C</v>
      </c>
      <c r="C815" s="136">
        <f t="shared" ref="C815:E815" si="222">C814</f>
        <v>202607</v>
      </c>
      <c r="D815" s="134" t="str">
        <f t="shared" si="222"/>
        <v>KAS-2607006</v>
      </c>
      <c r="E815" s="139">
        <f t="shared" si="222"/>
        <v>46217</v>
      </c>
      <c r="F815" s="144" t="s">
        <v>371</v>
      </c>
      <c r="G815" s="146">
        <v>0</v>
      </c>
      <c r="H815" s="149">
        <f>G813-H814</f>
        <v>0</v>
      </c>
      <c r="I815" s="149">
        <f>IF(G815&lt;&gt;0,G815,-H815)</f>
        <v>0</v>
      </c>
      <c r="J815" s="146">
        <f>-J814</f>
        <v>0</v>
      </c>
      <c r="K815" s="111" t="str">
        <f>K814</f>
        <v>KAS MASUK</v>
      </c>
      <c r="L815" s="152" t="str">
        <f>"PENDAPATAN ATAS PINJAMAN LAIN "&amp;MID(L814,24,20)</f>
        <v>PENDAPATAN ATAS PINJAMAN LAIN AN. AGUS R</v>
      </c>
    </row>
    <row r="816" spans="1:14" s="111" customFormat="1" ht="12" customHeight="1" x14ac:dyDescent="0.2">
      <c r="A816" s="133"/>
      <c r="B816" s="135"/>
      <c r="C816" s="136"/>
      <c r="D816" s="134"/>
      <c r="E816" s="139"/>
      <c r="F816" s="144"/>
      <c r="G816" s="146"/>
      <c r="H816" s="149"/>
      <c r="I816" s="149"/>
      <c r="J816" s="146"/>
      <c r="L816" s="151"/>
    </row>
    <row r="817" spans="1:12" s="111" customFormat="1" ht="12" customHeight="1" x14ac:dyDescent="0.2">
      <c r="A817" s="133"/>
      <c r="B817" s="135" t="str">
        <f>VLOOKUP(F817,BB!$A$8:$C$152,3,0)</f>
        <v>A01</v>
      </c>
      <c r="C817" s="136">
        <v>202607</v>
      </c>
      <c r="D817" s="134" t="s">
        <v>940</v>
      </c>
      <c r="E817" s="139">
        <v>46217</v>
      </c>
      <c r="F817" s="144" t="s">
        <v>163</v>
      </c>
      <c r="G817" s="149">
        <v>250000</v>
      </c>
      <c r="H817" s="149">
        <v>0</v>
      </c>
      <c r="I817" s="149">
        <f>IF(G817&lt;&gt;0,G817,-H817)</f>
        <v>250000</v>
      </c>
      <c r="J817" s="149">
        <v>0</v>
      </c>
      <c r="K817" s="111" t="s">
        <v>509</v>
      </c>
      <c r="L817" s="152" t="s">
        <v>769</v>
      </c>
    </row>
    <row r="818" spans="1:12" s="111" customFormat="1" ht="12" customHeight="1" x14ac:dyDescent="0.2">
      <c r="A818" s="133"/>
      <c r="B818" s="135" t="str">
        <f>VLOOKUP(F818,BB!$A$8:$C$152,3,0)</f>
        <v>A04A</v>
      </c>
      <c r="C818" s="136">
        <f t="shared" ref="C818:E818" si="223">C817</f>
        <v>202607</v>
      </c>
      <c r="D818" s="134" t="str">
        <f t="shared" si="223"/>
        <v>KAS-2607007</v>
      </c>
      <c r="E818" s="139">
        <f t="shared" si="223"/>
        <v>46217</v>
      </c>
      <c r="F818" s="144" t="s">
        <v>471</v>
      </c>
      <c r="G818" s="146">
        <v>0</v>
      </c>
      <c r="H818" s="149">
        <f>+G817</f>
        <v>250000</v>
      </c>
      <c r="I818" s="149">
        <f>IF(G818&lt;&gt;0,G818,-H818)</f>
        <v>-250000</v>
      </c>
      <c r="J818" s="146">
        <f>-J817</f>
        <v>0</v>
      </c>
      <c r="K818" s="111" t="str">
        <f>K817</f>
        <v>KAS MASUK</v>
      </c>
      <c r="L818" s="152" t="str">
        <f>L817</f>
        <v>ANGSURAN PINJAMAN LAIN AN. AGUS R</v>
      </c>
    </row>
    <row r="819" spans="1:12" s="111" customFormat="1" ht="12" customHeight="1" x14ac:dyDescent="0.2">
      <c r="A819" s="133"/>
      <c r="B819" s="135" t="str">
        <f>VLOOKUP(F819,BB!$A$8:$C$152,3,0)</f>
        <v>LR01C</v>
      </c>
      <c r="C819" s="136">
        <f t="shared" ref="C819:E819" si="224">C818</f>
        <v>202607</v>
      </c>
      <c r="D819" s="134" t="str">
        <f t="shared" si="224"/>
        <v>KAS-2607007</v>
      </c>
      <c r="E819" s="139">
        <f t="shared" si="224"/>
        <v>46217</v>
      </c>
      <c r="F819" s="144" t="s">
        <v>371</v>
      </c>
      <c r="G819" s="146">
        <v>0</v>
      </c>
      <c r="H819" s="149">
        <f>G817-H818</f>
        <v>0</v>
      </c>
      <c r="I819" s="149">
        <f>IF(G819&lt;&gt;0,G819,-H819)</f>
        <v>0</v>
      </c>
      <c r="J819" s="146">
        <f>-J818</f>
        <v>0</v>
      </c>
      <c r="K819" s="111" t="str">
        <f>K818</f>
        <v>KAS MASUK</v>
      </c>
      <c r="L819" s="152" t="str">
        <f>"PENDAPATAN ATAS PINJAMAN LAIN "&amp;MID(L818,24,20)</f>
        <v>PENDAPATAN ATAS PINJAMAN LAIN AN. AGUS R</v>
      </c>
    </row>
    <row r="820" spans="1:12" s="111" customFormat="1" ht="12" customHeight="1" x14ac:dyDescent="0.2">
      <c r="A820" s="133"/>
      <c r="B820" s="135"/>
      <c r="C820" s="136"/>
      <c r="D820" s="134"/>
      <c r="E820" s="139"/>
      <c r="F820" s="144"/>
      <c r="G820" s="146"/>
      <c r="H820" s="149"/>
      <c r="I820" s="149"/>
      <c r="J820" s="146"/>
      <c r="L820" s="151"/>
    </row>
    <row r="821" spans="1:12" s="111" customFormat="1" ht="12" customHeight="1" x14ac:dyDescent="0.2">
      <c r="A821" s="133"/>
      <c r="B821" s="135" t="str">
        <f>VLOOKUP(F821,BB!$A$8:$C$152,3,0)</f>
        <v>A01</v>
      </c>
      <c r="C821" s="136">
        <v>202607</v>
      </c>
      <c r="D821" s="134" t="s">
        <v>941</v>
      </c>
      <c r="E821" s="139">
        <v>46218</v>
      </c>
      <c r="F821" s="144" t="s">
        <v>163</v>
      </c>
      <c r="G821" s="149">
        <v>500000</v>
      </c>
      <c r="H821" s="149">
        <v>0</v>
      </c>
      <c r="I821" s="149">
        <f>IF(G821&lt;&gt;0,G821,-H821)</f>
        <v>500000</v>
      </c>
      <c r="J821" s="149">
        <v>0</v>
      </c>
      <c r="K821" s="111" t="s">
        <v>509</v>
      </c>
      <c r="L821" s="152" t="s">
        <v>946</v>
      </c>
    </row>
    <row r="822" spans="1:12" s="111" customFormat="1" ht="12" customHeight="1" x14ac:dyDescent="0.2">
      <c r="A822" s="133"/>
      <c r="B822" s="135" t="str">
        <f>VLOOKUP(F822,BB!$A$8:$C$152,3,0)</f>
        <v>A04A</v>
      </c>
      <c r="C822" s="136">
        <f t="shared" ref="C822:E822" si="225">C821</f>
        <v>202607</v>
      </c>
      <c r="D822" s="134" t="str">
        <f t="shared" si="225"/>
        <v>KAS-2607008</v>
      </c>
      <c r="E822" s="139">
        <f t="shared" si="225"/>
        <v>46218</v>
      </c>
      <c r="F822" s="144" t="s">
        <v>471</v>
      </c>
      <c r="G822" s="146">
        <v>0</v>
      </c>
      <c r="H822" s="149">
        <f>+G821</f>
        <v>500000</v>
      </c>
      <c r="I822" s="149">
        <f>IF(G822&lt;&gt;0,G822,-H822)</f>
        <v>-500000</v>
      </c>
      <c r="J822" s="146">
        <f>-J821</f>
        <v>0</v>
      </c>
      <c r="K822" s="111" t="str">
        <f>K821</f>
        <v>KAS MASUK</v>
      </c>
      <c r="L822" s="152" t="str">
        <f>L821</f>
        <v>ANGSURAN PINJAMAN LAIN AN. ARDHI Y</v>
      </c>
    </row>
    <row r="823" spans="1:12" s="111" customFormat="1" ht="12" customHeight="1" x14ac:dyDescent="0.2">
      <c r="A823" s="133"/>
      <c r="B823" s="135" t="str">
        <f>VLOOKUP(F823,BB!$A$8:$C$152,3,0)</f>
        <v>LR01C</v>
      </c>
      <c r="C823" s="136">
        <f t="shared" ref="C823:E823" si="226">C822</f>
        <v>202607</v>
      </c>
      <c r="D823" s="134" t="str">
        <f t="shared" si="226"/>
        <v>KAS-2607008</v>
      </c>
      <c r="E823" s="139">
        <f t="shared" si="226"/>
        <v>46218</v>
      </c>
      <c r="F823" s="144" t="s">
        <v>371</v>
      </c>
      <c r="G823" s="146">
        <v>0</v>
      </c>
      <c r="H823" s="149">
        <f>G821-H822</f>
        <v>0</v>
      </c>
      <c r="I823" s="149">
        <f>IF(G823&lt;&gt;0,G823,-H823)</f>
        <v>0</v>
      </c>
      <c r="J823" s="146">
        <f>-J822</f>
        <v>0</v>
      </c>
      <c r="K823" s="111" t="str">
        <f>K822</f>
        <v>KAS MASUK</v>
      </c>
      <c r="L823" s="152" t="str">
        <f>"PENDAPATAN ATAS PINJAMAN LAIN "&amp;MID(L822,24,20)</f>
        <v>PENDAPATAN ATAS PINJAMAN LAIN AN. ARDHI Y</v>
      </c>
    </row>
    <row r="824" spans="1:12" s="111" customFormat="1" ht="12" customHeight="1" x14ac:dyDescent="0.2">
      <c r="A824" s="133"/>
      <c r="B824" s="135"/>
      <c r="C824" s="136"/>
      <c r="D824" s="134"/>
      <c r="E824" s="139"/>
      <c r="F824" s="144"/>
      <c r="G824" s="146"/>
      <c r="H824" s="149"/>
      <c r="I824" s="149"/>
      <c r="J824" s="146"/>
      <c r="L824" s="151"/>
    </row>
    <row r="825" spans="1:12" s="111" customFormat="1" ht="12" customHeight="1" x14ac:dyDescent="0.2">
      <c r="A825" s="133"/>
      <c r="B825" s="135" t="str">
        <f>VLOOKUP(F825,BB!$A$8:$C$152,3,0)</f>
        <v>A01</v>
      </c>
      <c r="C825" s="136">
        <v>202607</v>
      </c>
      <c r="D825" s="134" t="s">
        <v>942</v>
      </c>
      <c r="E825" s="139">
        <v>46227</v>
      </c>
      <c r="F825" s="144" t="s">
        <v>163</v>
      </c>
      <c r="G825" s="149">
        <v>200000</v>
      </c>
      <c r="H825" s="149">
        <v>0</v>
      </c>
      <c r="I825" s="149">
        <f>IF(G825&lt;&gt;0,G825,-H825)</f>
        <v>200000</v>
      </c>
      <c r="J825" s="149">
        <v>0</v>
      </c>
      <c r="K825" s="111" t="s">
        <v>509</v>
      </c>
      <c r="L825" s="152" t="s">
        <v>533</v>
      </c>
    </row>
    <row r="826" spans="1:12" s="111" customFormat="1" ht="12" customHeight="1" x14ac:dyDescent="0.2">
      <c r="A826" s="133"/>
      <c r="B826" s="135" t="str">
        <f>VLOOKUP(F826,BB!$A$8:$C$152,3,0)</f>
        <v>A04A</v>
      </c>
      <c r="C826" s="136">
        <f t="shared" ref="C826:E826" si="227">C825</f>
        <v>202607</v>
      </c>
      <c r="D826" s="134" t="str">
        <f t="shared" si="227"/>
        <v>KAS-2607009</v>
      </c>
      <c r="E826" s="139">
        <f t="shared" si="227"/>
        <v>46227</v>
      </c>
      <c r="F826" s="144" t="s">
        <v>471</v>
      </c>
      <c r="G826" s="146">
        <v>0</v>
      </c>
      <c r="H826" s="149">
        <f>+G825</f>
        <v>200000</v>
      </c>
      <c r="I826" s="149">
        <f>IF(G826&lt;&gt;0,G826,-H826)</f>
        <v>-200000</v>
      </c>
      <c r="J826" s="146">
        <f>-J825</f>
        <v>0</v>
      </c>
      <c r="K826" s="111" t="str">
        <f>K825</f>
        <v>KAS MASUK</v>
      </c>
      <c r="L826" s="152" t="str">
        <f>L825</f>
        <v>ANGSURAN PINJAMAN LAIN AN. ARI WIBOWO</v>
      </c>
    </row>
    <row r="827" spans="1:12" s="111" customFormat="1" ht="12" customHeight="1" x14ac:dyDescent="0.2">
      <c r="A827" s="133"/>
      <c r="B827" s="135" t="str">
        <f>VLOOKUP(F827,BB!$A$8:$C$152,3,0)</f>
        <v>LR01C</v>
      </c>
      <c r="C827" s="136">
        <f t="shared" ref="C827:E827" si="228">C826</f>
        <v>202607</v>
      </c>
      <c r="D827" s="134" t="str">
        <f t="shared" si="228"/>
        <v>KAS-2607009</v>
      </c>
      <c r="E827" s="139">
        <f t="shared" si="228"/>
        <v>46227</v>
      </c>
      <c r="F827" s="144" t="s">
        <v>371</v>
      </c>
      <c r="G827" s="146">
        <v>0</v>
      </c>
      <c r="H827" s="149">
        <f>G825-H826</f>
        <v>0</v>
      </c>
      <c r="I827" s="149">
        <f>IF(G827&lt;&gt;0,G827,-H827)</f>
        <v>0</v>
      </c>
      <c r="J827" s="146">
        <f>-J826</f>
        <v>0</v>
      </c>
      <c r="K827" s="111" t="str">
        <f>K826</f>
        <v>KAS MASUK</v>
      </c>
      <c r="L827" s="152" t="str">
        <f>"PENDAPATAN ATAS PINJAMAN LAIN "&amp;MID(L826,24,20)</f>
        <v>PENDAPATAN ATAS PINJAMAN LAIN AN. ARI WIBOWO</v>
      </c>
    </row>
    <row r="828" spans="1:12" s="111" customFormat="1" ht="12" customHeight="1" x14ac:dyDescent="0.2">
      <c r="A828" s="133"/>
      <c r="B828" s="135"/>
      <c r="C828" s="136"/>
      <c r="D828" s="134"/>
      <c r="E828" s="139"/>
      <c r="F828" s="144"/>
      <c r="G828" s="146"/>
      <c r="H828" s="149"/>
      <c r="I828" s="149"/>
      <c r="J828" s="146"/>
      <c r="L828" s="151"/>
    </row>
    <row r="829" spans="1:12" s="111" customFormat="1" ht="12" customHeight="1" x14ac:dyDescent="0.2">
      <c r="A829" s="133"/>
      <c r="B829" s="135" t="str">
        <f>VLOOKUP(F829,BB!$A$8:$C$152,3,0)</f>
        <v>A01</v>
      </c>
      <c r="C829" s="136">
        <v>202607</v>
      </c>
      <c r="D829" s="134" t="s">
        <v>943</v>
      </c>
      <c r="E829" s="139">
        <v>46228</v>
      </c>
      <c r="F829" s="144" t="s">
        <v>163</v>
      </c>
      <c r="G829" s="149">
        <v>214000</v>
      </c>
      <c r="H829" s="149">
        <v>0</v>
      </c>
      <c r="I829" s="149">
        <f>IF(G829&lt;&gt;0,G829,-H829)</f>
        <v>214000</v>
      </c>
      <c r="J829" s="149">
        <v>0</v>
      </c>
      <c r="K829" s="111" t="s">
        <v>509</v>
      </c>
      <c r="L829" s="152" t="s">
        <v>535</v>
      </c>
    </row>
    <row r="830" spans="1:12" s="111" customFormat="1" ht="12" customHeight="1" x14ac:dyDescent="0.2">
      <c r="A830" s="133"/>
      <c r="B830" s="135" t="str">
        <f>VLOOKUP(F830,BB!$A$8:$C$152,3,0)</f>
        <v>A04A</v>
      </c>
      <c r="C830" s="136">
        <f t="shared" ref="C830:E830" si="229">C829</f>
        <v>202607</v>
      </c>
      <c r="D830" s="134" t="str">
        <f t="shared" si="229"/>
        <v>KAS-2607010</v>
      </c>
      <c r="E830" s="139">
        <f t="shared" si="229"/>
        <v>46228</v>
      </c>
      <c r="F830" s="144" t="s">
        <v>471</v>
      </c>
      <c r="G830" s="146">
        <v>0</v>
      </c>
      <c r="H830" s="149">
        <f>+G829</f>
        <v>214000</v>
      </c>
      <c r="I830" s="149">
        <f>IF(G830&lt;&gt;0,G830,-H830)</f>
        <v>-214000</v>
      </c>
      <c r="J830" s="146">
        <f>-J829</f>
        <v>0</v>
      </c>
      <c r="K830" s="111" t="str">
        <f>K829</f>
        <v>KAS MASUK</v>
      </c>
      <c r="L830" s="152" t="str">
        <f>L829</f>
        <v>ANGSURAN PINJAMAN LAIN AN. SETYO H</v>
      </c>
    </row>
    <row r="831" spans="1:12" s="111" customFormat="1" ht="12" customHeight="1" x14ac:dyDescent="0.2">
      <c r="A831" s="133"/>
      <c r="B831" s="135" t="str">
        <f>VLOOKUP(F831,BB!$A$8:$C$152,3,0)</f>
        <v>LR01C</v>
      </c>
      <c r="C831" s="136">
        <f t="shared" ref="C831:E831" si="230">C830</f>
        <v>202607</v>
      </c>
      <c r="D831" s="134" t="str">
        <f t="shared" si="230"/>
        <v>KAS-2607010</v>
      </c>
      <c r="E831" s="139">
        <f t="shared" si="230"/>
        <v>46228</v>
      </c>
      <c r="F831" s="144" t="s">
        <v>371</v>
      </c>
      <c r="G831" s="146">
        <v>0</v>
      </c>
      <c r="H831" s="149">
        <f>G829-H830</f>
        <v>0</v>
      </c>
      <c r="I831" s="149">
        <f>IF(G831&lt;&gt;0,G831,-H831)</f>
        <v>0</v>
      </c>
      <c r="J831" s="146">
        <f>-J830</f>
        <v>0</v>
      </c>
      <c r="K831" s="111" t="str">
        <f>K830</f>
        <v>KAS MASUK</v>
      </c>
      <c r="L831" s="152" t="str">
        <f>"PENDAPATAN ATAS PINJAMAN LAIN "&amp;MID(L830,24,20)</f>
        <v>PENDAPATAN ATAS PINJAMAN LAIN AN. SETYO H</v>
      </c>
    </row>
    <row r="832" spans="1:12" s="111" customFormat="1" ht="12" customHeight="1" x14ac:dyDescent="0.2">
      <c r="A832" s="133"/>
      <c r="B832" s="135"/>
      <c r="C832" s="136"/>
      <c r="D832" s="134"/>
      <c r="E832" s="139"/>
      <c r="F832" s="144"/>
      <c r="G832" s="146"/>
      <c r="H832" s="149"/>
      <c r="I832" s="149"/>
      <c r="J832" s="146"/>
      <c r="L832" s="151"/>
    </row>
    <row r="833" spans="1:14" s="111" customFormat="1" ht="12" customHeight="1" x14ac:dyDescent="0.2">
      <c r="A833" s="133"/>
      <c r="B833" s="135" t="str">
        <f>VLOOKUP(F833,BB!$A$8:$C$152,3,0)</f>
        <v>A01</v>
      </c>
      <c r="C833" s="136">
        <v>202607</v>
      </c>
      <c r="D833" s="134" t="s">
        <v>944</v>
      </c>
      <c r="E833" s="139">
        <v>46229</v>
      </c>
      <c r="F833" s="144" t="s">
        <v>163</v>
      </c>
      <c r="G833" s="149">
        <v>321000</v>
      </c>
      <c r="H833" s="149">
        <v>0</v>
      </c>
      <c r="I833" s="149">
        <f>IF(G833&lt;&gt;0,G833,-H833)</f>
        <v>321000</v>
      </c>
      <c r="J833" s="149">
        <v>0</v>
      </c>
      <c r="K833" s="111" t="s">
        <v>509</v>
      </c>
      <c r="L833" s="152" t="s">
        <v>511</v>
      </c>
    </row>
    <row r="834" spans="1:14" s="111" customFormat="1" ht="12" customHeight="1" x14ac:dyDescent="0.2">
      <c r="A834" s="133"/>
      <c r="B834" s="135" t="str">
        <f>VLOOKUP(F834,BB!$A$8:$C$152,3,0)</f>
        <v>A04A</v>
      </c>
      <c r="C834" s="136">
        <f t="shared" ref="C834:E834" si="231">C833</f>
        <v>202607</v>
      </c>
      <c r="D834" s="134" t="str">
        <f t="shared" si="231"/>
        <v>KAS-2607011</v>
      </c>
      <c r="E834" s="139">
        <f t="shared" si="231"/>
        <v>46229</v>
      </c>
      <c r="F834" s="144" t="s">
        <v>471</v>
      </c>
      <c r="G834" s="146">
        <v>0</v>
      </c>
      <c r="H834" s="149">
        <f>+G833</f>
        <v>321000</v>
      </c>
      <c r="I834" s="149">
        <f>IF(G834&lt;&gt;0,G834,-H834)</f>
        <v>-321000</v>
      </c>
      <c r="J834" s="146">
        <f>-J833</f>
        <v>0</v>
      </c>
      <c r="K834" s="111" t="str">
        <f>K833</f>
        <v>KAS MASUK</v>
      </c>
      <c r="L834" s="152" t="str">
        <f>L833</f>
        <v>ANGSURAN PINJAMAN LAIN AN. BUKHORI</v>
      </c>
    </row>
    <row r="835" spans="1:14" s="111" customFormat="1" ht="12" customHeight="1" x14ac:dyDescent="0.2">
      <c r="A835" s="133"/>
      <c r="B835" s="135" t="str">
        <f>VLOOKUP(F835,BB!$A$8:$C$152,3,0)</f>
        <v>LR01C</v>
      </c>
      <c r="C835" s="136">
        <f t="shared" ref="C835:E835" si="232">C834</f>
        <v>202607</v>
      </c>
      <c r="D835" s="134" t="str">
        <f t="shared" si="232"/>
        <v>KAS-2607011</v>
      </c>
      <c r="E835" s="139">
        <f t="shared" si="232"/>
        <v>46229</v>
      </c>
      <c r="F835" s="144" t="s">
        <v>371</v>
      </c>
      <c r="G835" s="146">
        <v>0</v>
      </c>
      <c r="H835" s="149">
        <f>G833-H834</f>
        <v>0</v>
      </c>
      <c r="I835" s="149">
        <f>IF(G835&lt;&gt;0,G835,-H835)</f>
        <v>0</v>
      </c>
      <c r="J835" s="146">
        <f>-J834</f>
        <v>0</v>
      </c>
      <c r="K835" s="111" t="str">
        <f>K834</f>
        <v>KAS MASUK</v>
      </c>
      <c r="L835" s="152" t="str">
        <f>"PENDAPATAN ATAS PINJAMAN LAIN "&amp;MID(L834,24,20)</f>
        <v>PENDAPATAN ATAS PINJAMAN LAIN AN. BUKHORI</v>
      </c>
    </row>
    <row r="836" spans="1:14" s="111" customFormat="1" ht="12" customHeight="1" x14ac:dyDescent="0.2">
      <c r="A836" s="133"/>
      <c r="B836" s="135"/>
      <c r="C836" s="136"/>
      <c r="D836" s="134"/>
      <c r="E836" s="139"/>
      <c r="F836" s="144"/>
      <c r="G836" s="146"/>
      <c r="H836" s="149"/>
      <c r="I836" s="149"/>
      <c r="J836" s="146"/>
      <c r="L836" s="151"/>
    </row>
    <row r="837" spans="1:14" s="111" customFormat="1" ht="12" customHeight="1" x14ac:dyDescent="0.2">
      <c r="A837" s="133"/>
      <c r="B837" s="135" t="str">
        <f>VLOOKUP(F837,BB!$A$8:$C$152,3,0)</f>
        <v>A01</v>
      </c>
      <c r="C837" s="136">
        <v>202607</v>
      </c>
      <c r="D837" s="134" t="s">
        <v>945</v>
      </c>
      <c r="E837" s="139">
        <v>46234</v>
      </c>
      <c r="F837" s="144" t="s">
        <v>163</v>
      </c>
      <c r="G837" s="149">
        <v>160500</v>
      </c>
      <c r="H837" s="149">
        <v>0</v>
      </c>
      <c r="I837" s="149">
        <f>IF(G837&lt;&gt;0,G837,-H837)</f>
        <v>160500</v>
      </c>
      <c r="J837" s="149">
        <v>0</v>
      </c>
      <c r="K837" s="111" t="s">
        <v>509</v>
      </c>
      <c r="L837" s="152" t="s">
        <v>739</v>
      </c>
    </row>
    <row r="838" spans="1:14" s="111" customFormat="1" ht="12" customHeight="1" x14ac:dyDescent="0.2">
      <c r="A838" s="133"/>
      <c r="B838" s="135" t="str">
        <f>VLOOKUP(F838,BB!$A$8:$C$152,3,0)</f>
        <v>A04A</v>
      </c>
      <c r="C838" s="136">
        <f t="shared" ref="C838:E838" si="233">C837</f>
        <v>202607</v>
      </c>
      <c r="D838" s="134" t="str">
        <f t="shared" si="233"/>
        <v>KAS-2607012</v>
      </c>
      <c r="E838" s="139">
        <f t="shared" si="233"/>
        <v>46234</v>
      </c>
      <c r="F838" s="144" t="s">
        <v>471</v>
      </c>
      <c r="G838" s="146">
        <v>0</v>
      </c>
      <c r="H838" s="149">
        <f>+G837</f>
        <v>160500</v>
      </c>
      <c r="I838" s="149">
        <f>IF(G838&lt;&gt;0,G838,-H838)</f>
        <v>-160500</v>
      </c>
      <c r="J838" s="146">
        <f>-J837</f>
        <v>0</v>
      </c>
      <c r="K838" s="111" t="str">
        <f>K837</f>
        <v>KAS MASUK</v>
      </c>
      <c r="L838" s="152" t="str">
        <f>L837</f>
        <v>ANGSURAN PINJAMAN LAIN AN. AGUS S</v>
      </c>
    </row>
    <row r="839" spans="1:14" s="111" customFormat="1" ht="12" customHeight="1" x14ac:dyDescent="0.2">
      <c r="A839" s="133"/>
      <c r="B839" s="135" t="str">
        <f>VLOOKUP(F839,BB!$A$8:$C$152,3,0)</f>
        <v>LR01C</v>
      </c>
      <c r="C839" s="136">
        <f t="shared" ref="C839:E839" si="234">C838</f>
        <v>202607</v>
      </c>
      <c r="D839" s="134" t="str">
        <f t="shared" si="234"/>
        <v>KAS-2607012</v>
      </c>
      <c r="E839" s="139">
        <f t="shared" si="234"/>
        <v>46234</v>
      </c>
      <c r="F839" s="144" t="s">
        <v>371</v>
      </c>
      <c r="G839" s="146">
        <v>0</v>
      </c>
      <c r="H839" s="149">
        <f>G837-H838</f>
        <v>0</v>
      </c>
      <c r="I839" s="149">
        <f>IF(G839&lt;&gt;0,G839,-H839)</f>
        <v>0</v>
      </c>
      <c r="J839" s="146">
        <f>-J838</f>
        <v>0</v>
      </c>
      <c r="K839" s="111" t="str">
        <f>K838</f>
        <v>KAS MASUK</v>
      </c>
      <c r="L839" s="152" t="str">
        <f>"PENDAPATAN ATAS PINJAMAN LAIN "&amp;MID(L838,24,20)</f>
        <v>PENDAPATAN ATAS PINJAMAN LAIN AN. AGUS S</v>
      </c>
    </row>
    <row r="840" spans="1:14" s="111" customFormat="1" ht="12" customHeight="1" x14ac:dyDescent="0.2">
      <c r="A840" s="133"/>
      <c r="B840" s="135"/>
      <c r="C840" s="136"/>
      <c r="D840" s="134"/>
      <c r="E840" s="139"/>
      <c r="F840" s="144"/>
      <c r="G840" s="146"/>
      <c r="H840" s="149"/>
      <c r="I840" s="149"/>
      <c r="J840" s="146"/>
      <c r="L840" s="151"/>
    </row>
    <row r="841" spans="1:14" s="111" customFormat="1" ht="12" customHeight="1" x14ac:dyDescent="0.2">
      <c r="A841" s="133"/>
      <c r="B841" s="135" t="str">
        <f>VLOOKUP(F841,BB!$A$8:$C$152,3,0)</f>
        <v>LR07</v>
      </c>
      <c r="C841" s="136">
        <v>202607</v>
      </c>
      <c r="D841" s="134" t="s">
        <v>947</v>
      </c>
      <c r="E841" s="139">
        <v>46234</v>
      </c>
      <c r="F841" s="134" t="s">
        <v>416</v>
      </c>
      <c r="G841" s="149">
        <v>1500000</v>
      </c>
      <c r="H841" s="149">
        <v>0</v>
      </c>
      <c r="I841" s="149">
        <f>IF(G841&lt;&gt;0,G841,-H841)</f>
        <v>1500000</v>
      </c>
      <c r="J841" s="149">
        <v>0</v>
      </c>
      <c r="K841" s="111" t="s">
        <v>306</v>
      </c>
      <c r="L841" s="152" t="s">
        <v>415</v>
      </c>
      <c r="M841" s="149"/>
      <c r="N841" s="149"/>
    </row>
    <row r="842" spans="1:14" s="111" customFormat="1" ht="12" customHeight="1" x14ac:dyDescent="0.2">
      <c r="A842" s="133"/>
      <c r="B842" s="135" t="str">
        <f>VLOOKUP(F842,BB!$A$8:$C$152,3,0)</f>
        <v>A05</v>
      </c>
      <c r="C842" s="136">
        <f>C841</f>
        <v>202607</v>
      </c>
      <c r="D842" s="134" t="str">
        <f>D841</f>
        <v>JRM-2607001</v>
      </c>
      <c r="E842" s="139">
        <f>E841</f>
        <v>46234</v>
      </c>
      <c r="F842" s="144" t="s">
        <v>172</v>
      </c>
      <c r="G842" s="146">
        <f>H841</f>
        <v>0</v>
      </c>
      <c r="H842" s="149">
        <f>G841</f>
        <v>1500000</v>
      </c>
      <c r="I842" s="149">
        <f>IF(G842&lt;&gt;0,G842,-H842)</f>
        <v>-1500000</v>
      </c>
      <c r="J842" s="146">
        <f>-J841</f>
        <v>0</v>
      </c>
      <c r="K842" s="111" t="str">
        <f>K841</f>
        <v>JURNAL MANUAL</v>
      </c>
      <c r="L842" s="151" t="str">
        <f>L841</f>
        <v>PEMBEBANAN PENYISIHAN PIUTANG</v>
      </c>
      <c r="M842" s="146"/>
      <c r="N842" s="149"/>
    </row>
    <row r="843" spans="1:14" s="111" customFormat="1" ht="12" customHeight="1" x14ac:dyDescent="0.2">
      <c r="A843" s="133"/>
      <c r="B843" s="135"/>
      <c r="C843" s="136"/>
      <c r="D843" s="134"/>
      <c r="E843" s="139"/>
      <c r="F843" s="144"/>
      <c r="G843" s="146"/>
      <c r="H843" s="149"/>
      <c r="I843" s="149"/>
      <c r="J843" s="146"/>
      <c r="L843" s="151"/>
    </row>
    <row r="844" spans="1:14" s="111" customFormat="1" ht="12" customHeight="1" x14ac:dyDescent="0.2">
      <c r="A844" s="133"/>
      <c r="B844" s="135" t="str">
        <f>VLOOKUP(F844,BB!$A$8:$C$152,3,0)</f>
        <v>A04B</v>
      </c>
      <c r="C844" s="136">
        <v>202607</v>
      </c>
      <c r="D844" s="134" t="s">
        <v>949</v>
      </c>
      <c r="E844" s="139">
        <v>46234</v>
      </c>
      <c r="F844" s="134" t="s">
        <v>464</v>
      </c>
      <c r="G844" s="149">
        <v>15680000</v>
      </c>
      <c r="H844" s="149">
        <v>0</v>
      </c>
      <c r="I844" s="189">
        <f>IF(G844&lt;&gt;0,G844,-H844)</f>
        <v>15680000</v>
      </c>
      <c r="J844" s="149">
        <v>0</v>
      </c>
      <c r="K844" s="111" t="s">
        <v>306</v>
      </c>
      <c r="L844" s="152" t="s">
        <v>950</v>
      </c>
      <c r="M844" s="149"/>
      <c r="N844" s="149"/>
    </row>
    <row r="845" spans="1:14" s="111" customFormat="1" ht="12" customHeight="1" x14ac:dyDescent="0.2">
      <c r="A845" s="133"/>
      <c r="B845" s="135" t="str">
        <f>VLOOKUP(F845,BB!$A$8:$C$152,3,0)</f>
        <v>P05</v>
      </c>
      <c r="C845" s="136">
        <f>C844</f>
        <v>202607</v>
      </c>
      <c r="D845" s="134" t="str">
        <f>D844</f>
        <v>JRM-2607002</v>
      </c>
      <c r="E845" s="139">
        <f>E844</f>
        <v>46234</v>
      </c>
      <c r="F845" s="144" t="s">
        <v>435</v>
      </c>
      <c r="G845" s="146">
        <f>H844</f>
        <v>0</v>
      </c>
      <c r="H845" s="149">
        <v>14475000</v>
      </c>
      <c r="I845" s="189">
        <f>IF(G845&lt;&gt;0,G845,-H845)</f>
        <v>-14475000</v>
      </c>
      <c r="J845" s="146">
        <f>-J844</f>
        <v>0</v>
      </c>
      <c r="K845" s="111" t="str">
        <f>K844</f>
        <v>JURNAL MANUAL</v>
      </c>
      <c r="L845" s="151" t="s">
        <v>913</v>
      </c>
      <c r="M845" s="146"/>
      <c r="N845" s="149"/>
    </row>
    <row r="846" spans="1:14" s="111" customFormat="1" ht="12" customHeight="1" x14ac:dyDescent="0.2">
      <c r="A846" s="133"/>
      <c r="B846" s="135" t="str">
        <f>VLOOKUP(F846,BB!$A$8:$C$152,3,0)</f>
        <v>LR06</v>
      </c>
      <c r="C846" s="136">
        <f t="shared" ref="C846:E846" si="235">+C845</f>
        <v>202607</v>
      </c>
      <c r="D846" s="134" t="str">
        <f t="shared" si="235"/>
        <v>JRM-2607002</v>
      </c>
      <c r="E846" s="139">
        <f t="shared" si="235"/>
        <v>46234</v>
      </c>
      <c r="F846" s="144" t="s">
        <v>403</v>
      </c>
      <c r="G846" s="146">
        <v>0</v>
      </c>
      <c r="H846" s="149">
        <f>+G844-H845</f>
        <v>1205000</v>
      </c>
      <c r="I846" s="189">
        <f>IF(G846&lt;&gt;0,G846,-H846)</f>
        <v>-1205000</v>
      </c>
      <c r="J846" s="146">
        <v>0</v>
      </c>
      <c r="K846" s="111" t="str">
        <f>+K845</f>
        <v>JURNAL MANUAL</v>
      </c>
      <c r="L846" s="151" t="s">
        <v>708</v>
      </c>
    </row>
    <row r="847" spans="1:14" s="111" customFormat="1" ht="12" customHeight="1" x14ac:dyDescent="0.2">
      <c r="A847" s="133"/>
      <c r="B847" s="135"/>
      <c r="C847" s="136"/>
      <c r="D847" s="134"/>
      <c r="E847" s="139"/>
      <c r="F847" s="144"/>
      <c r="G847" s="146"/>
      <c r="H847" s="149"/>
      <c r="I847" s="149"/>
      <c r="J847" s="146"/>
      <c r="L847" s="151"/>
    </row>
    <row r="848" spans="1:14" s="111" customFormat="1" ht="12" customHeight="1" x14ac:dyDescent="0.2">
      <c r="A848" s="133"/>
      <c r="B848" s="135" t="str">
        <f>VLOOKUP(F848,BB!$A$8:$C$152,3,0)</f>
        <v>LR07</v>
      </c>
      <c r="C848" s="136">
        <v>202607</v>
      </c>
      <c r="D848" s="134" t="s">
        <v>948</v>
      </c>
      <c r="E848" s="139">
        <v>46234</v>
      </c>
      <c r="F848" s="134" t="s">
        <v>249</v>
      </c>
      <c r="G848" s="149">
        <v>0</v>
      </c>
      <c r="H848" s="149">
        <v>0</v>
      </c>
      <c r="I848" s="149">
        <f>IF(G848&lt;&gt;0,G848,-H848)</f>
        <v>0</v>
      </c>
      <c r="J848" s="149">
        <v>0</v>
      </c>
      <c r="K848" s="111" t="s">
        <v>306</v>
      </c>
      <c r="L848" s="152" t="s">
        <v>608</v>
      </c>
      <c r="M848" s="149"/>
      <c r="N848" s="149"/>
    </row>
    <row r="849" spans="1:42" s="111" customFormat="1" ht="12" customHeight="1" x14ac:dyDescent="0.2">
      <c r="A849" s="133"/>
      <c r="B849" s="135" t="str">
        <f>VLOOKUP(F849,BB!$A$8:$C$152,3,0)</f>
        <v>A04A</v>
      </c>
      <c r="C849" s="136">
        <f>C848</f>
        <v>202607</v>
      </c>
      <c r="D849" s="134" t="str">
        <f>D848</f>
        <v>JRM-2607003</v>
      </c>
      <c r="E849" s="139">
        <f>E848</f>
        <v>46234</v>
      </c>
      <c r="F849" s="144" t="s">
        <v>468</v>
      </c>
      <c r="G849" s="146">
        <f>H848</f>
        <v>0</v>
      </c>
      <c r="H849" s="149">
        <f>G848</f>
        <v>0</v>
      </c>
      <c r="I849" s="149">
        <f>IF(G849&lt;&gt;0,G849,-H849)</f>
        <v>0</v>
      </c>
      <c r="J849" s="146">
        <f>-J848</f>
        <v>0</v>
      </c>
      <c r="K849" s="111" t="str">
        <f>K848</f>
        <v>JURNAL MANUAL</v>
      </c>
      <c r="L849" s="151" t="str">
        <f>L848</f>
        <v>PENYESUAIAN SELISIH PIUTANG RUTIN</v>
      </c>
      <c r="M849" s="146"/>
      <c r="N849" s="149"/>
    </row>
    <row r="850" spans="1:42" s="111" customFormat="1" ht="12" customHeight="1" x14ac:dyDescent="0.2">
      <c r="A850" s="133"/>
      <c r="B850" s="135"/>
      <c r="C850" s="136"/>
      <c r="D850" s="134"/>
      <c r="E850" s="139"/>
      <c r="F850" s="144"/>
      <c r="G850" s="146"/>
      <c r="H850" s="149"/>
      <c r="I850" s="149"/>
      <c r="J850" s="146"/>
      <c r="L850" s="151"/>
    </row>
    <row r="851" spans="1:42" s="111" customFormat="1" ht="12" customHeight="1" x14ac:dyDescent="0.2">
      <c r="A851" s="133"/>
      <c r="B851" s="135"/>
      <c r="C851" s="136"/>
      <c r="D851" s="134"/>
      <c r="E851" s="139"/>
      <c r="F851" s="144"/>
      <c r="G851" s="146"/>
      <c r="H851" s="149"/>
      <c r="I851" s="149"/>
      <c r="J851" s="146"/>
      <c r="L851" s="151"/>
    </row>
    <row r="852" spans="1:42" s="183" customFormat="1" ht="12" customHeight="1" x14ac:dyDescent="0.2">
      <c r="A852" s="172"/>
      <c r="B852" s="173"/>
      <c r="C852" s="174"/>
      <c r="D852" s="175"/>
      <c r="E852" s="176"/>
      <c r="F852" s="180"/>
      <c r="G852" s="181"/>
      <c r="H852" s="182"/>
      <c r="I852" s="182"/>
      <c r="J852" s="181"/>
      <c r="L852" s="184"/>
    </row>
    <row r="853" spans="1:42" s="111" customFormat="1" ht="12" customHeight="1" x14ac:dyDescent="0.2">
      <c r="A853" s="133"/>
      <c r="B853" s="135"/>
      <c r="C853" s="136"/>
      <c r="D853" s="134"/>
      <c r="E853" s="139"/>
      <c r="F853" s="144"/>
      <c r="G853" s="146"/>
      <c r="H853" s="149"/>
      <c r="I853" s="149"/>
      <c r="J853" s="146"/>
      <c r="L853" s="151"/>
    </row>
    <row r="854" spans="1:42" s="111" customFormat="1" ht="12" customHeight="1" x14ac:dyDescent="0.2">
      <c r="A854" s="133"/>
      <c r="B854" s="135" t="str">
        <f>VLOOKUP(F854,BB!$A$8:$C$152,3,0)</f>
        <v>A02</v>
      </c>
      <c r="C854" s="136">
        <v>202608</v>
      </c>
      <c r="D854" s="134" t="s">
        <v>951</v>
      </c>
      <c r="E854" s="139">
        <v>46240</v>
      </c>
      <c r="F854" s="144" t="s">
        <v>166</v>
      </c>
      <c r="G854" s="149">
        <v>0</v>
      </c>
      <c r="H854" s="149">
        <v>1000000</v>
      </c>
      <c r="I854" s="149">
        <f>IF(G854&lt;&gt;0,G854,-H854)</f>
        <v>-1000000</v>
      </c>
      <c r="J854" s="149">
        <v>0</v>
      </c>
      <c r="K854" s="111" t="s">
        <v>304</v>
      </c>
      <c r="L854" s="151" t="s">
        <v>953</v>
      </c>
    </row>
    <row r="855" spans="1:42" s="111" customFormat="1" ht="12" customHeight="1" x14ac:dyDescent="0.2">
      <c r="A855" s="133"/>
      <c r="B855" s="135" t="str">
        <f>VLOOKUP(F855,BB!$A$8:$C$152,3,0)</f>
        <v>LR05</v>
      </c>
      <c r="C855" s="136">
        <f>C854</f>
        <v>202608</v>
      </c>
      <c r="D855" s="134" t="str">
        <f>D854</f>
        <v>MDR-2608001</v>
      </c>
      <c r="E855" s="139">
        <f>E854</f>
        <v>46240</v>
      </c>
      <c r="F855" s="144" t="s">
        <v>385</v>
      </c>
      <c r="G855" s="146">
        <f>+H854</f>
        <v>1000000</v>
      </c>
      <c r="H855" s="149">
        <v>0</v>
      </c>
      <c r="I855" s="149">
        <f>IF(G855&lt;&gt;0,G855,-H855)</f>
        <v>1000000</v>
      </c>
      <c r="J855" s="146">
        <f>-J854</f>
        <v>0</v>
      </c>
      <c r="K855" s="111" t="str">
        <f>K854</f>
        <v>BANK KELUAR</v>
      </c>
      <c r="L855" s="151" t="str">
        <f>L854</f>
        <v>SUMBANGAN LOMBA ESPORT HUT RI X GCS</v>
      </c>
    </row>
    <row r="856" spans="1:42" s="111" customFormat="1" ht="12" customHeight="1" x14ac:dyDescent="0.2">
      <c r="A856" s="133"/>
      <c r="B856" s="135"/>
      <c r="C856" s="136"/>
      <c r="D856" s="134"/>
      <c r="E856" s="139"/>
      <c r="F856" s="144"/>
      <c r="G856" s="146"/>
      <c r="H856" s="149"/>
      <c r="I856" s="149"/>
      <c r="J856" s="146"/>
      <c r="L856" s="151"/>
    </row>
    <row r="857" spans="1:42" s="111" customFormat="1" ht="12" customHeight="1" x14ac:dyDescent="0.2">
      <c r="A857" s="133"/>
      <c r="B857" s="135" t="str">
        <f>VLOOKUP(F857,BB!$A$8:$C$152,3,0)</f>
        <v>A02</v>
      </c>
      <c r="C857" s="136">
        <v>202608</v>
      </c>
      <c r="D857" s="134" t="s">
        <v>952</v>
      </c>
      <c r="E857" s="139">
        <v>46240</v>
      </c>
      <c r="F857" s="134" t="s">
        <v>166</v>
      </c>
      <c r="G857" s="149">
        <v>0</v>
      </c>
      <c r="H857" s="149">
        <v>12000000</v>
      </c>
      <c r="I857" s="149">
        <f>IF(G857&lt;&gt;0,G857,-H857)</f>
        <v>-12000000</v>
      </c>
      <c r="J857" s="149">
        <v>0</v>
      </c>
      <c r="K857" s="111" t="s">
        <v>304</v>
      </c>
      <c r="L857" s="152" t="s">
        <v>502</v>
      </c>
      <c r="M857" s="136"/>
      <c r="N857" s="136"/>
      <c r="O857" s="136"/>
      <c r="P857" s="136"/>
      <c r="Q857" s="136"/>
      <c r="R857" s="136"/>
      <c r="S857" s="136"/>
      <c r="T857" s="136"/>
      <c r="U857" s="136"/>
      <c r="V857" s="136"/>
      <c r="W857" s="136"/>
      <c r="X857" s="136"/>
      <c r="Y857" s="136"/>
      <c r="Z857" s="136"/>
      <c r="AA857" s="136"/>
      <c r="AB857" s="136"/>
      <c r="AC857" s="136"/>
      <c r="AD857" s="136"/>
      <c r="AE857" s="136"/>
      <c r="AF857" s="136"/>
      <c r="AG857" s="136"/>
      <c r="AH857" s="136"/>
      <c r="AI857" s="136"/>
      <c r="AJ857" s="136"/>
      <c r="AK857" s="136"/>
      <c r="AL857" s="136"/>
      <c r="AM857" s="136"/>
      <c r="AN857" s="136"/>
      <c r="AO857" s="136"/>
      <c r="AP857" s="136"/>
    </row>
    <row r="858" spans="1:42" s="111" customFormat="1" ht="12" customHeight="1" x14ac:dyDescent="0.2">
      <c r="A858" s="133"/>
      <c r="B858" s="135" t="str">
        <f>VLOOKUP(F858,BB!$A$8:$C$152,3,0)</f>
        <v>A01</v>
      </c>
      <c r="C858" s="136">
        <f>C857</f>
        <v>202608</v>
      </c>
      <c r="D858" s="134" t="str">
        <f>D857</f>
        <v>MDR-2608002</v>
      </c>
      <c r="E858" s="139">
        <f>E857</f>
        <v>46240</v>
      </c>
      <c r="F858" s="134" t="s">
        <v>164</v>
      </c>
      <c r="G858" s="146">
        <f>H857</f>
        <v>12000000</v>
      </c>
      <c r="H858" s="149">
        <f>G857</f>
        <v>0</v>
      </c>
      <c r="I858" s="149">
        <f>IF(G858&lt;&gt;0,G858,-H858)</f>
        <v>12000000</v>
      </c>
      <c r="J858" s="146">
        <f>-J857</f>
        <v>0</v>
      </c>
      <c r="K858" s="111" t="str">
        <f>K857</f>
        <v>BANK KELUAR</v>
      </c>
      <c r="L858" s="151" t="str">
        <f>L857</f>
        <v>PEMINDAHAN DANA KE AKUN KAS</v>
      </c>
    </row>
    <row r="859" spans="1:42" s="111" customFormat="1" ht="12" customHeight="1" x14ac:dyDescent="0.2">
      <c r="A859" s="133"/>
      <c r="B859" s="135"/>
      <c r="C859" s="136"/>
      <c r="D859" s="134"/>
      <c r="E859" s="139"/>
      <c r="F859" s="144"/>
      <c r="G859" s="146"/>
      <c r="H859" s="149"/>
      <c r="I859" s="149"/>
      <c r="J859" s="146"/>
      <c r="L859" s="151"/>
    </row>
    <row r="860" spans="1:42" s="111" customFormat="1" ht="12" customHeight="1" x14ac:dyDescent="0.2">
      <c r="A860" s="133"/>
      <c r="B860" s="135" t="str">
        <f>VLOOKUP(F860,BB!$A$8:$C$152,3,0)</f>
        <v>A02</v>
      </c>
      <c r="C860" s="136">
        <v>202608</v>
      </c>
      <c r="D860" s="134" t="s">
        <v>954</v>
      </c>
      <c r="E860" s="139">
        <v>46247</v>
      </c>
      <c r="F860" s="144" t="s">
        <v>166</v>
      </c>
      <c r="G860" s="149">
        <v>0</v>
      </c>
      <c r="H860" s="149">
        <v>14475000</v>
      </c>
      <c r="I860" s="189">
        <f>IF(G860&lt;&gt;0,G860,-H860)</f>
        <v>-14475000</v>
      </c>
      <c r="J860" s="149">
        <v>0</v>
      </c>
      <c r="K860" s="111" t="s">
        <v>304</v>
      </c>
      <c r="L860" s="152" t="s">
        <v>955</v>
      </c>
    </row>
    <row r="861" spans="1:42" s="111" customFormat="1" ht="12" customHeight="1" x14ac:dyDescent="0.2">
      <c r="A861" s="133"/>
      <c r="B861" s="135" t="str">
        <f>VLOOKUP(F861,BB!$A$8:$C$152,3,0)</f>
        <v>P05</v>
      </c>
      <c r="C861" s="136">
        <f>C860</f>
        <v>202608</v>
      </c>
      <c r="D861" s="134" t="str">
        <f>D860</f>
        <v>MDR-2608003</v>
      </c>
      <c r="E861" s="139">
        <f>E860</f>
        <v>46247</v>
      </c>
      <c r="F861" s="144" t="s">
        <v>435</v>
      </c>
      <c r="G861" s="146">
        <f>H860</f>
        <v>14475000</v>
      </c>
      <c r="H861" s="149">
        <f>G860</f>
        <v>0</v>
      </c>
      <c r="I861" s="189">
        <f>IF(G861&lt;&gt;0,G861,-H861)</f>
        <v>14475000</v>
      </c>
      <c r="J861" s="146">
        <f>-J860</f>
        <v>0</v>
      </c>
      <c r="K861" s="111" t="str">
        <f>K860</f>
        <v>BANK KELUAR</v>
      </c>
      <c r="L861" s="151" t="str">
        <f>L860</f>
        <v>PEMBAYARAN JASA FORKLIFT ACHMAD LUTHFIE PERIODE 202606</v>
      </c>
    </row>
    <row r="862" spans="1:42" s="111" customFormat="1" ht="12" customHeight="1" x14ac:dyDescent="0.2">
      <c r="A862" s="133"/>
      <c r="B862" s="135"/>
      <c r="C862" s="136"/>
      <c r="D862" s="134"/>
      <c r="E862" s="139"/>
      <c r="F862" s="144"/>
      <c r="G862" s="146"/>
      <c r="H862" s="149"/>
      <c r="I862" s="149"/>
      <c r="J862" s="146"/>
      <c r="L862" s="151"/>
    </row>
    <row r="863" spans="1:42" s="111" customFormat="1" ht="12" customHeight="1" x14ac:dyDescent="0.2">
      <c r="A863" s="133"/>
      <c r="B863" s="135" t="str">
        <f>VLOOKUP(F863,BB!$A$8:$C$152,3,0)</f>
        <v>A02</v>
      </c>
      <c r="C863" s="136">
        <v>202608</v>
      </c>
      <c r="D863" s="134" t="s">
        <v>956</v>
      </c>
      <c r="E863" s="139">
        <v>46258</v>
      </c>
      <c r="F863" s="144" t="s">
        <v>166</v>
      </c>
      <c r="G863" s="146">
        <v>88166496</v>
      </c>
      <c r="H863" s="149">
        <v>0</v>
      </c>
      <c r="I863" s="149">
        <f t="shared" ref="I863:I868" si="236">IF(G863&lt;&gt;0,G863,-H863)</f>
        <v>88166496</v>
      </c>
      <c r="J863" s="149">
        <v>0</v>
      </c>
      <c r="K863" s="111" t="s">
        <v>305</v>
      </c>
      <c r="L863" s="151" t="s">
        <v>957</v>
      </c>
    </row>
    <row r="864" spans="1:42" s="111" customFormat="1" ht="12" customHeight="1" x14ac:dyDescent="0.2">
      <c r="A864" s="133"/>
      <c r="B864" s="135" t="str">
        <f>VLOOKUP(F864,BB!$A$8:$C$152,3,0)</f>
        <v>A04A</v>
      </c>
      <c r="C864" s="136">
        <f t="shared" ref="C864:E864" si="237">C863</f>
        <v>202608</v>
      </c>
      <c r="D864" s="134" t="str">
        <f t="shared" si="237"/>
        <v>MDR-2608004</v>
      </c>
      <c r="E864" s="139">
        <f t="shared" si="237"/>
        <v>46258</v>
      </c>
      <c r="F864" s="144" t="s">
        <v>468</v>
      </c>
      <c r="G864" s="146">
        <v>0</v>
      </c>
      <c r="H864" s="149">
        <v>65128194.44444444</v>
      </c>
      <c r="I864" s="149">
        <f t="shared" si="236"/>
        <v>-65128194.44444444</v>
      </c>
      <c r="J864" s="146">
        <f>-J863</f>
        <v>0</v>
      </c>
      <c r="K864" s="111" t="str">
        <f>K863</f>
        <v>BANK MASUK</v>
      </c>
      <c r="L864" s="151" t="str">
        <f>"ANGSURAN PIRUT DARI "&amp;MID(L863,17,50)</f>
        <v>ANGSURAN PIRUT DARI POTONGAN GAJI BULAN AGUSTUS 2026</v>
      </c>
    </row>
    <row r="865" spans="1:12" s="111" customFormat="1" ht="12" customHeight="1" x14ac:dyDescent="0.2">
      <c r="A865" s="133"/>
      <c r="B865" s="135" t="str">
        <f>VLOOKUP(F865,BB!$A$8:$C$152,3,0)</f>
        <v>P12</v>
      </c>
      <c r="C865" s="136">
        <f t="shared" ref="C865:E865" si="238">C864</f>
        <v>202608</v>
      </c>
      <c r="D865" s="134" t="str">
        <f t="shared" si="238"/>
        <v>MDR-2608004</v>
      </c>
      <c r="E865" s="139">
        <f t="shared" si="238"/>
        <v>46258</v>
      </c>
      <c r="F865" s="140" t="s">
        <v>227</v>
      </c>
      <c r="G865" s="146">
        <v>0</v>
      </c>
      <c r="H865" s="149">
        <v>3850000</v>
      </c>
      <c r="I865" s="149">
        <f t="shared" si="236"/>
        <v>-3850000</v>
      </c>
      <c r="J865" s="146">
        <f>-J864</f>
        <v>0</v>
      </c>
      <c r="K865" s="111" t="str">
        <f>K864</f>
        <v>BANK MASUK</v>
      </c>
      <c r="L865" s="151" t="s">
        <v>500</v>
      </c>
    </row>
    <row r="866" spans="1:12" s="111" customFormat="1" ht="12" customHeight="1" x14ac:dyDescent="0.2">
      <c r="A866" s="133"/>
      <c r="B866" s="135" t="str">
        <f>VLOOKUP(F866,BB!$A$8:$C$152,3,0)</f>
        <v>LR01A</v>
      </c>
      <c r="C866" s="136">
        <f t="shared" ref="C866:E866" si="239">C865</f>
        <v>202608</v>
      </c>
      <c r="D866" s="134" t="str">
        <f t="shared" si="239"/>
        <v>MDR-2608004</v>
      </c>
      <c r="E866" s="139">
        <f t="shared" si="239"/>
        <v>46258</v>
      </c>
      <c r="F866" s="144" t="s">
        <v>369</v>
      </c>
      <c r="G866" s="146">
        <v>0</v>
      </c>
      <c r="H866" s="146">
        <v>84316496.527777776</v>
      </c>
      <c r="I866" s="149">
        <f t="shared" si="236"/>
        <v>-84316496.527777776</v>
      </c>
      <c r="J866" s="146">
        <f>-J865</f>
        <v>0</v>
      </c>
      <c r="K866" s="111" t="str">
        <f>K865</f>
        <v>BANK MASUK</v>
      </c>
      <c r="L866" s="151" t="str">
        <f>"PENDAPATAN PIRUT "&amp;MID(L863,31,50)</f>
        <v>PENDAPATAN PIRUT BULAN AGUSTUS 2026</v>
      </c>
    </row>
    <row r="867" spans="1:12" s="111" customFormat="1" ht="12" customHeight="1" x14ac:dyDescent="0.2">
      <c r="A867" s="133"/>
      <c r="B867" s="135" t="str">
        <f>VLOOKUP(F867,BB!$A$8:$C$152,3,0)</f>
        <v>LR02A</v>
      </c>
      <c r="C867" s="136">
        <f t="shared" ref="C867:E867" si="240">C866</f>
        <v>202608</v>
      </c>
      <c r="D867" s="134" t="str">
        <f t="shared" si="240"/>
        <v>MDR-2608004</v>
      </c>
      <c r="E867" s="139">
        <f t="shared" si="240"/>
        <v>46258</v>
      </c>
      <c r="F867" s="144" t="s">
        <v>373</v>
      </c>
      <c r="G867" s="146">
        <f>H864</f>
        <v>65128194.44444444</v>
      </c>
      <c r="H867" s="146">
        <v>0</v>
      </c>
      <c r="I867" s="149">
        <f t="shared" si="236"/>
        <v>65128194.44444444</v>
      </c>
      <c r="J867" s="146">
        <f>-J866</f>
        <v>0</v>
      </c>
      <c r="K867" s="111" t="str">
        <f>K866</f>
        <v>BANK MASUK</v>
      </c>
      <c r="L867" s="151" t="str">
        <f>"HPP "&amp;MID(L866,12,50)</f>
        <v>HPP PIRUT BULAN AGUSTUS 2026</v>
      </c>
    </row>
    <row r="868" spans="1:12" s="111" customFormat="1" ht="12" customHeight="1" x14ac:dyDescent="0.2">
      <c r="A868" s="133"/>
      <c r="B868" s="135" t="str">
        <f>VLOOKUP(F868,BB!$A$8:$C$152,3,0)</f>
        <v>LR07</v>
      </c>
      <c r="C868" s="136">
        <f t="shared" ref="C868:E868" si="241">C867</f>
        <v>202608</v>
      </c>
      <c r="D868" s="134" t="str">
        <f t="shared" si="241"/>
        <v>MDR-2608004</v>
      </c>
      <c r="E868" s="139">
        <f t="shared" si="241"/>
        <v>46258</v>
      </c>
      <c r="F868" s="144" t="s">
        <v>249</v>
      </c>
      <c r="G868" s="146">
        <f>IF(SUM(I863:I867)&lt;0,-SUM(I863:I867),0)</f>
        <v>0.5277777761220932</v>
      </c>
      <c r="H868" s="146">
        <f>IF(SUM(I863:I867)&gt;0,-SUM(J863:J867),0)</f>
        <v>0</v>
      </c>
      <c r="I868" s="149">
        <f t="shared" si="236"/>
        <v>0.5277777761220932</v>
      </c>
      <c r="J868" s="146">
        <f>-J867</f>
        <v>0</v>
      </c>
      <c r="K868" s="111" t="str">
        <f>K867</f>
        <v>BANK MASUK</v>
      </c>
      <c r="L868" s="151" t="s">
        <v>434</v>
      </c>
    </row>
    <row r="869" spans="1:12" s="111" customFormat="1" ht="12" customHeight="1" x14ac:dyDescent="0.2">
      <c r="A869" s="133"/>
      <c r="B869" s="135"/>
      <c r="C869" s="136"/>
      <c r="D869" s="134"/>
      <c r="E869" s="139"/>
      <c r="F869" s="144"/>
      <c r="G869" s="146"/>
      <c r="H869" s="149"/>
      <c r="I869" s="149"/>
      <c r="J869" s="146"/>
      <c r="L869" s="151"/>
    </row>
    <row r="870" spans="1:12" s="111" customFormat="1" ht="12" customHeight="1" x14ac:dyDescent="0.2">
      <c r="A870" s="133"/>
      <c r="B870" s="135" t="str">
        <f>VLOOKUP(F870,BB!$A$8:$C$152,3,0)</f>
        <v>A02</v>
      </c>
      <c r="C870" s="136">
        <v>202608</v>
      </c>
      <c r="D870" s="134" t="s">
        <v>958</v>
      </c>
      <c r="E870" s="139">
        <v>46261</v>
      </c>
      <c r="F870" s="144" t="s">
        <v>166</v>
      </c>
      <c r="G870" s="149">
        <v>0</v>
      </c>
      <c r="H870" s="149">
        <v>98750000</v>
      </c>
      <c r="I870" s="149">
        <f>IF(G870&lt;&gt;0,G870,-H870)</f>
        <v>-98750000</v>
      </c>
      <c r="J870" s="149">
        <v>0</v>
      </c>
      <c r="K870" s="111" t="s">
        <v>304</v>
      </c>
      <c r="L870" s="151" t="s">
        <v>959</v>
      </c>
    </row>
    <row r="871" spans="1:12" s="111" customFormat="1" ht="12" customHeight="1" x14ac:dyDescent="0.2">
      <c r="A871" s="133"/>
      <c r="B871" s="135" t="str">
        <f>VLOOKUP(F871,BB!$A$8:$C$152,3,0)</f>
        <v>A04A</v>
      </c>
      <c r="C871" s="136">
        <f t="shared" ref="C871:E871" si="242">C870</f>
        <v>202608</v>
      </c>
      <c r="D871" s="134" t="str">
        <f t="shared" si="242"/>
        <v>MDR-2608005</v>
      </c>
      <c r="E871" s="139">
        <f t="shared" si="242"/>
        <v>46261</v>
      </c>
      <c r="F871" s="144" t="s">
        <v>468</v>
      </c>
      <c r="G871" s="146">
        <v>125000000</v>
      </c>
      <c r="H871" s="149">
        <v>0</v>
      </c>
      <c r="I871" s="149">
        <f>IF(G871&lt;&gt;0,G871,-H871)</f>
        <v>125000000</v>
      </c>
      <c r="J871" s="146">
        <f>-J870</f>
        <v>0</v>
      </c>
      <c r="K871" s="111" t="str">
        <f>K870</f>
        <v>BANK KELUAR</v>
      </c>
      <c r="L871" s="151" t="str">
        <f>L870</f>
        <v>PINJAMAN RUTIN CHOIRI, 60X, KOMPENSASI</v>
      </c>
    </row>
    <row r="872" spans="1:12" s="111" customFormat="1" ht="12" customHeight="1" x14ac:dyDescent="0.2">
      <c r="A872" s="133"/>
      <c r="B872" s="135" t="str">
        <f>VLOOKUP(F872,BB!$A$8:$C$152,3,0)</f>
        <v>A04A</v>
      </c>
      <c r="C872" s="136">
        <f t="shared" ref="C872:E872" si="243">C871</f>
        <v>202608</v>
      </c>
      <c r="D872" s="134" t="str">
        <f t="shared" si="243"/>
        <v>MDR-2608005</v>
      </c>
      <c r="E872" s="139">
        <f t="shared" si="243"/>
        <v>46261</v>
      </c>
      <c r="F872" s="144" t="s">
        <v>468</v>
      </c>
      <c r="G872" s="146">
        <v>0</v>
      </c>
      <c r="H872" s="149">
        <f>G871-H870</f>
        <v>26250000</v>
      </c>
      <c r="I872" s="149">
        <f>IF(G872&lt;&gt;0,G872,-H872)</f>
        <v>-26250000</v>
      </c>
      <c r="J872" s="146">
        <f>-J871</f>
        <v>0</v>
      </c>
      <c r="K872" s="111" t="str">
        <f>K871</f>
        <v>BANK KELUAR</v>
      </c>
      <c r="L872" s="151" t="str">
        <f>L871</f>
        <v>PINJAMAN RUTIN CHOIRI, 60X, KOMPENSASI</v>
      </c>
    </row>
    <row r="873" spans="1:12" s="111" customFormat="1" ht="12" customHeight="1" x14ac:dyDescent="0.2">
      <c r="A873" s="133"/>
      <c r="B873" s="135"/>
      <c r="C873" s="136"/>
      <c r="D873" s="134"/>
      <c r="E873" s="139"/>
      <c r="F873" s="144"/>
      <c r="G873" s="146"/>
      <c r="H873" s="149"/>
      <c r="I873" s="149"/>
      <c r="J873" s="146"/>
      <c r="L873" s="151"/>
    </row>
    <row r="874" spans="1:12" s="111" customFormat="1" ht="12" customHeight="1" x14ac:dyDescent="0.2">
      <c r="A874" s="133"/>
      <c r="B874" s="135" t="str">
        <f>VLOOKUP(F874,BB!$A$8:$C$152,3,0)</f>
        <v>A02</v>
      </c>
      <c r="C874" s="136">
        <v>202608</v>
      </c>
      <c r="D874" s="134" t="s">
        <v>960</v>
      </c>
      <c r="E874" s="139">
        <v>46265</v>
      </c>
      <c r="F874" s="144" t="s">
        <v>166</v>
      </c>
      <c r="G874" s="149">
        <f>IF(SUM(I875:I877)&lt;0,-SUM(I875:I877),0)</f>
        <v>527.79000000000178</v>
      </c>
      <c r="H874" s="149">
        <f>IF(SUM(I875:I877)&gt;0,SUM(I875:I877),0)</f>
        <v>0</v>
      </c>
      <c r="I874" s="149">
        <f>IF(G874&lt;&gt;0,G874,-H874)</f>
        <v>527.79000000000178</v>
      </c>
      <c r="J874" s="146">
        <f>-J873</f>
        <v>0</v>
      </c>
      <c r="K874" s="111" t="str">
        <f>IF(I874&gt;0,"BANK MASUK","BANK KELUAR")</f>
        <v>BANK MASUK</v>
      </c>
      <c r="L874" s="151" t="str">
        <f>IF(K874="BANK MASUK","PENDAPATAN ATAS REKENING GIRO MANDIRI","BIAYA ATAS REKENING GIRO MANDIRI")</f>
        <v>PENDAPATAN ATAS REKENING GIRO MANDIRI</v>
      </c>
    </row>
    <row r="875" spans="1:12" s="111" customFormat="1" ht="12" customHeight="1" x14ac:dyDescent="0.2">
      <c r="A875" s="133"/>
      <c r="B875" s="135" t="str">
        <f>VLOOKUP(F875,BB!$A$8:$C$152,3,0)</f>
        <v>LR07</v>
      </c>
      <c r="C875" s="136">
        <f t="shared" ref="C875:E875" si="244">C874</f>
        <v>202608</v>
      </c>
      <c r="D875" s="134" t="str">
        <f t="shared" si="244"/>
        <v>MDR-2608006</v>
      </c>
      <c r="E875" s="139">
        <f t="shared" si="244"/>
        <v>46265</v>
      </c>
      <c r="F875" s="144" t="s">
        <v>248</v>
      </c>
      <c r="G875" s="149">
        <v>25000</v>
      </c>
      <c r="H875" s="149">
        <v>0</v>
      </c>
      <c r="I875" s="149">
        <f>IF(G875&lt;&gt;0,G875,-H875)</f>
        <v>25000</v>
      </c>
      <c r="J875" s="146">
        <f>-J874</f>
        <v>0</v>
      </c>
      <c r="K875" s="111" t="str">
        <f>K874</f>
        <v>BANK MASUK</v>
      </c>
      <c r="L875" s="151" t="s">
        <v>409</v>
      </c>
    </row>
    <row r="876" spans="1:12" s="111" customFormat="1" ht="12" customHeight="1" x14ac:dyDescent="0.2">
      <c r="A876" s="133"/>
      <c r="B876" s="135" t="str">
        <f>VLOOKUP(F876,BB!$A$8:$C$152,3,0)</f>
        <v>LR07</v>
      </c>
      <c r="C876" s="136">
        <f t="shared" ref="C876:E876" si="245">C875</f>
        <v>202608</v>
      </c>
      <c r="D876" s="134" t="str">
        <f t="shared" si="245"/>
        <v>MDR-2608006</v>
      </c>
      <c r="E876" s="139">
        <f t="shared" si="245"/>
        <v>46265</v>
      </c>
      <c r="F876" s="144" t="s">
        <v>248</v>
      </c>
      <c r="G876" s="149">
        <v>0</v>
      </c>
      <c r="H876" s="149">
        <v>31909.74</v>
      </c>
      <c r="I876" s="149">
        <f>IF(G876&lt;&gt;0,G876,-H876)</f>
        <v>-31909.74</v>
      </c>
      <c r="J876" s="146">
        <f>-J875</f>
        <v>0</v>
      </c>
      <c r="K876" s="111" t="str">
        <f>K875</f>
        <v>BANK MASUK</v>
      </c>
      <c r="L876" s="151" t="s">
        <v>410</v>
      </c>
    </row>
    <row r="877" spans="1:12" s="111" customFormat="1" ht="12" customHeight="1" x14ac:dyDescent="0.2">
      <c r="A877" s="133"/>
      <c r="B877" s="135" t="str">
        <f>VLOOKUP(F877,BB!$A$8:$C$152,3,0)</f>
        <v>LR07</v>
      </c>
      <c r="C877" s="136">
        <f t="shared" ref="C877:E877" si="246">C876</f>
        <v>202608</v>
      </c>
      <c r="D877" s="134" t="str">
        <f t="shared" si="246"/>
        <v>MDR-2608006</v>
      </c>
      <c r="E877" s="139">
        <f t="shared" si="246"/>
        <v>46265</v>
      </c>
      <c r="F877" s="144" t="s">
        <v>248</v>
      </c>
      <c r="G877" s="149">
        <v>6381.95</v>
      </c>
      <c r="H877" s="149">
        <v>0</v>
      </c>
      <c r="I877" s="149">
        <f>IF(G877&lt;&gt;0,G877,-H877)</f>
        <v>6381.95</v>
      </c>
      <c r="J877" s="146">
        <f>-J876</f>
        <v>0</v>
      </c>
      <c r="K877" s="111" t="str">
        <f>K876</f>
        <v>BANK MASUK</v>
      </c>
      <c r="L877" s="151" t="s">
        <v>411</v>
      </c>
    </row>
    <row r="878" spans="1:12" s="111" customFormat="1" ht="12" customHeight="1" x14ac:dyDescent="0.2">
      <c r="A878" s="133"/>
      <c r="B878" s="135"/>
      <c r="C878" s="136"/>
      <c r="D878" s="134"/>
      <c r="E878" s="139"/>
      <c r="F878" s="144"/>
      <c r="G878" s="146"/>
      <c r="H878" s="149"/>
      <c r="I878" s="149"/>
      <c r="J878" s="146"/>
      <c r="L878" s="151"/>
    </row>
    <row r="879" spans="1:12" s="111" customFormat="1" ht="12" customHeight="1" x14ac:dyDescent="0.2">
      <c r="A879" s="133"/>
      <c r="B879" s="135" t="str">
        <f>VLOOKUP(F879,BB!$A$8:$C$152,3,0)</f>
        <v>A02</v>
      </c>
      <c r="C879" s="136">
        <v>202608</v>
      </c>
      <c r="D879" s="134" t="s">
        <v>961</v>
      </c>
      <c r="E879" s="139">
        <v>46265</v>
      </c>
      <c r="F879" s="144" t="s">
        <v>167</v>
      </c>
      <c r="G879" s="149">
        <v>0</v>
      </c>
      <c r="H879" s="149">
        <v>30000</v>
      </c>
      <c r="I879" s="149">
        <f>IF(G879&lt;&gt;0,G879,-H879)</f>
        <v>-30000</v>
      </c>
      <c r="J879" s="149">
        <v>0</v>
      </c>
      <c r="K879" s="111" t="s">
        <v>304</v>
      </c>
      <c r="L879" s="151" t="s">
        <v>409</v>
      </c>
    </row>
    <row r="880" spans="1:12" s="111" customFormat="1" ht="12" customHeight="1" x14ac:dyDescent="0.2">
      <c r="A880" s="133"/>
      <c r="B880" s="135" t="str">
        <f>VLOOKUP(F880,BB!$A$8:$C$152,3,0)</f>
        <v>LR07</v>
      </c>
      <c r="C880" s="136">
        <f>C879</f>
        <v>202608</v>
      </c>
      <c r="D880" s="134" t="str">
        <f>D879</f>
        <v>BCA-2608001</v>
      </c>
      <c r="E880" s="139">
        <f>E879</f>
        <v>46265</v>
      </c>
      <c r="F880" s="144" t="s">
        <v>248</v>
      </c>
      <c r="G880" s="146">
        <v>30000</v>
      </c>
      <c r="H880" s="149">
        <v>0</v>
      </c>
      <c r="I880" s="149">
        <f>IF(G880&lt;&gt;0,G880,-H880)</f>
        <v>30000</v>
      </c>
      <c r="J880" s="146">
        <v>0</v>
      </c>
      <c r="K880" s="111" t="s">
        <v>304</v>
      </c>
      <c r="L880" s="151" t="s">
        <v>409</v>
      </c>
    </row>
    <row r="881" spans="1:14" s="111" customFormat="1" ht="12" customHeight="1" x14ac:dyDescent="0.2">
      <c r="A881" s="133"/>
      <c r="B881" s="135"/>
      <c r="C881" s="136"/>
      <c r="D881" s="134"/>
      <c r="E881" s="139"/>
      <c r="F881" s="144"/>
      <c r="G881" s="146"/>
      <c r="H881" s="149"/>
      <c r="I881" s="149"/>
      <c r="J881" s="146"/>
      <c r="L881" s="151"/>
    </row>
    <row r="882" spans="1:14" s="111" customFormat="1" ht="12" customHeight="1" x14ac:dyDescent="0.2">
      <c r="A882" s="133"/>
      <c r="B882" s="135" t="str">
        <f>VLOOKUP(F882,BB!$A$8:$C$152,3,0)</f>
        <v>A01</v>
      </c>
      <c r="C882" s="136">
        <v>202608</v>
      </c>
      <c r="D882" s="134" t="s">
        <v>962</v>
      </c>
      <c r="E882" s="139">
        <v>46238</v>
      </c>
      <c r="F882" s="144" t="s">
        <v>163</v>
      </c>
      <c r="G882" s="149">
        <v>0</v>
      </c>
      <c r="H882" s="149">
        <v>218854</v>
      </c>
      <c r="I882" s="149">
        <f>IF(G882&lt;&gt;0,G882,-H882)</f>
        <v>-218854</v>
      </c>
      <c r="J882" s="149">
        <v>0</v>
      </c>
      <c r="K882" s="111" t="s">
        <v>510</v>
      </c>
      <c r="L882" s="152" t="s">
        <v>963</v>
      </c>
      <c r="M882" s="149"/>
      <c r="N882" s="149"/>
    </row>
    <row r="883" spans="1:14" s="111" customFormat="1" ht="12" customHeight="1" x14ac:dyDescent="0.2">
      <c r="A883" s="133"/>
      <c r="B883" s="135" t="str">
        <f>VLOOKUP(F883,BB!$A$8:$C$152,3,0)</f>
        <v>P04</v>
      </c>
      <c r="C883" s="136">
        <f>C882</f>
        <v>202608</v>
      </c>
      <c r="D883" s="134" t="str">
        <f>D882</f>
        <v>KAS-2608001</v>
      </c>
      <c r="E883" s="139">
        <f>E882</f>
        <v>46238</v>
      </c>
      <c r="F883" s="139" t="s">
        <v>210</v>
      </c>
      <c r="G883" s="146">
        <f>H882</f>
        <v>218854</v>
      </c>
      <c r="H883" s="149">
        <f>G882</f>
        <v>0</v>
      </c>
      <c r="I883" s="149">
        <f>IF(G883&lt;&gt;0,G883,-H883)</f>
        <v>218854</v>
      </c>
      <c r="J883" s="146">
        <f>-J882</f>
        <v>0</v>
      </c>
      <c r="K883" s="111" t="str">
        <f>K882</f>
        <v>KAS KELUAR</v>
      </c>
      <c r="L883" s="151" t="str">
        <f>L882</f>
        <v>PEMBAYARAN PAJAK</v>
      </c>
      <c r="M883" s="146"/>
      <c r="N883" s="149"/>
    </row>
    <row r="884" spans="1:14" s="111" customFormat="1" ht="12" customHeight="1" x14ac:dyDescent="0.2">
      <c r="A884" s="133"/>
      <c r="B884" s="135"/>
      <c r="C884" s="136"/>
      <c r="D884" s="134"/>
      <c r="E884" s="139"/>
      <c r="F884" s="144"/>
      <c r="G884" s="146"/>
      <c r="H884" s="149"/>
      <c r="I884" s="149"/>
      <c r="J884" s="146"/>
      <c r="L884" s="151"/>
    </row>
    <row r="885" spans="1:14" s="111" customFormat="1" ht="12" customHeight="1" x14ac:dyDescent="0.2">
      <c r="A885" s="133"/>
      <c r="B885" s="135" t="str">
        <f>VLOOKUP(F885,BB!$A$8:$C$152,3,0)</f>
        <v>A01</v>
      </c>
      <c r="C885" s="136">
        <v>202608</v>
      </c>
      <c r="D885" s="134" t="s">
        <v>964</v>
      </c>
      <c r="E885" s="139">
        <v>46238</v>
      </c>
      <c r="F885" s="144" t="s">
        <v>163</v>
      </c>
      <c r="G885" s="149">
        <v>0</v>
      </c>
      <c r="H885" s="149">
        <v>150000</v>
      </c>
      <c r="I885" s="149">
        <f>IF(G885&lt;&gt;0,G885,-H885)</f>
        <v>-150000</v>
      </c>
      <c r="J885" s="149">
        <v>0</v>
      </c>
      <c r="K885" s="111" t="s">
        <v>510</v>
      </c>
      <c r="L885" s="152" t="s">
        <v>965</v>
      </c>
      <c r="M885" s="149"/>
      <c r="N885" s="149"/>
    </row>
    <row r="886" spans="1:14" s="111" customFormat="1" ht="12" customHeight="1" x14ac:dyDescent="0.2">
      <c r="A886" s="133"/>
      <c r="B886" s="135" t="str">
        <f>VLOOKUP(F886,BB!$A$8:$C$152,3,0)</f>
        <v>LR05</v>
      </c>
      <c r="C886" s="136">
        <f>C885</f>
        <v>202608</v>
      </c>
      <c r="D886" s="134" t="str">
        <f>D885</f>
        <v>KAS-2608002</v>
      </c>
      <c r="E886" s="139">
        <f>E885</f>
        <v>46238</v>
      </c>
      <c r="F886" s="139" t="s">
        <v>429</v>
      </c>
      <c r="G886" s="146">
        <f>H885</f>
        <v>150000</v>
      </c>
      <c r="H886" s="149">
        <f>G885</f>
        <v>0</v>
      </c>
      <c r="I886" s="149">
        <f>IF(G886&lt;&gt;0,G886,-H886)</f>
        <v>150000</v>
      </c>
      <c r="J886" s="146">
        <f>-J885</f>
        <v>0</v>
      </c>
      <c r="K886" s="111" t="str">
        <f>K885</f>
        <v>KAS KELUAR</v>
      </c>
      <c r="L886" s="151" t="str">
        <f>L885</f>
        <v>RAPAT DENGAN PEMERIKSA PAJAK</v>
      </c>
      <c r="M886" s="146"/>
      <c r="N886" s="149"/>
    </row>
    <row r="887" spans="1:14" s="111" customFormat="1" ht="12" customHeight="1" x14ac:dyDescent="0.2">
      <c r="A887" s="133"/>
      <c r="B887" s="135"/>
      <c r="C887" s="136"/>
      <c r="D887" s="134"/>
      <c r="E887" s="139"/>
      <c r="F887" s="144"/>
      <c r="G887" s="146"/>
      <c r="H887" s="149"/>
      <c r="I887" s="149"/>
      <c r="J887" s="146"/>
      <c r="L887" s="151"/>
    </row>
    <row r="888" spans="1:14" s="111" customFormat="1" ht="12" customHeight="1" x14ac:dyDescent="0.2">
      <c r="A888" s="133"/>
      <c r="B888" s="135" t="str">
        <f>VLOOKUP(F888,BB!$A$8:$C$152,3,0)</f>
        <v>A01</v>
      </c>
      <c r="C888" s="136">
        <v>202608</v>
      </c>
      <c r="D888" s="134" t="s">
        <v>966</v>
      </c>
      <c r="E888" s="139">
        <v>46239</v>
      </c>
      <c r="F888" s="144" t="s">
        <v>163</v>
      </c>
      <c r="G888" s="149">
        <v>1860000</v>
      </c>
      <c r="H888" s="149">
        <v>0</v>
      </c>
      <c r="I888" s="149">
        <f>IF(G888&lt;&gt;0,G888,-H888)</f>
        <v>1860000</v>
      </c>
      <c r="J888" s="149">
        <v>0</v>
      </c>
      <c r="K888" s="111" t="s">
        <v>509</v>
      </c>
      <c r="L888" s="152" t="s">
        <v>967</v>
      </c>
    </row>
    <row r="889" spans="1:14" s="111" customFormat="1" ht="12" customHeight="1" x14ac:dyDescent="0.2">
      <c r="A889" s="133"/>
      <c r="B889" s="135" t="str">
        <f>VLOOKUP(F889,BB!$A$8:$C$152,3,0)</f>
        <v>A04A</v>
      </c>
      <c r="C889" s="136">
        <f t="shared" ref="C889:E889" si="247">C888</f>
        <v>202608</v>
      </c>
      <c r="D889" s="134" t="str">
        <f t="shared" si="247"/>
        <v>KAS-2608003</v>
      </c>
      <c r="E889" s="139">
        <f t="shared" si="247"/>
        <v>46239</v>
      </c>
      <c r="F889" s="144" t="s">
        <v>471</v>
      </c>
      <c r="G889" s="146">
        <v>0</v>
      </c>
      <c r="H889" s="149">
        <v>1650000</v>
      </c>
      <c r="I889" s="149">
        <f>IF(G889&lt;&gt;0,G889,-H889)</f>
        <v>-1650000</v>
      </c>
      <c r="J889" s="146">
        <f>-J888</f>
        <v>0</v>
      </c>
      <c r="K889" s="111" t="str">
        <f>K888</f>
        <v>KAS MASUK</v>
      </c>
      <c r="L889" s="152" t="str">
        <f>L888</f>
        <v>PELUNASAN PINJAMAN LAIN AN. NANANG BUDI</v>
      </c>
    </row>
    <row r="890" spans="1:14" s="111" customFormat="1" ht="12" customHeight="1" x14ac:dyDescent="0.2">
      <c r="A890" s="133"/>
      <c r="B890" s="135" t="str">
        <f>VLOOKUP(F890,BB!$A$8:$C$152,3,0)</f>
        <v>LR01C</v>
      </c>
      <c r="C890" s="136">
        <f t="shared" ref="C890:E890" si="248">C889</f>
        <v>202608</v>
      </c>
      <c r="D890" s="134" t="str">
        <f t="shared" si="248"/>
        <v>KAS-2608003</v>
      </c>
      <c r="E890" s="139">
        <f t="shared" si="248"/>
        <v>46239</v>
      </c>
      <c r="F890" s="144" t="s">
        <v>371</v>
      </c>
      <c r="G890" s="146">
        <v>0</v>
      </c>
      <c r="H890" s="149">
        <f>G888-H889</f>
        <v>210000</v>
      </c>
      <c r="I890" s="149">
        <f>IF(G890&lt;&gt;0,G890,-H890)</f>
        <v>-210000</v>
      </c>
      <c r="J890" s="146">
        <f>-J889</f>
        <v>0</v>
      </c>
      <c r="K890" s="111" t="str">
        <f>K889</f>
        <v>KAS MASUK</v>
      </c>
      <c r="L890" s="152" t="str">
        <f>"PENDAPATAN ATAS PINJAMAN LAIN "&amp;MID(L889,24,20)</f>
        <v>PENDAPATAN ATAS PINJAMAN LAIN  AN. NANANG BUDI</v>
      </c>
    </row>
    <row r="891" spans="1:14" s="111" customFormat="1" ht="12" customHeight="1" x14ac:dyDescent="0.2">
      <c r="A891" s="133"/>
      <c r="B891" s="135"/>
      <c r="C891" s="136"/>
      <c r="D891" s="134"/>
      <c r="E891" s="139"/>
      <c r="F891" s="144"/>
      <c r="G891" s="146"/>
      <c r="H891" s="149"/>
      <c r="I891" s="149"/>
      <c r="J891" s="146"/>
      <c r="L891" s="151"/>
    </row>
    <row r="892" spans="1:14" s="111" customFormat="1" ht="12" customHeight="1" x14ac:dyDescent="0.2">
      <c r="A892" s="133"/>
      <c r="B892" s="135" t="str">
        <f>VLOOKUP(F892,BB!$A$8:$C$152,3,0)</f>
        <v>A01</v>
      </c>
      <c r="C892" s="136">
        <v>202608</v>
      </c>
      <c r="D892" s="134" t="s">
        <v>968</v>
      </c>
      <c r="E892" s="139">
        <v>46240</v>
      </c>
      <c r="F892" s="144" t="s">
        <v>163</v>
      </c>
      <c r="G892" s="149">
        <v>12000000</v>
      </c>
      <c r="H892" s="149">
        <v>0</v>
      </c>
      <c r="I892" s="149">
        <f>IF(G892&lt;&gt;0,G892,-H892)</f>
        <v>12000000</v>
      </c>
      <c r="J892" s="149">
        <v>0</v>
      </c>
      <c r="K892" s="111" t="s">
        <v>509</v>
      </c>
      <c r="L892" s="152" t="s">
        <v>755</v>
      </c>
    </row>
    <row r="893" spans="1:14" s="111" customFormat="1" ht="12" customHeight="1" x14ac:dyDescent="0.2">
      <c r="A893" s="133"/>
      <c r="B893" s="135" t="str">
        <f>VLOOKUP(F893,BB!$A$8:$C$152,3,0)</f>
        <v>A01</v>
      </c>
      <c r="C893" s="136">
        <f>C892</f>
        <v>202608</v>
      </c>
      <c r="D893" s="134" t="str">
        <f>D892</f>
        <v>KAS-2608004</v>
      </c>
      <c r="E893" s="139">
        <f>E892</f>
        <v>46240</v>
      </c>
      <c r="F893" s="144" t="s">
        <v>164</v>
      </c>
      <c r="G893" s="146">
        <f>H892</f>
        <v>0</v>
      </c>
      <c r="H893" s="149">
        <f>G892</f>
        <v>12000000</v>
      </c>
      <c r="I893" s="149">
        <f>IF(G893&lt;&gt;0,G893,-H893)</f>
        <v>-12000000</v>
      </c>
      <c r="J893" s="146">
        <f>-J892</f>
        <v>0</v>
      </c>
      <c r="K893" s="111" t="str">
        <f>K892</f>
        <v>KAS MASUK</v>
      </c>
      <c r="L893" s="151" t="str">
        <f>L892</f>
        <v>PEMINDAHAN DARI REK MANDIRI KKCS</v>
      </c>
    </row>
    <row r="894" spans="1:14" s="111" customFormat="1" ht="12" customHeight="1" x14ac:dyDescent="0.2">
      <c r="A894" s="133"/>
      <c r="B894" s="135"/>
      <c r="C894" s="136"/>
      <c r="D894" s="134"/>
      <c r="E894" s="139"/>
      <c r="F894" s="144"/>
      <c r="G894" s="146"/>
      <c r="H894" s="149"/>
      <c r="I894" s="149"/>
      <c r="J894" s="146"/>
      <c r="L894" s="151"/>
    </row>
    <row r="895" spans="1:14" s="111" customFormat="1" ht="12" customHeight="1" x14ac:dyDescent="0.2">
      <c r="A895" s="133"/>
      <c r="B895" s="135" t="str">
        <f>VLOOKUP(F895,BB!$A$8:$C$152,3,0)</f>
        <v>A01</v>
      </c>
      <c r="C895" s="136">
        <v>202608</v>
      </c>
      <c r="D895" s="134" t="s">
        <v>969</v>
      </c>
      <c r="E895" s="139">
        <v>46240</v>
      </c>
      <c r="F895" s="144" t="s">
        <v>163</v>
      </c>
      <c r="G895" s="149">
        <v>0</v>
      </c>
      <c r="H895" s="149">
        <v>2556000</v>
      </c>
      <c r="I895" s="149">
        <f>IF(G895&lt;&gt;0,G895,-H895)</f>
        <v>-2556000</v>
      </c>
      <c r="J895" s="149">
        <v>0</v>
      </c>
      <c r="K895" s="111" t="s">
        <v>510</v>
      </c>
      <c r="L895" s="152" t="s">
        <v>971</v>
      </c>
      <c r="M895" s="149"/>
      <c r="N895" s="149"/>
    </row>
    <row r="896" spans="1:14" s="111" customFormat="1" ht="12" customHeight="1" x14ac:dyDescent="0.2">
      <c r="A896" s="133"/>
      <c r="B896" s="135" t="str">
        <f>VLOOKUP(F896,BB!$A$8:$C$152,3,0)</f>
        <v>P04</v>
      </c>
      <c r="C896" s="136">
        <f>C895</f>
        <v>202608</v>
      </c>
      <c r="D896" s="134" t="str">
        <f>D895</f>
        <v>KAS-2608005</v>
      </c>
      <c r="E896" s="139">
        <f>E895</f>
        <v>46240</v>
      </c>
      <c r="F896" s="139" t="s">
        <v>210</v>
      </c>
      <c r="G896" s="146">
        <f>H895</f>
        <v>2556000</v>
      </c>
      <c r="H896" s="149">
        <f>G895</f>
        <v>0</v>
      </c>
      <c r="I896" s="149">
        <f>IF(G896&lt;&gt;0,G896,-H896)</f>
        <v>2556000</v>
      </c>
      <c r="J896" s="146">
        <f>-J895</f>
        <v>0</v>
      </c>
      <c r="K896" s="111" t="str">
        <f>K895</f>
        <v>KAS KELUAR</v>
      </c>
      <c r="L896" s="151" t="str">
        <f>L895</f>
        <v>PEMBY. SPT (PERPAJAKAN KKCS)</v>
      </c>
      <c r="M896" s="146"/>
      <c r="N896" s="149"/>
    </row>
    <row r="897" spans="1:14" s="111" customFormat="1" ht="12" customHeight="1" x14ac:dyDescent="0.2">
      <c r="A897" s="133"/>
      <c r="B897" s="135"/>
      <c r="C897" s="136"/>
      <c r="D897" s="134"/>
      <c r="E897" s="139"/>
      <c r="F897" s="144"/>
      <c r="G897" s="146"/>
      <c r="H897" s="149"/>
      <c r="I897" s="149"/>
      <c r="J897" s="146"/>
      <c r="L897" s="151"/>
    </row>
    <row r="898" spans="1:14" s="111" customFormat="1" ht="12" customHeight="1" x14ac:dyDescent="0.2">
      <c r="A898" s="133"/>
      <c r="B898" s="135" t="str">
        <f>VLOOKUP(F898,BB!$A$8:$C$152,3,0)</f>
        <v>A01</v>
      </c>
      <c r="C898" s="136">
        <v>202608</v>
      </c>
      <c r="D898" s="134" t="s">
        <v>970</v>
      </c>
      <c r="E898" s="139">
        <v>46240</v>
      </c>
      <c r="F898" s="144" t="s">
        <v>163</v>
      </c>
      <c r="G898" s="149">
        <v>0</v>
      </c>
      <c r="H898" s="149">
        <v>8902600</v>
      </c>
      <c r="I898" s="149">
        <f>IF(G898&lt;&gt;0,G898,-H898)</f>
        <v>-8902600</v>
      </c>
      <c r="J898" s="149">
        <v>0</v>
      </c>
      <c r="K898" s="111" t="s">
        <v>510</v>
      </c>
      <c r="L898" s="152" t="s">
        <v>971</v>
      </c>
      <c r="M898" s="149"/>
      <c r="N898" s="149"/>
    </row>
    <row r="899" spans="1:14" s="111" customFormat="1" ht="12" customHeight="1" x14ac:dyDescent="0.2">
      <c r="A899" s="133"/>
      <c r="B899" s="135" t="str">
        <f>VLOOKUP(F899,BB!$A$8:$C$152,3,0)</f>
        <v>P04</v>
      </c>
      <c r="C899" s="136">
        <f>C898</f>
        <v>202608</v>
      </c>
      <c r="D899" s="134" t="str">
        <f>D898</f>
        <v>KAS-2608006</v>
      </c>
      <c r="E899" s="139">
        <f>E898</f>
        <v>46240</v>
      </c>
      <c r="F899" s="139" t="s">
        <v>210</v>
      </c>
      <c r="G899" s="146">
        <f>H898</f>
        <v>8902600</v>
      </c>
      <c r="H899" s="149">
        <f>G898</f>
        <v>0</v>
      </c>
      <c r="I899" s="149">
        <f>IF(G899&lt;&gt;0,G899,-H899)</f>
        <v>8902600</v>
      </c>
      <c r="J899" s="146">
        <f>-J898</f>
        <v>0</v>
      </c>
      <c r="K899" s="111" t="str">
        <f>K898</f>
        <v>KAS KELUAR</v>
      </c>
      <c r="L899" s="151" t="str">
        <f>L898</f>
        <v>PEMBY. SPT (PERPAJAKAN KKCS)</v>
      </c>
      <c r="M899" s="146"/>
      <c r="N899" s="149"/>
    </row>
    <row r="900" spans="1:14" s="111" customFormat="1" ht="12" customHeight="1" x14ac:dyDescent="0.2">
      <c r="A900" s="133"/>
      <c r="B900" s="135"/>
      <c r="C900" s="136"/>
      <c r="D900" s="134"/>
      <c r="E900" s="139"/>
      <c r="F900" s="144"/>
      <c r="G900" s="146"/>
      <c r="H900" s="149"/>
      <c r="I900" s="149"/>
      <c r="J900" s="146"/>
      <c r="L900" s="151"/>
    </row>
    <row r="901" spans="1:14" s="111" customFormat="1" ht="12" customHeight="1" x14ac:dyDescent="0.2">
      <c r="A901" s="133"/>
      <c r="B901" s="135" t="str">
        <f>VLOOKUP(F901,BB!$A$8:$C$152,3,0)</f>
        <v>A01</v>
      </c>
      <c r="C901" s="136">
        <v>202608</v>
      </c>
      <c r="D901" s="134" t="s">
        <v>972</v>
      </c>
      <c r="E901" s="139">
        <v>46244</v>
      </c>
      <c r="F901" s="144" t="s">
        <v>163</v>
      </c>
      <c r="G901" s="149">
        <v>0</v>
      </c>
      <c r="H901" s="149">
        <v>750000</v>
      </c>
      <c r="I901" s="149">
        <f>IF(G901&lt;&gt;0,G901,-H901)</f>
        <v>-750000</v>
      </c>
      <c r="J901" s="149">
        <v>0</v>
      </c>
      <c r="K901" s="111" t="s">
        <v>510</v>
      </c>
      <c r="L901" s="152" t="s">
        <v>499</v>
      </c>
      <c r="M901" s="149"/>
      <c r="N901" s="149"/>
    </row>
    <row r="902" spans="1:14" s="111" customFormat="1" ht="12" customHeight="1" x14ac:dyDescent="0.2">
      <c r="A902" s="133"/>
      <c r="B902" s="135" t="str">
        <f>VLOOKUP(F902,BB!$A$8:$C$152,3,0)</f>
        <v>LR05</v>
      </c>
      <c r="C902" s="136">
        <f>C901</f>
        <v>202608</v>
      </c>
      <c r="D902" s="134" t="str">
        <f>D901</f>
        <v>KAS-2608007</v>
      </c>
      <c r="E902" s="139">
        <f>E901</f>
        <v>46244</v>
      </c>
      <c r="F902" s="139" t="s">
        <v>234</v>
      </c>
      <c r="G902" s="146">
        <f>H901</f>
        <v>750000</v>
      </c>
      <c r="H902" s="149">
        <f>G901</f>
        <v>0</v>
      </c>
      <c r="I902" s="149">
        <f>IF(G902&lt;&gt;0,G902,-H902)</f>
        <v>750000</v>
      </c>
      <c r="J902" s="146">
        <f>-J901</f>
        <v>0</v>
      </c>
      <c r="K902" s="111" t="str">
        <f>K901</f>
        <v>KAS KELUAR</v>
      </c>
      <c r="L902" s="151" t="str">
        <f>L901</f>
        <v>BY REPRESENTATIF ADMIN KKCS FARID F</v>
      </c>
      <c r="M902" s="146"/>
      <c r="N902" s="149"/>
    </row>
    <row r="903" spans="1:14" s="111" customFormat="1" ht="12" customHeight="1" x14ac:dyDescent="0.2">
      <c r="A903" s="133"/>
      <c r="B903" s="135"/>
      <c r="C903" s="136"/>
      <c r="D903" s="134"/>
      <c r="E903" s="139"/>
      <c r="F903" s="144"/>
      <c r="G903" s="146"/>
      <c r="H903" s="149"/>
      <c r="I903" s="149"/>
      <c r="J903" s="146"/>
      <c r="L903" s="151"/>
    </row>
    <row r="904" spans="1:14" s="111" customFormat="1" ht="12" customHeight="1" x14ac:dyDescent="0.2">
      <c r="A904" s="133"/>
      <c r="B904" s="135" t="str">
        <f>VLOOKUP(F904,BB!$A$8:$C$152,3,0)</f>
        <v>A01</v>
      </c>
      <c r="C904" s="136">
        <v>202608</v>
      </c>
      <c r="D904" s="134" t="s">
        <v>973</v>
      </c>
      <c r="E904" s="139">
        <v>46246</v>
      </c>
      <c r="F904" s="144" t="s">
        <v>163</v>
      </c>
      <c r="G904" s="149">
        <v>300000</v>
      </c>
      <c r="H904" s="149">
        <v>0</v>
      </c>
      <c r="I904" s="149">
        <f>IF(G904&lt;&gt;0,G904,-H904)</f>
        <v>300000</v>
      </c>
      <c r="J904" s="149">
        <v>0</v>
      </c>
      <c r="K904" s="111" t="s">
        <v>509</v>
      </c>
      <c r="L904" s="152" t="s">
        <v>769</v>
      </c>
    </row>
    <row r="905" spans="1:14" s="111" customFormat="1" ht="12" customHeight="1" x14ac:dyDescent="0.2">
      <c r="A905" s="133"/>
      <c r="B905" s="135" t="str">
        <f>VLOOKUP(F905,BB!$A$8:$C$152,3,0)</f>
        <v>A04A</v>
      </c>
      <c r="C905" s="136">
        <f t="shared" ref="C905:E905" si="249">C904</f>
        <v>202608</v>
      </c>
      <c r="D905" s="134" t="str">
        <f t="shared" si="249"/>
        <v>KAS-2608008</v>
      </c>
      <c r="E905" s="139">
        <f t="shared" si="249"/>
        <v>46246</v>
      </c>
      <c r="F905" s="144" t="s">
        <v>471</v>
      </c>
      <c r="G905" s="146">
        <v>0</v>
      </c>
      <c r="H905" s="149">
        <f>+G904</f>
        <v>300000</v>
      </c>
      <c r="I905" s="149">
        <f>IF(G905&lt;&gt;0,G905,-H905)</f>
        <v>-300000</v>
      </c>
      <c r="J905" s="146">
        <f>-J904</f>
        <v>0</v>
      </c>
      <c r="K905" s="111" t="str">
        <f>K904</f>
        <v>KAS MASUK</v>
      </c>
      <c r="L905" s="152" t="str">
        <f>L904</f>
        <v>ANGSURAN PINJAMAN LAIN AN. AGUS R</v>
      </c>
    </row>
    <row r="906" spans="1:14" s="111" customFormat="1" ht="12" customHeight="1" x14ac:dyDescent="0.2">
      <c r="A906" s="133"/>
      <c r="B906" s="135" t="str">
        <f>VLOOKUP(F906,BB!$A$8:$C$152,3,0)</f>
        <v>LR01C</v>
      </c>
      <c r="C906" s="136">
        <f t="shared" ref="C906:E906" si="250">C905</f>
        <v>202608</v>
      </c>
      <c r="D906" s="134" t="str">
        <f t="shared" si="250"/>
        <v>KAS-2608008</v>
      </c>
      <c r="E906" s="139">
        <f t="shared" si="250"/>
        <v>46246</v>
      </c>
      <c r="F906" s="144" t="s">
        <v>371</v>
      </c>
      <c r="G906" s="146">
        <v>0</v>
      </c>
      <c r="H906" s="149">
        <f>G904-H905</f>
        <v>0</v>
      </c>
      <c r="I906" s="149">
        <f>IF(G906&lt;&gt;0,G906,-H906)</f>
        <v>0</v>
      </c>
      <c r="J906" s="146">
        <f>-J905</f>
        <v>0</v>
      </c>
      <c r="K906" s="111" t="str">
        <f>K905</f>
        <v>KAS MASUK</v>
      </c>
      <c r="L906" s="152" t="str">
        <f>"PENDAPATAN ATAS PINJAMAN LAIN "&amp;MID(L905,24,20)</f>
        <v>PENDAPATAN ATAS PINJAMAN LAIN AN. AGUS R</v>
      </c>
    </row>
    <row r="907" spans="1:14" s="111" customFormat="1" ht="12" customHeight="1" x14ac:dyDescent="0.2">
      <c r="A907" s="133"/>
      <c r="B907" s="135"/>
      <c r="C907" s="136"/>
      <c r="D907" s="134"/>
      <c r="E907" s="139"/>
      <c r="F907" s="144"/>
      <c r="G907" s="146"/>
      <c r="H907" s="149"/>
      <c r="I907" s="149"/>
      <c r="J907" s="146"/>
      <c r="L907" s="151"/>
    </row>
    <row r="908" spans="1:14" s="111" customFormat="1" ht="12" customHeight="1" x14ac:dyDescent="0.2">
      <c r="A908" s="133"/>
      <c r="B908" s="135" t="str">
        <f>VLOOKUP(F908,BB!$A$8:$C$152,3,0)</f>
        <v>A01</v>
      </c>
      <c r="C908" s="136">
        <v>202608</v>
      </c>
      <c r="D908" s="134" t="s">
        <v>974</v>
      </c>
      <c r="E908" s="139">
        <v>46247</v>
      </c>
      <c r="F908" s="144" t="s">
        <v>163</v>
      </c>
      <c r="G908" s="149">
        <v>500000</v>
      </c>
      <c r="H908" s="149">
        <v>0</v>
      </c>
      <c r="I908" s="149">
        <f>IF(G908&lt;&gt;0,G908,-H908)</f>
        <v>500000</v>
      </c>
      <c r="J908" s="149">
        <v>0</v>
      </c>
      <c r="K908" s="111" t="s">
        <v>509</v>
      </c>
      <c r="L908" s="152" t="s">
        <v>525</v>
      </c>
    </row>
    <row r="909" spans="1:14" s="111" customFormat="1" ht="12" customHeight="1" x14ac:dyDescent="0.2">
      <c r="A909" s="133"/>
      <c r="B909" s="135" t="str">
        <f>VLOOKUP(F909,BB!$A$8:$C$152,3,0)</f>
        <v>A04A</v>
      </c>
      <c r="C909" s="136">
        <f t="shared" ref="C909:E909" si="251">C908</f>
        <v>202608</v>
      </c>
      <c r="D909" s="134" t="str">
        <f t="shared" si="251"/>
        <v>KAS-2608009</v>
      </c>
      <c r="E909" s="139">
        <f t="shared" si="251"/>
        <v>46247</v>
      </c>
      <c r="F909" s="144" t="s">
        <v>471</v>
      </c>
      <c r="G909" s="146">
        <v>0</v>
      </c>
      <c r="H909" s="149">
        <f>+G908</f>
        <v>500000</v>
      </c>
      <c r="I909" s="149">
        <f>IF(G909&lt;&gt;0,G909,-H909)</f>
        <v>-500000</v>
      </c>
      <c r="J909" s="146">
        <f>-J908</f>
        <v>0</v>
      </c>
      <c r="K909" s="111" t="str">
        <f>K908</f>
        <v>KAS MASUK</v>
      </c>
      <c r="L909" s="152" t="str">
        <f>L908</f>
        <v>ANGSURAN PINJAMAN LAIN AN. ISFAK</v>
      </c>
    </row>
    <row r="910" spans="1:14" s="111" customFormat="1" ht="12" customHeight="1" x14ac:dyDescent="0.2">
      <c r="A910" s="133"/>
      <c r="B910" s="135" t="str">
        <f>VLOOKUP(F910,BB!$A$8:$C$152,3,0)</f>
        <v>LR01C</v>
      </c>
      <c r="C910" s="136">
        <f t="shared" ref="C910:E910" si="252">C909</f>
        <v>202608</v>
      </c>
      <c r="D910" s="134" t="str">
        <f t="shared" si="252"/>
        <v>KAS-2608009</v>
      </c>
      <c r="E910" s="139">
        <f t="shared" si="252"/>
        <v>46247</v>
      </c>
      <c r="F910" s="144" t="s">
        <v>371</v>
      </c>
      <c r="G910" s="146">
        <v>0</v>
      </c>
      <c r="H910" s="149">
        <f>G908-H909</f>
        <v>0</v>
      </c>
      <c r="I910" s="149">
        <f>IF(G910&lt;&gt;0,G910,-H910)</f>
        <v>0</v>
      </c>
      <c r="J910" s="146">
        <f>-J909</f>
        <v>0</v>
      </c>
      <c r="K910" s="111" t="str">
        <f>K909</f>
        <v>KAS MASUK</v>
      </c>
      <c r="L910" s="152" t="str">
        <f>"PENDAPATAN ATAS PINJAMAN LAIN "&amp;MID(L909,24,20)</f>
        <v>PENDAPATAN ATAS PINJAMAN LAIN AN. ISFAK</v>
      </c>
    </row>
    <row r="911" spans="1:14" s="111" customFormat="1" ht="12" customHeight="1" x14ac:dyDescent="0.2">
      <c r="A911" s="133"/>
      <c r="B911" s="135"/>
      <c r="C911" s="136"/>
      <c r="D911" s="134"/>
      <c r="E911" s="139"/>
      <c r="F911" s="144"/>
      <c r="G911" s="146"/>
      <c r="H911" s="149"/>
      <c r="I911" s="149"/>
      <c r="J911" s="146"/>
      <c r="L911" s="151"/>
    </row>
    <row r="912" spans="1:14" s="111" customFormat="1" ht="12" customHeight="1" x14ac:dyDescent="0.2">
      <c r="A912" s="133"/>
      <c r="B912" s="135" t="str">
        <f>VLOOKUP(F912,BB!$A$8:$C$152,3,0)</f>
        <v>A01</v>
      </c>
      <c r="C912" s="136">
        <v>202608</v>
      </c>
      <c r="D912" s="134" t="s">
        <v>975</v>
      </c>
      <c r="E912" s="139">
        <v>46247</v>
      </c>
      <c r="F912" s="144" t="s">
        <v>163</v>
      </c>
      <c r="G912" s="149">
        <v>500000</v>
      </c>
      <c r="H912" s="149">
        <v>0</v>
      </c>
      <c r="I912" s="149">
        <f>IF(G912&lt;&gt;0,G912,-H912)</f>
        <v>500000</v>
      </c>
      <c r="J912" s="149">
        <v>0</v>
      </c>
      <c r="K912" s="111" t="s">
        <v>509</v>
      </c>
      <c r="L912" s="152" t="s">
        <v>946</v>
      </c>
    </row>
    <row r="913" spans="1:14" s="111" customFormat="1" ht="12" customHeight="1" x14ac:dyDescent="0.2">
      <c r="A913" s="133"/>
      <c r="B913" s="135" t="str">
        <f>VLOOKUP(F913,BB!$A$8:$C$152,3,0)</f>
        <v>A04A</v>
      </c>
      <c r="C913" s="136">
        <f t="shared" ref="C913:E913" si="253">C912</f>
        <v>202608</v>
      </c>
      <c r="D913" s="134" t="str">
        <f t="shared" si="253"/>
        <v>KAS-2608010</v>
      </c>
      <c r="E913" s="139">
        <f t="shared" si="253"/>
        <v>46247</v>
      </c>
      <c r="F913" s="144" t="s">
        <v>471</v>
      </c>
      <c r="G913" s="146">
        <v>0</v>
      </c>
      <c r="H913" s="149">
        <f>+G912</f>
        <v>500000</v>
      </c>
      <c r="I913" s="149">
        <f>IF(G913&lt;&gt;0,G913,-H913)</f>
        <v>-500000</v>
      </c>
      <c r="J913" s="146">
        <f>-J912</f>
        <v>0</v>
      </c>
      <c r="K913" s="111" t="str">
        <f>K912</f>
        <v>KAS MASUK</v>
      </c>
      <c r="L913" s="152" t="str">
        <f>L912</f>
        <v>ANGSURAN PINJAMAN LAIN AN. ARDHI Y</v>
      </c>
    </row>
    <row r="914" spans="1:14" s="111" customFormat="1" ht="12" customHeight="1" x14ac:dyDescent="0.2">
      <c r="A914" s="133"/>
      <c r="B914" s="135" t="str">
        <f>VLOOKUP(F914,BB!$A$8:$C$152,3,0)</f>
        <v>LR01C</v>
      </c>
      <c r="C914" s="136">
        <f t="shared" ref="C914:E914" si="254">C913</f>
        <v>202608</v>
      </c>
      <c r="D914" s="134" t="str">
        <f t="shared" si="254"/>
        <v>KAS-2608010</v>
      </c>
      <c r="E914" s="139">
        <f t="shared" si="254"/>
        <v>46247</v>
      </c>
      <c r="F914" s="144" t="s">
        <v>371</v>
      </c>
      <c r="G914" s="146">
        <v>0</v>
      </c>
      <c r="H914" s="149">
        <f>G912-H913</f>
        <v>0</v>
      </c>
      <c r="I914" s="149">
        <f>IF(G914&lt;&gt;0,G914,-H914)</f>
        <v>0</v>
      </c>
      <c r="J914" s="146">
        <f>-J913</f>
        <v>0</v>
      </c>
      <c r="K914" s="111" t="str">
        <f>K913</f>
        <v>KAS MASUK</v>
      </c>
      <c r="L914" s="152" t="str">
        <f>"PENDAPATAN ATAS PINJAMAN LAIN "&amp;MID(L913,24,20)</f>
        <v>PENDAPATAN ATAS PINJAMAN LAIN AN. ARDHI Y</v>
      </c>
    </row>
    <row r="915" spans="1:14" s="111" customFormat="1" ht="12" customHeight="1" x14ac:dyDescent="0.2">
      <c r="A915" s="133"/>
      <c r="B915" s="135"/>
      <c r="C915" s="136"/>
      <c r="D915" s="134"/>
      <c r="E915" s="139"/>
      <c r="F915" s="144"/>
      <c r="G915" s="146"/>
      <c r="H915" s="149"/>
      <c r="I915" s="149"/>
      <c r="J915" s="146"/>
      <c r="L915" s="151"/>
    </row>
    <row r="916" spans="1:14" s="111" customFormat="1" ht="12" customHeight="1" x14ac:dyDescent="0.2">
      <c r="A916" s="133"/>
      <c r="B916" s="135" t="str">
        <f>VLOOKUP(F916,BB!$A$8:$C$152,3,0)</f>
        <v>A01</v>
      </c>
      <c r="C916" s="136">
        <v>202608</v>
      </c>
      <c r="D916" s="134" t="s">
        <v>976</v>
      </c>
      <c r="E916" s="139">
        <v>46252</v>
      </c>
      <c r="F916" s="144" t="s">
        <v>163</v>
      </c>
      <c r="G916" s="149">
        <v>0</v>
      </c>
      <c r="H916" s="149">
        <v>2556000</v>
      </c>
      <c r="I916" s="149">
        <f>IF(G916&lt;&gt;0,G916,-H916)</f>
        <v>-2556000</v>
      </c>
      <c r="J916" s="149">
        <v>0</v>
      </c>
      <c r="K916" s="111" t="s">
        <v>510</v>
      </c>
      <c r="L916" s="152" t="s">
        <v>977</v>
      </c>
      <c r="M916" s="149"/>
      <c r="N916" s="149"/>
    </row>
    <row r="917" spans="1:14" s="111" customFormat="1" ht="12" customHeight="1" x14ac:dyDescent="0.2">
      <c r="A917" s="133"/>
      <c r="B917" s="135" t="str">
        <f>VLOOKUP(F917,BB!$A$8:$C$152,3,0)</f>
        <v>P04</v>
      </c>
      <c r="C917" s="136">
        <f>C916</f>
        <v>202608</v>
      </c>
      <c r="D917" s="134" t="str">
        <f>D916</f>
        <v>KAS-2608011</v>
      </c>
      <c r="E917" s="139">
        <f>E916</f>
        <v>46252</v>
      </c>
      <c r="F917" s="139" t="s">
        <v>210</v>
      </c>
      <c r="G917" s="146">
        <f>H916</f>
        <v>2556000</v>
      </c>
      <c r="H917" s="149">
        <f>G916</f>
        <v>0</v>
      </c>
      <c r="I917" s="149">
        <f>IF(G917&lt;&gt;0,G917,-H917)</f>
        <v>2556000</v>
      </c>
      <c r="J917" s="146">
        <f>-J916</f>
        <v>0</v>
      </c>
      <c r="K917" s="111" t="str">
        <f>K916</f>
        <v>KAS KELUAR</v>
      </c>
      <c r="L917" s="151" t="str">
        <f>L916</f>
        <v>PEMBY. SPT (ORIX)</v>
      </c>
      <c r="M917" s="146"/>
      <c r="N917" s="149"/>
    </row>
    <row r="918" spans="1:14" s="111" customFormat="1" ht="12" customHeight="1" x14ac:dyDescent="0.2">
      <c r="A918" s="133"/>
      <c r="B918" s="135"/>
      <c r="C918" s="136"/>
      <c r="D918" s="134"/>
      <c r="E918" s="139"/>
      <c r="F918" s="144"/>
      <c r="G918" s="146"/>
      <c r="H918" s="149"/>
      <c r="I918" s="149"/>
      <c r="J918" s="146"/>
      <c r="L918" s="151"/>
    </row>
    <row r="919" spans="1:14" s="111" customFormat="1" ht="12" customHeight="1" x14ac:dyDescent="0.2">
      <c r="A919" s="133"/>
      <c r="B919" s="135" t="str">
        <f>VLOOKUP(F919,BB!$A$8:$C$152,3,0)</f>
        <v>A01</v>
      </c>
      <c r="C919" s="136">
        <v>202608</v>
      </c>
      <c r="D919" s="134" t="s">
        <v>978</v>
      </c>
      <c r="E919" s="139">
        <v>46258</v>
      </c>
      <c r="F919" s="144" t="s">
        <v>163</v>
      </c>
      <c r="G919" s="149">
        <v>200000</v>
      </c>
      <c r="H919" s="149">
        <v>0</v>
      </c>
      <c r="I919" s="149">
        <f>IF(G919&lt;&gt;0,G919,-H919)</f>
        <v>200000</v>
      </c>
      <c r="J919" s="149">
        <v>0</v>
      </c>
      <c r="K919" s="111" t="s">
        <v>509</v>
      </c>
      <c r="L919" s="152" t="s">
        <v>533</v>
      </c>
    </row>
    <row r="920" spans="1:14" s="111" customFormat="1" ht="12" customHeight="1" x14ac:dyDescent="0.2">
      <c r="A920" s="133"/>
      <c r="B920" s="135" t="str">
        <f>VLOOKUP(F920,BB!$A$8:$C$152,3,0)</f>
        <v>A04A</v>
      </c>
      <c r="C920" s="136">
        <f t="shared" ref="C920:E920" si="255">C919</f>
        <v>202608</v>
      </c>
      <c r="D920" s="134" t="str">
        <f t="shared" si="255"/>
        <v>KAS-2608012</v>
      </c>
      <c r="E920" s="139">
        <f t="shared" si="255"/>
        <v>46258</v>
      </c>
      <c r="F920" s="144" t="s">
        <v>471</v>
      </c>
      <c r="G920" s="146">
        <v>0</v>
      </c>
      <c r="H920" s="149">
        <f>+G919</f>
        <v>200000</v>
      </c>
      <c r="I920" s="149">
        <f>IF(G920&lt;&gt;0,G920,-H920)</f>
        <v>-200000</v>
      </c>
      <c r="J920" s="146">
        <f>-J919</f>
        <v>0</v>
      </c>
      <c r="K920" s="111" t="str">
        <f>K919</f>
        <v>KAS MASUK</v>
      </c>
      <c r="L920" s="152" t="str">
        <f>L919</f>
        <v>ANGSURAN PINJAMAN LAIN AN. ARI WIBOWO</v>
      </c>
    </row>
    <row r="921" spans="1:14" s="111" customFormat="1" ht="12" customHeight="1" x14ac:dyDescent="0.2">
      <c r="A921" s="133"/>
      <c r="B921" s="135" t="str">
        <f>VLOOKUP(F921,BB!$A$8:$C$152,3,0)</f>
        <v>LR01C</v>
      </c>
      <c r="C921" s="136">
        <f t="shared" ref="C921:E921" si="256">C920</f>
        <v>202608</v>
      </c>
      <c r="D921" s="134" t="str">
        <f t="shared" si="256"/>
        <v>KAS-2608012</v>
      </c>
      <c r="E921" s="139">
        <f t="shared" si="256"/>
        <v>46258</v>
      </c>
      <c r="F921" s="144" t="s">
        <v>371</v>
      </c>
      <c r="G921" s="146">
        <v>0</v>
      </c>
      <c r="H921" s="149">
        <f>G919-H920</f>
        <v>0</v>
      </c>
      <c r="I921" s="149">
        <f>IF(G921&lt;&gt;0,G921,-H921)</f>
        <v>0</v>
      </c>
      <c r="J921" s="146">
        <f>-J920</f>
        <v>0</v>
      </c>
      <c r="K921" s="111" t="str">
        <f>K920</f>
        <v>KAS MASUK</v>
      </c>
      <c r="L921" s="152" t="str">
        <f>"PENDAPATAN ATAS PINJAMAN LAIN "&amp;MID(L920,24,20)</f>
        <v>PENDAPATAN ATAS PINJAMAN LAIN AN. ARI WIBOWO</v>
      </c>
    </row>
    <row r="922" spans="1:14" s="111" customFormat="1" ht="12" customHeight="1" x14ac:dyDescent="0.2">
      <c r="A922" s="133"/>
      <c r="B922" s="135"/>
      <c r="C922" s="136"/>
      <c r="D922" s="134"/>
      <c r="E922" s="139"/>
      <c r="F922" s="144"/>
      <c r="G922" s="146"/>
      <c r="H922" s="149"/>
      <c r="I922" s="149"/>
      <c r="J922" s="146"/>
      <c r="L922" s="151"/>
    </row>
    <row r="923" spans="1:14" s="111" customFormat="1" ht="12" customHeight="1" x14ac:dyDescent="0.2">
      <c r="A923" s="133"/>
      <c r="B923" s="135" t="str">
        <f>VLOOKUP(F923,BB!$A$8:$C$152,3,0)</f>
        <v>A01</v>
      </c>
      <c r="C923" s="136">
        <v>202608</v>
      </c>
      <c r="D923" s="134" t="s">
        <v>979</v>
      </c>
      <c r="E923" s="139">
        <v>46258</v>
      </c>
      <c r="F923" s="144" t="s">
        <v>163</v>
      </c>
      <c r="G923" s="149">
        <v>214000</v>
      </c>
      <c r="H923" s="149">
        <v>0</v>
      </c>
      <c r="I923" s="149">
        <f>IF(G923&lt;&gt;0,G923,-H923)</f>
        <v>214000</v>
      </c>
      <c r="J923" s="149">
        <v>0</v>
      </c>
      <c r="K923" s="111" t="s">
        <v>509</v>
      </c>
      <c r="L923" s="152" t="s">
        <v>535</v>
      </c>
    </row>
    <row r="924" spans="1:14" s="111" customFormat="1" ht="12" customHeight="1" x14ac:dyDescent="0.2">
      <c r="A924" s="133"/>
      <c r="B924" s="135" t="str">
        <f>VLOOKUP(F924,BB!$A$8:$C$152,3,0)</f>
        <v>A04A</v>
      </c>
      <c r="C924" s="136">
        <f t="shared" ref="C924:E924" si="257">C923</f>
        <v>202608</v>
      </c>
      <c r="D924" s="134" t="str">
        <f t="shared" si="257"/>
        <v>KAS-2608013</v>
      </c>
      <c r="E924" s="139">
        <f t="shared" si="257"/>
        <v>46258</v>
      </c>
      <c r="F924" s="144" t="s">
        <v>471</v>
      </c>
      <c r="G924" s="146">
        <v>0</v>
      </c>
      <c r="H924" s="149">
        <f>+G923</f>
        <v>214000</v>
      </c>
      <c r="I924" s="149">
        <f>IF(G924&lt;&gt;0,G924,-H924)</f>
        <v>-214000</v>
      </c>
      <c r="J924" s="146">
        <f>-J923</f>
        <v>0</v>
      </c>
      <c r="K924" s="111" t="str">
        <f>K923</f>
        <v>KAS MASUK</v>
      </c>
      <c r="L924" s="152" t="str">
        <f>L923</f>
        <v>ANGSURAN PINJAMAN LAIN AN. SETYO H</v>
      </c>
    </row>
    <row r="925" spans="1:14" s="111" customFormat="1" ht="12" customHeight="1" x14ac:dyDescent="0.2">
      <c r="A925" s="133"/>
      <c r="B925" s="135" t="str">
        <f>VLOOKUP(F925,BB!$A$8:$C$152,3,0)</f>
        <v>LR01C</v>
      </c>
      <c r="C925" s="136">
        <f t="shared" ref="C925:E925" si="258">C924</f>
        <v>202608</v>
      </c>
      <c r="D925" s="134" t="str">
        <f t="shared" si="258"/>
        <v>KAS-2608013</v>
      </c>
      <c r="E925" s="139">
        <f t="shared" si="258"/>
        <v>46258</v>
      </c>
      <c r="F925" s="144" t="s">
        <v>371</v>
      </c>
      <c r="G925" s="146">
        <v>0</v>
      </c>
      <c r="H925" s="149">
        <f>G923-H924</f>
        <v>0</v>
      </c>
      <c r="I925" s="149">
        <f>IF(G925&lt;&gt;0,G925,-H925)</f>
        <v>0</v>
      </c>
      <c r="J925" s="146">
        <f>-J924</f>
        <v>0</v>
      </c>
      <c r="K925" s="111" t="str">
        <f>K924</f>
        <v>KAS MASUK</v>
      </c>
      <c r="L925" s="152" t="str">
        <f>"PENDAPATAN ATAS PINJAMAN LAIN "&amp;MID(L924,24,20)</f>
        <v>PENDAPATAN ATAS PINJAMAN LAIN AN. SETYO H</v>
      </c>
    </row>
    <row r="926" spans="1:14" s="111" customFormat="1" ht="12" customHeight="1" x14ac:dyDescent="0.2">
      <c r="A926" s="133"/>
      <c r="B926" s="135"/>
      <c r="C926" s="136"/>
      <c r="D926" s="134"/>
      <c r="E926" s="139"/>
      <c r="F926" s="144"/>
      <c r="G926" s="146"/>
      <c r="H926" s="149"/>
      <c r="I926" s="149"/>
      <c r="J926" s="146"/>
      <c r="L926" s="151"/>
    </row>
    <row r="927" spans="1:14" s="111" customFormat="1" ht="12" customHeight="1" x14ac:dyDescent="0.2">
      <c r="A927" s="133"/>
      <c r="B927" s="135" t="str">
        <f>VLOOKUP(F927,BB!$A$8:$C$152,3,0)</f>
        <v>A01</v>
      </c>
      <c r="C927" s="136">
        <v>202608</v>
      </c>
      <c r="D927" s="134" t="s">
        <v>980</v>
      </c>
      <c r="E927" s="139">
        <v>46258</v>
      </c>
      <c r="F927" s="144" t="s">
        <v>163</v>
      </c>
      <c r="G927" s="149">
        <v>321000</v>
      </c>
      <c r="H927" s="149">
        <v>0</v>
      </c>
      <c r="I927" s="149">
        <f>IF(G927&lt;&gt;0,G927,-H927)</f>
        <v>321000</v>
      </c>
      <c r="J927" s="149">
        <v>0</v>
      </c>
      <c r="K927" s="111" t="s">
        <v>509</v>
      </c>
      <c r="L927" s="152" t="s">
        <v>511</v>
      </c>
    </row>
    <row r="928" spans="1:14" s="111" customFormat="1" ht="12" customHeight="1" x14ac:dyDescent="0.2">
      <c r="A928" s="133"/>
      <c r="B928" s="135" t="str">
        <f>VLOOKUP(F928,BB!$A$8:$C$152,3,0)</f>
        <v>A04A</v>
      </c>
      <c r="C928" s="136">
        <f t="shared" ref="C928:E928" si="259">C927</f>
        <v>202608</v>
      </c>
      <c r="D928" s="134" t="str">
        <f t="shared" si="259"/>
        <v>KAS-2608014</v>
      </c>
      <c r="E928" s="139">
        <f t="shared" si="259"/>
        <v>46258</v>
      </c>
      <c r="F928" s="144" t="s">
        <v>471</v>
      </c>
      <c r="G928" s="146">
        <v>0</v>
      </c>
      <c r="H928" s="149">
        <f>+G927</f>
        <v>321000</v>
      </c>
      <c r="I928" s="149">
        <f>IF(G928&lt;&gt;0,G928,-H928)</f>
        <v>-321000</v>
      </c>
      <c r="J928" s="146">
        <f>-J927</f>
        <v>0</v>
      </c>
      <c r="K928" s="111" t="str">
        <f>K927</f>
        <v>KAS MASUK</v>
      </c>
      <c r="L928" s="152" t="str">
        <f>L927</f>
        <v>ANGSURAN PINJAMAN LAIN AN. BUKHORI</v>
      </c>
    </row>
    <row r="929" spans="1:14" s="111" customFormat="1" ht="12" customHeight="1" x14ac:dyDescent="0.2">
      <c r="A929" s="133"/>
      <c r="B929" s="135" t="str">
        <f>VLOOKUP(F929,BB!$A$8:$C$152,3,0)</f>
        <v>LR01C</v>
      </c>
      <c r="C929" s="136">
        <f t="shared" ref="C929:E929" si="260">C928</f>
        <v>202608</v>
      </c>
      <c r="D929" s="134" t="str">
        <f t="shared" si="260"/>
        <v>KAS-2608014</v>
      </c>
      <c r="E929" s="139">
        <f t="shared" si="260"/>
        <v>46258</v>
      </c>
      <c r="F929" s="144" t="s">
        <v>371</v>
      </c>
      <c r="G929" s="146">
        <v>0</v>
      </c>
      <c r="H929" s="149">
        <f>G927-H928</f>
        <v>0</v>
      </c>
      <c r="I929" s="149">
        <f>IF(G929&lt;&gt;0,G929,-H929)</f>
        <v>0</v>
      </c>
      <c r="J929" s="146">
        <f>-J928</f>
        <v>0</v>
      </c>
      <c r="K929" s="111" t="str">
        <f>K928</f>
        <v>KAS MASUK</v>
      </c>
      <c r="L929" s="152" t="str">
        <f>"PENDAPATAN ATAS PINJAMAN LAIN "&amp;MID(L928,24,20)</f>
        <v>PENDAPATAN ATAS PINJAMAN LAIN AN. BUKHORI</v>
      </c>
    </row>
    <row r="930" spans="1:14" s="111" customFormat="1" ht="12" customHeight="1" x14ac:dyDescent="0.2">
      <c r="A930" s="133"/>
      <c r="B930" s="135"/>
      <c r="C930" s="136"/>
      <c r="D930" s="134"/>
      <c r="E930" s="139"/>
      <c r="F930" s="144"/>
      <c r="G930" s="146"/>
      <c r="H930" s="149"/>
      <c r="I930" s="149"/>
      <c r="J930" s="146"/>
      <c r="L930" s="151"/>
    </row>
    <row r="931" spans="1:14" s="111" customFormat="1" ht="12" customHeight="1" x14ac:dyDescent="0.2">
      <c r="A931" s="133"/>
      <c r="B931" s="135" t="str">
        <f>VLOOKUP(F931,BB!$A$8:$C$152,3,0)</f>
        <v>A01</v>
      </c>
      <c r="C931" s="136">
        <v>202608</v>
      </c>
      <c r="D931" s="134" t="s">
        <v>981</v>
      </c>
      <c r="E931" s="139">
        <v>46261</v>
      </c>
      <c r="F931" s="144" t="s">
        <v>163</v>
      </c>
      <c r="G931" s="149">
        <v>350000</v>
      </c>
      <c r="H931" s="149">
        <v>0</v>
      </c>
      <c r="I931" s="149">
        <f>IF(G931&lt;&gt;0,G931,-H931)</f>
        <v>350000</v>
      </c>
      <c r="J931" s="149">
        <v>0</v>
      </c>
      <c r="K931" s="111" t="s">
        <v>509</v>
      </c>
      <c r="L931" s="152" t="s">
        <v>527</v>
      </c>
    </row>
    <row r="932" spans="1:14" s="111" customFormat="1" ht="12" customHeight="1" x14ac:dyDescent="0.2">
      <c r="A932" s="133"/>
      <c r="B932" s="135" t="str">
        <f>VLOOKUP(F932,BB!$A$8:$C$152,3,0)</f>
        <v>A04A</v>
      </c>
      <c r="C932" s="136">
        <f t="shared" ref="C932:E932" si="261">C931</f>
        <v>202608</v>
      </c>
      <c r="D932" s="134" t="str">
        <f t="shared" si="261"/>
        <v>KAS-2608015</v>
      </c>
      <c r="E932" s="139">
        <f t="shared" si="261"/>
        <v>46261</v>
      </c>
      <c r="F932" s="144" t="s">
        <v>471</v>
      </c>
      <c r="G932" s="146">
        <v>0</v>
      </c>
      <c r="H932" s="149">
        <f>+G931</f>
        <v>350000</v>
      </c>
      <c r="I932" s="149">
        <f>IF(G932&lt;&gt;0,G932,-H932)</f>
        <v>-350000</v>
      </c>
      <c r="J932" s="146">
        <f>-J931</f>
        <v>0</v>
      </c>
      <c r="K932" s="111" t="str">
        <f>K931</f>
        <v>KAS MASUK</v>
      </c>
      <c r="L932" s="152" t="str">
        <f>L931</f>
        <v>ANGSURAN PINJAMAN LAIN AN. SOLICHIN</v>
      </c>
    </row>
    <row r="933" spans="1:14" s="111" customFormat="1" ht="12" customHeight="1" x14ac:dyDescent="0.2">
      <c r="A933" s="133"/>
      <c r="B933" s="135" t="str">
        <f>VLOOKUP(F933,BB!$A$8:$C$152,3,0)</f>
        <v>LR01C</v>
      </c>
      <c r="C933" s="136">
        <f t="shared" ref="C933:E933" si="262">C932</f>
        <v>202608</v>
      </c>
      <c r="D933" s="134" t="str">
        <f t="shared" si="262"/>
        <v>KAS-2608015</v>
      </c>
      <c r="E933" s="139">
        <f t="shared" si="262"/>
        <v>46261</v>
      </c>
      <c r="F933" s="144" t="s">
        <v>371</v>
      </c>
      <c r="G933" s="146">
        <v>0</v>
      </c>
      <c r="H933" s="149">
        <f>G931-H932</f>
        <v>0</v>
      </c>
      <c r="I933" s="149">
        <f>IF(G933&lt;&gt;0,G933,-H933)</f>
        <v>0</v>
      </c>
      <c r="J933" s="146">
        <f>-J932</f>
        <v>0</v>
      </c>
      <c r="K933" s="111" t="str">
        <f>K932</f>
        <v>KAS MASUK</v>
      </c>
      <c r="L933" s="152" t="str">
        <f>"PENDAPATAN ATAS PINJAMAN LAIN "&amp;MID(L932,24,20)</f>
        <v>PENDAPATAN ATAS PINJAMAN LAIN AN. SOLICHIN</v>
      </c>
    </row>
    <row r="934" spans="1:14" s="111" customFormat="1" ht="12" customHeight="1" x14ac:dyDescent="0.2">
      <c r="A934" s="133"/>
      <c r="B934" s="135"/>
      <c r="C934" s="136"/>
      <c r="D934" s="134"/>
      <c r="E934" s="139"/>
      <c r="F934" s="144"/>
      <c r="G934" s="146"/>
      <c r="H934" s="149"/>
      <c r="I934" s="149"/>
      <c r="J934" s="146"/>
      <c r="L934" s="151"/>
    </row>
    <row r="935" spans="1:14" s="111" customFormat="1" ht="12" customHeight="1" x14ac:dyDescent="0.2">
      <c r="A935" s="133"/>
      <c r="B935" s="135" t="str">
        <f>VLOOKUP(F935,BB!$A$8:$C$152,3,0)</f>
        <v>LR07</v>
      </c>
      <c r="C935" s="136">
        <v>202608</v>
      </c>
      <c r="D935" s="134" t="s">
        <v>982</v>
      </c>
      <c r="E935" s="139">
        <v>46265</v>
      </c>
      <c r="F935" s="134" t="s">
        <v>416</v>
      </c>
      <c r="G935" s="149">
        <v>1500000</v>
      </c>
      <c r="H935" s="149">
        <v>0</v>
      </c>
      <c r="I935" s="149">
        <f>IF(G935&lt;&gt;0,G935,-H935)</f>
        <v>1500000</v>
      </c>
      <c r="J935" s="149">
        <v>0</v>
      </c>
      <c r="K935" s="111" t="s">
        <v>306</v>
      </c>
      <c r="L935" s="152" t="s">
        <v>415</v>
      </c>
      <c r="M935" s="149"/>
      <c r="N935" s="149"/>
    </row>
    <row r="936" spans="1:14" s="111" customFormat="1" ht="12" customHeight="1" x14ac:dyDescent="0.2">
      <c r="A936" s="133"/>
      <c r="B936" s="135" t="str">
        <f>VLOOKUP(F936,BB!$A$8:$C$152,3,0)</f>
        <v>A05</v>
      </c>
      <c r="C936" s="136">
        <f>C935</f>
        <v>202608</v>
      </c>
      <c r="D936" s="134" t="str">
        <f>D935</f>
        <v>JRM-2608001</v>
      </c>
      <c r="E936" s="139">
        <f>E935</f>
        <v>46265</v>
      </c>
      <c r="F936" s="144" t="s">
        <v>172</v>
      </c>
      <c r="G936" s="146">
        <f>H935</f>
        <v>0</v>
      </c>
      <c r="H936" s="149">
        <f>G935</f>
        <v>1500000</v>
      </c>
      <c r="I936" s="149">
        <f>IF(G936&lt;&gt;0,G936,-H936)</f>
        <v>-1500000</v>
      </c>
      <c r="J936" s="146">
        <f>-J935</f>
        <v>0</v>
      </c>
      <c r="K936" s="111" t="str">
        <f>K935</f>
        <v>JURNAL MANUAL</v>
      </c>
      <c r="L936" s="151" t="str">
        <f>L935</f>
        <v>PEMBEBANAN PENYISIHAN PIUTANG</v>
      </c>
      <c r="M936" s="146"/>
      <c r="N936" s="149"/>
    </row>
    <row r="937" spans="1:14" s="111" customFormat="1" ht="12" customHeight="1" x14ac:dyDescent="0.2">
      <c r="A937" s="133"/>
      <c r="B937" s="135"/>
      <c r="C937" s="136"/>
      <c r="D937" s="134"/>
      <c r="E937" s="139"/>
      <c r="F937" s="144"/>
      <c r="G937" s="146"/>
      <c r="H937" s="149"/>
      <c r="I937" s="149"/>
      <c r="J937" s="146"/>
      <c r="L937" s="151"/>
    </row>
    <row r="938" spans="1:14" s="111" customFormat="1" ht="12" customHeight="1" x14ac:dyDescent="0.2">
      <c r="A938" s="133"/>
      <c r="B938" s="135" t="str">
        <f>VLOOKUP(F938,BB!$A$8:$C$152,3,0)</f>
        <v>A04B</v>
      </c>
      <c r="C938" s="136">
        <v>202608</v>
      </c>
      <c r="D938" s="134" t="s">
        <v>983</v>
      </c>
      <c r="E938" s="139">
        <v>46265</v>
      </c>
      <c r="F938" s="134" t="s">
        <v>464</v>
      </c>
      <c r="G938" s="149">
        <v>15680000</v>
      </c>
      <c r="H938" s="149">
        <v>0</v>
      </c>
      <c r="I938" s="189">
        <f>IF(G938&lt;&gt;0,G938,-H938)</f>
        <v>15680000</v>
      </c>
      <c r="J938" s="149">
        <v>0</v>
      </c>
      <c r="K938" s="111" t="s">
        <v>306</v>
      </c>
      <c r="L938" s="152" t="s">
        <v>984</v>
      </c>
      <c r="M938" s="149"/>
      <c r="N938" s="149"/>
    </row>
    <row r="939" spans="1:14" s="111" customFormat="1" ht="12" customHeight="1" x14ac:dyDescent="0.2">
      <c r="A939" s="133"/>
      <c r="B939" s="135" t="str">
        <f>VLOOKUP(F939,BB!$A$8:$C$152,3,0)</f>
        <v>P05</v>
      </c>
      <c r="C939" s="136">
        <f>C938</f>
        <v>202608</v>
      </c>
      <c r="D939" s="134" t="str">
        <f>D938</f>
        <v>JRM-2608002</v>
      </c>
      <c r="E939" s="139">
        <f>E938</f>
        <v>46265</v>
      </c>
      <c r="F939" s="144" t="s">
        <v>435</v>
      </c>
      <c r="G939" s="146">
        <f>H938</f>
        <v>0</v>
      </c>
      <c r="H939" s="149">
        <v>14475000</v>
      </c>
      <c r="I939" s="189">
        <f>IF(G939&lt;&gt;0,G939,-H939)</f>
        <v>-14475000</v>
      </c>
      <c r="J939" s="146">
        <f>-J938</f>
        <v>0</v>
      </c>
      <c r="K939" s="111" t="str">
        <f>K938</f>
        <v>JURNAL MANUAL</v>
      </c>
      <c r="L939" s="151" t="s">
        <v>913</v>
      </c>
      <c r="M939" s="146"/>
      <c r="N939" s="149"/>
    </row>
    <row r="940" spans="1:14" s="111" customFormat="1" ht="12" customHeight="1" x14ac:dyDescent="0.2">
      <c r="A940" s="133"/>
      <c r="B940" s="135" t="str">
        <f>VLOOKUP(F940,BB!$A$8:$C$152,3,0)</f>
        <v>LR06</v>
      </c>
      <c r="C940" s="136">
        <f t="shared" ref="C940:E940" si="263">+C939</f>
        <v>202608</v>
      </c>
      <c r="D940" s="134" t="str">
        <f t="shared" si="263"/>
        <v>JRM-2608002</v>
      </c>
      <c r="E940" s="139">
        <f t="shared" si="263"/>
        <v>46265</v>
      </c>
      <c r="F940" s="144" t="s">
        <v>403</v>
      </c>
      <c r="G940" s="146">
        <v>0</v>
      </c>
      <c r="H940" s="149">
        <f>+G938-H939</f>
        <v>1205000</v>
      </c>
      <c r="I940" s="189">
        <f>IF(G940&lt;&gt;0,G940,-H940)</f>
        <v>-1205000</v>
      </c>
      <c r="J940" s="146">
        <v>0</v>
      </c>
      <c r="K940" s="111" t="str">
        <f>+K939</f>
        <v>JURNAL MANUAL</v>
      </c>
      <c r="L940" s="151" t="s">
        <v>708</v>
      </c>
    </row>
    <row r="941" spans="1:14" s="111" customFormat="1" ht="12" customHeight="1" x14ac:dyDescent="0.2">
      <c r="A941" s="133"/>
      <c r="B941" s="135"/>
      <c r="C941" s="136"/>
      <c r="D941" s="134"/>
      <c r="E941" s="139"/>
      <c r="F941" s="144"/>
      <c r="G941" s="146"/>
      <c r="H941" s="149"/>
      <c r="I941" s="149"/>
      <c r="J941" s="146"/>
      <c r="L941" s="151"/>
    </row>
    <row r="942" spans="1:14" s="111" customFormat="1" ht="12" customHeight="1" x14ac:dyDescent="0.2">
      <c r="A942" s="133"/>
      <c r="B942" s="135" t="str">
        <f>VLOOKUP(F942,BB!$A$8:$C$152,3,0)</f>
        <v>LR07</v>
      </c>
      <c r="C942" s="136">
        <v>202608</v>
      </c>
      <c r="D942" s="134" t="s">
        <v>983</v>
      </c>
      <c r="E942" s="139">
        <v>46265</v>
      </c>
      <c r="F942" s="134" t="s">
        <v>249</v>
      </c>
      <c r="G942" s="149">
        <v>0</v>
      </c>
      <c r="H942" s="149">
        <v>0</v>
      </c>
      <c r="I942" s="149">
        <f>IF(G942&lt;&gt;0,G942,-H942)</f>
        <v>0</v>
      </c>
      <c r="J942" s="149">
        <v>0</v>
      </c>
      <c r="K942" s="111" t="s">
        <v>306</v>
      </c>
      <c r="L942" s="152" t="s">
        <v>608</v>
      </c>
      <c r="M942" s="149"/>
      <c r="N942" s="149"/>
    </row>
    <row r="943" spans="1:14" s="111" customFormat="1" ht="12" customHeight="1" x14ac:dyDescent="0.2">
      <c r="A943" s="133"/>
      <c r="B943" s="135" t="str">
        <f>VLOOKUP(F943,BB!$A$8:$C$152,3,0)</f>
        <v>A04A</v>
      </c>
      <c r="C943" s="136">
        <f>C942</f>
        <v>202608</v>
      </c>
      <c r="D943" s="134" t="str">
        <f>D942</f>
        <v>JRM-2608002</v>
      </c>
      <c r="E943" s="139">
        <f>E942</f>
        <v>46265</v>
      </c>
      <c r="F943" s="144" t="s">
        <v>468</v>
      </c>
      <c r="G943" s="146">
        <f>H942</f>
        <v>0</v>
      </c>
      <c r="H943" s="149">
        <f>G942</f>
        <v>0</v>
      </c>
      <c r="I943" s="149">
        <f>IF(G943&lt;&gt;0,G943,-H943)</f>
        <v>0</v>
      </c>
      <c r="J943" s="146">
        <f>-J942</f>
        <v>0</v>
      </c>
      <c r="K943" s="111" t="str">
        <f>K942</f>
        <v>JURNAL MANUAL</v>
      </c>
      <c r="L943" s="151" t="str">
        <f>L942</f>
        <v>PENYESUAIAN SELISIH PIUTANG RUTIN</v>
      </c>
      <c r="M943" s="146"/>
      <c r="N943" s="149"/>
    </row>
    <row r="944" spans="1:14" s="111" customFormat="1" ht="12" customHeight="1" x14ac:dyDescent="0.2">
      <c r="A944" s="133"/>
      <c r="B944" s="135"/>
      <c r="C944" s="136"/>
      <c r="D944" s="134"/>
      <c r="E944" s="139"/>
      <c r="F944" s="144"/>
      <c r="G944" s="146"/>
      <c r="H944" s="149"/>
      <c r="I944" s="149"/>
      <c r="J944" s="146"/>
      <c r="L944" s="151"/>
    </row>
    <row r="945" spans="1:12" s="111" customFormat="1" ht="12" customHeight="1" x14ac:dyDescent="0.2">
      <c r="A945" s="133"/>
      <c r="B945" s="135"/>
      <c r="C945" s="136"/>
      <c r="D945" s="134"/>
      <c r="E945" s="139"/>
      <c r="F945" s="144"/>
      <c r="G945" s="146"/>
      <c r="H945" s="149"/>
      <c r="I945" s="149"/>
      <c r="J945" s="146"/>
      <c r="L945" s="151"/>
    </row>
    <row r="946" spans="1:12" s="183" customFormat="1" ht="12" customHeight="1" x14ac:dyDescent="0.2">
      <c r="A946" s="172"/>
      <c r="B946" s="173"/>
      <c r="C946" s="174"/>
      <c r="D946" s="175"/>
      <c r="E946" s="176"/>
      <c r="F946" s="180"/>
      <c r="G946" s="181"/>
      <c r="H946" s="182"/>
      <c r="I946" s="182"/>
      <c r="J946" s="181"/>
      <c r="L946" s="184"/>
    </row>
    <row r="947" spans="1:12" s="111" customFormat="1" ht="12" customHeight="1" x14ac:dyDescent="0.2">
      <c r="A947" s="133"/>
      <c r="B947" s="135"/>
      <c r="C947" s="136"/>
      <c r="D947" s="134"/>
      <c r="E947" s="139"/>
      <c r="F947" s="144"/>
      <c r="G947" s="146"/>
      <c r="H947" s="149"/>
      <c r="I947" s="149"/>
      <c r="J947" s="146"/>
      <c r="L947" s="151"/>
    </row>
    <row r="948" spans="1:12" s="111" customFormat="1" ht="12" customHeight="1" x14ac:dyDescent="0.2">
      <c r="A948" s="133"/>
      <c r="B948" s="135"/>
      <c r="C948" s="136"/>
      <c r="D948" s="134"/>
      <c r="E948" s="139"/>
      <c r="F948" s="144"/>
      <c r="G948" s="146"/>
      <c r="H948" s="149"/>
      <c r="I948" s="149"/>
      <c r="J948" s="146"/>
      <c r="L948" s="151"/>
    </row>
    <row r="949" spans="1:12" s="111" customFormat="1" ht="12" customHeight="1" x14ac:dyDescent="0.2">
      <c r="A949" s="133"/>
      <c r="B949" s="135"/>
      <c r="C949" s="136"/>
      <c r="D949" s="134"/>
      <c r="E949" s="139"/>
      <c r="F949" s="144"/>
      <c r="G949" s="146"/>
      <c r="H949" s="149"/>
      <c r="I949" s="149"/>
      <c r="J949" s="146"/>
      <c r="L949" s="151"/>
    </row>
    <row r="950" spans="1:12" s="111" customFormat="1" ht="12" customHeight="1" x14ac:dyDescent="0.2">
      <c r="A950" s="133"/>
      <c r="B950" s="135"/>
      <c r="C950" s="136"/>
      <c r="D950" s="134"/>
      <c r="E950" s="139"/>
      <c r="F950" s="144"/>
      <c r="G950" s="146"/>
      <c r="H950" s="149"/>
      <c r="I950" s="149"/>
      <c r="J950" s="146"/>
      <c r="L950" s="151"/>
    </row>
    <row r="951" spans="1:12" s="111" customFormat="1" ht="12" customHeight="1" x14ac:dyDescent="0.2">
      <c r="A951" s="133"/>
      <c r="B951" s="135"/>
      <c r="C951" s="136"/>
      <c r="D951" s="134"/>
      <c r="E951" s="139"/>
      <c r="F951" s="144"/>
      <c r="G951" s="146"/>
      <c r="H951" s="149"/>
      <c r="I951" s="149"/>
      <c r="J951" s="146"/>
      <c r="L951" s="151"/>
    </row>
    <row r="952" spans="1:12" s="111" customFormat="1" ht="12" customHeight="1" x14ac:dyDescent="0.2">
      <c r="A952" s="133"/>
      <c r="B952" s="135"/>
      <c r="C952" s="136"/>
      <c r="D952" s="134"/>
      <c r="E952" s="139"/>
      <c r="F952" s="144"/>
      <c r="G952" s="146"/>
      <c r="H952" s="149"/>
      <c r="I952" s="149"/>
      <c r="J952" s="146"/>
      <c r="L952" s="151"/>
    </row>
    <row r="953" spans="1:12" s="111" customFormat="1" ht="12" customHeight="1" x14ac:dyDescent="0.2">
      <c r="A953" s="133"/>
      <c r="B953" s="135"/>
      <c r="C953" s="136"/>
      <c r="D953" s="134"/>
      <c r="E953" s="139"/>
      <c r="F953" s="144"/>
      <c r="G953" s="146"/>
      <c r="H953" s="149"/>
      <c r="I953" s="149"/>
      <c r="J953" s="146"/>
      <c r="L953" s="151"/>
    </row>
    <row r="954" spans="1:12" s="111" customFormat="1" ht="12" customHeight="1" x14ac:dyDescent="0.2">
      <c r="A954" s="133"/>
      <c r="B954" s="135"/>
      <c r="C954" s="136"/>
      <c r="D954" s="134"/>
      <c r="E954" s="139"/>
      <c r="F954" s="144"/>
      <c r="G954" s="146"/>
      <c r="H954" s="149"/>
      <c r="I954" s="149"/>
      <c r="J954" s="146"/>
      <c r="L954" s="151"/>
    </row>
    <row r="955" spans="1:12" s="111" customFormat="1" ht="12" customHeight="1" x14ac:dyDescent="0.2">
      <c r="A955" s="133"/>
      <c r="B955" s="135"/>
      <c r="C955" s="136"/>
      <c r="D955" s="134"/>
      <c r="E955" s="139"/>
      <c r="F955" s="144"/>
      <c r="G955" s="146"/>
      <c r="H955" s="149"/>
      <c r="I955" s="149"/>
      <c r="J955" s="146"/>
      <c r="L955" s="151"/>
    </row>
    <row r="956" spans="1:12" s="111" customFormat="1" ht="12" customHeight="1" x14ac:dyDescent="0.2">
      <c r="A956" s="133"/>
      <c r="B956" s="135"/>
      <c r="C956" s="136"/>
      <c r="D956" s="134"/>
      <c r="E956" s="139"/>
      <c r="F956" s="144"/>
      <c r="G956" s="146"/>
      <c r="H956" s="149"/>
      <c r="I956" s="149"/>
      <c r="J956" s="146"/>
      <c r="L956" s="151"/>
    </row>
    <row r="957" spans="1:12" s="111" customFormat="1" ht="12" customHeight="1" x14ac:dyDescent="0.2">
      <c r="A957" s="133"/>
      <c r="B957" s="135"/>
      <c r="C957" s="136"/>
      <c r="D957" s="134"/>
      <c r="E957" s="139"/>
      <c r="F957" s="144"/>
      <c r="G957" s="146"/>
      <c r="H957" s="149"/>
      <c r="I957" s="149"/>
      <c r="J957" s="146"/>
      <c r="L957" s="151"/>
    </row>
    <row r="958" spans="1:12" s="111" customFormat="1" ht="12" customHeight="1" x14ac:dyDescent="0.2">
      <c r="A958" s="133"/>
      <c r="B958" s="135"/>
      <c r="C958" s="136"/>
      <c r="D958" s="134"/>
      <c r="E958" s="139"/>
      <c r="F958" s="144"/>
      <c r="G958" s="146"/>
      <c r="H958" s="149"/>
      <c r="I958" s="149"/>
      <c r="J958" s="146"/>
      <c r="L958" s="151"/>
    </row>
    <row r="959" spans="1:12" s="111" customFormat="1" ht="12" customHeight="1" x14ac:dyDescent="0.2">
      <c r="A959" s="133"/>
      <c r="B959" s="135"/>
      <c r="C959" s="136"/>
      <c r="D959" s="134"/>
      <c r="E959" s="139"/>
      <c r="F959" s="144"/>
      <c r="G959" s="146"/>
      <c r="H959" s="149"/>
      <c r="I959" s="149"/>
      <c r="J959" s="146"/>
      <c r="L959" s="151"/>
    </row>
    <row r="960" spans="1:12" s="111" customFormat="1" ht="12" customHeight="1" x14ac:dyDescent="0.2">
      <c r="A960" s="133"/>
      <c r="B960" s="135"/>
      <c r="C960" s="136"/>
      <c r="D960" s="134"/>
      <c r="E960" s="139"/>
      <c r="F960" s="144"/>
      <c r="G960" s="146"/>
      <c r="H960" s="149"/>
      <c r="I960" s="149"/>
      <c r="J960" s="146"/>
      <c r="L960" s="151"/>
    </row>
    <row r="961" spans="1:12" s="111" customFormat="1" ht="12" customHeight="1" x14ac:dyDescent="0.2">
      <c r="A961" s="133"/>
      <c r="B961" s="135"/>
      <c r="C961" s="136"/>
      <c r="D961" s="134"/>
      <c r="E961" s="139"/>
      <c r="F961" s="144"/>
      <c r="G961" s="146"/>
      <c r="H961" s="149"/>
      <c r="I961" s="149"/>
      <c r="J961" s="146"/>
      <c r="L961" s="151"/>
    </row>
    <row r="962" spans="1:12" s="111" customFormat="1" ht="12" customHeight="1" x14ac:dyDescent="0.2">
      <c r="A962" s="133"/>
      <c r="B962" s="135"/>
      <c r="C962" s="136"/>
      <c r="D962" s="134"/>
      <c r="E962" s="139"/>
      <c r="F962" s="144"/>
      <c r="G962" s="146"/>
      <c r="H962" s="149"/>
      <c r="I962" s="149"/>
      <c r="J962" s="146"/>
      <c r="L962" s="151"/>
    </row>
    <row r="963" spans="1:12" s="111" customFormat="1" ht="12" customHeight="1" x14ac:dyDescent="0.2">
      <c r="A963" s="133"/>
      <c r="B963" s="135"/>
      <c r="C963" s="136"/>
      <c r="D963" s="134"/>
      <c r="E963" s="139"/>
      <c r="F963" s="144"/>
      <c r="G963" s="146"/>
      <c r="H963" s="149"/>
      <c r="I963" s="149"/>
      <c r="J963" s="146"/>
      <c r="L963" s="151"/>
    </row>
    <row r="964" spans="1:12" s="111" customFormat="1" ht="12" customHeight="1" x14ac:dyDescent="0.2">
      <c r="A964" s="133"/>
      <c r="B964" s="135"/>
      <c r="C964" s="136"/>
      <c r="D964" s="134"/>
      <c r="E964" s="139"/>
      <c r="F964" s="144"/>
      <c r="G964" s="146"/>
      <c r="H964" s="149"/>
      <c r="I964" s="149"/>
      <c r="J964" s="146"/>
      <c r="L964" s="151"/>
    </row>
    <row r="965" spans="1:12" s="111" customFormat="1" ht="12" customHeight="1" x14ac:dyDescent="0.2">
      <c r="A965" s="133"/>
      <c r="B965" s="135"/>
      <c r="C965" s="136"/>
      <c r="D965" s="134"/>
      <c r="E965" s="139"/>
      <c r="F965" s="144"/>
      <c r="G965" s="146"/>
      <c r="H965" s="149"/>
      <c r="I965" s="149"/>
      <c r="J965" s="146"/>
      <c r="L965" s="151"/>
    </row>
    <row r="966" spans="1:12" s="111" customFormat="1" ht="12" customHeight="1" x14ac:dyDescent="0.2">
      <c r="A966" s="133"/>
      <c r="B966" s="135"/>
      <c r="C966" s="136"/>
      <c r="D966" s="134"/>
      <c r="E966" s="139"/>
      <c r="F966" s="144"/>
      <c r="G966" s="146"/>
      <c r="H966" s="149"/>
      <c r="I966" s="149"/>
      <c r="J966" s="146"/>
      <c r="L966" s="151"/>
    </row>
    <row r="967" spans="1:12" s="111" customFormat="1" ht="12" customHeight="1" x14ac:dyDescent="0.2">
      <c r="A967" s="133"/>
      <c r="B967" s="135"/>
      <c r="C967" s="136"/>
      <c r="D967" s="134"/>
      <c r="E967" s="139"/>
      <c r="F967" s="144"/>
      <c r="G967" s="146"/>
      <c r="H967" s="149"/>
      <c r="I967" s="149"/>
      <c r="J967" s="146"/>
      <c r="L967" s="151"/>
    </row>
    <row r="968" spans="1:12" s="111" customFormat="1" ht="12" customHeight="1" x14ac:dyDescent="0.2">
      <c r="A968" s="133"/>
      <c r="B968" s="135"/>
      <c r="C968" s="136"/>
      <c r="D968" s="134"/>
      <c r="E968" s="139"/>
      <c r="F968" s="144"/>
      <c r="G968" s="146"/>
      <c r="H968" s="149"/>
      <c r="I968" s="149"/>
      <c r="J968" s="146"/>
      <c r="L968" s="151"/>
    </row>
    <row r="969" spans="1:12" s="111" customFormat="1" ht="12" customHeight="1" x14ac:dyDescent="0.2">
      <c r="A969" s="133"/>
      <c r="B969" s="135"/>
      <c r="C969" s="136"/>
      <c r="D969" s="134"/>
      <c r="E969" s="139"/>
      <c r="F969" s="144"/>
      <c r="G969" s="146"/>
      <c r="H969" s="149"/>
      <c r="I969" s="149"/>
      <c r="J969" s="146"/>
      <c r="L969" s="151"/>
    </row>
    <row r="970" spans="1:12" s="111" customFormat="1" ht="12" customHeight="1" x14ac:dyDescent="0.2">
      <c r="A970" s="133"/>
      <c r="B970" s="135"/>
      <c r="C970" s="136"/>
      <c r="D970" s="134"/>
      <c r="E970" s="139"/>
      <c r="F970" s="144"/>
      <c r="G970" s="146"/>
      <c r="H970" s="149"/>
      <c r="I970" s="149"/>
      <c r="J970" s="146"/>
      <c r="L970" s="151"/>
    </row>
    <row r="971" spans="1:12" s="111" customFormat="1" ht="12" customHeight="1" x14ac:dyDescent="0.2">
      <c r="A971" s="133"/>
      <c r="B971" s="135"/>
      <c r="C971" s="136"/>
      <c r="D971" s="134"/>
      <c r="E971" s="139"/>
      <c r="F971" s="144"/>
      <c r="G971" s="146"/>
      <c r="H971" s="149"/>
      <c r="I971" s="149"/>
      <c r="J971" s="146"/>
      <c r="L971" s="151"/>
    </row>
    <row r="972" spans="1:12" s="111" customFormat="1" ht="12" customHeight="1" x14ac:dyDescent="0.2">
      <c r="A972" s="133"/>
      <c r="B972" s="135"/>
      <c r="C972" s="136"/>
      <c r="D972" s="134"/>
      <c r="E972" s="139"/>
      <c r="F972" s="144"/>
      <c r="G972" s="146"/>
      <c r="H972" s="149"/>
      <c r="I972" s="149"/>
      <c r="J972" s="146"/>
      <c r="L972" s="151"/>
    </row>
    <row r="973" spans="1:12" s="111" customFormat="1" ht="12" customHeight="1" x14ac:dyDescent="0.2">
      <c r="A973" s="133"/>
      <c r="B973" s="135"/>
      <c r="C973" s="136"/>
      <c r="D973" s="134"/>
      <c r="E973" s="139"/>
      <c r="F973" s="144"/>
      <c r="G973" s="146"/>
      <c r="H973" s="149"/>
      <c r="I973" s="149"/>
      <c r="J973" s="146"/>
      <c r="L973" s="151"/>
    </row>
    <row r="974" spans="1:12" s="111" customFormat="1" ht="12" customHeight="1" x14ac:dyDescent="0.2">
      <c r="A974" s="133"/>
      <c r="B974" s="135"/>
      <c r="C974" s="136"/>
      <c r="D974" s="134"/>
      <c r="E974" s="139"/>
      <c r="F974" s="144"/>
      <c r="G974" s="146"/>
      <c r="H974" s="149"/>
      <c r="I974" s="149"/>
      <c r="J974" s="146"/>
      <c r="L974" s="151"/>
    </row>
    <row r="975" spans="1:12" s="111" customFormat="1" ht="12" customHeight="1" x14ac:dyDescent="0.2">
      <c r="A975" s="133"/>
      <c r="B975" s="135"/>
      <c r="C975" s="136"/>
      <c r="D975" s="134"/>
      <c r="E975" s="139"/>
      <c r="F975" s="144"/>
      <c r="G975" s="146"/>
      <c r="H975" s="149"/>
      <c r="I975" s="149"/>
      <c r="J975" s="146"/>
      <c r="L975" s="151"/>
    </row>
    <row r="976" spans="1:12" s="111" customFormat="1" ht="12" customHeight="1" x14ac:dyDescent="0.2">
      <c r="A976" s="133"/>
      <c r="B976" s="135"/>
      <c r="C976" s="136"/>
      <c r="D976" s="134"/>
      <c r="E976" s="139"/>
      <c r="F976" s="144"/>
      <c r="G976" s="146"/>
      <c r="H976" s="149"/>
      <c r="I976" s="149"/>
      <c r="J976" s="146"/>
      <c r="L976" s="151"/>
    </row>
    <row r="977" spans="1:12" s="111" customFormat="1" ht="12" customHeight="1" x14ac:dyDescent="0.2">
      <c r="A977" s="133"/>
      <c r="B977" s="135"/>
      <c r="C977" s="136"/>
      <c r="D977" s="134"/>
      <c r="E977" s="139"/>
      <c r="F977" s="144"/>
      <c r="G977" s="146"/>
      <c r="H977" s="149"/>
      <c r="I977" s="149"/>
      <c r="J977" s="146"/>
      <c r="L977" s="151"/>
    </row>
    <row r="978" spans="1:12" s="111" customFormat="1" ht="12" customHeight="1" x14ac:dyDescent="0.2">
      <c r="A978" s="133"/>
      <c r="B978" s="135"/>
      <c r="C978" s="136"/>
      <c r="D978" s="134"/>
      <c r="E978" s="139"/>
      <c r="F978" s="144"/>
      <c r="G978" s="146"/>
      <c r="H978" s="149"/>
      <c r="I978" s="149"/>
      <c r="J978" s="146"/>
      <c r="L978" s="151"/>
    </row>
    <row r="979" spans="1:12" s="111" customFormat="1" ht="12" customHeight="1" x14ac:dyDescent="0.2">
      <c r="A979" s="133"/>
      <c r="B979" s="135"/>
      <c r="C979" s="136"/>
      <c r="D979" s="134"/>
      <c r="E979" s="139"/>
      <c r="F979" s="144"/>
      <c r="G979" s="146"/>
      <c r="H979" s="149"/>
      <c r="I979" s="149"/>
      <c r="J979" s="146"/>
      <c r="L979" s="151"/>
    </row>
    <row r="980" spans="1:12" s="111" customFormat="1" ht="12" customHeight="1" x14ac:dyDescent="0.2">
      <c r="A980" s="133"/>
      <c r="B980" s="135"/>
      <c r="C980" s="136"/>
      <c r="D980" s="134"/>
      <c r="E980" s="139"/>
      <c r="F980" s="144"/>
      <c r="G980" s="146"/>
      <c r="H980" s="149"/>
      <c r="I980" s="149"/>
      <c r="J980" s="146"/>
      <c r="L980" s="151"/>
    </row>
    <row r="981" spans="1:12" s="111" customFormat="1" ht="12" customHeight="1" x14ac:dyDescent="0.2">
      <c r="A981" s="133"/>
      <c r="B981" s="135"/>
      <c r="C981" s="136"/>
      <c r="D981" s="134"/>
      <c r="E981" s="139"/>
      <c r="F981" s="144"/>
      <c r="G981" s="146"/>
      <c r="H981" s="149"/>
      <c r="I981" s="149"/>
      <c r="J981" s="146"/>
      <c r="L981" s="151"/>
    </row>
    <row r="982" spans="1:12" s="111" customFormat="1" ht="12" customHeight="1" x14ac:dyDescent="0.2">
      <c r="A982" s="133"/>
      <c r="B982" s="135"/>
      <c r="C982" s="136"/>
      <c r="D982" s="134"/>
      <c r="E982" s="139"/>
      <c r="F982" s="144"/>
      <c r="G982" s="146"/>
      <c r="H982" s="149"/>
      <c r="I982" s="149"/>
      <c r="J982" s="146"/>
      <c r="L982" s="151"/>
    </row>
    <row r="983" spans="1:12" s="111" customFormat="1" ht="12" customHeight="1" x14ac:dyDescent="0.2">
      <c r="A983" s="133"/>
      <c r="B983" s="135"/>
      <c r="C983" s="136"/>
      <c r="D983" s="134"/>
      <c r="E983" s="139"/>
      <c r="F983" s="144"/>
      <c r="G983" s="146"/>
      <c r="H983" s="149"/>
      <c r="I983" s="149"/>
      <c r="J983" s="146"/>
      <c r="L983" s="151"/>
    </row>
    <row r="984" spans="1:12" s="111" customFormat="1" ht="12" customHeight="1" x14ac:dyDescent="0.2">
      <c r="A984" s="133"/>
      <c r="B984" s="135"/>
      <c r="C984" s="136"/>
      <c r="D984" s="134"/>
      <c r="E984" s="139"/>
      <c r="F984" s="144"/>
      <c r="G984" s="146"/>
      <c r="H984" s="149"/>
      <c r="I984" s="149"/>
      <c r="J984" s="146"/>
      <c r="L984" s="151"/>
    </row>
    <row r="985" spans="1:12" s="111" customFormat="1" ht="12" customHeight="1" x14ac:dyDescent="0.2">
      <c r="A985" s="133"/>
      <c r="B985" s="135"/>
      <c r="C985" s="136"/>
      <c r="D985" s="134"/>
      <c r="E985" s="139"/>
      <c r="F985" s="144"/>
      <c r="G985" s="146"/>
      <c r="H985" s="149"/>
      <c r="I985" s="149"/>
      <c r="J985" s="146"/>
      <c r="L985" s="151"/>
    </row>
    <row r="986" spans="1:12" s="111" customFormat="1" ht="12" customHeight="1" x14ac:dyDescent="0.2">
      <c r="A986" s="133"/>
      <c r="B986" s="135"/>
      <c r="C986" s="136"/>
      <c r="D986" s="134"/>
      <c r="E986" s="139"/>
      <c r="F986" s="144"/>
      <c r="G986" s="146"/>
      <c r="H986" s="149"/>
      <c r="I986" s="149"/>
      <c r="J986" s="146"/>
      <c r="L986" s="151"/>
    </row>
    <row r="987" spans="1:12" s="111" customFormat="1" ht="12" customHeight="1" x14ac:dyDescent="0.2">
      <c r="A987" s="133"/>
      <c r="B987" s="135"/>
      <c r="C987" s="136"/>
      <c r="D987" s="134"/>
      <c r="E987" s="139"/>
      <c r="F987" s="144"/>
      <c r="G987" s="146"/>
      <c r="H987" s="149"/>
      <c r="I987" s="149"/>
      <c r="J987" s="146"/>
      <c r="L987" s="151"/>
    </row>
    <row r="988" spans="1:12" s="111" customFormat="1" ht="12" customHeight="1" x14ac:dyDescent="0.2">
      <c r="A988" s="133"/>
      <c r="B988" s="135"/>
      <c r="C988" s="136"/>
      <c r="D988" s="134"/>
      <c r="E988" s="139"/>
      <c r="F988" s="144"/>
      <c r="G988" s="146"/>
      <c r="H988" s="149"/>
      <c r="I988" s="149"/>
      <c r="J988" s="146"/>
      <c r="L988" s="151"/>
    </row>
    <row r="989" spans="1:12" s="111" customFormat="1" ht="12" customHeight="1" x14ac:dyDescent="0.2">
      <c r="A989" s="133"/>
      <c r="B989" s="135"/>
      <c r="C989" s="136"/>
      <c r="D989" s="134"/>
      <c r="E989" s="139"/>
      <c r="F989" s="144"/>
      <c r="G989" s="146"/>
      <c r="H989" s="149"/>
      <c r="I989" s="149"/>
      <c r="J989" s="146"/>
      <c r="L989" s="151"/>
    </row>
    <row r="990" spans="1:12" s="111" customFormat="1" ht="12" customHeight="1" x14ac:dyDescent="0.2">
      <c r="A990" s="133"/>
      <c r="B990" s="135"/>
      <c r="C990" s="136"/>
      <c r="D990" s="134"/>
      <c r="E990" s="139"/>
      <c r="F990" s="144"/>
      <c r="G990" s="146"/>
      <c r="H990" s="149"/>
      <c r="I990" s="149"/>
      <c r="J990" s="146"/>
      <c r="L990" s="151"/>
    </row>
    <row r="991" spans="1:12" s="111" customFormat="1" ht="12" customHeight="1" x14ac:dyDescent="0.2">
      <c r="A991" s="133"/>
      <c r="B991" s="135"/>
      <c r="C991" s="136"/>
      <c r="D991" s="134"/>
      <c r="E991" s="139"/>
      <c r="F991" s="144"/>
      <c r="G991" s="146"/>
      <c r="H991" s="149"/>
      <c r="I991" s="149"/>
      <c r="J991" s="146"/>
      <c r="L991" s="151"/>
    </row>
    <row r="992" spans="1:12" s="111" customFormat="1" ht="12" customHeight="1" x14ac:dyDescent="0.2">
      <c r="A992" s="133"/>
      <c r="B992" s="135"/>
      <c r="C992" s="136"/>
      <c r="D992" s="134"/>
      <c r="E992" s="139"/>
      <c r="F992" s="144"/>
      <c r="G992" s="146"/>
      <c r="H992" s="149"/>
      <c r="I992" s="149"/>
      <c r="J992" s="146"/>
      <c r="L992" s="151"/>
    </row>
    <row r="993" spans="1:12" s="111" customFormat="1" ht="12" customHeight="1" x14ac:dyDescent="0.2">
      <c r="A993" s="133"/>
      <c r="B993" s="135"/>
      <c r="C993" s="136"/>
      <c r="D993" s="134"/>
      <c r="E993" s="139"/>
      <c r="F993" s="144"/>
      <c r="G993" s="146"/>
      <c r="H993" s="149"/>
      <c r="I993" s="149"/>
      <c r="J993" s="146"/>
      <c r="L993" s="151"/>
    </row>
    <row r="994" spans="1:12" s="111" customFormat="1" ht="12" customHeight="1" x14ac:dyDescent="0.2">
      <c r="A994" s="133"/>
      <c r="B994" s="135"/>
      <c r="C994" s="136"/>
      <c r="D994" s="134"/>
      <c r="E994" s="139"/>
      <c r="F994" s="144"/>
      <c r="G994" s="146"/>
      <c r="H994" s="149"/>
      <c r="I994" s="149"/>
      <c r="J994" s="146"/>
      <c r="L994" s="151"/>
    </row>
    <row r="995" spans="1:12" s="111" customFormat="1" ht="12" customHeight="1" x14ac:dyDescent="0.2">
      <c r="A995" s="133"/>
      <c r="B995" s="135"/>
      <c r="C995" s="136"/>
      <c r="D995" s="134"/>
      <c r="E995" s="139"/>
      <c r="F995" s="144"/>
      <c r="G995" s="146"/>
      <c r="H995" s="149"/>
      <c r="I995" s="149"/>
      <c r="J995" s="146"/>
      <c r="L995" s="151"/>
    </row>
    <row r="996" spans="1:12" s="111" customFormat="1" ht="12" customHeight="1" x14ac:dyDescent="0.2">
      <c r="A996" s="133"/>
      <c r="B996" s="135"/>
      <c r="C996" s="136"/>
      <c r="D996" s="134"/>
      <c r="E996" s="139"/>
      <c r="F996" s="144"/>
      <c r="G996" s="146"/>
      <c r="H996" s="149"/>
      <c r="I996" s="149"/>
      <c r="J996" s="146"/>
      <c r="L996" s="151"/>
    </row>
    <row r="997" spans="1:12" s="111" customFormat="1" ht="12" customHeight="1" x14ac:dyDescent="0.2">
      <c r="A997" s="133"/>
      <c r="B997" s="135"/>
      <c r="C997" s="136"/>
      <c r="D997" s="134"/>
      <c r="E997" s="139"/>
      <c r="F997" s="144"/>
      <c r="G997" s="146"/>
      <c r="H997" s="149"/>
      <c r="I997" s="149"/>
      <c r="J997" s="146"/>
      <c r="L997" s="151"/>
    </row>
    <row r="998" spans="1:12" s="111" customFormat="1" ht="12" customHeight="1" x14ac:dyDescent="0.2">
      <c r="A998" s="133"/>
      <c r="B998" s="135"/>
      <c r="C998" s="136"/>
      <c r="D998" s="134"/>
      <c r="E998" s="139"/>
      <c r="F998" s="144"/>
      <c r="G998" s="146"/>
      <c r="H998" s="149"/>
      <c r="I998" s="149"/>
      <c r="J998" s="146"/>
      <c r="L998" s="151"/>
    </row>
    <row r="999" spans="1:12" s="111" customFormat="1" ht="12" customHeight="1" x14ac:dyDescent="0.2">
      <c r="A999" s="133"/>
      <c r="B999" s="135"/>
      <c r="C999" s="136"/>
      <c r="D999" s="134"/>
      <c r="E999" s="139"/>
      <c r="F999" s="144"/>
      <c r="G999" s="146"/>
      <c r="H999" s="149"/>
      <c r="I999" s="149"/>
      <c r="J999" s="146"/>
      <c r="L999" s="151"/>
    </row>
    <row r="1000" spans="1:12" s="111" customFormat="1" ht="12" customHeight="1" x14ac:dyDescent="0.2">
      <c r="A1000" s="133"/>
      <c r="B1000" s="135"/>
      <c r="C1000" s="136"/>
      <c r="D1000" s="134"/>
      <c r="E1000" s="139"/>
      <c r="F1000" s="144"/>
      <c r="G1000" s="146"/>
      <c r="H1000" s="149"/>
      <c r="I1000" s="149"/>
      <c r="J1000" s="146"/>
      <c r="L1000" s="151"/>
    </row>
    <row r="1001" spans="1:12" s="111" customFormat="1" ht="12" customHeight="1" x14ac:dyDescent="0.2">
      <c r="A1001" s="133"/>
      <c r="B1001" s="135"/>
      <c r="C1001" s="136"/>
      <c r="D1001" s="134"/>
      <c r="E1001" s="139"/>
      <c r="F1001" s="144"/>
      <c r="G1001" s="146"/>
      <c r="H1001" s="149"/>
      <c r="I1001" s="149"/>
      <c r="J1001" s="146"/>
      <c r="L1001" s="151"/>
    </row>
    <row r="1002" spans="1:12" s="111" customFormat="1" ht="12" customHeight="1" x14ac:dyDescent="0.2">
      <c r="A1002" s="133"/>
      <c r="B1002" s="135"/>
      <c r="C1002" s="136"/>
      <c r="D1002" s="134"/>
      <c r="E1002" s="139"/>
      <c r="F1002" s="144"/>
      <c r="G1002" s="146"/>
      <c r="H1002" s="149"/>
      <c r="I1002" s="149"/>
      <c r="J1002" s="146"/>
      <c r="L1002" s="151"/>
    </row>
    <row r="1003" spans="1:12" s="111" customFormat="1" ht="12" customHeight="1" x14ac:dyDescent="0.2">
      <c r="A1003" s="133"/>
      <c r="B1003" s="135"/>
      <c r="C1003" s="136"/>
      <c r="D1003" s="134"/>
      <c r="E1003" s="139"/>
      <c r="F1003" s="144"/>
      <c r="G1003" s="146"/>
      <c r="H1003" s="149"/>
      <c r="I1003" s="149"/>
      <c r="J1003" s="146"/>
      <c r="L1003" s="151"/>
    </row>
    <row r="1004" spans="1:12" s="111" customFormat="1" ht="12" customHeight="1" x14ac:dyDescent="0.2">
      <c r="A1004" s="133"/>
      <c r="B1004" s="135"/>
      <c r="C1004" s="136"/>
      <c r="D1004" s="134"/>
      <c r="E1004" s="139"/>
      <c r="F1004" s="144"/>
      <c r="G1004" s="146"/>
      <c r="H1004" s="149"/>
      <c r="I1004" s="149"/>
      <c r="J1004" s="146"/>
      <c r="L1004" s="151"/>
    </row>
    <row r="1005" spans="1:12" s="111" customFormat="1" ht="12" customHeight="1" x14ac:dyDescent="0.2">
      <c r="A1005" s="133"/>
      <c r="B1005" s="135"/>
      <c r="C1005" s="136"/>
      <c r="D1005" s="134"/>
      <c r="E1005" s="139"/>
      <c r="F1005" s="144"/>
      <c r="G1005" s="146"/>
      <c r="H1005" s="149"/>
      <c r="I1005" s="149"/>
      <c r="J1005" s="146"/>
      <c r="L1005" s="151"/>
    </row>
    <row r="1006" spans="1:12" s="111" customFormat="1" ht="12" customHeight="1" x14ac:dyDescent="0.2">
      <c r="A1006" s="133"/>
      <c r="B1006" s="135"/>
      <c r="C1006" s="136"/>
      <c r="D1006" s="134"/>
      <c r="E1006" s="139"/>
      <c r="F1006" s="144"/>
      <c r="G1006" s="146"/>
      <c r="H1006" s="149"/>
      <c r="I1006" s="149"/>
      <c r="J1006" s="146"/>
      <c r="L1006" s="151"/>
    </row>
    <row r="1007" spans="1:12" s="111" customFormat="1" ht="12" customHeight="1" x14ac:dyDescent="0.2">
      <c r="A1007" s="133"/>
      <c r="B1007" s="135"/>
      <c r="C1007" s="136"/>
      <c r="D1007" s="134"/>
      <c r="E1007" s="139"/>
      <c r="F1007" s="144"/>
      <c r="G1007" s="146"/>
      <c r="H1007" s="149"/>
      <c r="I1007" s="149"/>
      <c r="J1007" s="146"/>
      <c r="L1007" s="151"/>
    </row>
    <row r="1008" spans="1:12" s="111" customFormat="1" ht="12" customHeight="1" x14ac:dyDescent="0.2">
      <c r="A1008" s="133"/>
      <c r="B1008" s="135"/>
      <c r="C1008" s="136"/>
      <c r="D1008" s="134"/>
      <c r="E1008" s="139"/>
      <c r="F1008" s="144"/>
      <c r="G1008" s="146"/>
      <c r="H1008" s="149"/>
      <c r="I1008" s="149"/>
      <c r="J1008" s="146"/>
      <c r="L1008" s="151"/>
    </row>
    <row r="1009" spans="1:12" s="111" customFormat="1" ht="12" customHeight="1" x14ac:dyDescent="0.2">
      <c r="A1009" s="133"/>
      <c r="B1009" s="135"/>
      <c r="C1009" s="136"/>
      <c r="D1009" s="134"/>
      <c r="E1009" s="139"/>
      <c r="F1009" s="144"/>
      <c r="G1009" s="146"/>
      <c r="H1009" s="149"/>
      <c r="I1009" s="149"/>
      <c r="J1009" s="146"/>
      <c r="L1009" s="151"/>
    </row>
    <row r="1010" spans="1:12" s="111" customFormat="1" ht="12" customHeight="1" x14ac:dyDescent="0.2">
      <c r="A1010" s="133"/>
      <c r="B1010" s="135"/>
      <c r="C1010" s="136"/>
      <c r="D1010" s="134"/>
      <c r="E1010" s="139"/>
      <c r="F1010" s="144"/>
      <c r="G1010" s="146"/>
      <c r="H1010" s="149"/>
      <c r="I1010" s="149"/>
      <c r="J1010" s="146"/>
      <c r="L1010" s="151"/>
    </row>
    <row r="1011" spans="1:12" s="111" customFormat="1" ht="12" customHeight="1" x14ac:dyDescent="0.2">
      <c r="A1011" s="133"/>
      <c r="B1011" s="135"/>
      <c r="C1011" s="136"/>
      <c r="D1011" s="134"/>
      <c r="E1011" s="139"/>
      <c r="F1011" s="144"/>
      <c r="G1011" s="146"/>
      <c r="H1011" s="149"/>
      <c r="I1011" s="149"/>
      <c r="J1011" s="146"/>
      <c r="L1011" s="151"/>
    </row>
    <row r="1012" spans="1:12" s="111" customFormat="1" ht="12" customHeight="1" x14ac:dyDescent="0.2">
      <c r="A1012" s="133"/>
      <c r="B1012" s="135"/>
      <c r="C1012" s="136"/>
      <c r="D1012" s="134"/>
      <c r="E1012" s="139"/>
      <c r="F1012" s="144"/>
      <c r="G1012" s="146"/>
      <c r="H1012" s="149"/>
      <c r="I1012" s="149"/>
      <c r="J1012" s="146"/>
      <c r="L1012" s="151"/>
    </row>
    <row r="1013" spans="1:12" s="111" customFormat="1" ht="12" customHeight="1" x14ac:dyDescent="0.2">
      <c r="A1013" s="133"/>
      <c r="B1013" s="135"/>
      <c r="C1013" s="136"/>
      <c r="D1013" s="134"/>
      <c r="E1013" s="139"/>
      <c r="F1013" s="144"/>
      <c r="G1013" s="146"/>
      <c r="H1013" s="149"/>
      <c r="I1013" s="149"/>
      <c r="J1013" s="146"/>
      <c r="L1013" s="151"/>
    </row>
    <row r="1014" spans="1:12" s="111" customFormat="1" ht="12" customHeight="1" x14ac:dyDescent="0.2">
      <c r="A1014" s="133"/>
      <c r="B1014" s="135"/>
      <c r="C1014" s="136"/>
      <c r="D1014" s="134"/>
      <c r="E1014" s="139"/>
      <c r="F1014" s="144"/>
      <c r="G1014" s="146"/>
      <c r="H1014" s="149"/>
      <c r="I1014" s="149"/>
      <c r="J1014" s="146"/>
      <c r="L1014" s="151"/>
    </row>
    <row r="1015" spans="1:12" s="111" customFormat="1" ht="12" customHeight="1" x14ac:dyDescent="0.2">
      <c r="A1015" s="133"/>
      <c r="B1015" s="135"/>
      <c r="C1015" s="136"/>
      <c r="D1015" s="134"/>
      <c r="E1015" s="139"/>
      <c r="F1015" s="144"/>
      <c r="G1015" s="146"/>
      <c r="H1015" s="149"/>
      <c r="I1015" s="149"/>
      <c r="J1015" s="146"/>
      <c r="L1015" s="151"/>
    </row>
    <row r="1016" spans="1:12" s="111" customFormat="1" ht="12" customHeight="1" x14ac:dyDescent="0.2">
      <c r="A1016" s="133"/>
      <c r="B1016" s="135"/>
      <c r="C1016" s="136"/>
      <c r="D1016" s="134"/>
      <c r="E1016" s="139"/>
      <c r="F1016" s="144"/>
      <c r="G1016" s="146"/>
      <c r="H1016" s="149"/>
      <c r="I1016" s="149"/>
      <c r="J1016" s="146"/>
      <c r="L1016" s="151"/>
    </row>
    <row r="1017" spans="1:12" s="111" customFormat="1" ht="12" customHeight="1" x14ac:dyDescent="0.2">
      <c r="A1017" s="133"/>
      <c r="B1017" s="135"/>
      <c r="C1017" s="136"/>
      <c r="D1017" s="134"/>
      <c r="E1017" s="139"/>
      <c r="F1017" s="144"/>
      <c r="G1017" s="146"/>
      <c r="H1017" s="149"/>
      <c r="I1017" s="149"/>
      <c r="J1017" s="146"/>
      <c r="L1017" s="151"/>
    </row>
    <row r="1018" spans="1:12" s="111" customFormat="1" ht="12" customHeight="1" x14ac:dyDescent="0.2">
      <c r="A1018" s="133"/>
      <c r="B1018" s="135"/>
      <c r="C1018" s="136"/>
      <c r="D1018" s="134"/>
      <c r="E1018" s="139"/>
      <c r="F1018" s="144"/>
      <c r="G1018" s="146"/>
      <c r="H1018" s="149"/>
      <c r="I1018" s="149"/>
      <c r="J1018" s="146"/>
      <c r="L1018" s="151"/>
    </row>
    <row r="1019" spans="1:12" s="111" customFormat="1" ht="12" customHeight="1" x14ac:dyDescent="0.2">
      <c r="A1019" s="133"/>
      <c r="B1019" s="135"/>
      <c r="C1019" s="136"/>
      <c r="D1019" s="134"/>
      <c r="E1019" s="139"/>
      <c r="F1019" s="144"/>
      <c r="G1019" s="146"/>
      <c r="H1019" s="149"/>
      <c r="I1019" s="149"/>
      <c r="J1019" s="146"/>
      <c r="L1019" s="151"/>
    </row>
    <row r="1020" spans="1:12" s="111" customFormat="1" ht="12" customHeight="1" x14ac:dyDescent="0.2">
      <c r="A1020" s="133"/>
      <c r="B1020" s="135"/>
      <c r="C1020" s="136"/>
      <c r="D1020" s="134"/>
      <c r="E1020" s="139"/>
      <c r="F1020" s="144"/>
      <c r="G1020" s="146"/>
      <c r="H1020" s="149"/>
      <c r="I1020" s="149"/>
      <c r="J1020" s="146"/>
      <c r="L1020" s="151"/>
    </row>
    <row r="1021" spans="1:12" s="111" customFormat="1" ht="12" customHeight="1" x14ac:dyDescent="0.2">
      <c r="A1021" s="133"/>
      <c r="B1021" s="135"/>
      <c r="C1021" s="136"/>
      <c r="D1021" s="134"/>
      <c r="E1021" s="139"/>
      <c r="F1021" s="144"/>
      <c r="G1021" s="146"/>
      <c r="H1021" s="149"/>
      <c r="I1021" s="149"/>
      <c r="J1021" s="146"/>
      <c r="L1021" s="151"/>
    </row>
    <row r="1022" spans="1:12" s="111" customFormat="1" ht="12" customHeight="1" x14ac:dyDescent="0.2">
      <c r="A1022" s="133"/>
      <c r="B1022" s="135"/>
      <c r="C1022" s="136"/>
      <c r="D1022" s="134"/>
      <c r="E1022" s="139"/>
      <c r="F1022" s="144"/>
      <c r="G1022" s="146"/>
      <c r="H1022" s="149"/>
      <c r="I1022" s="149"/>
      <c r="J1022" s="146"/>
      <c r="L1022" s="151"/>
    </row>
    <row r="1023" spans="1:12" s="111" customFormat="1" ht="12" customHeight="1" x14ac:dyDescent="0.2">
      <c r="A1023" s="133"/>
      <c r="B1023" s="135"/>
      <c r="C1023" s="136"/>
      <c r="D1023" s="134"/>
      <c r="E1023" s="139"/>
      <c r="F1023" s="144"/>
      <c r="G1023" s="146"/>
      <c r="H1023" s="149"/>
      <c r="I1023" s="149"/>
      <c r="J1023" s="146"/>
      <c r="L1023" s="151"/>
    </row>
    <row r="1024" spans="1:12" s="111" customFormat="1" ht="12" customHeight="1" x14ac:dyDescent="0.2">
      <c r="A1024" s="133"/>
      <c r="B1024" s="135"/>
      <c r="C1024" s="136"/>
      <c r="D1024" s="134"/>
      <c r="E1024" s="139"/>
      <c r="F1024" s="144"/>
      <c r="G1024" s="146"/>
      <c r="H1024" s="149"/>
      <c r="I1024" s="149"/>
      <c r="J1024" s="146"/>
      <c r="L1024" s="151"/>
    </row>
    <row r="1025" spans="1:12" s="111" customFormat="1" ht="12" customHeight="1" x14ac:dyDescent="0.2">
      <c r="A1025" s="133"/>
      <c r="B1025" s="135"/>
      <c r="C1025" s="136"/>
      <c r="D1025" s="134"/>
      <c r="E1025" s="139"/>
      <c r="F1025" s="144"/>
      <c r="G1025" s="146"/>
      <c r="H1025" s="149"/>
      <c r="I1025" s="149"/>
      <c r="J1025" s="146"/>
      <c r="L1025" s="151"/>
    </row>
    <row r="1026" spans="1:12" s="111" customFormat="1" ht="12" customHeight="1" x14ac:dyDescent="0.2">
      <c r="A1026" s="133"/>
      <c r="B1026" s="135"/>
      <c r="C1026" s="136"/>
      <c r="D1026" s="134"/>
      <c r="E1026" s="139"/>
      <c r="F1026" s="144"/>
      <c r="G1026" s="146"/>
      <c r="H1026" s="149"/>
      <c r="I1026" s="149"/>
      <c r="J1026" s="146"/>
      <c r="L1026" s="151"/>
    </row>
    <row r="1027" spans="1:12" s="111" customFormat="1" ht="12" customHeight="1" x14ac:dyDescent="0.2">
      <c r="A1027" s="133"/>
      <c r="B1027" s="135"/>
      <c r="C1027" s="136"/>
      <c r="D1027" s="134"/>
      <c r="E1027" s="139"/>
      <c r="F1027" s="144"/>
      <c r="G1027" s="146"/>
      <c r="H1027" s="149"/>
      <c r="I1027" s="149"/>
      <c r="J1027" s="146"/>
      <c r="L1027" s="151"/>
    </row>
    <row r="1028" spans="1:12" s="111" customFormat="1" ht="12" customHeight="1" x14ac:dyDescent="0.2">
      <c r="A1028" s="133"/>
      <c r="B1028" s="135"/>
      <c r="C1028" s="136"/>
      <c r="D1028" s="134"/>
      <c r="E1028" s="139"/>
      <c r="F1028" s="144"/>
      <c r="G1028" s="146"/>
      <c r="H1028" s="149"/>
      <c r="I1028" s="149"/>
      <c r="J1028" s="146"/>
      <c r="L1028" s="151"/>
    </row>
    <row r="1029" spans="1:12" s="111" customFormat="1" ht="12" customHeight="1" x14ac:dyDescent="0.2">
      <c r="A1029" s="133"/>
      <c r="B1029" s="135"/>
      <c r="C1029" s="136"/>
      <c r="D1029" s="134"/>
      <c r="E1029" s="139"/>
      <c r="F1029" s="144"/>
      <c r="G1029" s="146"/>
      <c r="H1029" s="149"/>
      <c r="I1029" s="149"/>
      <c r="J1029" s="146"/>
      <c r="L1029" s="151"/>
    </row>
    <row r="1030" spans="1:12" s="111" customFormat="1" ht="12" customHeight="1" x14ac:dyDescent="0.2">
      <c r="A1030" s="133"/>
      <c r="B1030" s="135"/>
      <c r="C1030" s="136"/>
      <c r="D1030" s="134"/>
      <c r="E1030" s="139"/>
      <c r="F1030" s="144"/>
      <c r="G1030" s="146"/>
      <c r="H1030" s="149"/>
      <c r="I1030" s="149"/>
      <c r="J1030" s="146"/>
      <c r="L1030" s="151"/>
    </row>
    <row r="1031" spans="1:12" s="111" customFormat="1" ht="12" customHeight="1" x14ac:dyDescent="0.2">
      <c r="A1031" s="133"/>
      <c r="B1031" s="135"/>
      <c r="C1031" s="136"/>
      <c r="D1031" s="134"/>
      <c r="E1031" s="139"/>
      <c r="F1031" s="144"/>
      <c r="G1031" s="146"/>
      <c r="H1031" s="149"/>
      <c r="I1031" s="149"/>
      <c r="J1031" s="146"/>
      <c r="L1031" s="151"/>
    </row>
    <row r="1032" spans="1:12" s="111" customFormat="1" ht="12" customHeight="1" x14ac:dyDescent="0.2">
      <c r="A1032" s="133"/>
      <c r="B1032" s="135"/>
      <c r="C1032" s="136"/>
      <c r="D1032" s="134"/>
      <c r="E1032" s="139"/>
      <c r="F1032" s="144"/>
      <c r="G1032" s="146"/>
      <c r="H1032" s="149"/>
      <c r="I1032" s="149"/>
      <c r="J1032" s="146"/>
      <c r="L1032" s="151"/>
    </row>
    <row r="1033" spans="1:12" s="111" customFormat="1" ht="12" customHeight="1" x14ac:dyDescent="0.2">
      <c r="A1033" s="133"/>
      <c r="B1033" s="135"/>
      <c r="C1033" s="136"/>
      <c r="D1033" s="134"/>
      <c r="E1033" s="139"/>
      <c r="F1033" s="144"/>
      <c r="G1033" s="146"/>
      <c r="H1033" s="149"/>
      <c r="I1033" s="149"/>
      <c r="J1033" s="146"/>
      <c r="L1033" s="151"/>
    </row>
    <row r="1034" spans="1:12" s="111" customFormat="1" ht="12" customHeight="1" x14ac:dyDescent="0.2">
      <c r="A1034" s="133"/>
      <c r="B1034" s="135"/>
      <c r="C1034" s="136"/>
      <c r="D1034" s="134"/>
      <c r="E1034" s="139"/>
      <c r="F1034" s="144"/>
      <c r="G1034" s="146"/>
      <c r="H1034" s="149"/>
      <c r="I1034" s="149"/>
      <c r="J1034" s="146"/>
      <c r="L1034" s="151"/>
    </row>
    <row r="1035" spans="1:12" s="111" customFormat="1" ht="12" customHeight="1" x14ac:dyDescent="0.2">
      <c r="A1035" s="133"/>
      <c r="B1035" s="135"/>
      <c r="C1035" s="136"/>
      <c r="D1035" s="134"/>
      <c r="E1035" s="139"/>
      <c r="F1035" s="144"/>
      <c r="G1035" s="146"/>
      <c r="H1035" s="149"/>
      <c r="I1035" s="149"/>
      <c r="J1035" s="146"/>
      <c r="L1035" s="151"/>
    </row>
    <row r="1036" spans="1:12" s="111" customFormat="1" ht="12" customHeight="1" x14ac:dyDescent="0.2">
      <c r="A1036" s="133"/>
      <c r="B1036" s="135"/>
      <c r="C1036" s="136"/>
      <c r="D1036" s="134"/>
      <c r="E1036" s="139"/>
      <c r="F1036" s="144"/>
      <c r="G1036" s="146"/>
      <c r="H1036" s="149"/>
      <c r="I1036" s="149"/>
      <c r="J1036" s="146"/>
      <c r="L1036" s="151"/>
    </row>
    <row r="1037" spans="1:12" s="111" customFormat="1" ht="12" customHeight="1" x14ac:dyDescent="0.2">
      <c r="A1037" s="133"/>
      <c r="B1037" s="135"/>
      <c r="C1037" s="136"/>
      <c r="D1037" s="134"/>
      <c r="E1037" s="139"/>
      <c r="F1037" s="144"/>
      <c r="G1037" s="146"/>
      <c r="H1037" s="149"/>
      <c r="I1037" s="149"/>
      <c r="J1037" s="146"/>
      <c r="L1037" s="151"/>
    </row>
    <row r="1038" spans="1:12" s="111" customFormat="1" ht="12" customHeight="1" x14ac:dyDescent="0.2">
      <c r="A1038" s="133"/>
      <c r="B1038" s="135"/>
      <c r="C1038" s="136"/>
      <c r="D1038" s="134"/>
      <c r="E1038" s="139"/>
      <c r="F1038" s="144"/>
      <c r="G1038" s="146"/>
      <c r="H1038" s="149"/>
      <c r="I1038" s="149"/>
      <c r="J1038" s="146"/>
      <c r="L1038" s="151"/>
    </row>
    <row r="1039" spans="1:12" s="111" customFormat="1" ht="12" customHeight="1" x14ac:dyDescent="0.2">
      <c r="A1039" s="133"/>
      <c r="B1039" s="135"/>
      <c r="C1039" s="136"/>
      <c r="D1039" s="134"/>
      <c r="E1039" s="139"/>
      <c r="F1039" s="144"/>
      <c r="G1039" s="146"/>
      <c r="H1039" s="149"/>
      <c r="I1039" s="149"/>
      <c r="J1039" s="146"/>
      <c r="L1039" s="151"/>
    </row>
    <row r="1040" spans="1:12" s="111" customFormat="1" ht="12" customHeight="1" x14ac:dyDescent="0.2">
      <c r="A1040" s="133"/>
      <c r="B1040" s="135"/>
      <c r="C1040" s="136"/>
      <c r="D1040" s="134"/>
      <c r="E1040" s="139"/>
      <c r="F1040" s="144"/>
      <c r="G1040" s="146"/>
      <c r="H1040" s="149"/>
      <c r="I1040" s="149"/>
      <c r="J1040" s="146"/>
      <c r="L1040" s="151"/>
    </row>
    <row r="1041" spans="1:12" s="111" customFormat="1" ht="12" customHeight="1" x14ac:dyDescent="0.2">
      <c r="A1041" s="133"/>
      <c r="B1041" s="135"/>
      <c r="C1041" s="136"/>
      <c r="D1041" s="134"/>
      <c r="E1041" s="139"/>
      <c r="F1041" s="144"/>
      <c r="G1041" s="146"/>
      <c r="H1041" s="149"/>
      <c r="I1041" s="149"/>
      <c r="J1041" s="146"/>
      <c r="L1041" s="151"/>
    </row>
    <row r="1042" spans="1:12" s="111" customFormat="1" ht="12" customHeight="1" x14ac:dyDescent="0.2">
      <c r="A1042" s="133"/>
      <c r="B1042" s="135"/>
      <c r="C1042" s="136"/>
      <c r="D1042" s="134"/>
      <c r="E1042" s="139"/>
      <c r="F1042" s="144"/>
      <c r="G1042" s="146"/>
      <c r="H1042" s="149"/>
      <c r="I1042" s="149"/>
      <c r="J1042" s="146"/>
      <c r="L1042" s="151"/>
    </row>
    <row r="1043" spans="1:12" s="111" customFormat="1" ht="12" customHeight="1" x14ac:dyDescent="0.2">
      <c r="A1043" s="133"/>
      <c r="B1043" s="135"/>
      <c r="C1043" s="136"/>
      <c r="D1043" s="134"/>
      <c r="E1043" s="139"/>
      <c r="F1043" s="144"/>
      <c r="G1043" s="146"/>
      <c r="H1043" s="149"/>
      <c r="I1043" s="149"/>
      <c r="J1043" s="146"/>
      <c r="L1043" s="151"/>
    </row>
    <row r="1044" spans="1:12" s="111" customFormat="1" ht="12" customHeight="1" x14ac:dyDescent="0.2">
      <c r="A1044" s="133"/>
      <c r="B1044" s="135"/>
      <c r="C1044" s="136"/>
      <c r="D1044" s="134"/>
      <c r="E1044" s="139"/>
      <c r="F1044" s="144"/>
      <c r="G1044" s="146"/>
      <c r="H1044" s="149"/>
      <c r="I1044" s="149"/>
      <c r="J1044" s="146"/>
      <c r="L1044" s="151"/>
    </row>
    <row r="1045" spans="1:12" s="111" customFormat="1" ht="12" customHeight="1" x14ac:dyDescent="0.2">
      <c r="A1045" s="133"/>
      <c r="B1045" s="135"/>
      <c r="C1045" s="136"/>
      <c r="D1045" s="134"/>
      <c r="E1045" s="139"/>
      <c r="F1045" s="144"/>
      <c r="G1045" s="146"/>
      <c r="H1045" s="149"/>
      <c r="I1045" s="149"/>
      <c r="J1045" s="146"/>
      <c r="L1045" s="151"/>
    </row>
    <row r="1046" spans="1:12" s="111" customFormat="1" ht="12" customHeight="1" x14ac:dyDescent="0.2">
      <c r="A1046" s="133"/>
      <c r="B1046" s="135"/>
      <c r="C1046" s="136"/>
      <c r="D1046" s="134"/>
      <c r="E1046" s="139"/>
      <c r="F1046" s="144"/>
      <c r="G1046" s="146"/>
      <c r="H1046" s="149"/>
      <c r="I1046" s="149"/>
      <c r="J1046" s="146"/>
      <c r="L1046" s="151"/>
    </row>
    <row r="1047" spans="1:12" s="111" customFormat="1" ht="12" customHeight="1" x14ac:dyDescent="0.2">
      <c r="A1047" s="133"/>
      <c r="B1047" s="135"/>
      <c r="C1047" s="136"/>
      <c r="D1047" s="134"/>
      <c r="E1047" s="139"/>
      <c r="F1047" s="144"/>
      <c r="G1047" s="146"/>
      <c r="H1047" s="149"/>
      <c r="I1047" s="149"/>
      <c r="J1047" s="146"/>
      <c r="L1047" s="151"/>
    </row>
    <row r="1048" spans="1:12" s="111" customFormat="1" ht="12" customHeight="1" x14ac:dyDescent="0.2">
      <c r="A1048" s="133"/>
      <c r="B1048" s="135"/>
      <c r="C1048" s="136"/>
      <c r="D1048" s="134"/>
      <c r="E1048" s="139"/>
      <c r="F1048" s="144"/>
      <c r="G1048" s="146"/>
      <c r="H1048" s="149"/>
      <c r="I1048" s="149"/>
      <c r="J1048" s="146"/>
      <c r="L1048" s="151"/>
    </row>
    <row r="1049" spans="1:12" s="111" customFormat="1" ht="12" customHeight="1" x14ac:dyDescent="0.2">
      <c r="A1049" s="133"/>
      <c r="B1049" s="135"/>
      <c r="C1049" s="136"/>
      <c r="D1049" s="134"/>
      <c r="E1049" s="139"/>
      <c r="F1049" s="144"/>
      <c r="G1049" s="146"/>
      <c r="H1049" s="149"/>
      <c r="I1049" s="149"/>
      <c r="J1049" s="146"/>
      <c r="L1049" s="151"/>
    </row>
    <row r="1050" spans="1:12" s="111" customFormat="1" ht="12" customHeight="1" x14ac:dyDescent="0.2">
      <c r="A1050" s="133"/>
      <c r="B1050" s="135"/>
      <c r="C1050" s="136"/>
      <c r="D1050" s="134"/>
      <c r="E1050" s="139"/>
      <c r="F1050" s="144"/>
      <c r="G1050" s="146"/>
      <c r="H1050" s="149"/>
      <c r="I1050" s="149"/>
      <c r="J1050" s="146"/>
      <c r="L1050" s="151"/>
    </row>
    <row r="1051" spans="1:12" s="111" customFormat="1" ht="12" customHeight="1" x14ac:dyDescent="0.2">
      <c r="A1051" s="133"/>
      <c r="B1051" s="135"/>
      <c r="C1051" s="136"/>
      <c r="D1051" s="134"/>
      <c r="E1051" s="139"/>
      <c r="F1051" s="144"/>
      <c r="G1051" s="146"/>
      <c r="H1051" s="149"/>
      <c r="I1051" s="149"/>
      <c r="J1051" s="146"/>
      <c r="L1051" s="151"/>
    </row>
    <row r="1052" spans="1:12" s="111" customFormat="1" ht="12" customHeight="1" x14ac:dyDescent="0.2">
      <c r="A1052" s="133"/>
      <c r="B1052" s="135"/>
      <c r="C1052" s="136"/>
      <c r="D1052" s="134"/>
      <c r="E1052" s="139"/>
      <c r="F1052" s="144"/>
      <c r="G1052" s="146"/>
      <c r="H1052" s="149"/>
      <c r="I1052" s="149"/>
      <c r="J1052" s="146"/>
      <c r="L1052" s="151"/>
    </row>
    <row r="1053" spans="1:12" s="111" customFormat="1" ht="12" customHeight="1" x14ac:dyDescent="0.2">
      <c r="A1053" s="133"/>
      <c r="B1053" s="135"/>
      <c r="C1053" s="136"/>
      <c r="D1053" s="134"/>
      <c r="E1053" s="139"/>
      <c r="F1053" s="144"/>
      <c r="G1053" s="146"/>
      <c r="H1053" s="149"/>
      <c r="I1053" s="149"/>
      <c r="J1053" s="146"/>
      <c r="L1053" s="151"/>
    </row>
    <row r="1054" spans="1:12" s="111" customFormat="1" ht="12" customHeight="1" x14ac:dyDescent="0.2">
      <c r="A1054" s="133"/>
      <c r="B1054" s="135"/>
      <c r="C1054" s="136"/>
      <c r="D1054" s="134"/>
      <c r="E1054" s="139"/>
      <c r="F1054" s="144"/>
      <c r="G1054" s="146"/>
      <c r="H1054" s="149"/>
      <c r="I1054" s="149"/>
      <c r="J1054" s="146"/>
      <c r="L1054" s="151"/>
    </row>
    <row r="1055" spans="1:12" s="111" customFormat="1" ht="12" customHeight="1" x14ac:dyDescent="0.2">
      <c r="A1055" s="133"/>
      <c r="B1055" s="135"/>
      <c r="C1055" s="136"/>
      <c r="D1055" s="134"/>
      <c r="E1055" s="139"/>
      <c r="F1055" s="144"/>
      <c r="G1055" s="146"/>
      <c r="H1055" s="149"/>
      <c r="I1055" s="149"/>
      <c r="J1055" s="146"/>
      <c r="L1055" s="151"/>
    </row>
    <row r="1056" spans="1:12" s="111" customFormat="1" ht="12" customHeight="1" x14ac:dyDescent="0.2">
      <c r="A1056" s="133"/>
      <c r="B1056" s="135"/>
      <c r="C1056" s="136"/>
      <c r="D1056" s="134"/>
      <c r="E1056" s="139"/>
      <c r="F1056" s="144"/>
      <c r="G1056" s="146"/>
      <c r="H1056" s="149"/>
      <c r="I1056" s="149"/>
      <c r="J1056" s="146"/>
      <c r="L1056" s="151"/>
    </row>
    <row r="1057" spans="1:12" s="111" customFormat="1" ht="12" customHeight="1" x14ac:dyDescent="0.2">
      <c r="A1057" s="133"/>
      <c r="B1057" s="135"/>
      <c r="C1057" s="136"/>
      <c r="D1057" s="134"/>
      <c r="E1057" s="139"/>
      <c r="F1057" s="144"/>
      <c r="G1057" s="146"/>
      <c r="H1057" s="149"/>
      <c r="I1057" s="149"/>
      <c r="J1057" s="146"/>
      <c r="L1057" s="151"/>
    </row>
    <row r="1058" spans="1:12" s="111" customFormat="1" ht="12" customHeight="1" x14ac:dyDescent="0.2">
      <c r="A1058" s="133"/>
      <c r="B1058" s="135"/>
      <c r="C1058" s="136"/>
      <c r="D1058" s="134"/>
      <c r="E1058" s="139"/>
      <c r="F1058" s="144"/>
      <c r="G1058" s="146"/>
      <c r="H1058" s="149"/>
      <c r="I1058" s="149"/>
      <c r="J1058" s="146"/>
      <c r="L1058" s="151"/>
    </row>
    <row r="1059" spans="1:12" s="111" customFormat="1" ht="12" customHeight="1" x14ac:dyDescent="0.2">
      <c r="A1059" s="133"/>
      <c r="B1059" s="135"/>
      <c r="C1059" s="136"/>
      <c r="D1059" s="134"/>
      <c r="E1059" s="139"/>
      <c r="F1059" s="144"/>
      <c r="G1059" s="146"/>
      <c r="H1059" s="149"/>
      <c r="I1059" s="149"/>
      <c r="J1059" s="146"/>
      <c r="L1059" s="151"/>
    </row>
    <row r="1060" spans="1:12" s="111" customFormat="1" ht="12" customHeight="1" x14ac:dyDescent="0.2">
      <c r="A1060" s="133"/>
      <c r="B1060" s="135"/>
      <c r="C1060" s="136"/>
      <c r="D1060" s="134"/>
      <c r="E1060" s="139"/>
      <c r="F1060" s="144"/>
      <c r="G1060" s="146"/>
      <c r="H1060" s="149"/>
      <c r="I1060" s="149"/>
      <c r="J1060" s="146"/>
      <c r="L1060" s="151"/>
    </row>
    <row r="1061" spans="1:12" s="111" customFormat="1" ht="12" customHeight="1" x14ac:dyDescent="0.2">
      <c r="A1061" s="133"/>
      <c r="B1061" s="135"/>
      <c r="C1061" s="136"/>
      <c r="D1061" s="134"/>
      <c r="E1061" s="139"/>
      <c r="F1061" s="144"/>
      <c r="G1061" s="146"/>
      <c r="H1061" s="149"/>
      <c r="I1061" s="149"/>
      <c r="J1061" s="146"/>
      <c r="L1061" s="151"/>
    </row>
    <row r="1062" spans="1:12" s="111" customFormat="1" ht="12" customHeight="1" x14ac:dyDescent="0.2">
      <c r="A1062" s="133"/>
      <c r="B1062" s="135"/>
      <c r="C1062" s="136"/>
      <c r="D1062" s="134"/>
      <c r="E1062" s="139"/>
      <c r="F1062" s="144"/>
      <c r="G1062" s="146"/>
      <c r="H1062" s="149"/>
      <c r="I1062" s="149"/>
      <c r="J1062" s="146"/>
      <c r="L1062" s="151"/>
    </row>
    <row r="1063" spans="1:12" s="111" customFormat="1" ht="12" customHeight="1" x14ac:dyDescent="0.2">
      <c r="A1063" s="133"/>
      <c r="B1063" s="135"/>
      <c r="C1063" s="136"/>
      <c r="D1063" s="134"/>
      <c r="E1063" s="139"/>
      <c r="F1063" s="144"/>
      <c r="G1063" s="146"/>
      <c r="H1063" s="149"/>
      <c r="I1063" s="149"/>
      <c r="J1063" s="146"/>
      <c r="L1063" s="151"/>
    </row>
    <row r="1064" spans="1:12" s="111" customFormat="1" ht="12" customHeight="1" x14ac:dyDescent="0.2">
      <c r="A1064" s="133"/>
      <c r="B1064" s="135"/>
      <c r="C1064" s="136"/>
      <c r="D1064" s="134"/>
      <c r="E1064" s="139"/>
      <c r="F1064" s="144"/>
      <c r="G1064" s="146"/>
      <c r="H1064" s="149"/>
      <c r="I1064" s="149"/>
      <c r="J1064" s="146"/>
      <c r="L1064" s="151"/>
    </row>
    <row r="1065" spans="1:12" s="111" customFormat="1" ht="12" customHeight="1" x14ac:dyDescent="0.2">
      <c r="A1065" s="133"/>
      <c r="B1065" s="135"/>
      <c r="C1065" s="136"/>
      <c r="D1065" s="134"/>
      <c r="E1065" s="139"/>
      <c r="F1065" s="144"/>
      <c r="G1065" s="146"/>
      <c r="H1065" s="149"/>
      <c r="I1065" s="149"/>
      <c r="J1065" s="146"/>
      <c r="L1065" s="151"/>
    </row>
    <row r="1066" spans="1:12" s="111" customFormat="1" ht="12" customHeight="1" x14ac:dyDescent="0.2">
      <c r="A1066" s="133"/>
      <c r="B1066" s="135"/>
      <c r="C1066" s="136"/>
      <c r="D1066" s="134"/>
      <c r="E1066" s="139"/>
      <c r="F1066" s="144"/>
      <c r="G1066" s="146"/>
      <c r="H1066" s="149"/>
      <c r="I1066" s="149"/>
      <c r="J1066" s="146"/>
      <c r="L1066" s="151"/>
    </row>
    <row r="1067" spans="1:12" s="111" customFormat="1" ht="12" customHeight="1" x14ac:dyDescent="0.2">
      <c r="A1067" s="133"/>
      <c r="B1067" s="135"/>
      <c r="C1067" s="136"/>
      <c r="D1067" s="134"/>
      <c r="E1067" s="139"/>
      <c r="F1067" s="144"/>
      <c r="G1067" s="146"/>
      <c r="H1067" s="149"/>
      <c r="I1067" s="149"/>
      <c r="J1067" s="146"/>
      <c r="L1067" s="151"/>
    </row>
    <row r="1068" spans="1:12" s="111" customFormat="1" ht="12" customHeight="1" x14ac:dyDescent="0.2">
      <c r="A1068" s="133"/>
      <c r="B1068" s="135"/>
      <c r="C1068" s="136"/>
      <c r="D1068" s="134"/>
      <c r="E1068" s="139"/>
      <c r="F1068" s="144"/>
      <c r="G1068" s="146"/>
      <c r="H1068" s="149"/>
      <c r="I1068" s="149"/>
      <c r="J1068" s="146"/>
      <c r="L1068" s="151"/>
    </row>
    <row r="1069" spans="1:12" s="111" customFormat="1" ht="12" customHeight="1" x14ac:dyDescent="0.2">
      <c r="A1069" s="133"/>
      <c r="B1069" s="135"/>
      <c r="C1069" s="136"/>
      <c r="D1069" s="134"/>
      <c r="E1069" s="139"/>
      <c r="F1069" s="144"/>
      <c r="G1069" s="146"/>
      <c r="H1069" s="149"/>
      <c r="I1069" s="149"/>
      <c r="J1069" s="146"/>
      <c r="L1069" s="151"/>
    </row>
    <row r="1070" spans="1:12" s="111" customFormat="1" ht="12" customHeight="1" x14ac:dyDescent="0.2">
      <c r="A1070" s="133"/>
      <c r="B1070" s="135"/>
      <c r="C1070" s="136"/>
      <c r="D1070" s="134"/>
      <c r="E1070" s="139"/>
      <c r="F1070" s="144"/>
      <c r="G1070" s="146"/>
      <c r="H1070" s="149"/>
      <c r="I1070" s="149"/>
      <c r="J1070" s="146"/>
      <c r="L1070" s="151"/>
    </row>
    <row r="1071" spans="1:12" s="111" customFormat="1" ht="12" customHeight="1" x14ac:dyDescent="0.2">
      <c r="A1071" s="133"/>
      <c r="B1071" s="135"/>
      <c r="C1071" s="136"/>
      <c r="D1071" s="134"/>
      <c r="E1071" s="139"/>
      <c r="F1071" s="144"/>
      <c r="G1071" s="146"/>
      <c r="H1071" s="149"/>
      <c r="I1071" s="149"/>
      <c r="J1071" s="146"/>
      <c r="L1071" s="151"/>
    </row>
    <row r="1072" spans="1:12" s="111" customFormat="1" ht="12" customHeight="1" x14ac:dyDescent="0.2">
      <c r="A1072" s="133"/>
      <c r="B1072" s="135"/>
      <c r="C1072" s="136"/>
      <c r="D1072" s="134"/>
      <c r="E1072" s="139"/>
      <c r="F1072" s="144"/>
      <c r="G1072" s="146"/>
      <c r="H1072" s="149"/>
      <c r="I1072" s="149"/>
      <c r="J1072" s="146"/>
      <c r="L1072" s="151"/>
    </row>
    <row r="1073" spans="1:12" s="111" customFormat="1" ht="12" customHeight="1" x14ac:dyDescent="0.2">
      <c r="A1073" s="133"/>
      <c r="B1073" s="135"/>
      <c r="C1073" s="136"/>
      <c r="D1073" s="134"/>
      <c r="E1073" s="139"/>
      <c r="F1073" s="144"/>
      <c r="G1073" s="146"/>
      <c r="H1073" s="149"/>
      <c r="I1073" s="149"/>
      <c r="J1073" s="146"/>
      <c r="L1073" s="151"/>
    </row>
    <row r="1074" spans="1:12" s="111" customFormat="1" ht="12" customHeight="1" x14ac:dyDescent="0.2">
      <c r="A1074" s="133"/>
      <c r="B1074" s="135"/>
      <c r="C1074" s="136"/>
      <c r="D1074" s="134"/>
      <c r="E1074" s="139"/>
      <c r="F1074" s="144"/>
      <c r="G1074" s="146"/>
      <c r="H1074" s="149"/>
      <c r="I1074" s="149"/>
      <c r="J1074" s="146"/>
      <c r="L1074" s="151"/>
    </row>
    <row r="1075" spans="1:12" s="111" customFormat="1" ht="12" customHeight="1" x14ac:dyDescent="0.2">
      <c r="A1075" s="133"/>
      <c r="B1075" s="135"/>
      <c r="C1075" s="136"/>
      <c r="D1075" s="134"/>
      <c r="E1075" s="139"/>
      <c r="F1075" s="144"/>
      <c r="G1075" s="146"/>
      <c r="H1075" s="149"/>
      <c r="I1075" s="149"/>
      <c r="J1075" s="146"/>
      <c r="L1075" s="151"/>
    </row>
    <row r="1076" spans="1:12" s="111" customFormat="1" ht="12" customHeight="1" x14ac:dyDescent="0.2">
      <c r="A1076" s="133"/>
      <c r="B1076" s="135"/>
      <c r="C1076" s="136"/>
      <c r="D1076" s="134"/>
      <c r="E1076" s="139"/>
      <c r="F1076" s="144"/>
      <c r="G1076" s="146"/>
      <c r="H1076" s="149"/>
      <c r="I1076" s="149"/>
      <c r="J1076" s="146"/>
      <c r="L1076" s="151"/>
    </row>
    <row r="1077" spans="1:12" s="111" customFormat="1" ht="12" customHeight="1" x14ac:dyDescent="0.2">
      <c r="A1077" s="133"/>
      <c r="B1077" s="135"/>
      <c r="C1077" s="136"/>
      <c r="D1077" s="134"/>
      <c r="E1077" s="139"/>
      <c r="F1077" s="144"/>
      <c r="G1077" s="146"/>
      <c r="H1077" s="149"/>
      <c r="I1077" s="149"/>
      <c r="J1077" s="146"/>
      <c r="L1077" s="151"/>
    </row>
    <row r="1078" spans="1:12" s="111" customFormat="1" ht="12" customHeight="1" x14ac:dyDescent="0.2">
      <c r="A1078" s="133"/>
      <c r="B1078" s="135"/>
      <c r="C1078" s="136"/>
      <c r="D1078" s="134"/>
      <c r="E1078" s="139"/>
      <c r="F1078" s="144"/>
      <c r="G1078" s="146"/>
      <c r="H1078" s="149"/>
      <c r="I1078" s="149"/>
      <c r="J1078" s="146"/>
      <c r="L1078" s="151"/>
    </row>
    <row r="1079" spans="1:12" s="111" customFormat="1" ht="12" customHeight="1" x14ac:dyDescent="0.2">
      <c r="A1079" s="133"/>
      <c r="B1079" s="135"/>
      <c r="C1079" s="136"/>
      <c r="D1079" s="134"/>
      <c r="E1079" s="139"/>
      <c r="F1079" s="144"/>
      <c r="G1079" s="146"/>
      <c r="H1079" s="149"/>
      <c r="I1079" s="149"/>
      <c r="J1079" s="146"/>
      <c r="L1079" s="151"/>
    </row>
    <row r="1080" spans="1:12" s="111" customFormat="1" ht="12" customHeight="1" x14ac:dyDescent="0.2">
      <c r="A1080" s="133"/>
      <c r="B1080" s="135"/>
      <c r="C1080" s="136"/>
      <c r="D1080" s="134"/>
      <c r="E1080" s="139"/>
      <c r="F1080" s="144"/>
      <c r="G1080" s="146"/>
      <c r="H1080" s="149"/>
      <c r="I1080" s="149"/>
      <c r="J1080" s="146"/>
      <c r="L1080" s="151"/>
    </row>
    <row r="1081" spans="1:12" s="111" customFormat="1" ht="12" customHeight="1" x14ac:dyDescent="0.2">
      <c r="A1081" s="133"/>
      <c r="B1081" s="135"/>
      <c r="C1081" s="136"/>
      <c r="D1081" s="134"/>
      <c r="E1081" s="139"/>
      <c r="F1081" s="144"/>
      <c r="G1081" s="146"/>
      <c r="H1081" s="149"/>
      <c r="I1081" s="149"/>
      <c r="J1081" s="146"/>
      <c r="L1081" s="151"/>
    </row>
    <row r="1082" spans="1:12" s="111" customFormat="1" ht="12" customHeight="1" x14ac:dyDescent="0.2">
      <c r="A1082" s="133"/>
      <c r="B1082" s="135"/>
      <c r="C1082" s="136"/>
      <c r="D1082" s="134"/>
      <c r="E1082" s="139"/>
      <c r="F1082" s="144"/>
      <c r="G1082" s="146"/>
      <c r="H1082" s="149"/>
      <c r="I1082" s="149"/>
      <c r="J1082" s="146"/>
      <c r="L1082" s="151"/>
    </row>
    <row r="1083" spans="1:12" s="111" customFormat="1" ht="12" customHeight="1" x14ac:dyDescent="0.2">
      <c r="A1083" s="133"/>
      <c r="B1083" s="135"/>
      <c r="C1083" s="136"/>
      <c r="D1083" s="134"/>
      <c r="E1083" s="139"/>
      <c r="F1083" s="144"/>
      <c r="G1083" s="146"/>
      <c r="H1083" s="149"/>
      <c r="I1083" s="149"/>
      <c r="J1083" s="146"/>
      <c r="L1083" s="151"/>
    </row>
    <row r="1084" spans="1:12" s="111" customFormat="1" ht="12" customHeight="1" x14ac:dyDescent="0.2">
      <c r="A1084" s="133"/>
      <c r="B1084" s="135"/>
      <c r="C1084" s="136"/>
      <c r="D1084" s="134"/>
      <c r="E1084" s="139"/>
      <c r="F1084" s="144"/>
      <c r="G1084" s="146"/>
      <c r="H1084" s="149"/>
      <c r="I1084" s="149"/>
      <c r="J1084" s="146"/>
      <c r="L1084" s="151"/>
    </row>
    <row r="1085" spans="1:12" s="111" customFormat="1" ht="12" customHeight="1" x14ac:dyDescent="0.2">
      <c r="A1085" s="133"/>
      <c r="B1085" s="135"/>
      <c r="C1085" s="136"/>
      <c r="D1085" s="134"/>
      <c r="E1085" s="139"/>
      <c r="F1085" s="144"/>
      <c r="G1085" s="146"/>
      <c r="H1085" s="149"/>
      <c r="I1085" s="149"/>
      <c r="J1085" s="146"/>
      <c r="L1085" s="151"/>
    </row>
    <row r="1086" spans="1:12" s="111" customFormat="1" ht="12" customHeight="1" x14ac:dyDescent="0.2">
      <c r="A1086" s="133"/>
      <c r="B1086" s="135"/>
      <c r="C1086" s="136"/>
      <c r="D1086" s="134"/>
      <c r="E1086" s="139"/>
      <c r="F1086" s="144"/>
      <c r="G1086" s="146"/>
      <c r="H1086" s="149"/>
      <c r="I1086" s="149"/>
      <c r="J1086" s="146"/>
      <c r="L1086" s="151"/>
    </row>
    <row r="1087" spans="1:12" s="111" customFormat="1" ht="12" customHeight="1" x14ac:dyDescent="0.2">
      <c r="A1087" s="133"/>
      <c r="B1087" s="135"/>
      <c r="C1087" s="136"/>
      <c r="D1087" s="134"/>
      <c r="E1087" s="139"/>
      <c r="F1087" s="144"/>
      <c r="G1087" s="146"/>
      <c r="H1087" s="149"/>
      <c r="I1087" s="149"/>
      <c r="J1087" s="146"/>
      <c r="L1087" s="151"/>
    </row>
    <row r="1088" spans="1:12" s="111" customFormat="1" ht="12" customHeight="1" x14ac:dyDescent="0.2">
      <c r="A1088" s="133"/>
      <c r="B1088" s="135"/>
      <c r="C1088" s="136"/>
      <c r="D1088" s="134"/>
      <c r="E1088" s="139"/>
      <c r="F1088" s="144"/>
      <c r="G1088" s="146"/>
      <c r="H1088" s="149"/>
      <c r="I1088" s="149"/>
      <c r="J1088" s="146"/>
      <c r="L1088" s="151"/>
    </row>
    <row r="1089" spans="1:12" s="111" customFormat="1" ht="12" customHeight="1" x14ac:dyDescent="0.2">
      <c r="A1089" s="133"/>
      <c r="B1089" s="135"/>
      <c r="C1089" s="136"/>
      <c r="D1089" s="134"/>
      <c r="E1089" s="139"/>
      <c r="F1089" s="144"/>
      <c r="G1089" s="146"/>
      <c r="H1089" s="149"/>
      <c r="I1089" s="149"/>
      <c r="J1089" s="146"/>
      <c r="L1089" s="151"/>
    </row>
    <row r="1090" spans="1:12" s="111" customFormat="1" ht="12" customHeight="1" x14ac:dyDescent="0.2">
      <c r="A1090" s="133"/>
      <c r="B1090" s="135"/>
      <c r="C1090" s="136"/>
      <c r="D1090" s="134"/>
      <c r="E1090" s="139"/>
      <c r="F1090" s="144"/>
      <c r="G1090" s="146"/>
      <c r="H1090" s="149"/>
      <c r="I1090" s="149"/>
      <c r="J1090" s="146"/>
      <c r="L1090" s="151"/>
    </row>
    <row r="1091" spans="1:12" s="111" customFormat="1" ht="12" customHeight="1" x14ac:dyDescent="0.2">
      <c r="A1091" s="133"/>
      <c r="B1091" s="135"/>
      <c r="C1091" s="136"/>
      <c r="D1091" s="134"/>
      <c r="E1091" s="139"/>
      <c r="F1091" s="144"/>
      <c r="G1091" s="146"/>
      <c r="H1091" s="149"/>
      <c r="I1091" s="149"/>
      <c r="J1091" s="146"/>
      <c r="L1091" s="151"/>
    </row>
    <row r="1092" spans="1:12" s="111" customFormat="1" ht="12" customHeight="1" x14ac:dyDescent="0.2">
      <c r="A1092" s="133"/>
      <c r="B1092" s="135"/>
      <c r="C1092" s="136"/>
      <c r="D1092" s="134"/>
      <c r="E1092" s="139"/>
      <c r="F1092" s="144"/>
      <c r="G1092" s="146"/>
      <c r="H1092" s="149"/>
      <c r="I1092" s="149"/>
      <c r="J1092" s="146"/>
      <c r="L1092" s="151"/>
    </row>
    <row r="1093" spans="1:12" s="111" customFormat="1" ht="12" customHeight="1" x14ac:dyDescent="0.2">
      <c r="A1093" s="133"/>
      <c r="B1093" s="135"/>
      <c r="C1093" s="136"/>
      <c r="D1093" s="134"/>
      <c r="E1093" s="139"/>
      <c r="F1093" s="144"/>
      <c r="G1093" s="146"/>
      <c r="H1093" s="149"/>
      <c r="I1093" s="149"/>
      <c r="J1093" s="146"/>
      <c r="L1093" s="151"/>
    </row>
    <row r="1094" spans="1:12" s="111" customFormat="1" ht="12" customHeight="1" x14ac:dyDescent="0.2">
      <c r="A1094" s="133"/>
      <c r="B1094" s="135"/>
      <c r="C1094" s="136"/>
      <c r="D1094" s="134"/>
      <c r="E1094" s="139"/>
      <c r="F1094" s="144"/>
      <c r="G1094" s="146"/>
      <c r="H1094" s="149"/>
      <c r="I1094" s="149"/>
      <c r="J1094" s="146"/>
      <c r="L1094" s="151"/>
    </row>
    <row r="1095" spans="1:12" s="111" customFormat="1" ht="12" customHeight="1" x14ac:dyDescent="0.2">
      <c r="A1095" s="133"/>
      <c r="B1095" s="135"/>
      <c r="C1095" s="136"/>
      <c r="D1095" s="134"/>
      <c r="E1095" s="139"/>
      <c r="F1095" s="144"/>
      <c r="G1095" s="146"/>
      <c r="H1095" s="149"/>
      <c r="I1095" s="149"/>
      <c r="J1095" s="146"/>
      <c r="L1095" s="151"/>
    </row>
    <row r="1096" spans="1:12" s="111" customFormat="1" ht="12" customHeight="1" x14ac:dyDescent="0.2">
      <c r="A1096" s="133"/>
      <c r="B1096" s="135"/>
      <c r="C1096" s="136"/>
      <c r="D1096" s="134"/>
      <c r="E1096" s="139"/>
      <c r="F1096" s="144"/>
      <c r="G1096" s="146"/>
      <c r="H1096" s="149"/>
      <c r="I1096" s="149"/>
      <c r="J1096" s="146"/>
      <c r="L1096" s="151"/>
    </row>
    <row r="1097" spans="1:12" s="111" customFormat="1" ht="12" customHeight="1" x14ac:dyDescent="0.2">
      <c r="A1097" s="133"/>
      <c r="B1097" s="135"/>
      <c r="C1097" s="136"/>
      <c r="D1097" s="134"/>
      <c r="E1097" s="139"/>
      <c r="F1097" s="144"/>
      <c r="G1097" s="146"/>
      <c r="H1097" s="149"/>
      <c r="I1097" s="149"/>
      <c r="J1097" s="146"/>
      <c r="L1097" s="151"/>
    </row>
    <row r="1098" spans="1:12" s="111" customFormat="1" ht="12" customHeight="1" x14ac:dyDescent="0.2">
      <c r="A1098" s="133"/>
      <c r="B1098" s="135"/>
      <c r="C1098" s="136"/>
      <c r="D1098" s="134"/>
      <c r="E1098" s="139"/>
      <c r="F1098" s="144"/>
      <c r="G1098" s="146"/>
      <c r="H1098" s="149"/>
      <c r="I1098" s="149"/>
      <c r="J1098" s="146"/>
      <c r="L1098" s="151"/>
    </row>
    <row r="1099" spans="1:12" s="111" customFormat="1" ht="12" customHeight="1" x14ac:dyDescent="0.2">
      <c r="A1099" s="133"/>
      <c r="B1099" s="135"/>
      <c r="C1099" s="136"/>
      <c r="D1099" s="134"/>
      <c r="E1099" s="139"/>
      <c r="F1099" s="144"/>
      <c r="G1099" s="146"/>
      <c r="H1099" s="149"/>
      <c r="I1099" s="149"/>
      <c r="J1099" s="146"/>
      <c r="L1099" s="151"/>
    </row>
    <row r="1100" spans="1:12" s="111" customFormat="1" ht="12" customHeight="1" x14ac:dyDescent="0.2">
      <c r="A1100" s="133"/>
      <c r="B1100" s="135"/>
      <c r="C1100" s="136"/>
      <c r="D1100" s="134"/>
      <c r="E1100" s="139"/>
      <c r="F1100" s="144"/>
      <c r="G1100" s="146"/>
      <c r="H1100" s="149"/>
      <c r="I1100" s="149"/>
      <c r="J1100" s="146"/>
      <c r="L1100" s="151"/>
    </row>
    <row r="1101" spans="1:12" s="111" customFormat="1" ht="12" customHeight="1" x14ac:dyDescent="0.2">
      <c r="A1101" s="133"/>
      <c r="B1101" s="135"/>
      <c r="C1101" s="136"/>
      <c r="D1101" s="134"/>
      <c r="E1101" s="139"/>
      <c r="F1101" s="144"/>
      <c r="G1101" s="146"/>
      <c r="H1101" s="149"/>
      <c r="I1101" s="149"/>
      <c r="J1101" s="146"/>
      <c r="L1101" s="151"/>
    </row>
    <row r="1102" spans="1:12" s="111" customFormat="1" ht="12" customHeight="1" x14ac:dyDescent="0.2">
      <c r="A1102" s="133"/>
      <c r="B1102" s="135"/>
      <c r="C1102" s="136"/>
      <c r="D1102" s="134"/>
      <c r="E1102" s="139"/>
      <c r="F1102" s="144"/>
      <c r="G1102" s="146"/>
      <c r="H1102" s="149"/>
      <c r="I1102" s="149"/>
      <c r="J1102" s="146"/>
      <c r="L1102" s="151"/>
    </row>
    <row r="1103" spans="1:12" s="111" customFormat="1" ht="12" customHeight="1" x14ac:dyDescent="0.2">
      <c r="A1103" s="133"/>
      <c r="B1103" s="135"/>
      <c r="C1103" s="136"/>
      <c r="D1103" s="134"/>
      <c r="E1103" s="139"/>
      <c r="F1103" s="144"/>
      <c r="G1103" s="146"/>
      <c r="H1103" s="149"/>
      <c r="I1103" s="149"/>
      <c r="J1103" s="146"/>
      <c r="L1103" s="151"/>
    </row>
    <row r="1104" spans="1:12" s="111" customFormat="1" ht="12" customHeight="1" x14ac:dyDescent="0.2">
      <c r="A1104" s="133"/>
      <c r="B1104" s="135"/>
      <c r="C1104" s="136"/>
      <c r="D1104" s="134"/>
      <c r="E1104" s="139"/>
      <c r="F1104" s="144"/>
      <c r="G1104" s="146"/>
      <c r="H1104" s="149"/>
      <c r="I1104" s="149"/>
      <c r="J1104" s="146"/>
      <c r="L1104" s="151"/>
    </row>
    <row r="1105" spans="1:12" s="111" customFormat="1" ht="12" customHeight="1" x14ac:dyDescent="0.2">
      <c r="A1105" s="133"/>
      <c r="B1105" s="135"/>
      <c r="C1105" s="136"/>
      <c r="D1105" s="134"/>
      <c r="E1105" s="139"/>
      <c r="F1105" s="144"/>
      <c r="G1105" s="146"/>
      <c r="H1105" s="149"/>
      <c r="I1105" s="149"/>
      <c r="J1105" s="146"/>
      <c r="L1105" s="151"/>
    </row>
    <row r="1106" spans="1:12" s="111" customFormat="1" ht="12" customHeight="1" x14ac:dyDescent="0.2">
      <c r="A1106" s="133"/>
      <c r="B1106" s="135"/>
      <c r="C1106" s="136"/>
      <c r="D1106" s="134"/>
      <c r="E1106" s="139"/>
      <c r="F1106" s="144"/>
      <c r="G1106" s="146"/>
      <c r="H1106" s="149"/>
      <c r="I1106" s="149"/>
      <c r="J1106" s="146"/>
      <c r="L1106" s="151"/>
    </row>
    <row r="1107" spans="1:12" s="111" customFormat="1" ht="12" customHeight="1" x14ac:dyDescent="0.2">
      <c r="A1107" s="133"/>
      <c r="B1107" s="135"/>
      <c r="C1107" s="136"/>
      <c r="D1107" s="134"/>
      <c r="E1107" s="139"/>
      <c r="F1107" s="144"/>
      <c r="G1107" s="146"/>
      <c r="H1107" s="149"/>
      <c r="I1107" s="149"/>
      <c r="J1107" s="146"/>
      <c r="L1107" s="151"/>
    </row>
    <row r="1108" spans="1:12" s="111" customFormat="1" ht="12" customHeight="1" x14ac:dyDescent="0.2">
      <c r="A1108" s="133"/>
      <c r="B1108" s="135"/>
      <c r="C1108" s="136"/>
      <c r="D1108" s="134"/>
      <c r="E1108" s="139"/>
      <c r="F1108" s="144"/>
      <c r="G1108" s="146"/>
      <c r="H1108" s="149"/>
      <c r="I1108" s="149"/>
      <c r="J1108" s="146"/>
      <c r="L1108" s="151"/>
    </row>
    <row r="1109" spans="1:12" s="111" customFormat="1" ht="12" customHeight="1" x14ac:dyDescent="0.2">
      <c r="A1109" s="133"/>
      <c r="B1109" s="135"/>
      <c r="C1109" s="136"/>
      <c r="D1109" s="134"/>
      <c r="E1109" s="139"/>
      <c r="F1109" s="144"/>
      <c r="G1109" s="146"/>
      <c r="H1109" s="149"/>
      <c r="I1109" s="149"/>
      <c r="J1109" s="146"/>
      <c r="L1109" s="151"/>
    </row>
    <row r="1110" spans="1:12" s="111" customFormat="1" ht="12" customHeight="1" x14ac:dyDescent="0.2">
      <c r="A1110" s="133"/>
      <c r="B1110" s="135"/>
      <c r="C1110" s="136"/>
      <c r="D1110" s="134"/>
      <c r="E1110" s="139"/>
      <c r="F1110" s="144"/>
      <c r="G1110" s="146"/>
      <c r="H1110" s="149"/>
      <c r="I1110" s="149"/>
      <c r="J1110" s="146"/>
      <c r="L1110" s="151"/>
    </row>
    <row r="1111" spans="1:12" s="111" customFormat="1" ht="12" customHeight="1" x14ac:dyDescent="0.2">
      <c r="A1111" s="133"/>
      <c r="B1111" s="135"/>
      <c r="C1111" s="136"/>
      <c r="D1111" s="134"/>
      <c r="E1111" s="139"/>
      <c r="F1111" s="144"/>
      <c r="G1111" s="146"/>
      <c r="H1111" s="149"/>
      <c r="I1111" s="149"/>
      <c r="J1111" s="146"/>
      <c r="L1111" s="151"/>
    </row>
    <row r="1112" spans="1:12" s="111" customFormat="1" ht="12" customHeight="1" x14ac:dyDescent="0.2">
      <c r="A1112" s="133"/>
      <c r="B1112" s="135"/>
      <c r="C1112" s="136"/>
      <c r="D1112" s="134"/>
      <c r="E1112" s="139"/>
      <c r="F1112" s="144"/>
      <c r="G1112" s="146"/>
      <c r="H1112" s="149"/>
      <c r="I1112" s="149"/>
      <c r="J1112" s="146"/>
      <c r="L1112" s="151"/>
    </row>
    <row r="1113" spans="1:12" s="111" customFormat="1" ht="12" customHeight="1" x14ac:dyDescent="0.2">
      <c r="A1113" s="133"/>
      <c r="B1113" s="135"/>
      <c r="C1113" s="136"/>
      <c r="D1113" s="134"/>
      <c r="E1113" s="139"/>
      <c r="F1113" s="144"/>
      <c r="G1113" s="146"/>
      <c r="H1113" s="149"/>
      <c r="I1113" s="149"/>
      <c r="J1113" s="146"/>
      <c r="L1113" s="151"/>
    </row>
    <row r="1114" spans="1:12" s="111" customFormat="1" ht="12" customHeight="1" x14ac:dyDescent="0.2">
      <c r="A1114" s="133"/>
      <c r="B1114" s="135"/>
      <c r="C1114" s="136"/>
      <c r="D1114" s="134"/>
      <c r="E1114" s="139"/>
      <c r="F1114" s="144"/>
      <c r="G1114" s="146"/>
      <c r="H1114" s="149"/>
      <c r="I1114" s="149"/>
      <c r="J1114" s="146"/>
      <c r="L1114" s="151"/>
    </row>
    <row r="1115" spans="1:12" s="111" customFormat="1" ht="12" customHeight="1" x14ac:dyDescent="0.2">
      <c r="A1115" s="133"/>
      <c r="B1115" s="135"/>
      <c r="C1115" s="136"/>
      <c r="D1115" s="134"/>
      <c r="E1115" s="139"/>
      <c r="F1115" s="144"/>
      <c r="G1115" s="146"/>
      <c r="H1115" s="149"/>
      <c r="I1115" s="149"/>
      <c r="J1115" s="146"/>
      <c r="L1115" s="151"/>
    </row>
    <row r="1116" spans="1:12" s="111" customFormat="1" ht="12" customHeight="1" x14ac:dyDescent="0.2">
      <c r="A1116" s="133"/>
      <c r="B1116" s="135"/>
      <c r="C1116" s="136"/>
      <c r="D1116" s="134"/>
      <c r="E1116" s="139"/>
      <c r="F1116" s="144"/>
      <c r="G1116" s="146"/>
      <c r="H1116" s="149"/>
      <c r="I1116" s="149"/>
      <c r="J1116" s="146"/>
      <c r="L1116" s="151"/>
    </row>
    <row r="1117" spans="1:12" s="111" customFormat="1" ht="12" customHeight="1" x14ac:dyDescent="0.2">
      <c r="A1117" s="133"/>
      <c r="B1117" s="135"/>
      <c r="C1117" s="136"/>
      <c r="D1117" s="134"/>
      <c r="E1117" s="139"/>
      <c r="F1117" s="144"/>
      <c r="G1117" s="146"/>
      <c r="H1117" s="149"/>
      <c r="I1117" s="149"/>
      <c r="J1117" s="146"/>
      <c r="L1117" s="151"/>
    </row>
    <row r="1118" spans="1:12" s="111" customFormat="1" ht="12" customHeight="1" x14ac:dyDescent="0.2">
      <c r="A1118" s="133"/>
      <c r="B1118" s="135"/>
      <c r="C1118" s="136"/>
      <c r="D1118" s="134"/>
      <c r="E1118" s="139"/>
      <c r="F1118" s="144"/>
      <c r="G1118" s="146"/>
      <c r="H1118" s="149"/>
      <c r="I1118" s="149"/>
      <c r="J1118" s="146"/>
      <c r="L1118" s="151"/>
    </row>
    <row r="1119" spans="1:12" s="111" customFormat="1" ht="12" customHeight="1" x14ac:dyDescent="0.2">
      <c r="A1119" s="133"/>
      <c r="B1119" s="135"/>
      <c r="C1119" s="136"/>
      <c r="D1119" s="134"/>
      <c r="E1119" s="139"/>
      <c r="F1119" s="144"/>
      <c r="G1119" s="146"/>
      <c r="H1119" s="149"/>
      <c r="I1119" s="149"/>
      <c r="J1119" s="146"/>
      <c r="L1119" s="151"/>
    </row>
    <row r="1120" spans="1:12" s="111" customFormat="1" ht="12" customHeight="1" x14ac:dyDescent="0.2">
      <c r="A1120" s="133"/>
      <c r="B1120" s="135"/>
      <c r="C1120" s="136"/>
      <c r="D1120" s="134"/>
      <c r="E1120" s="139"/>
      <c r="F1120" s="144"/>
      <c r="G1120" s="146"/>
      <c r="H1120" s="149"/>
      <c r="I1120" s="149"/>
      <c r="J1120" s="146"/>
      <c r="L1120" s="151"/>
    </row>
    <row r="1121" spans="1:12" s="111" customFormat="1" ht="12" customHeight="1" x14ac:dyDescent="0.2">
      <c r="A1121" s="133"/>
      <c r="B1121" s="135"/>
      <c r="C1121" s="136"/>
      <c r="D1121" s="134"/>
      <c r="E1121" s="139"/>
      <c r="F1121" s="144"/>
      <c r="G1121" s="146"/>
      <c r="H1121" s="149"/>
      <c r="I1121" s="149"/>
      <c r="J1121" s="146"/>
      <c r="L1121" s="151"/>
    </row>
    <row r="1122" spans="1:12" s="111" customFormat="1" ht="12" customHeight="1" x14ac:dyDescent="0.2">
      <c r="A1122" s="133"/>
      <c r="B1122" s="135"/>
      <c r="C1122" s="136"/>
      <c r="D1122" s="134"/>
      <c r="E1122" s="139"/>
      <c r="F1122" s="144"/>
      <c r="G1122" s="146"/>
      <c r="H1122" s="149"/>
      <c r="I1122" s="149"/>
      <c r="J1122" s="146"/>
      <c r="L1122" s="151"/>
    </row>
    <row r="1123" spans="1:12" s="111" customFormat="1" ht="12" customHeight="1" x14ac:dyDescent="0.2">
      <c r="A1123" s="133"/>
      <c r="B1123" s="135"/>
      <c r="C1123" s="136"/>
      <c r="D1123" s="134"/>
      <c r="E1123" s="139"/>
      <c r="F1123" s="144"/>
      <c r="G1123" s="146"/>
      <c r="H1123" s="149"/>
      <c r="I1123" s="149"/>
      <c r="J1123" s="146"/>
      <c r="L1123" s="151"/>
    </row>
    <row r="1124" spans="1:12" s="111" customFormat="1" ht="12" customHeight="1" x14ac:dyDescent="0.2">
      <c r="A1124" s="133"/>
      <c r="B1124" s="135"/>
      <c r="C1124" s="136"/>
      <c r="D1124" s="134"/>
      <c r="E1124" s="139"/>
      <c r="F1124" s="144"/>
      <c r="G1124" s="146"/>
      <c r="H1124" s="149"/>
      <c r="I1124" s="149"/>
      <c r="J1124" s="146"/>
      <c r="L1124" s="151"/>
    </row>
    <row r="1125" spans="1:12" s="111" customFormat="1" ht="12" customHeight="1" x14ac:dyDescent="0.2">
      <c r="A1125" s="133"/>
      <c r="B1125" s="135"/>
      <c r="C1125" s="136"/>
      <c r="D1125" s="134"/>
      <c r="E1125" s="139"/>
      <c r="F1125" s="144"/>
      <c r="G1125" s="146"/>
      <c r="H1125" s="149"/>
      <c r="I1125" s="149"/>
      <c r="J1125" s="146"/>
      <c r="L1125" s="151"/>
    </row>
    <row r="1126" spans="1:12" s="111" customFormat="1" ht="12" customHeight="1" x14ac:dyDescent="0.2">
      <c r="A1126" s="133"/>
      <c r="B1126" s="135"/>
      <c r="C1126" s="136"/>
      <c r="D1126" s="134"/>
      <c r="E1126" s="139"/>
      <c r="F1126" s="144"/>
      <c r="G1126" s="146"/>
      <c r="H1126" s="149"/>
      <c r="I1126" s="149"/>
      <c r="J1126" s="146"/>
      <c r="L1126" s="151"/>
    </row>
    <row r="1127" spans="1:12" s="111" customFormat="1" ht="12" customHeight="1" x14ac:dyDescent="0.2">
      <c r="A1127" s="133"/>
      <c r="B1127" s="135"/>
      <c r="C1127" s="136"/>
      <c r="D1127" s="134"/>
      <c r="E1127" s="139"/>
      <c r="F1127" s="144"/>
      <c r="G1127" s="146"/>
      <c r="H1127" s="149"/>
      <c r="I1127" s="149"/>
      <c r="J1127" s="146"/>
      <c r="L1127" s="151"/>
    </row>
    <row r="1128" spans="1:12" s="111" customFormat="1" ht="12" customHeight="1" x14ac:dyDescent="0.2">
      <c r="A1128" s="133"/>
      <c r="B1128" s="135"/>
      <c r="C1128" s="136"/>
      <c r="D1128" s="134"/>
      <c r="E1128" s="139"/>
      <c r="F1128" s="144"/>
      <c r="G1128" s="146"/>
      <c r="H1128" s="149"/>
      <c r="I1128" s="149"/>
      <c r="J1128" s="146"/>
      <c r="L1128" s="151"/>
    </row>
    <row r="1129" spans="1:12" s="111" customFormat="1" ht="12" customHeight="1" x14ac:dyDescent="0.2">
      <c r="A1129" s="133"/>
      <c r="B1129" s="135"/>
      <c r="C1129" s="136"/>
      <c r="D1129" s="134"/>
      <c r="E1129" s="139"/>
      <c r="F1129" s="144"/>
      <c r="G1129" s="146"/>
      <c r="H1129" s="149"/>
      <c r="I1129" s="149"/>
      <c r="J1129" s="146"/>
      <c r="L1129" s="151"/>
    </row>
    <row r="1130" spans="1:12" s="111" customFormat="1" ht="12" customHeight="1" x14ac:dyDescent="0.2">
      <c r="A1130" s="133"/>
      <c r="B1130" s="135"/>
      <c r="C1130" s="136"/>
      <c r="D1130" s="134"/>
      <c r="E1130" s="139"/>
      <c r="F1130" s="144"/>
      <c r="G1130" s="146"/>
      <c r="H1130" s="149"/>
      <c r="I1130" s="149"/>
      <c r="J1130" s="146"/>
      <c r="L1130" s="151"/>
    </row>
    <row r="1131" spans="1:12" s="111" customFormat="1" ht="12" customHeight="1" x14ac:dyDescent="0.2">
      <c r="A1131" s="133"/>
      <c r="B1131" s="135"/>
      <c r="C1131" s="136"/>
      <c r="D1131" s="134"/>
      <c r="E1131" s="139"/>
      <c r="F1131" s="144"/>
      <c r="G1131" s="146"/>
      <c r="H1131" s="149"/>
      <c r="I1131" s="149"/>
      <c r="J1131" s="146"/>
      <c r="L1131" s="151"/>
    </row>
    <row r="1132" spans="1:12" s="111" customFormat="1" ht="12" customHeight="1" x14ac:dyDescent="0.2">
      <c r="A1132" s="133"/>
      <c r="B1132" s="135"/>
      <c r="C1132" s="136"/>
      <c r="D1132" s="134"/>
      <c r="E1132" s="139"/>
      <c r="F1132" s="144"/>
      <c r="G1132" s="146"/>
      <c r="H1132" s="149"/>
      <c r="I1132" s="149"/>
      <c r="J1132" s="146"/>
      <c r="L1132" s="151"/>
    </row>
    <row r="1133" spans="1:12" s="111" customFormat="1" ht="12" customHeight="1" x14ac:dyDescent="0.2">
      <c r="A1133" s="133"/>
      <c r="B1133" s="135"/>
      <c r="C1133" s="136"/>
      <c r="D1133" s="134"/>
      <c r="E1133" s="139"/>
      <c r="F1133" s="144"/>
      <c r="G1133" s="146"/>
      <c r="H1133" s="149"/>
      <c r="I1133" s="149"/>
      <c r="J1133" s="146"/>
      <c r="L1133" s="151"/>
    </row>
    <row r="1134" spans="1:12" s="111" customFormat="1" ht="12" customHeight="1" x14ac:dyDescent="0.2">
      <c r="A1134" s="133"/>
      <c r="B1134" s="135"/>
      <c r="C1134" s="136"/>
      <c r="D1134" s="134"/>
      <c r="E1134" s="139"/>
      <c r="F1134" s="144"/>
      <c r="G1134" s="146"/>
      <c r="H1134" s="149"/>
      <c r="I1134" s="149"/>
      <c r="J1134" s="146"/>
      <c r="L1134" s="151"/>
    </row>
    <row r="1135" spans="1:12" s="111" customFormat="1" ht="12" customHeight="1" x14ac:dyDescent="0.2">
      <c r="A1135" s="133"/>
      <c r="B1135" s="135"/>
      <c r="C1135" s="136"/>
      <c r="D1135" s="134"/>
      <c r="E1135" s="139"/>
      <c r="F1135" s="144"/>
      <c r="G1135" s="146"/>
      <c r="H1135" s="149"/>
      <c r="I1135" s="149"/>
      <c r="J1135" s="146"/>
      <c r="L1135" s="151"/>
    </row>
    <row r="1136" spans="1:12" s="111" customFormat="1" ht="12" customHeight="1" x14ac:dyDescent="0.2">
      <c r="A1136" s="133"/>
      <c r="B1136" s="135"/>
      <c r="C1136" s="136"/>
      <c r="D1136" s="134"/>
      <c r="E1136" s="139"/>
      <c r="F1136" s="144"/>
      <c r="G1136" s="146"/>
      <c r="H1136" s="149"/>
      <c r="I1136" s="149"/>
      <c r="J1136" s="146"/>
      <c r="L1136" s="151"/>
    </row>
    <row r="1137" spans="1:12" s="111" customFormat="1" ht="12" customHeight="1" x14ac:dyDescent="0.2">
      <c r="A1137" s="133"/>
      <c r="B1137" s="135"/>
      <c r="C1137" s="136"/>
      <c r="D1137" s="134"/>
      <c r="E1137" s="139"/>
      <c r="F1137" s="144"/>
      <c r="G1137" s="146"/>
      <c r="H1137" s="149"/>
      <c r="I1137" s="149"/>
      <c r="J1137" s="146"/>
      <c r="L1137" s="151"/>
    </row>
    <row r="1138" spans="1:12" s="111" customFormat="1" ht="12" customHeight="1" x14ac:dyDescent="0.2">
      <c r="A1138" s="133"/>
      <c r="B1138" s="135"/>
      <c r="C1138" s="136"/>
      <c r="D1138" s="134"/>
      <c r="E1138" s="139"/>
      <c r="F1138" s="144"/>
      <c r="G1138" s="146"/>
      <c r="H1138" s="149"/>
      <c r="I1138" s="149"/>
      <c r="J1138" s="146"/>
      <c r="L1138" s="151"/>
    </row>
    <row r="1139" spans="1:12" s="111" customFormat="1" ht="12" customHeight="1" x14ac:dyDescent="0.2">
      <c r="A1139" s="133"/>
      <c r="B1139" s="135"/>
      <c r="C1139" s="136"/>
      <c r="D1139" s="134"/>
      <c r="E1139" s="139"/>
      <c r="F1139" s="144"/>
      <c r="G1139" s="146"/>
      <c r="H1139" s="149"/>
      <c r="I1139" s="149"/>
      <c r="J1139" s="146"/>
      <c r="L1139" s="151"/>
    </row>
    <row r="1140" spans="1:12" s="111" customFormat="1" ht="12" customHeight="1" x14ac:dyDescent="0.2">
      <c r="A1140" s="133"/>
      <c r="B1140" s="135"/>
      <c r="C1140" s="136"/>
      <c r="D1140" s="134"/>
      <c r="E1140" s="139"/>
      <c r="F1140" s="144"/>
      <c r="G1140" s="146"/>
      <c r="H1140" s="149"/>
      <c r="I1140" s="149"/>
      <c r="J1140" s="146"/>
      <c r="L1140" s="151"/>
    </row>
    <row r="1141" spans="1:12" s="111" customFormat="1" ht="12" customHeight="1" x14ac:dyDescent="0.2">
      <c r="A1141" s="133"/>
      <c r="B1141" s="135"/>
      <c r="C1141" s="136"/>
      <c r="D1141" s="134"/>
      <c r="E1141" s="139"/>
      <c r="F1141" s="144"/>
      <c r="G1141" s="146"/>
      <c r="H1141" s="149"/>
      <c r="I1141" s="149"/>
      <c r="J1141" s="146"/>
      <c r="L1141" s="151"/>
    </row>
    <row r="1142" spans="1:12" s="111" customFormat="1" ht="12" customHeight="1" x14ac:dyDescent="0.2">
      <c r="A1142" s="133"/>
      <c r="B1142" s="135"/>
      <c r="C1142" s="136"/>
      <c r="D1142" s="134"/>
      <c r="E1142" s="139"/>
      <c r="F1142" s="144"/>
      <c r="G1142" s="146"/>
      <c r="H1142" s="149"/>
      <c r="I1142" s="149"/>
      <c r="J1142" s="146"/>
      <c r="L1142" s="151"/>
    </row>
    <row r="1143" spans="1:12" s="111" customFormat="1" ht="12" customHeight="1" x14ac:dyDescent="0.2">
      <c r="A1143" s="133"/>
      <c r="B1143" s="135"/>
      <c r="C1143" s="136"/>
      <c r="D1143" s="134"/>
      <c r="E1143" s="139"/>
      <c r="F1143" s="144"/>
      <c r="G1143" s="146"/>
      <c r="H1143" s="149"/>
      <c r="I1143" s="149"/>
      <c r="J1143" s="146"/>
      <c r="L1143" s="151"/>
    </row>
    <row r="1144" spans="1:12" s="111" customFormat="1" ht="12" customHeight="1" x14ac:dyDescent="0.2">
      <c r="A1144" s="133"/>
      <c r="B1144" s="135"/>
      <c r="C1144" s="136"/>
      <c r="D1144" s="134"/>
      <c r="E1144" s="139"/>
      <c r="F1144" s="144"/>
      <c r="G1144" s="146"/>
      <c r="H1144" s="149"/>
      <c r="I1144" s="149"/>
      <c r="J1144" s="146"/>
      <c r="L1144" s="151"/>
    </row>
    <row r="1145" spans="1:12" s="111" customFormat="1" ht="12" customHeight="1" x14ac:dyDescent="0.2">
      <c r="A1145" s="133"/>
      <c r="B1145" s="135"/>
      <c r="C1145" s="136"/>
      <c r="D1145" s="134"/>
      <c r="E1145" s="139"/>
      <c r="F1145" s="144"/>
      <c r="G1145" s="146"/>
      <c r="H1145" s="149"/>
      <c r="I1145" s="149"/>
      <c r="J1145" s="146"/>
      <c r="L1145" s="151"/>
    </row>
    <row r="1146" spans="1:12" s="111" customFormat="1" ht="12" customHeight="1" x14ac:dyDescent="0.2">
      <c r="A1146" s="133"/>
      <c r="B1146" s="135"/>
      <c r="C1146" s="136"/>
      <c r="D1146" s="134"/>
      <c r="E1146" s="139"/>
      <c r="F1146" s="144"/>
      <c r="G1146" s="146"/>
      <c r="H1146" s="149"/>
      <c r="I1146" s="149"/>
      <c r="J1146" s="146"/>
      <c r="L1146" s="151"/>
    </row>
    <row r="1147" spans="1:12" s="111" customFormat="1" ht="12" customHeight="1" x14ac:dyDescent="0.2">
      <c r="A1147" s="133"/>
      <c r="B1147" s="135"/>
      <c r="C1147" s="136"/>
      <c r="D1147" s="134"/>
      <c r="E1147" s="139"/>
      <c r="F1147" s="144"/>
      <c r="G1147" s="146"/>
      <c r="H1147" s="149"/>
      <c r="I1147" s="149"/>
      <c r="J1147" s="146"/>
      <c r="L1147" s="151"/>
    </row>
    <row r="1148" spans="1:12" s="111" customFormat="1" ht="12" customHeight="1" x14ac:dyDescent="0.2">
      <c r="A1148" s="133"/>
      <c r="B1148" s="135"/>
      <c r="C1148" s="136"/>
      <c r="D1148" s="134"/>
      <c r="E1148" s="139"/>
      <c r="F1148" s="144"/>
      <c r="G1148" s="146"/>
      <c r="H1148" s="149"/>
      <c r="I1148" s="149"/>
      <c r="J1148" s="146"/>
      <c r="L1148" s="151"/>
    </row>
    <row r="1149" spans="1:12" s="111" customFormat="1" ht="12" customHeight="1" x14ac:dyDescent="0.2">
      <c r="A1149" s="133"/>
      <c r="B1149" s="135"/>
      <c r="C1149" s="136"/>
      <c r="D1149" s="134"/>
      <c r="E1149" s="139"/>
      <c r="F1149" s="144"/>
      <c r="G1149" s="146"/>
      <c r="H1149" s="149"/>
      <c r="I1149" s="149"/>
      <c r="J1149" s="146"/>
      <c r="L1149" s="151"/>
    </row>
    <row r="1150" spans="1:12" s="111" customFormat="1" ht="12" customHeight="1" x14ac:dyDescent="0.2">
      <c r="A1150" s="133"/>
      <c r="B1150" s="135"/>
      <c r="C1150" s="136"/>
      <c r="D1150" s="134"/>
      <c r="E1150" s="139"/>
      <c r="F1150" s="144"/>
      <c r="G1150" s="146"/>
      <c r="H1150" s="149"/>
      <c r="I1150" s="149"/>
      <c r="J1150" s="146"/>
      <c r="L1150" s="151"/>
    </row>
    <row r="1151" spans="1:12" s="111" customFormat="1" ht="12" customHeight="1" x14ac:dyDescent="0.2">
      <c r="A1151" s="133"/>
      <c r="B1151" s="135"/>
      <c r="C1151" s="136"/>
      <c r="D1151" s="134"/>
      <c r="E1151" s="139"/>
      <c r="F1151" s="144"/>
      <c r="G1151" s="146"/>
      <c r="H1151" s="149"/>
      <c r="I1151" s="149"/>
      <c r="J1151" s="146"/>
      <c r="L1151" s="151"/>
    </row>
    <row r="1152" spans="1:12" s="111" customFormat="1" ht="12" customHeight="1" x14ac:dyDescent="0.2">
      <c r="A1152" s="133"/>
      <c r="B1152" s="135"/>
      <c r="C1152" s="136"/>
      <c r="D1152" s="134"/>
      <c r="E1152" s="139"/>
      <c r="F1152" s="144"/>
      <c r="G1152" s="146"/>
      <c r="H1152" s="149"/>
      <c r="I1152" s="149"/>
      <c r="J1152" s="146"/>
      <c r="L1152" s="151"/>
    </row>
    <row r="1153" spans="1:12" s="111" customFormat="1" ht="12" customHeight="1" x14ac:dyDescent="0.2">
      <c r="A1153" s="133"/>
      <c r="B1153" s="135"/>
      <c r="C1153" s="136"/>
      <c r="D1153" s="134"/>
      <c r="E1153" s="139"/>
      <c r="F1153" s="144"/>
      <c r="G1153" s="146"/>
      <c r="H1153" s="149"/>
      <c r="I1153" s="149"/>
      <c r="J1153" s="146"/>
      <c r="L1153" s="151"/>
    </row>
    <row r="1154" spans="1:12" s="111" customFormat="1" ht="12" customHeight="1" x14ac:dyDescent="0.2">
      <c r="A1154" s="133"/>
      <c r="B1154" s="135"/>
      <c r="C1154" s="136"/>
      <c r="D1154" s="134"/>
      <c r="E1154" s="139"/>
      <c r="F1154" s="144"/>
      <c r="G1154" s="146"/>
      <c r="H1154" s="149"/>
      <c r="I1154" s="149"/>
      <c r="J1154" s="146"/>
      <c r="L1154" s="151"/>
    </row>
    <row r="1155" spans="1:12" s="111" customFormat="1" ht="12" customHeight="1" x14ac:dyDescent="0.2">
      <c r="A1155" s="133"/>
      <c r="B1155" s="135"/>
      <c r="C1155" s="136"/>
      <c r="D1155" s="134"/>
      <c r="E1155" s="139"/>
      <c r="F1155" s="144"/>
      <c r="G1155" s="146"/>
      <c r="H1155" s="149"/>
      <c r="I1155" s="149"/>
      <c r="J1155" s="146"/>
      <c r="L1155" s="151"/>
    </row>
    <row r="1156" spans="1:12" s="111" customFormat="1" ht="12" customHeight="1" x14ac:dyDescent="0.2">
      <c r="A1156" s="133"/>
      <c r="B1156" s="135"/>
      <c r="C1156" s="136"/>
      <c r="D1156" s="134"/>
      <c r="E1156" s="139"/>
      <c r="F1156" s="144"/>
      <c r="G1156" s="146"/>
      <c r="H1156" s="149"/>
      <c r="I1156" s="149"/>
      <c r="J1156" s="146"/>
      <c r="L1156" s="151"/>
    </row>
    <row r="1157" spans="1:12" s="111" customFormat="1" ht="12" customHeight="1" x14ac:dyDescent="0.2">
      <c r="A1157" s="133"/>
      <c r="B1157" s="135"/>
      <c r="C1157" s="136"/>
      <c r="D1157" s="134"/>
      <c r="E1157" s="139"/>
      <c r="F1157" s="144"/>
      <c r="G1157" s="146"/>
      <c r="H1157" s="149"/>
      <c r="I1157" s="149"/>
      <c r="J1157" s="146"/>
      <c r="L1157" s="151"/>
    </row>
    <row r="1158" spans="1:12" s="111" customFormat="1" ht="12" customHeight="1" x14ac:dyDescent="0.2">
      <c r="A1158" s="133"/>
      <c r="B1158" s="135"/>
      <c r="C1158" s="136"/>
      <c r="D1158" s="134"/>
      <c r="E1158" s="139"/>
      <c r="F1158" s="144"/>
      <c r="G1158" s="146"/>
      <c r="H1158" s="149"/>
      <c r="I1158" s="149"/>
      <c r="J1158" s="146"/>
      <c r="L1158" s="151"/>
    </row>
    <row r="1159" spans="1:12" s="111" customFormat="1" ht="12" customHeight="1" x14ac:dyDescent="0.2">
      <c r="A1159" s="133"/>
      <c r="B1159" s="135"/>
      <c r="C1159" s="136"/>
      <c r="D1159" s="134"/>
      <c r="E1159" s="139"/>
      <c r="F1159" s="144"/>
      <c r="G1159" s="146"/>
      <c r="H1159" s="149"/>
      <c r="I1159" s="149"/>
      <c r="J1159" s="146"/>
      <c r="L1159" s="151"/>
    </row>
    <row r="1160" spans="1:12" s="111" customFormat="1" ht="12" customHeight="1" x14ac:dyDescent="0.2">
      <c r="A1160" s="133"/>
      <c r="B1160" s="135"/>
      <c r="C1160" s="136"/>
      <c r="D1160" s="134"/>
      <c r="E1160" s="139"/>
      <c r="F1160" s="144"/>
      <c r="G1160" s="146"/>
      <c r="H1160" s="149"/>
      <c r="I1160" s="149"/>
      <c r="J1160" s="146"/>
      <c r="L1160" s="151"/>
    </row>
    <row r="1161" spans="1:12" s="111" customFormat="1" ht="12" customHeight="1" x14ac:dyDescent="0.2">
      <c r="A1161" s="133"/>
      <c r="B1161" s="135"/>
      <c r="C1161" s="136"/>
      <c r="D1161" s="134"/>
      <c r="E1161" s="139"/>
      <c r="F1161" s="144"/>
      <c r="G1161" s="146"/>
      <c r="H1161" s="149"/>
      <c r="I1161" s="149"/>
      <c r="J1161" s="146"/>
      <c r="L1161" s="151"/>
    </row>
    <row r="1162" spans="1:12" s="111" customFormat="1" ht="12" customHeight="1" x14ac:dyDescent="0.2">
      <c r="A1162" s="133"/>
      <c r="B1162" s="135"/>
      <c r="C1162" s="136"/>
      <c r="D1162" s="134"/>
      <c r="E1162" s="139"/>
      <c r="F1162" s="144"/>
      <c r="G1162" s="146"/>
      <c r="H1162" s="149"/>
      <c r="I1162" s="149"/>
      <c r="J1162" s="146"/>
      <c r="L1162" s="151"/>
    </row>
    <row r="1163" spans="1:12" s="111" customFormat="1" ht="12" customHeight="1" x14ac:dyDescent="0.2">
      <c r="A1163" s="133"/>
      <c r="B1163" s="135"/>
      <c r="C1163" s="136"/>
      <c r="D1163" s="134"/>
      <c r="E1163" s="139"/>
      <c r="F1163" s="144"/>
      <c r="G1163" s="146"/>
      <c r="H1163" s="149"/>
      <c r="I1163" s="149"/>
      <c r="J1163" s="146"/>
      <c r="L1163" s="151"/>
    </row>
    <row r="1164" spans="1:12" s="111" customFormat="1" ht="12" customHeight="1" x14ac:dyDescent="0.2">
      <c r="A1164" s="133"/>
      <c r="B1164" s="135"/>
      <c r="C1164" s="136"/>
      <c r="D1164" s="134"/>
      <c r="E1164" s="139"/>
      <c r="F1164" s="144"/>
      <c r="G1164" s="146"/>
      <c r="H1164" s="149"/>
      <c r="I1164" s="149"/>
      <c r="J1164" s="146"/>
      <c r="L1164" s="151"/>
    </row>
    <row r="1165" spans="1:12" s="111" customFormat="1" ht="12" customHeight="1" x14ac:dyDescent="0.2">
      <c r="A1165" s="133"/>
      <c r="B1165" s="135"/>
      <c r="C1165" s="136"/>
      <c r="D1165" s="134"/>
      <c r="E1165" s="139"/>
      <c r="F1165" s="144"/>
      <c r="G1165" s="146"/>
      <c r="H1165" s="149"/>
      <c r="I1165" s="149"/>
      <c r="J1165" s="146"/>
      <c r="L1165" s="151"/>
    </row>
    <row r="1166" spans="1:12" s="111" customFormat="1" ht="12" customHeight="1" x14ac:dyDescent="0.2">
      <c r="A1166" s="133"/>
      <c r="B1166" s="135"/>
      <c r="C1166" s="136"/>
      <c r="D1166" s="134"/>
      <c r="E1166" s="139"/>
      <c r="F1166" s="144"/>
      <c r="G1166" s="146"/>
      <c r="H1166" s="149"/>
      <c r="I1166" s="149"/>
      <c r="J1166" s="146"/>
      <c r="L1166" s="151"/>
    </row>
    <row r="1167" spans="1:12" s="111" customFormat="1" ht="12" customHeight="1" x14ac:dyDescent="0.2">
      <c r="A1167" s="133"/>
      <c r="B1167" s="135"/>
      <c r="C1167" s="136"/>
      <c r="D1167" s="134"/>
      <c r="E1167" s="139"/>
      <c r="F1167" s="144"/>
      <c r="G1167" s="146"/>
      <c r="H1167" s="149"/>
      <c r="I1167" s="149"/>
      <c r="J1167" s="146"/>
      <c r="L1167" s="151"/>
    </row>
    <row r="1168" spans="1:12" s="111" customFormat="1" ht="12" customHeight="1" x14ac:dyDescent="0.2">
      <c r="A1168" s="133"/>
      <c r="B1168" s="135"/>
      <c r="C1168" s="136"/>
      <c r="D1168" s="134"/>
      <c r="E1168" s="139"/>
      <c r="F1168" s="144"/>
      <c r="G1168" s="146"/>
      <c r="H1168" s="149"/>
      <c r="I1168" s="149"/>
      <c r="J1168" s="146"/>
      <c r="L1168" s="151"/>
    </row>
    <row r="1169" spans="1:12" s="111" customFormat="1" ht="12" customHeight="1" x14ac:dyDescent="0.2">
      <c r="A1169" s="133"/>
      <c r="B1169" s="135"/>
      <c r="C1169" s="136"/>
      <c r="D1169" s="134"/>
      <c r="E1169" s="139"/>
      <c r="F1169" s="144"/>
      <c r="G1169" s="146"/>
      <c r="H1169" s="149"/>
      <c r="I1169" s="149"/>
      <c r="J1169" s="146"/>
      <c r="L1169" s="151"/>
    </row>
    <row r="1170" spans="1:12" s="111" customFormat="1" ht="12" customHeight="1" x14ac:dyDescent="0.2">
      <c r="A1170" s="133"/>
      <c r="B1170" s="135"/>
      <c r="C1170" s="136"/>
      <c r="D1170" s="134"/>
      <c r="E1170" s="139"/>
      <c r="F1170" s="144"/>
      <c r="G1170" s="146"/>
      <c r="H1170" s="149"/>
      <c r="I1170" s="149"/>
      <c r="J1170" s="146"/>
      <c r="L1170" s="151"/>
    </row>
    <row r="1171" spans="1:12" s="111" customFormat="1" ht="12" customHeight="1" x14ac:dyDescent="0.2">
      <c r="A1171" s="133"/>
      <c r="B1171" s="135"/>
      <c r="C1171" s="136"/>
      <c r="D1171" s="134"/>
      <c r="E1171" s="139"/>
      <c r="F1171" s="144"/>
      <c r="G1171" s="146"/>
      <c r="H1171" s="149"/>
      <c r="I1171" s="149"/>
      <c r="J1171" s="146"/>
      <c r="L1171" s="151"/>
    </row>
    <row r="1172" spans="1:12" s="111" customFormat="1" ht="12" customHeight="1" x14ac:dyDescent="0.2">
      <c r="A1172" s="133"/>
      <c r="B1172" s="135"/>
      <c r="C1172" s="136"/>
      <c r="D1172" s="134"/>
      <c r="E1172" s="139"/>
      <c r="F1172" s="144"/>
      <c r="G1172" s="146"/>
      <c r="H1172" s="149"/>
      <c r="I1172" s="149"/>
      <c r="J1172" s="146"/>
      <c r="L1172" s="151"/>
    </row>
    <row r="1173" spans="1:12" s="111" customFormat="1" ht="12" customHeight="1" x14ac:dyDescent="0.2">
      <c r="A1173" s="133"/>
      <c r="B1173" s="135"/>
      <c r="C1173" s="136"/>
      <c r="D1173" s="134"/>
      <c r="E1173" s="139"/>
      <c r="F1173" s="144"/>
      <c r="G1173" s="146"/>
      <c r="H1173" s="149"/>
      <c r="I1173" s="149"/>
      <c r="J1173" s="146"/>
      <c r="L1173" s="151"/>
    </row>
    <row r="1174" spans="1:12" s="111" customFormat="1" ht="12" customHeight="1" x14ac:dyDescent="0.2">
      <c r="A1174" s="133"/>
      <c r="B1174" s="135"/>
      <c r="C1174" s="136"/>
      <c r="D1174" s="134"/>
      <c r="E1174" s="139"/>
      <c r="F1174" s="144"/>
      <c r="G1174" s="146"/>
      <c r="H1174" s="149"/>
      <c r="I1174" s="149"/>
      <c r="J1174" s="146"/>
      <c r="L1174" s="151"/>
    </row>
    <row r="1175" spans="1:12" s="111" customFormat="1" ht="12" customHeight="1" x14ac:dyDescent="0.2">
      <c r="A1175" s="133"/>
      <c r="B1175" s="135"/>
      <c r="C1175" s="136"/>
      <c r="D1175" s="134"/>
      <c r="E1175" s="139"/>
      <c r="F1175" s="144"/>
      <c r="G1175" s="146"/>
      <c r="H1175" s="149"/>
      <c r="I1175" s="149"/>
      <c r="J1175" s="146"/>
      <c r="L1175" s="151"/>
    </row>
    <row r="1176" spans="1:12" s="111" customFormat="1" ht="12" customHeight="1" x14ac:dyDescent="0.2">
      <c r="A1176" s="133"/>
      <c r="B1176" s="135"/>
      <c r="C1176" s="136"/>
      <c r="D1176" s="134"/>
      <c r="E1176" s="139"/>
      <c r="F1176" s="144"/>
      <c r="G1176" s="146"/>
      <c r="H1176" s="149"/>
      <c r="I1176" s="149"/>
      <c r="J1176" s="146"/>
      <c r="L1176" s="151"/>
    </row>
    <row r="1177" spans="1:12" s="111" customFormat="1" ht="12" customHeight="1" x14ac:dyDescent="0.2">
      <c r="A1177" s="133"/>
      <c r="B1177" s="135"/>
      <c r="C1177" s="136"/>
      <c r="D1177" s="134"/>
      <c r="E1177" s="139"/>
      <c r="F1177" s="144"/>
      <c r="G1177" s="146"/>
      <c r="H1177" s="149"/>
      <c r="I1177" s="149"/>
      <c r="J1177" s="146"/>
      <c r="L1177" s="151"/>
    </row>
    <row r="1178" spans="1:12" s="111" customFormat="1" ht="12" customHeight="1" x14ac:dyDescent="0.2">
      <c r="A1178" s="133"/>
      <c r="B1178" s="135"/>
      <c r="C1178" s="136"/>
      <c r="D1178" s="134"/>
      <c r="E1178" s="139"/>
      <c r="F1178" s="144"/>
      <c r="G1178" s="146"/>
      <c r="H1178" s="149"/>
      <c r="I1178" s="149"/>
      <c r="J1178" s="146"/>
      <c r="L1178" s="151"/>
    </row>
    <row r="1179" spans="1:12" s="111" customFormat="1" ht="12" customHeight="1" x14ac:dyDescent="0.2">
      <c r="A1179" s="133"/>
      <c r="B1179" s="135"/>
      <c r="C1179" s="136"/>
      <c r="D1179" s="134"/>
      <c r="E1179" s="139"/>
      <c r="F1179" s="144"/>
      <c r="G1179" s="146"/>
      <c r="H1179" s="149"/>
      <c r="I1179" s="149"/>
      <c r="J1179" s="146"/>
      <c r="L1179" s="151"/>
    </row>
    <row r="1180" spans="1:12" s="111" customFormat="1" ht="12" customHeight="1" x14ac:dyDescent="0.2">
      <c r="A1180" s="133"/>
      <c r="B1180" s="135"/>
      <c r="C1180" s="136"/>
      <c r="D1180" s="134"/>
      <c r="E1180" s="139"/>
      <c r="F1180" s="144"/>
      <c r="G1180" s="146"/>
      <c r="H1180" s="149"/>
      <c r="I1180" s="149"/>
      <c r="J1180" s="146"/>
      <c r="L1180" s="151"/>
    </row>
    <row r="1181" spans="1:12" s="111" customFormat="1" ht="12" customHeight="1" x14ac:dyDescent="0.2">
      <c r="A1181" s="133"/>
      <c r="B1181" s="135"/>
      <c r="C1181" s="136"/>
      <c r="D1181" s="134"/>
      <c r="E1181" s="139"/>
      <c r="F1181" s="144"/>
      <c r="G1181" s="146"/>
      <c r="H1181" s="149"/>
      <c r="I1181" s="149"/>
      <c r="J1181" s="146"/>
      <c r="L1181" s="151"/>
    </row>
    <row r="1182" spans="1:12" s="111" customFormat="1" ht="12" customHeight="1" x14ac:dyDescent="0.2">
      <c r="A1182" s="133"/>
      <c r="B1182" s="135"/>
      <c r="C1182" s="136"/>
      <c r="D1182" s="134"/>
      <c r="E1182" s="139"/>
      <c r="F1182" s="144"/>
      <c r="G1182" s="146"/>
      <c r="H1182" s="149"/>
      <c r="I1182" s="149"/>
      <c r="J1182" s="146"/>
      <c r="L1182" s="151"/>
    </row>
    <row r="1183" spans="1:12" s="111" customFormat="1" ht="12" customHeight="1" x14ac:dyDescent="0.2">
      <c r="A1183" s="133"/>
      <c r="B1183" s="135"/>
      <c r="C1183" s="136"/>
      <c r="D1183" s="134"/>
      <c r="E1183" s="139"/>
      <c r="F1183" s="144"/>
      <c r="G1183" s="146"/>
      <c r="H1183" s="149"/>
      <c r="I1183" s="149"/>
      <c r="J1183" s="146"/>
      <c r="L1183" s="151"/>
    </row>
    <row r="1184" spans="1:12" s="111" customFormat="1" ht="12" customHeight="1" x14ac:dyDescent="0.2">
      <c r="A1184" s="133"/>
      <c r="B1184" s="135"/>
      <c r="C1184" s="136"/>
      <c r="D1184" s="134"/>
      <c r="E1184" s="139"/>
      <c r="F1184" s="144"/>
      <c r="G1184" s="146"/>
      <c r="H1184" s="149"/>
      <c r="I1184" s="149"/>
      <c r="J1184" s="146"/>
      <c r="L1184" s="151"/>
    </row>
    <row r="1185" spans="1:12" s="111" customFormat="1" ht="12" customHeight="1" x14ac:dyDescent="0.2">
      <c r="A1185" s="133"/>
      <c r="B1185" s="135"/>
      <c r="C1185" s="136"/>
      <c r="D1185" s="134"/>
      <c r="E1185" s="139"/>
      <c r="F1185" s="144"/>
      <c r="G1185" s="146"/>
      <c r="H1185" s="149"/>
      <c r="I1185" s="149"/>
      <c r="J1185" s="146"/>
      <c r="L1185" s="151"/>
    </row>
    <row r="1186" spans="1:12" s="111" customFormat="1" ht="12" customHeight="1" x14ac:dyDescent="0.2">
      <c r="A1186" s="133"/>
      <c r="B1186" s="135"/>
      <c r="C1186" s="136"/>
      <c r="D1186" s="134"/>
      <c r="E1186" s="139"/>
      <c r="F1186" s="144"/>
      <c r="G1186" s="146"/>
      <c r="H1186" s="149"/>
      <c r="I1186" s="149"/>
      <c r="J1186" s="146"/>
      <c r="L1186" s="151"/>
    </row>
    <row r="1187" spans="1:12" s="111" customFormat="1" ht="12" customHeight="1" x14ac:dyDescent="0.2">
      <c r="A1187" s="133"/>
      <c r="B1187" s="135"/>
      <c r="C1187" s="136"/>
      <c r="D1187" s="134"/>
      <c r="E1187" s="139"/>
      <c r="F1187" s="144"/>
      <c r="G1187" s="146"/>
      <c r="H1187" s="149"/>
      <c r="I1187" s="149"/>
      <c r="J1187" s="146"/>
      <c r="L1187" s="151"/>
    </row>
    <row r="1188" spans="1:12" s="111" customFormat="1" ht="12" customHeight="1" x14ac:dyDescent="0.2">
      <c r="A1188" s="133"/>
      <c r="B1188" s="135"/>
      <c r="C1188" s="136"/>
      <c r="D1188" s="134"/>
      <c r="E1188" s="139"/>
      <c r="F1188" s="144"/>
      <c r="G1188" s="146"/>
      <c r="H1188" s="149"/>
      <c r="I1188" s="149"/>
      <c r="J1188" s="146"/>
      <c r="L1188" s="151"/>
    </row>
    <row r="1189" spans="1:12" s="111" customFormat="1" ht="12" customHeight="1" x14ac:dyDescent="0.2">
      <c r="A1189" s="133"/>
      <c r="B1189" s="135"/>
      <c r="C1189" s="136"/>
      <c r="D1189" s="134"/>
      <c r="E1189" s="139"/>
      <c r="F1189" s="144"/>
      <c r="G1189" s="146"/>
      <c r="H1189" s="149"/>
      <c r="I1189" s="149"/>
      <c r="J1189" s="146"/>
      <c r="L1189" s="151"/>
    </row>
    <row r="1190" spans="1:12" s="111" customFormat="1" ht="12" customHeight="1" x14ac:dyDescent="0.2">
      <c r="A1190" s="133"/>
      <c r="B1190" s="135"/>
      <c r="C1190" s="136"/>
      <c r="D1190" s="134"/>
      <c r="E1190" s="139"/>
      <c r="F1190" s="144"/>
      <c r="G1190" s="146"/>
      <c r="H1190" s="149"/>
      <c r="I1190" s="149"/>
      <c r="J1190" s="146"/>
      <c r="L1190" s="151"/>
    </row>
    <row r="1191" spans="1:12" s="111" customFormat="1" ht="12" customHeight="1" x14ac:dyDescent="0.2">
      <c r="A1191" s="133"/>
      <c r="B1191" s="135"/>
      <c r="C1191" s="136"/>
      <c r="D1191" s="134"/>
      <c r="E1191" s="139"/>
      <c r="F1191" s="144"/>
      <c r="G1191" s="146"/>
      <c r="H1191" s="149"/>
      <c r="I1191" s="149"/>
      <c r="J1191" s="146"/>
      <c r="L1191" s="151"/>
    </row>
    <row r="1192" spans="1:12" s="111" customFormat="1" x14ac:dyDescent="0.2">
      <c r="A1192" s="133"/>
      <c r="B1192" s="135"/>
      <c r="C1192" s="136"/>
      <c r="D1192" s="134"/>
      <c r="E1192" s="139"/>
      <c r="F1192" s="144"/>
      <c r="G1192" s="146"/>
      <c r="H1192" s="149"/>
      <c r="I1192" s="149"/>
      <c r="J1192" s="146"/>
      <c r="L1192" s="151"/>
    </row>
    <row r="1193" spans="1:12" s="111" customFormat="1" x14ac:dyDescent="0.2">
      <c r="A1193" s="133"/>
      <c r="B1193" s="135"/>
      <c r="C1193" s="136"/>
      <c r="D1193" s="134"/>
      <c r="E1193" s="139"/>
      <c r="F1193" s="144"/>
      <c r="G1193" s="146"/>
      <c r="H1193" s="149"/>
      <c r="I1193" s="149"/>
      <c r="J1193" s="146"/>
      <c r="L1193" s="151"/>
    </row>
    <row r="1194" spans="1:12" s="111" customFormat="1" x14ac:dyDescent="0.2">
      <c r="A1194" s="133"/>
      <c r="B1194" s="135"/>
      <c r="C1194" s="136"/>
      <c r="D1194" s="134"/>
      <c r="E1194" s="139"/>
      <c r="F1194" s="144"/>
      <c r="G1194" s="146"/>
      <c r="H1194" s="149"/>
      <c r="I1194" s="149"/>
      <c r="J1194" s="146"/>
      <c r="L1194" s="151"/>
    </row>
    <row r="1195" spans="1:12" s="111" customFormat="1" x14ac:dyDescent="0.2">
      <c r="A1195" s="133"/>
      <c r="B1195" s="135"/>
      <c r="C1195" s="136"/>
      <c r="D1195" s="134"/>
      <c r="E1195" s="139"/>
      <c r="F1195" s="144"/>
      <c r="G1195" s="146"/>
      <c r="H1195" s="149"/>
      <c r="I1195" s="149"/>
      <c r="J1195" s="146"/>
      <c r="L1195" s="151"/>
    </row>
    <row r="1196" spans="1:12" s="111" customFormat="1" x14ac:dyDescent="0.2">
      <c r="A1196" s="133"/>
      <c r="B1196" s="135"/>
      <c r="C1196" s="136"/>
      <c r="D1196" s="134"/>
      <c r="E1196" s="139"/>
      <c r="F1196" s="144"/>
      <c r="G1196" s="146"/>
      <c r="H1196" s="149"/>
      <c r="I1196" s="149"/>
      <c r="J1196" s="146"/>
      <c r="L1196" s="151"/>
    </row>
    <row r="1197" spans="1:12" s="111" customFormat="1" x14ac:dyDescent="0.2">
      <c r="A1197" s="133"/>
      <c r="B1197" s="135"/>
      <c r="C1197" s="136"/>
      <c r="D1197" s="134"/>
      <c r="E1197" s="139"/>
      <c r="F1197" s="144"/>
      <c r="G1197" s="146"/>
      <c r="H1197" s="149"/>
      <c r="I1197" s="149"/>
      <c r="J1197" s="146"/>
      <c r="L1197" s="151"/>
    </row>
    <row r="1198" spans="1:12" s="111" customFormat="1" x14ac:dyDescent="0.2">
      <c r="A1198" s="133"/>
      <c r="B1198" s="135"/>
      <c r="C1198" s="136"/>
      <c r="D1198" s="134"/>
      <c r="E1198" s="139"/>
      <c r="F1198" s="144"/>
      <c r="G1198" s="146"/>
      <c r="H1198" s="149"/>
      <c r="I1198" s="149"/>
      <c r="J1198" s="146"/>
      <c r="L1198" s="151"/>
    </row>
    <row r="1199" spans="1:12" x14ac:dyDescent="0.2">
      <c r="L1199" s="152"/>
    </row>
  </sheetData>
  <autoFilter ref="A4:M1199" xr:uid="{ED027238-CE73-4B8B-B392-D1440379D83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9D00-92A4-4F9B-8A47-7F9C10C333A5}">
  <sheetPr>
    <tabColor rgb="FFFFC000"/>
  </sheetPr>
  <dimension ref="A1:P152"/>
  <sheetViews>
    <sheetView zoomScale="90" zoomScaleNormal="90" workbookViewId="0">
      <pane ySplit="7" topLeftCell="A8" activePane="bottomLeft" state="frozen"/>
      <selection activeCell="BH40" sqref="BH40"/>
      <selection pane="bottomLeft" activeCell="A36" sqref="A36"/>
    </sheetView>
  </sheetViews>
  <sheetFormatPr defaultRowHeight="15" x14ac:dyDescent="0.25"/>
  <cols>
    <col min="1" max="1" width="12.7109375" bestFit="1" customWidth="1"/>
    <col min="2" max="2" width="2.28515625" bestFit="1" customWidth="1"/>
    <col min="3" max="3" width="6.28515625" bestFit="1" customWidth="1"/>
    <col min="4" max="4" width="4.140625" customWidth="1"/>
    <col min="5" max="5" width="10.5703125" bestFit="1" customWidth="1"/>
    <col min="6" max="6" width="45.7109375" bestFit="1" customWidth="1"/>
    <col min="8" max="8" width="21.42578125" style="102" bestFit="1" customWidth="1"/>
    <col min="9" max="10" width="19" style="102" bestFit="1" customWidth="1"/>
    <col min="11" max="11" width="19.7109375" style="102" bestFit="1" customWidth="1"/>
    <col min="12" max="12" width="21.42578125" style="102" bestFit="1" customWidth="1"/>
    <col min="13" max="13" width="17.7109375" style="142" bestFit="1" customWidth="1"/>
    <col min="14" max="14" width="19.7109375" bestFit="1" customWidth="1"/>
    <col min="15" max="15" width="17.7109375" bestFit="1" customWidth="1"/>
    <col min="16" max="16" width="12.140625" bestFit="1" customWidth="1"/>
  </cols>
  <sheetData>
    <row r="1" spans="1:15" x14ac:dyDescent="0.25">
      <c r="F1" s="122" t="s">
        <v>73</v>
      </c>
      <c r="H1" s="125">
        <f>SUMIF($B$8:$B$152,"A",$H$8:$H$152)</f>
        <v>2699371744.0845757</v>
      </c>
      <c r="I1" s="102">
        <f>+H1-NR!F37</f>
        <v>-2494540193.9084463</v>
      </c>
      <c r="K1" s="102">
        <f>+L1-NR!H37</f>
        <v>0</v>
      </c>
      <c r="L1" s="125">
        <f>SUMIF($B$8:$B$152,"A",$L$8:$L$152)</f>
        <v>2696176630.4523535</v>
      </c>
    </row>
    <row r="2" spans="1:15" x14ac:dyDescent="0.25">
      <c r="F2" s="123" t="s">
        <v>82</v>
      </c>
      <c r="H2" s="126">
        <f>SUMIF($B$8:$B$152,"P",$H$8:$H$152)</f>
        <v>-2699371744.0845757</v>
      </c>
      <c r="I2" s="102">
        <f>+H2+NR!M37</f>
        <v>2494540193.9084463</v>
      </c>
      <c r="K2" s="102">
        <f>+L2+NR!O37</f>
        <v>74447522.367777348</v>
      </c>
      <c r="L2" s="126">
        <f>SUMIF($B$8:$B$152,"P",$L$8:$L$152)</f>
        <v>-2621729108.0845761</v>
      </c>
      <c r="N2" s="177">
        <f>L3+'WS Trial balance'!BO70</f>
        <v>0</v>
      </c>
    </row>
    <row r="3" spans="1:15" x14ac:dyDescent="0.25">
      <c r="F3" s="124" t="s">
        <v>160</v>
      </c>
      <c r="H3" s="127">
        <f>SUMIF($B$8:$B$152,"L",$H$8:$H$152)</f>
        <v>0</v>
      </c>
      <c r="K3" s="102">
        <f>+L3+NR!O30</f>
        <v>0</v>
      </c>
      <c r="L3" s="127">
        <f>SUMIF($B$8:$B$152,"L",$L$8:$L$152)</f>
        <v>-74447522.367778048</v>
      </c>
    </row>
    <row r="4" spans="1:15" x14ac:dyDescent="0.25">
      <c r="H4" s="128">
        <f>SUM(H1:H3)</f>
        <v>0</v>
      </c>
      <c r="L4" s="128">
        <f>SUM(L1:L3)</f>
        <v>-7.0035457611083984E-7</v>
      </c>
      <c r="M4" s="187">
        <f>-(K110+K111+K112+K134+K139+K140+K141+K142)*0.5%</f>
        <v>3337277.6422222205</v>
      </c>
      <c r="N4" t="s">
        <v>519</v>
      </c>
      <c r="O4" s="190">
        <f>SUM(O8:O142)*0.5%</f>
        <v>74078.33666666389</v>
      </c>
    </row>
    <row r="5" spans="1:15" x14ac:dyDescent="0.25">
      <c r="F5" s="129" t="s">
        <v>161</v>
      </c>
      <c r="H5" s="130">
        <f>SUBTOTAL(9,H8:H152)</f>
        <v>-4.4703483581542969E-7</v>
      </c>
      <c r="I5" s="193">
        <f>SUBTOTAL(9,I8:I152)</f>
        <v>4090011782.3415523</v>
      </c>
      <c r="J5" s="193">
        <f>SUBTOTAL(9,J8:J152)</f>
        <v>4090011782.3415518</v>
      </c>
      <c r="K5" s="130">
        <f>SUBTOTAL(9,K8:K152)</f>
        <v>1.862645149230957E-8</v>
      </c>
      <c r="L5" s="130">
        <f>SUBTOTAL(9,L8:L152)</f>
        <v>-6.9662928581237793E-7</v>
      </c>
      <c r="M5" s="142">
        <f>M4-O4</f>
        <v>3263199.3055555564</v>
      </c>
    </row>
    <row r="6" spans="1:15" x14ac:dyDescent="0.25">
      <c r="H6" s="128"/>
      <c r="L6" s="128"/>
    </row>
    <row r="7" spans="1:15" s="117" customFormat="1" x14ac:dyDescent="0.25">
      <c r="A7" s="117" t="s">
        <v>69</v>
      </c>
      <c r="E7" s="117" t="s">
        <v>71</v>
      </c>
      <c r="F7" s="117" t="s">
        <v>70</v>
      </c>
      <c r="H7" s="118" t="s">
        <v>157</v>
      </c>
      <c r="I7" s="118" t="s">
        <v>2</v>
      </c>
      <c r="J7" s="118" t="s">
        <v>3</v>
      </c>
      <c r="K7" s="118" t="s">
        <v>159</v>
      </c>
      <c r="L7" s="118" t="s">
        <v>158</v>
      </c>
      <c r="M7" s="143"/>
    </row>
    <row r="8" spans="1:15" x14ac:dyDescent="0.25">
      <c r="A8" t="s">
        <v>162</v>
      </c>
      <c r="B8" s="131" t="s">
        <v>156</v>
      </c>
      <c r="C8" s="131" t="s">
        <v>4</v>
      </c>
      <c r="D8" s="131"/>
      <c r="E8" s="132" t="s">
        <v>297</v>
      </c>
      <c r="F8" t="s">
        <v>5</v>
      </c>
      <c r="H8" s="119">
        <v>0</v>
      </c>
      <c r="I8" s="102">
        <f>SUMIF('MUTASI 2026'!$F$5:$F$1048576,BB!A8,'MUTASI 2026'!$G$5:$G$1048576)</f>
        <v>0</v>
      </c>
      <c r="J8" s="102">
        <f>SUMIF('MUTASI 2026'!$F$5:$F$1048576,BB!A8,'MUTASI 2026'!$H$5:$H$1048576)</f>
        <v>0</v>
      </c>
      <c r="K8" s="120">
        <f>I8-J8</f>
        <v>0</v>
      </c>
      <c r="L8" s="121">
        <f>+H8+K8</f>
        <v>0</v>
      </c>
    </row>
    <row r="9" spans="1:15" x14ac:dyDescent="0.25">
      <c r="A9" t="s">
        <v>163</v>
      </c>
      <c r="B9" s="131" t="s">
        <v>156</v>
      </c>
      <c r="C9" s="131" t="s">
        <v>4</v>
      </c>
      <c r="D9" s="131"/>
      <c r="E9" s="132" t="s">
        <v>297</v>
      </c>
      <c r="F9" t="s">
        <v>253</v>
      </c>
      <c r="H9" s="119">
        <v>8851508.6700000763</v>
      </c>
      <c r="I9" s="102">
        <f>SUMIF('MUTASI 2026'!$F$5:$F$1048576,BB!A9,'MUTASI 2026'!$G$5:$G$1048576)</f>
        <v>103474000</v>
      </c>
      <c r="J9" s="102">
        <f>SUMIF('MUTASI 2026'!$F$5:$F$1048576,BB!A9,'MUTASI 2026'!$H$5:$H$1048576)</f>
        <v>107498092</v>
      </c>
      <c r="K9" s="120">
        <f t="shared" ref="K9:K51" si="0">I9-J9</f>
        <v>-4024092</v>
      </c>
      <c r="L9" s="121">
        <f t="shared" ref="L9:L51" si="1">+H9+K9</f>
        <v>4827416.6700000763</v>
      </c>
      <c r="M9" s="142">
        <v>4827416.6700000763</v>
      </c>
      <c r="N9" s="155">
        <f>L9-M9</f>
        <v>0</v>
      </c>
    </row>
    <row r="10" spans="1:15" x14ac:dyDescent="0.25">
      <c r="A10" t="s">
        <v>164</v>
      </c>
      <c r="B10" s="131" t="s">
        <v>156</v>
      </c>
      <c r="C10" s="131" t="s">
        <v>4</v>
      </c>
      <c r="D10" s="131"/>
      <c r="E10" s="132" t="s">
        <v>297</v>
      </c>
      <c r="F10" t="s">
        <v>254</v>
      </c>
      <c r="H10" s="119">
        <v>0</v>
      </c>
      <c r="I10" s="102">
        <f>SUMIF('MUTASI 2026'!$F$5:$F$1048576,BB!A10,'MUTASI 2026'!$G$5:$G$1048576)</f>
        <v>72600000</v>
      </c>
      <c r="J10" s="102">
        <f>SUMIF('MUTASI 2026'!$F$5:$F$1048576,BB!A10,'MUTASI 2026'!$H$5:$H$1048576)</f>
        <v>72600000</v>
      </c>
      <c r="K10" s="120">
        <f t="shared" si="0"/>
        <v>0</v>
      </c>
      <c r="L10" s="121">
        <f t="shared" si="1"/>
        <v>0</v>
      </c>
    </row>
    <row r="11" spans="1:15" x14ac:dyDescent="0.25">
      <c r="A11" t="s">
        <v>165</v>
      </c>
      <c r="B11" s="131" t="s">
        <v>156</v>
      </c>
      <c r="C11" s="131" t="s">
        <v>7</v>
      </c>
      <c r="D11" s="131"/>
      <c r="E11" s="132" t="s">
        <v>297</v>
      </c>
      <c r="F11" t="s">
        <v>8</v>
      </c>
      <c r="H11" s="119">
        <v>0</v>
      </c>
      <c r="I11" s="102">
        <f>SUMIF('MUTASI 2026'!$F$5:$F$1048576,BB!A11,'MUTASI 2026'!$G$5:$G$1048576)</f>
        <v>0</v>
      </c>
      <c r="J11" s="102">
        <f>SUMIF('MUTASI 2026'!$F$5:$F$1048576,BB!A11,'MUTASI 2026'!$H$5:$H$1048576)</f>
        <v>0</v>
      </c>
      <c r="K11" s="120">
        <f t="shared" si="0"/>
        <v>0</v>
      </c>
      <c r="L11" s="121">
        <f t="shared" si="1"/>
        <v>0</v>
      </c>
    </row>
    <row r="12" spans="1:15" x14ac:dyDescent="0.25">
      <c r="A12" t="s">
        <v>166</v>
      </c>
      <c r="B12" s="131" t="s">
        <v>156</v>
      </c>
      <c r="C12" s="131" t="s">
        <v>7</v>
      </c>
      <c r="D12" s="131"/>
      <c r="E12" s="132" t="s">
        <v>297</v>
      </c>
      <c r="F12" t="s">
        <v>322</v>
      </c>
      <c r="H12" s="119">
        <v>231180017.61999959</v>
      </c>
      <c r="I12" s="102">
        <f>SUMIF('MUTASI 2026'!$F$5:$F$1048576,BB!A12,'MUTASI 2026'!$G$5:$G$1048576)</f>
        <v>1194101990.3399999</v>
      </c>
      <c r="J12" s="102">
        <f>SUMIF('MUTASI 2026'!$F$5:$F$1048576,BB!A12,'MUTASI 2026'!$H$5:$H$1048576)</f>
        <v>1300104836.75</v>
      </c>
      <c r="K12" s="120">
        <f t="shared" si="0"/>
        <v>-106002846.41000009</v>
      </c>
      <c r="L12" s="121">
        <f t="shared" si="1"/>
        <v>125177171.2099995</v>
      </c>
      <c r="M12" s="142">
        <v>125177171.20999999</v>
      </c>
      <c r="N12" s="155">
        <f>L12-M12</f>
        <v>-4.9173831939697266E-7</v>
      </c>
    </row>
    <row r="13" spans="1:15" x14ac:dyDescent="0.25">
      <c r="A13" t="s">
        <v>167</v>
      </c>
      <c r="B13" s="131" t="s">
        <v>156</v>
      </c>
      <c r="C13" s="131" t="s">
        <v>7</v>
      </c>
      <c r="D13" s="131"/>
      <c r="E13" s="132" t="s">
        <v>297</v>
      </c>
      <c r="F13" t="s">
        <v>323</v>
      </c>
      <c r="H13" s="119">
        <v>71776656</v>
      </c>
      <c r="I13" s="102">
        <f>SUMIF('MUTASI 2026'!$F$5:$F$1048576,BB!A13,'MUTASI 2026'!$G$5:$G$1048576)</f>
        <v>0</v>
      </c>
      <c r="J13" s="102">
        <f>SUMIF('MUTASI 2026'!$F$5:$F$1048576,BB!A13,'MUTASI 2026'!$H$5:$H$1048576)</f>
        <v>240000</v>
      </c>
      <c r="K13" s="120">
        <f t="shared" si="0"/>
        <v>-240000</v>
      </c>
      <c r="L13" s="121">
        <f t="shared" si="1"/>
        <v>71536656</v>
      </c>
      <c r="M13" s="142">
        <v>71536656</v>
      </c>
      <c r="N13" s="155">
        <f>L13-M13</f>
        <v>0</v>
      </c>
    </row>
    <row r="14" spans="1:15" x14ac:dyDescent="0.25">
      <c r="A14" t="s">
        <v>168</v>
      </c>
      <c r="B14" s="131" t="s">
        <v>156</v>
      </c>
      <c r="C14" s="131" t="s">
        <v>9</v>
      </c>
      <c r="D14" s="131"/>
      <c r="E14" s="132" t="s">
        <v>297</v>
      </c>
      <c r="F14" t="s">
        <v>255</v>
      </c>
      <c r="H14" s="119">
        <v>0</v>
      </c>
      <c r="I14" s="102">
        <f>SUMIF('MUTASI 2026'!$F$5:$F$1048576,BB!A14,'MUTASI 2026'!$G$5:$G$1048576)</f>
        <v>0</v>
      </c>
      <c r="J14" s="102">
        <f>SUMIF('MUTASI 2026'!$F$5:$F$1048576,BB!A14,'MUTASI 2026'!$H$5:$H$1048576)</f>
        <v>0</v>
      </c>
      <c r="K14" s="120">
        <f t="shared" si="0"/>
        <v>0</v>
      </c>
      <c r="L14" s="121">
        <f t="shared" si="1"/>
        <v>0</v>
      </c>
    </row>
    <row r="15" spans="1:15" x14ac:dyDescent="0.25">
      <c r="A15" t="s">
        <v>169</v>
      </c>
      <c r="B15" s="131" t="s">
        <v>156</v>
      </c>
      <c r="C15" s="131" t="s">
        <v>9</v>
      </c>
      <c r="D15" s="131"/>
      <c r="E15" s="132" t="s">
        <v>297</v>
      </c>
      <c r="F15" t="s">
        <v>324</v>
      </c>
      <c r="H15" s="119">
        <v>0</v>
      </c>
      <c r="I15" s="102">
        <f>SUMIF('MUTASI 2026'!$F$5:$F$1048576,BB!A15,'MUTASI 2026'!$G$5:$G$1048576)</f>
        <v>0</v>
      </c>
      <c r="J15" s="102">
        <f>SUMIF('MUTASI 2026'!$F$5:$F$1048576,BB!A15,'MUTASI 2026'!$H$5:$H$1048576)</f>
        <v>0</v>
      </c>
      <c r="K15" s="120">
        <f t="shared" si="0"/>
        <v>0</v>
      </c>
      <c r="L15" s="121">
        <f t="shared" si="1"/>
        <v>0</v>
      </c>
    </row>
    <row r="16" spans="1:15" x14ac:dyDescent="0.25">
      <c r="A16" t="s">
        <v>170</v>
      </c>
      <c r="B16" s="131" t="s">
        <v>156</v>
      </c>
      <c r="C16" s="131" t="s">
        <v>9</v>
      </c>
      <c r="D16" s="131"/>
      <c r="E16" s="132" t="s">
        <v>297</v>
      </c>
      <c r="F16" t="s">
        <v>256</v>
      </c>
      <c r="H16" s="119">
        <v>0</v>
      </c>
      <c r="I16" s="102">
        <f>SUMIF('MUTASI 2026'!$F$5:$F$1048576,BB!A16,'MUTASI 2026'!$G$5:$G$1048576)</f>
        <v>0</v>
      </c>
      <c r="J16" s="102">
        <f>SUMIF('MUTASI 2026'!$F$5:$F$1048576,BB!A16,'MUTASI 2026'!$H$5:$H$1048576)</f>
        <v>0</v>
      </c>
      <c r="K16" s="120">
        <f t="shared" si="0"/>
        <v>0</v>
      </c>
      <c r="L16" s="121">
        <f t="shared" si="1"/>
        <v>0</v>
      </c>
    </row>
    <row r="17" spans="1:15" x14ac:dyDescent="0.25">
      <c r="A17" t="s">
        <v>171</v>
      </c>
      <c r="B17" s="131" t="s">
        <v>156</v>
      </c>
      <c r="C17" s="131" t="s">
        <v>10</v>
      </c>
      <c r="D17" s="131"/>
      <c r="E17" s="132" t="s">
        <v>297</v>
      </c>
      <c r="F17" t="s">
        <v>257</v>
      </c>
      <c r="H17" s="119">
        <v>0</v>
      </c>
      <c r="I17" s="102">
        <f>SUMIF('MUTASI 2026'!$F$5:$F$1048576,BB!A17,'MUTASI 2026'!$G$5:$G$1048576)</f>
        <v>0</v>
      </c>
      <c r="J17" s="102">
        <f>SUMIF('MUTASI 2026'!$F$5:$F$1048576,BB!A17,'MUTASI 2026'!$H$5:$H$1048576)</f>
        <v>0</v>
      </c>
      <c r="K17" s="120">
        <f t="shared" si="0"/>
        <v>0</v>
      </c>
      <c r="L17" s="121">
        <f t="shared" si="1"/>
        <v>0</v>
      </c>
    </row>
    <row r="18" spans="1:15" x14ac:dyDescent="0.25">
      <c r="A18" s="154" t="s">
        <v>326</v>
      </c>
      <c r="B18" s="131" t="s">
        <v>156</v>
      </c>
      <c r="C18" s="131" t="s">
        <v>340</v>
      </c>
      <c r="D18" s="131"/>
      <c r="E18" s="132" t="s">
        <v>297</v>
      </c>
      <c r="F18" t="s">
        <v>325</v>
      </c>
      <c r="H18" s="119">
        <v>0</v>
      </c>
      <c r="I18" s="102">
        <f>SUMIF('MUTASI 2026'!$F$5:$F$1048576,BB!A18,'MUTASI 2026'!$G$5:$G$1048576)</f>
        <v>0</v>
      </c>
      <c r="J18" s="102">
        <f>SUMIF('MUTASI 2026'!$F$5:$F$1048576,BB!A18,'MUTASI 2026'!$H$5:$H$1048576)</f>
        <v>0</v>
      </c>
      <c r="K18" s="120">
        <f t="shared" si="0"/>
        <v>0</v>
      </c>
      <c r="L18" s="121">
        <f t="shared" si="1"/>
        <v>0</v>
      </c>
    </row>
    <row r="19" spans="1:15" x14ac:dyDescent="0.25">
      <c r="A19" s="154" t="s">
        <v>468</v>
      </c>
      <c r="B19" s="131" t="s">
        <v>156</v>
      </c>
      <c r="C19" s="131" t="s">
        <v>340</v>
      </c>
      <c r="D19" s="131"/>
      <c r="E19" s="132" t="s">
        <v>297</v>
      </c>
      <c r="F19" t="s">
        <v>472</v>
      </c>
      <c r="H19" s="119">
        <v>1898421812.4832218</v>
      </c>
      <c r="I19" s="102">
        <f>SUMIF('MUTASI 2026'!$F$5:$F$1048576,BB!A19,'MUTASI 2026'!$G$5:$G$1048576)</f>
        <v>1279000000.3333328</v>
      </c>
      <c r="J19" s="102">
        <f>SUMIF('MUTASI 2026'!$F$5:$F$1048576,BB!A19,'MUTASI 2026'!$H$5:$H$1048576)</f>
        <v>1223561675.5555546</v>
      </c>
      <c r="K19" s="120">
        <f>I19-J19</f>
        <v>55438324.777778149</v>
      </c>
      <c r="L19" s="121">
        <f>+H19+K19</f>
        <v>1953860137.2609999</v>
      </c>
      <c r="M19" s="142">
        <v>1953860137.2609997</v>
      </c>
      <c r="N19" s="155">
        <f>L19-M19</f>
        <v>0</v>
      </c>
      <c r="O19" s="165"/>
    </row>
    <row r="20" spans="1:15" x14ac:dyDescent="0.25">
      <c r="A20" s="154" t="s">
        <v>469</v>
      </c>
      <c r="B20" s="131" t="s">
        <v>156</v>
      </c>
      <c r="C20" s="131" t="s">
        <v>340</v>
      </c>
      <c r="D20" s="131"/>
      <c r="E20" s="132" t="s">
        <v>297</v>
      </c>
      <c r="F20" t="s">
        <v>473</v>
      </c>
      <c r="H20" s="119">
        <v>0</v>
      </c>
      <c r="I20" s="102">
        <f>SUMIF('MUTASI 2026'!$F$5:$F$1048576,BB!A20,'MUTASI 2026'!$G$5:$G$1048576)</f>
        <v>0</v>
      </c>
      <c r="J20" s="102">
        <f>SUMIF('MUTASI 2026'!$F$5:$F$1048576,BB!A20,'MUTASI 2026'!$H$5:$H$1048576)</f>
        <v>0</v>
      </c>
      <c r="K20" s="120">
        <f>I20-J20</f>
        <v>0</v>
      </c>
      <c r="L20" s="121">
        <f>+H20+K20</f>
        <v>0</v>
      </c>
    </row>
    <row r="21" spans="1:15" x14ac:dyDescent="0.25">
      <c r="A21" s="154" t="s">
        <v>470</v>
      </c>
      <c r="B21" s="131" t="s">
        <v>156</v>
      </c>
      <c r="C21" s="131" t="s">
        <v>340</v>
      </c>
      <c r="D21" s="131"/>
      <c r="E21" s="132" t="s">
        <v>297</v>
      </c>
      <c r="F21" t="s">
        <v>474</v>
      </c>
      <c r="H21" s="119">
        <v>0</v>
      </c>
      <c r="I21" s="102">
        <f>SUMIF('MUTASI 2026'!$F$5:$F$1048576,BB!A21,'MUTASI 2026'!$G$5:$G$1048576)</f>
        <v>0</v>
      </c>
      <c r="J21" s="102">
        <f>SUMIF('MUTASI 2026'!$F$5:$F$1048576,BB!A21,'MUTASI 2026'!$H$5:$H$1048576)</f>
        <v>0</v>
      </c>
      <c r="K21" s="120">
        <f>I21-J21</f>
        <v>0</v>
      </c>
      <c r="L21" s="121">
        <f>+H21+K21</f>
        <v>0</v>
      </c>
    </row>
    <row r="22" spans="1:15" x14ac:dyDescent="0.25">
      <c r="A22" s="154" t="s">
        <v>471</v>
      </c>
      <c r="B22" s="131" t="s">
        <v>156</v>
      </c>
      <c r="C22" s="131" t="s">
        <v>340</v>
      </c>
      <c r="D22" s="131"/>
      <c r="E22" s="132" t="s">
        <v>297</v>
      </c>
      <c r="F22" t="s">
        <v>475</v>
      </c>
      <c r="H22" s="119">
        <v>27997882.311354019</v>
      </c>
      <c r="I22" s="102">
        <f>SUMIF('MUTASI 2026'!$F$5:$F$1048576,BB!A22,'MUTASI 2026'!$G$5:$G$1048576)</f>
        <v>26000000</v>
      </c>
      <c r="J22" s="102">
        <f>SUMIF('MUTASI 2026'!$F$5:$F$1048576,BB!A22,'MUTASI 2026'!$H$5:$H$1048576)</f>
        <v>28855000</v>
      </c>
      <c r="K22" s="120">
        <f>I22-J22</f>
        <v>-2855000</v>
      </c>
      <c r="L22" s="121">
        <f>+H22+K22</f>
        <v>25142882.311354019</v>
      </c>
      <c r="M22" s="142">
        <v>25142882.311354019</v>
      </c>
      <c r="N22" s="155">
        <f>L22-M22</f>
        <v>0</v>
      </c>
    </row>
    <row r="23" spans="1:15" x14ac:dyDescent="0.25">
      <c r="A23" s="154" t="s">
        <v>327</v>
      </c>
      <c r="B23" s="131" t="s">
        <v>156</v>
      </c>
      <c r="C23" s="131" t="s">
        <v>341</v>
      </c>
      <c r="D23" s="131"/>
      <c r="E23" s="132" t="s">
        <v>297</v>
      </c>
      <c r="F23" t="s">
        <v>328</v>
      </c>
      <c r="H23" s="119">
        <v>0</v>
      </c>
      <c r="I23" s="102">
        <f>SUMIF('MUTASI 2026'!$F$5:$F$1048576,BB!A23,'MUTASI 2026'!$G$5:$G$1048576)</f>
        <v>0</v>
      </c>
      <c r="J23" s="102">
        <f>SUMIF('MUTASI 2026'!$F$5:$F$1048576,BB!A23,'MUTASI 2026'!$H$5:$H$1048576)</f>
        <v>0</v>
      </c>
      <c r="K23" s="120">
        <f t="shared" si="0"/>
        <v>0</v>
      </c>
      <c r="L23" s="121">
        <f t="shared" si="1"/>
        <v>0</v>
      </c>
    </row>
    <row r="24" spans="1:15" x14ac:dyDescent="0.25">
      <c r="A24" s="154" t="s">
        <v>459</v>
      </c>
      <c r="B24" s="131" t="s">
        <v>156</v>
      </c>
      <c r="C24" s="131" t="s">
        <v>341</v>
      </c>
      <c r="D24" s="131"/>
      <c r="E24" s="132" t="s">
        <v>297</v>
      </c>
      <c r="F24" t="s">
        <v>465</v>
      </c>
      <c r="H24" s="119">
        <v>560823867</v>
      </c>
      <c r="I24" s="102">
        <f>SUMIF('MUTASI 2026'!$F$5:$F$1048576,BB!A24,'MUTASI 2026'!$G$5:$G$1048576)</f>
        <v>0</v>
      </c>
      <c r="J24" s="102">
        <f>SUMIF('MUTASI 2026'!$F$5:$F$1048576,BB!A24,'MUTASI 2026'!$H$5:$H$1048576)</f>
        <v>0</v>
      </c>
      <c r="K24" s="120">
        <f t="shared" ref="K24:K29" si="2">I24-J24</f>
        <v>0</v>
      </c>
      <c r="L24" s="121">
        <f t="shared" ref="L24:L29" si="3">+H24+K24</f>
        <v>560823867</v>
      </c>
    </row>
    <row r="25" spans="1:15" x14ac:dyDescent="0.25">
      <c r="A25" s="154" t="s">
        <v>460</v>
      </c>
      <c r="B25" s="131" t="s">
        <v>156</v>
      </c>
      <c r="C25" s="131" t="s">
        <v>341</v>
      </c>
      <c r="D25" s="131"/>
      <c r="E25" s="132" t="s">
        <v>297</v>
      </c>
      <c r="F25" t="s">
        <v>486</v>
      </c>
      <c r="H25" s="119">
        <v>0</v>
      </c>
      <c r="I25" s="102">
        <f>SUMIF('MUTASI 2026'!$F$5:$F$1048576,BB!A25,'MUTASI 2026'!$G$5:$G$1048576)</f>
        <v>0</v>
      </c>
      <c r="J25" s="102">
        <f>SUMIF('MUTASI 2026'!$F$5:$F$1048576,BB!A25,'MUTASI 2026'!$H$5:$H$1048576)</f>
        <v>0</v>
      </c>
      <c r="K25" s="120">
        <f t="shared" si="2"/>
        <v>0</v>
      </c>
      <c r="L25" s="121">
        <f t="shared" si="3"/>
        <v>0</v>
      </c>
    </row>
    <row r="26" spans="1:15" x14ac:dyDescent="0.25">
      <c r="A26" s="154" t="s">
        <v>461</v>
      </c>
      <c r="B26" s="131" t="s">
        <v>156</v>
      </c>
      <c r="C26" s="131" t="s">
        <v>341</v>
      </c>
      <c r="D26" s="131"/>
      <c r="E26" s="132" t="s">
        <v>297</v>
      </c>
      <c r="F26" t="s">
        <v>487</v>
      </c>
      <c r="H26" s="119">
        <v>82320000</v>
      </c>
      <c r="I26" s="102">
        <f>SUMIF('MUTASI 2026'!$F$5:$F$1048576,BB!A26,'MUTASI 2026'!$G$5:$G$1048576)</f>
        <v>70560000</v>
      </c>
      <c r="J26" s="102">
        <f>SUMIF('MUTASI 2026'!$F$5:$F$1048576,BB!A26,'MUTASI 2026'!$H$5:$H$1048576)</f>
        <v>47040000</v>
      </c>
      <c r="K26" s="120">
        <f t="shared" si="2"/>
        <v>23520000</v>
      </c>
      <c r="L26" s="121">
        <f t="shared" si="3"/>
        <v>105840000</v>
      </c>
      <c r="M26" s="210">
        <f>+L26/11760000</f>
        <v>9</v>
      </c>
      <c r="N26" s="177"/>
    </row>
    <row r="27" spans="1:15" x14ac:dyDescent="0.25">
      <c r="A27" s="154" t="s">
        <v>462</v>
      </c>
      <c r="B27" s="131" t="s">
        <v>156</v>
      </c>
      <c r="C27" s="131" t="s">
        <v>341</v>
      </c>
      <c r="D27" s="131"/>
      <c r="E27" s="132" t="s">
        <v>297</v>
      </c>
      <c r="F27" t="s">
        <v>466</v>
      </c>
      <c r="H27" s="119">
        <v>0</v>
      </c>
      <c r="I27" s="102">
        <f>SUMIF('MUTASI 2026'!$F$5:$F$1048576,BB!A27,'MUTASI 2026'!$G$5:$G$1048576)</f>
        <v>0</v>
      </c>
      <c r="J27" s="102">
        <f>SUMIF('MUTASI 2026'!$F$5:$F$1048576,BB!A27,'MUTASI 2026'!$H$5:$H$1048576)</f>
        <v>0</v>
      </c>
      <c r="K27" s="120">
        <f t="shared" si="2"/>
        <v>0</v>
      </c>
      <c r="L27" s="121">
        <f t="shared" si="3"/>
        <v>0</v>
      </c>
    </row>
    <row r="28" spans="1:15" x14ac:dyDescent="0.25">
      <c r="A28" s="154" t="s">
        <v>463</v>
      </c>
      <c r="B28" s="131" t="s">
        <v>156</v>
      </c>
      <c r="C28" s="131" t="s">
        <v>341</v>
      </c>
      <c r="D28" s="131"/>
      <c r="E28" s="132" t="s">
        <v>297</v>
      </c>
      <c r="F28" t="s">
        <v>488</v>
      </c>
      <c r="H28" s="119">
        <v>0</v>
      </c>
      <c r="I28" s="102">
        <f>SUMIF('MUTASI 2026'!$F$5:$F$1048576,BB!A28,'MUTASI 2026'!$G$5:$G$1048576)</f>
        <v>0</v>
      </c>
      <c r="J28" s="102">
        <f>SUMIF('MUTASI 2026'!$F$5:$F$1048576,BB!A28,'MUTASI 2026'!$H$5:$H$1048576)</f>
        <v>0</v>
      </c>
      <c r="K28" s="120">
        <f t="shared" si="2"/>
        <v>0</v>
      </c>
      <c r="L28" s="121">
        <f t="shared" si="3"/>
        <v>0</v>
      </c>
    </row>
    <row r="29" spans="1:15" x14ac:dyDescent="0.25">
      <c r="A29" s="154" t="s">
        <v>464</v>
      </c>
      <c r="B29" s="131" t="s">
        <v>156</v>
      </c>
      <c r="C29" s="131" t="s">
        <v>341</v>
      </c>
      <c r="D29" s="131"/>
      <c r="E29" s="132" t="s">
        <v>297</v>
      </c>
      <c r="F29" t="s">
        <v>489</v>
      </c>
      <c r="H29" s="119">
        <v>0</v>
      </c>
      <c r="I29" s="102">
        <f>SUMIF('MUTASI 2026'!$F$5:$F$1048576,BB!A29,'MUTASI 2026'!$G$5:$G$1048576)</f>
        <v>156800000</v>
      </c>
      <c r="J29" s="102">
        <f>SUMIF('MUTASI 2026'!$F$5:$F$1048576,BB!A29,'MUTASI 2026'!$H$5:$H$1048576)</f>
        <v>125440000</v>
      </c>
      <c r="K29" s="120">
        <f t="shared" si="2"/>
        <v>31360000</v>
      </c>
      <c r="L29" s="121">
        <f t="shared" si="3"/>
        <v>31360000</v>
      </c>
      <c r="M29" s="210">
        <f>+L29/15680000</f>
        <v>2</v>
      </c>
    </row>
    <row r="30" spans="1:15" x14ac:dyDescent="0.25">
      <c r="A30" s="154" t="s">
        <v>490</v>
      </c>
      <c r="B30" s="131" t="s">
        <v>156</v>
      </c>
      <c r="C30" s="131" t="s">
        <v>341</v>
      </c>
      <c r="D30" s="131"/>
      <c r="E30" s="132" t="s">
        <v>297</v>
      </c>
      <c r="F30" t="s">
        <v>491</v>
      </c>
      <c r="H30" s="119">
        <v>0</v>
      </c>
      <c r="I30" s="102">
        <f>SUMIF('MUTASI 2026'!$F$5:$F$1048576,BB!A30,'MUTASI 2026'!$G$5:$G$1048576)</f>
        <v>0</v>
      </c>
      <c r="J30" s="102">
        <f>SUMIF('MUTASI 2026'!$F$5:$F$1048576,BB!A30,'MUTASI 2026'!$H$5:$H$1048576)</f>
        <v>0</v>
      </c>
      <c r="K30" s="120">
        <f>I30-J30</f>
        <v>0</v>
      </c>
      <c r="L30" s="121">
        <f>+H30+K30</f>
        <v>0</v>
      </c>
    </row>
    <row r="31" spans="1:15" x14ac:dyDescent="0.25">
      <c r="A31" s="154" t="s">
        <v>493</v>
      </c>
      <c r="B31" s="131" t="s">
        <v>156</v>
      </c>
      <c r="C31" s="131" t="s">
        <v>341</v>
      </c>
      <c r="D31" s="131"/>
      <c r="E31" s="132" t="s">
        <v>297</v>
      </c>
      <c r="F31" t="s">
        <v>492</v>
      </c>
      <c r="H31" s="119">
        <v>0</v>
      </c>
      <c r="I31" s="102">
        <f>SUMIF('MUTASI 2026'!$F$5:$F$1048576,BB!A31,'MUTASI 2026'!$G$5:$G$1048576)</f>
        <v>0</v>
      </c>
      <c r="J31" s="102">
        <f>SUMIF('MUTASI 2026'!$F$5:$F$1048576,BB!A31,'MUTASI 2026'!$H$5:$H$1048576)</f>
        <v>0</v>
      </c>
      <c r="K31" s="120">
        <f>I31-J31</f>
        <v>0</v>
      </c>
      <c r="L31" s="121">
        <f>+H31+K31</f>
        <v>0</v>
      </c>
    </row>
    <row r="32" spans="1:15" x14ac:dyDescent="0.25">
      <c r="A32" s="154" t="s">
        <v>495</v>
      </c>
      <c r="B32" s="131" t="s">
        <v>156</v>
      </c>
      <c r="C32" s="131" t="s">
        <v>341</v>
      </c>
      <c r="D32" s="131"/>
      <c r="E32" s="132" t="s">
        <v>297</v>
      </c>
      <c r="F32" t="s">
        <v>494</v>
      </c>
      <c r="H32" s="119">
        <v>0</v>
      </c>
      <c r="I32" s="102">
        <f>SUMIF('MUTASI 2026'!$F$5:$F$1048576,BB!A32,'MUTASI 2026'!$G$5:$G$1048576)</f>
        <v>0</v>
      </c>
      <c r="J32" s="102">
        <f>SUMIF('MUTASI 2026'!$F$5:$F$1048576,BB!A32,'MUTASI 2026'!$H$5:$H$1048576)</f>
        <v>0</v>
      </c>
      <c r="K32" s="120">
        <f>I32-J32</f>
        <v>0</v>
      </c>
      <c r="L32" s="121">
        <f>+H32+K32</f>
        <v>0</v>
      </c>
    </row>
    <row r="33" spans="1:12" x14ac:dyDescent="0.25">
      <c r="A33" t="s">
        <v>172</v>
      </c>
      <c r="B33" s="131" t="s">
        <v>156</v>
      </c>
      <c r="C33" s="131" t="s">
        <v>22</v>
      </c>
      <c r="D33" s="131"/>
      <c r="E33" s="132" t="s">
        <v>298</v>
      </c>
      <c r="F33" t="s">
        <v>258</v>
      </c>
      <c r="H33" s="119">
        <v>-182000000</v>
      </c>
      <c r="I33" s="102">
        <f>SUMIF('MUTASI 2026'!$F$5:$F$1048576,BB!A33,'MUTASI 2026'!$G$5:$G$1048576)</f>
        <v>0</v>
      </c>
      <c r="J33" s="102">
        <f>SUMIF('MUTASI 2026'!$F$5:$F$1048576,BB!A33,'MUTASI 2026'!$H$5:$H$1048576)</f>
        <v>12000000</v>
      </c>
      <c r="K33" s="120">
        <f t="shared" si="0"/>
        <v>-12000000</v>
      </c>
      <c r="L33" s="121">
        <f t="shared" si="1"/>
        <v>-194000000</v>
      </c>
    </row>
    <row r="34" spans="1:12" x14ac:dyDescent="0.25">
      <c r="A34" t="s">
        <v>173</v>
      </c>
      <c r="B34" s="131" t="s">
        <v>156</v>
      </c>
      <c r="C34" s="131" t="s">
        <v>13</v>
      </c>
      <c r="D34" s="131"/>
      <c r="E34" s="132" t="s">
        <v>297</v>
      </c>
      <c r="F34" t="s">
        <v>14</v>
      </c>
      <c r="H34" s="119">
        <v>0</v>
      </c>
      <c r="I34" s="102">
        <f>SUMIF('MUTASI 2026'!$F$5:$F$1048576,BB!A34,'MUTASI 2026'!$G$5:$G$1048576)</f>
        <v>0</v>
      </c>
      <c r="J34" s="102">
        <f>SUMIF('MUTASI 2026'!$F$5:$F$1048576,BB!A34,'MUTASI 2026'!$H$5:$H$1048576)</f>
        <v>0</v>
      </c>
      <c r="K34" s="120">
        <f t="shared" si="0"/>
        <v>0</v>
      </c>
      <c r="L34" s="121">
        <f t="shared" si="1"/>
        <v>0</v>
      </c>
    </row>
    <row r="35" spans="1:12" x14ac:dyDescent="0.25">
      <c r="A35" t="s">
        <v>174</v>
      </c>
      <c r="B35" s="131" t="s">
        <v>156</v>
      </c>
      <c r="C35" s="131" t="s">
        <v>11</v>
      </c>
      <c r="D35" s="131"/>
      <c r="E35" s="132" t="s">
        <v>297</v>
      </c>
      <c r="F35" t="s">
        <v>16</v>
      </c>
      <c r="H35" s="119">
        <v>0</v>
      </c>
      <c r="I35" s="102">
        <f>SUMIF('MUTASI 2026'!$F$5:$F$1048576,BB!A35,'MUTASI 2026'!$G$5:$G$1048576)</f>
        <v>0</v>
      </c>
      <c r="J35" s="102">
        <f>SUMIF('MUTASI 2026'!$F$5:$F$1048576,BB!A35,'MUTASI 2026'!$H$5:$H$1048576)</f>
        <v>0</v>
      </c>
      <c r="K35" s="120">
        <f t="shared" si="0"/>
        <v>0</v>
      </c>
      <c r="L35" s="121">
        <f t="shared" si="1"/>
        <v>0</v>
      </c>
    </row>
    <row r="36" spans="1:12" x14ac:dyDescent="0.25">
      <c r="A36" t="s">
        <v>175</v>
      </c>
      <c r="B36" s="131" t="s">
        <v>156</v>
      </c>
      <c r="C36" s="131" t="s">
        <v>23</v>
      </c>
      <c r="D36" s="131"/>
      <c r="E36" s="132" t="s">
        <v>297</v>
      </c>
      <c r="F36" t="s">
        <v>259</v>
      </c>
      <c r="H36" s="119">
        <v>0</v>
      </c>
      <c r="I36" s="102">
        <f>SUMIF('MUTASI 2026'!$F$5:$F$1048576,BB!A36,'MUTASI 2026'!$G$5:$G$1048576)</f>
        <v>11608500</v>
      </c>
      <c r="J36" s="102">
        <f>SUMIF('MUTASI 2026'!$F$5:$F$1048576,BB!A36,'MUTASI 2026'!$H$5:$H$1048576)</f>
        <v>0</v>
      </c>
      <c r="K36" s="120">
        <f t="shared" si="0"/>
        <v>11608500</v>
      </c>
      <c r="L36" s="121">
        <f t="shared" si="1"/>
        <v>11608500</v>
      </c>
    </row>
    <row r="37" spans="1:12" x14ac:dyDescent="0.25">
      <c r="A37" s="154" t="s">
        <v>481</v>
      </c>
      <c r="B37" s="131" t="s">
        <v>156</v>
      </c>
      <c r="C37" s="131" t="s">
        <v>23</v>
      </c>
      <c r="D37" s="131"/>
      <c r="E37" s="132" t="s">
        <v>297</v>
      </c>
      <c r="F37" t="s">
        <v>467</v>
      </c>
      <c r="H37" s="119">
        <v>0</v>
      </c>
      <c r="I37" s="102">
        <f>SUMIF('MUTASI 2026'!$F$5:$F$1048576,BB!A37,'MUTASI 2026'!$G$5:$G$1048576)</f>
        <v>0</v>
      </c>
      <c r="J37" s="102">
        <f>SUMIF('MUTASI 2026'!$F$5:$F$1048576,BB!A37,'MUTASI 2026'!$H$5:$H$1048576)</f>
        <v>0</v>
      </c>
      <c r="K37" s="120">
        <f>I37-J37</f>
        <v>0</v>
      </c>
      <c r="L37" s="121">
        <f>+H37+K37</f>
        <v>0</v>
      </c>
    </row>
    <row r="38" spans="1:12" x14ac:dyDescent="0.25">
      <c r="A38" s="154" t="s">
        <v>482</v>
      </c>
      <c r="B38" s="131" t="s">
        <v>156</v>
      </c>
      <c r="C38" s="131" t="s">
        <v>23</v>
      </c>
      <c r="D38" s="131"/>
      <c r="E38" s="132" t="s">
        <v>297</v>
      </c>
      <c r="F38" t="s">
        <v>483</v>
      </c>
      <c r="H38" s="119">
        <v>0</v>
      </c>
      <c r="I38" s="102">
        <f>SUMIF('MUTASI 2026'!$F$5:$F$1048576,BB!A38,'MUTASI 2026'!$G$5:$G$1048576)</f>
        <v>0</v>
      </c>
      <c r="J38" s="102">
        <f>SUMIF('MUTASI 2026'!$F$5:$F$1048576,BB!A38,'MUTASI 2026'!$H$5:$H$1048576)</f>
        <v>0</v>
      </c>
      <c r="K38" s="120">
        <f>I38-J38</f>
        <v>0</v>
      </c>
      <c r="L38" s="121">
        <f>+H38+K38</f>
        <v>0</v>
      </c>
    </row>
    <row r="39" spans="1:12" x14ac:dyDescent="0.25">
      <c r="A39" s="154" t="s">
        <v>484</v>
      </c>
      <c r="B39" s="131" t="s">
        <v>156</v>
      </c>
      <c r="C39" s="131" t="s">
        <v>23</v>
      </c>
      <c r="D39" s="131"/>
      <c r="E39" s="132" t="s">
        <v>297</v>
      </c>
      <c r="F39" t="s">
        <v>485</v>
      </c>
      <c r="H39" s="119">
        <v>0</v>
      </c>
      <c r="I39" s="102">
        <f>SUMIF('MUTASI 2026'!$F$5:$F$1048576,BB!A39,'MUTASI 2026'!$G$5:$G$1048576)</f>
        <v>0</v>
      </c>
      <c r="J39" s="102">
        <f>SUMIF('MUTASI 2026'!$F$5:$F$1048576,BB!A39,'MUTASI 2026'!$H$5:$H$1048576)</f>
        <v>0</v>
      </c>
      <c r="K39" s="120">
        <f>I39-J39</f>
        <v>0</v>
      </c>
      <c r="L39" s="121">
        <f>+H39+K39</f>
        <v>0</v>
      </c>
    </row>
    <row r="40" spans="1:12" x14ac:dyDescent="0.25">
      <c r="A40" s="154" t="s">
        <v>506</v>
      </c>
      <c r="B40" s="131" t="s">
        <v>156</v>
      </c>
      <c r="C40" s="131" t="s">
        <v>23</v>
      </c>
      <c r="D40" s="131"/>
      <c r="E40" s="132" t="s">
        <v>297</v>
      </c>
      <c r="F40" t="s">
        <v>507</v>
      </c>
      <c r="H40" s="119">
        <v>0</v>
      </c>
      <c r="I40" s="102">
        <f>SUMIF('MUTASI 2026'!$F$5:$F$1048576,BB!A40,'MUTASI 2026'!$G$5:$G$1048576)</f>
        <v>0</v>
      </c>
      <c r="J40" s="102">
        <f>SUMIF('MUTASI 2026'!$F$5:$F$1048576,BB!A40,'MUTASI 2026'!$H$5:$H$1048576)</f>
        <v>0</v>
      </c>
      <c r="K40" s="120">
        <f>I40-J40</f>
        <v>0</v>
      </c>
      <c r="L40" s="121">
        <f>+H40+K40</f>
        <v>0</v>
      </c>
    </row>
    <row r="41" spans="1:12" x14ac:dyDescent="0.25">
      <c r="A41" t="s">
        <v>176</v>
      </c>
      <c r="B41" s="131" t="s">
        <v>156</v>
      </c>
      <c r="C41" s="131" t="s">
        <v>24</v>
      </c>
      <c r="D41" s="131"/>
      <c r="E41" s="132" t="s">
        <v>297</v>
      </c>
      <c r="F41" t="s">
        <v>260</v>
      </c>
      <c r="H41" s="119">
        <v>0</v>
      </c>
      <c r="I41" s="102">
        <f>SUMIF('MUTASI 2026'!$F$5:$F$1048576,BB!A41,'MUTASI 2026'!$G$5:$G$1048576)</f>
        <v>0</v>
      </c>
      <c r="J41" s="102">
        <f>SUMIF('MUTASI 2026'!$F$5:$F$1048576,BB!A41,'MUTASI 2026'!$H$5:$H$1048576)</f>
        <v>0</v>
      </c>
      <c r="K41" s="120">
        <f t="shared" si="0"/>
        <v>0</v>
      </c>
      <c r="L41" s="121">
        <f t="shared" si="1"/>
        <v>0</v>
      </c>
    </row>
    <row r="42" spans="1:12" x14ac:dyDescent="0.25">
      <c r="A42" t="s">
        <v>177</v>
      </c>
      <c r="B42" s="131" t="s">
        <v>156</v>
      </c>
      <c r="C42" s="131" t="s">
        <v>25</v>
      </c>
      <c r="D42" s="131"/>
      <c r="E42" s="132" t="s">
        <v>297</v>
      </c>
      <c r="F42" t="s">
        <v>18</v>
      </c>
      <c r="H42" s="119">
        <v>0</v>
      </c>
      <c r="I42" s="102">
        <f>SUMIF('MUTASI 2026'!$F$5:$F$1048576,BB!A42,'MUTASI 2026'!$G$5:$G$1048576)</f>
        <v>0</v>
      </c>
      <c r="J42" s="102">
        <f>SUMIF('MUTASI 2026'!$F$5:$F$1048576,BB!A42,'MUTASI 2026'!$H$5:$H$1048576)</f>
        <v>0</v>
      </c>
      <c r="K42" s="120">
        <f t="shared" si="0"/>
        <v>0</v>
      </c>
      <c r="L42" s="121">
        <f t="shared" si="1"/>
        <v>0</v>
      </c>
    </row>
    <row r="43" spans="1:12" x14ac:dyDescent="0.25">
      <c r="A43" t="s">
        <v>178</v>
      </c>
      <c r="B43" s="131" t="s">
        <v>156</v>
      </c>
      <c r="C43" s="131" t="s">
        <v>25</v>
      </c>
      <c r="D43" s="131"/>
      <c r="E43" s="132" t="s">
        <v>297</v>
      </c>
      <c r="F43" t="s">
        <v>261</v>
      </c>
      <c r="H43" s="119">
        <v>0</v>
      </c>
      <c r="I43" s="102">
        <f>SUMIF('MUTASI 2026'!$F$5:$F$1048576,BB!A43,'MUTASI 2026'!$G$5:$G$1048576)</f>
        <v>0</v>
      </c>
      <c r="J43" s="102">
        <f>SUMIF('MUTASI 2026'!$F$5:$F$1048576,BB!A43,'MUTASI 2026'!$H$5:$H$1048576)</f>
        <v>0</v>
      </c>
      <c r="K43" s="120">
        <f t="shared" si="0"/>
        <v>0</v>
      </c>
      <c r="L43" s="121">
        <f t="shared" si="1"/>
        <v>0</v>
      </c>
    </row>
    <row r="44" spans="1:12" x14ac:dyDescent="0.25">
      <c r="A44" t="s">
        <v>179</v>
      </c>
      <c r="B44" s="131" t="s">
        <v>156</v>
      </c>
      <c r="C44" s="131" t="s">
        <v>25</v>
      </c>
      <c r="D44" s="131"/>
      <c r="E44" s="132" t="s">
        <v>297</v>
      </c>
      <c r="F44" t="s">
        <v>262</v>
      </c>
      <c r="H44" s="119">
        <v>0</v>
      </c>
      <c r="I44" s="102">
        <f>SUMIF('MUTASI 2026'!$F$5:$F$1048576,BB!A44,'MUTASI 2026'!$G$5:$G$1048576)</f>
        <v>0</v>
      </c>
      <c r="J44" s="102">
        <f>SUMIF('MUTASI 2026'!$F$5:$F$1048576,BB!A44,'MUTASI 2026'!$H$5:$H$1048576)</f>
        <v>0</v>
      </c>
      <c r="K44" s="120">
        <f t="shared" si="0"/>
        <v>0</v>
      </c>
      <c r="L44" s="121">
        <f t="shared" si="1"/>
        <v>0</v>
      </c>
    </row>
    <row r="45" spans="1:12" x14ac:dyDescent="0.25">
      <c r="A45" t="s">
        <v>180</v>
      </c>
      <c r="B45" s="131" t="s">
        <v>156</v>
      </c>
      <c r="C45" s="131" t="s">
        <v>25</v>
      </c>
      <c r="D45" s="131"/>
      <c r="E45" s="132" t="s">
        <v>297</v>
      </c>
      <c r="F45" t="s">
        <v>263</v>
      </c>
      <c r="H45" s="119">
        <v>0</v>
      </c>
      <c r="I45" s="102">
        <f>SUMIF('MUTASI 2026'!$F$5:$F$1048576,BB!A45,'MUTASI 2026'!$G$5:$G$1048576)</f>
        <v>0</v>
      </c>
      <c r="J45" s="102">
        <f>SUMIF('MUTASI 2026'!$F$5:$F$1048576,BB!A45,'MUTASI 2026'!$H$5:$H$1048576)</f>
        <v>0</v>
      </c>
      <c r="K45" s="120">
        <f t="shared" si="0"/>
        <v>0</v>
      </c>
      <c r="L45" s="121">
        <f t="shared" si="1"/>
        <v>0</v>
      </c>
    </row>
    <row r="46" spans="1:12" x14ac:dyDescent="0.25">
      <c r="A46" t="s">
        <v>181</v>
      </c>
      <c r="B46" s="131" t="s">
        <v>156</v>
      </c>
      <c r="C46" s="131" t="s">
        <v>25</v>
      </c>
      <c r="D46" s="131"/>
      <c r="E46" s="132" t="s">
        <v>297</v>
      </c>
      <c r="F46" t="s">
        <v>264</v>
      </c>
      <c r="H46" s="119">
        <v>0</v>
      </c>
      <c r="I46" s="102">
        <f>SUMIF('MUTASI 2026'!$F$5:$F$1048576,BB!A46,'MUTASI 2026'!$G$5:$G$1048576)</f>
        <v>0</v>
      </c>
      <c r="J46" s="102">
        <f>SUMIF('MUTASI 2026'!$F$5:$F$1048576,BB!A46,'MUTASI 2026'!$H$5:$H$1048576)</f>
        <v>0</v>
      </c>
      <c r="K46" s="120">
        <f t="shared" si="0"/>
        <v>0</v>
      </c>
      <c r="L46" s="121">
        <f t="shared" si="1"/>
        <v>0</v>
      </c>
    </row>
    <row r="47" spans="1:12" x14ac:dyDescent="0.25">
      <c r="A47" t="s">
        <v>182</v>
      </c>
      <c r="B47" s="131" t="s">
        <v>156</v>
      </c>
      <c r="C47" s="131" t="s">
        <v>25</v>
      </c>
      <c r="D47" s="131"/>
      <c r="E47" s="132" t="s">
        <v>297</v>
      </c>
      <c r="F47" t="s">
        <v>265</v>
      </c>
      <c r="H47" s="119">
        <v>0</v>
      </c>
      <c r="I47" s="102">
        <f>SUMIF('MUTASI 2026'!$F$5:$F$1048576,BB!A47,'MUTASI 2026'!$G$5:$G$1048576)</f>
        <v>0</v>
      </c>
      <c r="J47" s="102">
        <f>SUMIF('MUTASI 2026'!$F$5:$F$1048576,BB!A47,'MUTASI 2026'!$H$5:$H$1048576)</f>
        <v>0</v>
      </c>
      <c r="K47" s="120">
        <f t="shared" si="0"/>
        <v>0</v>
      </c>
      <c r="L47" s="121">
        <f t="shared" si="1"/>
        <v>0</v>
      </c>
    </row>
    <row r="48" spans="1:12" x14ac:dyDescent="0.25">
      <c r="A48" t="s">
        <v>183</v>
      </c>
      <c r="B48" s="131" t="s">
        <v>156</v>
      </c>
      <c r="C48" s="131" t="s">
        <v>26</v>
      </c>
      <c r="D48" s="131"/>
      <c r="E48" s="132" t="s">
        <v>297</v>
      </c>
      <c r="F48" t="s">
        <v>20</v>
      </c>
      <c r="H48" s="119">
        <v>0</v>
      </c>
      <c r="I48" s="102">
        <f>SUMIF('MUTASI 2026'!$F$5:$F$1048576,BB!A48,'MUTASI 2026'!$G$5:$G$1048576)</f>
        <v>0</v>
      </c>
      <c r="J48" s="102">
        <f>SUMIF('MUTASI 2026'!$F$5:$F$1048576,BB!A48,'MUTASI 2026'!$H$5:$H$1048576)</f>
        <v>0</v>
      </c>
      <c r="K48" s="120">
        <f t="shared" si="0"/>
        <v>0</v>
      </c>
      <c r="L48" s="121">
        <f t="shared" si="1"/>
        <v>0</v>
      </c>
    </row>
    <row r="49" spans="1:12" x14ac:dyDescent="0.25">
      <c r="A49" t="s">
        <v>184</v>
      </c>
      <c r="B49" s="131" t="s">
        <v>156</v>
      </c>
      <c r="C49" s="131" t="s">
        <v>342</v>
      </c>
      <c r="D49" s="131"/>
      <c r="E49" s="132" t="s">
        <v>297</v>
      </c>
      <c r="F49" t="s">
        <v>27</v>
      </c>
      <c r="H49" s="119">
        <v>0</v>
      </c>
      <c r="I49" s="102">
        <f>SUMIF('MUTASI 2026'!$F$5:$F$1048576,BB!A49,'MUTASI 2026'!$G$5:$G$1048576)</f>
        <v>0</v>
      </c>
      <c r="J49" s="102">
        <f>SUMIF('MUTASI 2026'!$F$5:$F$1048576,BB!A49,'MUTASI 2026'!$H$5:$H$1048576)</f>
        <v>0</v>
      </c>
      <c r="K49" s="120">
        <f t="shared" si="0"/>
        <v>0</v>
      </c>
      <c r="L49" s="121">
        <f t="shared" si="1"/>
        <v>0</v>
      </c>
    </row>
    <row r="50" spans="1:12" x14ac:dyDescent="0.25">
      <c r="A50" t="s">
        <v>185</v>
      </c>
      <c r="B50" s="131" t="s">
        <v>156</v>
      </c>
      <c r="C50" s="131" t="s">
        <v>15</v>
      </c>
      <c r="D50" s="131"/>
      <c r="E50" s="132" t="s">
        <v>297</v>
      </c>
      <c r="F50" t="s">
        <v>29</v>
      </c>
      <c r="H50" s="119">
        <v>0</v>
      </c>
      <c r="I50" s="102">
        <f>SUMIF('MUTASI 2026'!$F$5:$F$1048576,BB!A50,'MUTASI 2026'!$G$5:$G$1048576)</f>
        <v>0</v>
      </c>
      <c r="J50" s="102">
        <f>SUMIF('MUTASI 2026'!$F$5:$F$1048576,BB!A50,'MUTASI 2026'!$H$5:$H$1048576)</f>
        <v>0</v>
      </c>
      <c r="K50" s="120">
        <f t="shared" si="0"/>
        <v>0</v>
      </c>
      <c r="L50" s="121">
        <f t="shared" si="1"/>
        <v>0</v>
      </c>
    </row>
    <row r="51" spans="1:12" x14ac:dyDescent="0.25">
      <c r="A51" t="s">
        <v>186</v>
      </c>
      <c r="B51" s="131" t="s">
        <v>156</v>
      </c>
      <c r="C51" s="131" t="s">
        <v>17</v>
      </c>
      <c r="D51" s="131"/>
      <c r="E51" s="132" t="s">
        <v>297</v>
      </c>
      <c r="F51" t="s">
        <v>30</v>
      </c>
      <c r="H51" s="119">
        <v>0</v>
      </c>
      <c r="I51" s="102">
        <f>SUMIF('MUTASI 2026'!$F$5:$F$1048576,BB!A51,'MUTASI 2026'!$G$5:$G$1048576)</f>
        <v>0</v>
      </c>
      <c r="J51" s="102">
        <f>SUMIF('MUTASI 2026'!$F$5:$F$1048576,BB!A51,'MUTASI 2026'!$H$5:$H$1048576)</f>
        <v>0</v>
      </c>
      <c r="K51" s="120">
        <f t="shared" si="0"/>
        <v>0</v>
      </c>
      <c r="L51" s="121">
        <f t="shared" si="1"/>
        <v>0</v>
      </c>
    </row>
    <row r="52" spans="1:12" x14ac:dyDescent="0.25">
      <c r="A52" t="s">
        <v>187</v>
      </c>
      <c r="B52" s="131" t="s">
        <v>156</v>
      </c>
      <c r="C52" s="131" t="s">
        <v>21</v>
      </c>
      <c r="D52" s="131"/>
      <c r="E52" s="132" t="s">
        <v>297</v>
      </c>
      <c r="F52" t="s">
        <v>266</v>
      </c>
      <c r="H52" s="119">
        <v>0</v>
      </c>
      <c r="I52" s="102">
        <f>SUMIF('MUTASI 2026'!$F$5:$F$1048576,BB!A52,'MUTASI 2026'!$G$5:$G$1048576)</f>
        <v>0</v>
      </c>
      <c r="J52" s="102">
        <f>SUMIF('MUTASI 2026'!$F$5:$F$1048576,BB!A52,'MUTASI 2026'!$H$5:$H$1048576)</f>
        <v>0</v>
      </c>
      <c r="K52" s="120">
        <f t="shared" ref="K52:K82" si="4">I52-J52</f>
        <v>0</v>
      </c>
      <c r="L52" s="121">
        <f t="shared" ref="L52:L82" si="5">+H52+K52</f>
        <v>0</v>
      </c>
    </row>
    <row r="53" spans="1:12" x14ac:dyDescent="0.25">
      <c r="A53" t="s">
        <v>188</v>
      </c>
      <c r="B53" s="131" t="s">
        <v>156</v>
      </c>
      <c r="C53" s="131" t="s">
        <v>21</v>
      </c>
      <c r="D53" s="131"/>
      <c r="E53" s="132" t="s">
        <v>297</v>
      </c>
      <c r="F53" t="s">
        <v>267</v>
      </c>
      <c r="H53" s="119">
        <v>0</v>
      </c>
      <c r="I53" s="102">
        <f>SUMIF('MUTASI 2026'!$F$5:$F$1048576,BB!A53,'MUTASI 2026'!$G$5:$G$1048576)</f>
        <v>0</v>
      </c>
      <c r="J53" s="102">
        <f>SUMIF('MUTASI 2026'!$F$5:$F$1048576,BB!A53,'MUTASI 2026'!$H$5:$H$1048576)</f>
        <v>0</v>
      </c>
      <c r="K53" s="120">
        <f t="shared" si="4"/>
        <v>0</v>
      </c>
      <c r="L53" s="121">
        <f t="shared" si="5"/>
        <v>0</v>
      </c>
    </row>
    <row r="54" spans="1:12" x14ac:dyDescent="0.25">
      <c r="A54" t="s">
        <v>189</v>
      </c>
      <c r="B54" s="131" t="s">
        <v>156</v>
      </c>
      <c r="C54" s="131" t="s">
        <v>21</v>
      </c>
      <c r="D54" s="131"/>
      <c r="E54" s="132" t="s">
        <v>297</v>
      </c>
      <c r="F54" t="s">
        <v>268</v>
      </c>
      <c r="H54" s="119">
        <v>0</v>
      </c>
      <c r="I54" s="102">
        <f>SUMIF('MUTASI 2026'!$F$5:$F$1048576,BB!A54,'MUTASI 2026'!$G$5:$G$1048576)</f>
        <v>0</v>
      </c>
      <c r="J54" s="102">
        <f>SUMIF('MUTASI 2026'!$F$5:$F$1048576,BB!A54,'MUTASI 2026'!$H$5:$H$1048576)</f>
        <v>0</v>
      </c>
      <c r="K54" s="120">
        <f t="shared" si="4"/>
        <v>0</v>
      </c>
      <c r="L54" s="121">
        <f t="shared" si="5"/>
        <v>0</v>
      </c>
    </row>
    <row r="55" spans="1:12" x14ac:dyDescent="0.25">
      <c r="A55" t="s">
        <v>190</v>
      </c>
      <c r="B55" s="131" t="s">
        <v>156</v>
      </c>
      <c r="C55" s="131" t="s">
        <v>33</v>
      </c>
      <c r="D55" s="131"/>
      <c r="E55" s="132" t="s">
        <v>298</v>
      </c>
      <c r="F55" t="s">
        <v>269</v>
      </c>
      <c r="H55" s="119">
        <v>0</v>
      </c>
      <c r="I55" s="102">
        <f>SUMIF('MUTASI 2026'!$F$5:$F$1048576,BB!A55,'MUTASI 2026'!$G$5:$G$1048576)</f>
        <v>0</v>
      </c>
      <c r="J55" s="102">
        <f>SUMIF('MUTASI 2026'!$F$5:$F$1048576,BB!A55,'MUTASI 2026'!$H$5:$H$1048576)</f>
        <v>0</v>
      </c>
      <c r="K55" s="120">
        <f t="shared" si="4"/>
        <v>0</v>
      </c>
      <c r="L55" s="121">
        <f t="shared" si="5"/>
        <v>0</v>
      </c>
    </row>
    <row r="56" spans="1:12" x14ac:dyDescent="0.25">
      <c r="A56" t="s">
        <v>191</v>
      </c>
      <c r="B56" s="131" t="s">
        <v>156</v>
      </c>
      <c r="C56" s="131" t="s">
        <v>33</v>
      </c>
      <c r="D56" s="131"/>
      <c r="E56" s="132" t="s">
        <v>298</v>
      </c>
      <c r="F56" t="s">
        <v>270</v>
      </c>
      <c r="H56" s="119">
        <v>0</v>
      </c>
      <c r="I56" s="102">
        <f>SUMIF('MUTASI 2026'!$F$5:$F$1048576,BB!A56,'MUTASI 2026'!$G$5:$G$1048576)</f>
        <v>0</v>
      </c>
      <c r="J56" s="102">
        <f>SUMIF('MUTASI 2026'!$F$5:$F$1048576,BB!A56,'MUTASI 2026'!$H$5:$H$1048576)</f>
        <v>0</v>
      </c>
      <c r="K56" s="120">
        <f t="shared" si="4"/>
        <v>0</v>
      </c>
      <c r="L56" s="121">
        <f t="shared" si="5"/>
        <v>0</v>
      </c>
    </row>
    <row r="57" spans="1:12" x14ac:dyDescent="0.25">
      <c r="A57" t="s">
        <v>192</v>
      </c>
      <c r="B57" s="131" t="s">
        <v>156</v>
      </c>
      <c r="C57" s="131" t="s">
        <v>33</v>
      </c>
      <c r="D57" s="131"/>
      <c r="E57" s="132" t="s">
        <v>298</v>
      </c>
      <c r="F57" t="s">
        <v>271</v>
      </c>
      <c r="H57" s="119">
        <v>0</v>
      </c>
      <c r="I57" s="102">
        <f>SUMIF('MUTASI 2026'!$F$5:$F$1048576,BB!A57,'MUTASI 2026'!$G$5:$G$1048576)</f>
        <v>0</v>
      </c>
      <c r="J57" s="102">
        <f>SUMIF('MUTASI 2026'!$F$5:$F$1048576,BB!A57,'MUTASI 2026'!$H$5:$H$1048576)</f>
        <v>0</v>
      </c>
      <c r="K57" s="120">
        <f t="shared" si="4"/>
        <v>0</v>
      </c>
      <c r="L57" s="121">
        <f t="shared" si="5"/>
        <v>0</v>
      </c>
    </row>
    <row r="58" spans="1:12" x14ac:dyDescent="0.25">
      <c r="A58" t="s">
        <v>193</v>
      </c>
      <c r="B58" s="131" t="s">
        <v>156</v>
      </c>
      <c r="C58" s="131" t="s">
        <v>19</v>
      </c>
      <c r="D58" s="131"/>
      <c r="E58" s="132" t="s">
        <v>297</v>
      </c>
      <c r="F58" t="s">
        <v>272</v>
      </c>
      <c r="H58" s="119">
        <v>0</v>
      </c>
      <c r="I58" s="102">
        <f>SUMIF('MUTASI 2026'!$F$5:$F$1048576,BB!A58,'MUTASI 2026'!$G$5:$G$1048576)</f>
        <v>0</v>
      </c>
      <c r="J58" s="102">
        <f>SUMIF('MUTASI 2026'!$F$5:$F$1048576,BB!A58,'MUTASI 2026'!$H$5:$H$1048576)</f>
        <v>0</v>
      </c>
      <c r="K58" s="120">
        <f t="shared" si="4"/>
        <v>0</v>
      </c>
      <c r="L58" s="121">
        <f t="shared" si="5"/>
        <v>0</v>
      </c>
    </row>
    <row r="59" spans="1:12" x14ac:dyDescent="0.25">
      <c r="A59" t="s">
        <v>194</v>
      </c>
      <c r="B59" s="131" t="s">
        <v>156</v>
      </c>
      <c r="C59" s="131" t="s">
        <v>19</v>
      </c>
      <c r="D59" s="131"/>
      <c r="E59" s="132" t="s">
        <v>297</v>
      </c>
      <c r="F59" t="s">
        <v>329</v>
      </c>
      <c r="H59" s="119">
        <v>0</v>
      </c>
      <c r="I59" s="102">
        <f>SUMIF('MUTASI 2026'!$F$5:$F$1048576,BB!A59,'MUTASI 2026'!$G$5:$G$1048576)</f>
        <v>0</v>
      </c>
      <c r="J59" s="102">
        <f>SUMIF('MUTASI 2026'!$F$5:$F$1048576,BB!A59,'MUTASI 2026'!$H$5:$H$1048576)</f>
        <v>0</v>
      </c>
      <c r="K59" s="120">
        <f t="shared" si="4"/>
        <v>0</v>
      </c>
      <c r="L59" s="121">
        <f t="shared" si="5"/>
        <v>0</v>
      </c>
    </row>
    <row r="60" spans="1:12" x14ac:dyDescent="0.25">
      <c r="A60" t="s">
        <v>195</v>
      </c>
      <c r="B60" s="131" t="s">
        <v>156</v>
      </c>
      <c r="C60" s="131" t="s">
        <v>33</v>
      </c>
      <c r="D60" s="131"/>
      <c r="E60" s="132" t="s">
        <v>298</v>
      </c>
      <c r="F60" t="s">
        <v>273</v>
      </c>
      <c r="H60" s="119">
        <v>0</v>
      </c>
      <c r="I60" s="102">
        <f>SUMIF('MUTASI 2026'!$F$5:$F$1048576,BB!A60,'MUTASI 2026'!$G$5:$G$1048576)</f>
        <v>0</v>
      </c>
      <c r="J60" s="102">
        <f>SUMIF('MUTASI 2026'!$F$5:$F$1048576,BB!A60,'MUTASI 2026'!$H$5:$H$1048576)</f>
        <v>0</v>
      </c>
      <c r="K60" s="120">
        <f t="shared" si="4"/>
        <v>0</v>
      </c>
      <c r="L60" s="121">
        <f t="shared" si="5"/>
        <v>0</v>
      </c>
    </row>
    <row r="61" spans="1:12" x14ac:dyDescent="0.25">
      <c r="A61" t="s">
        <v>196</v>
      </c>
      <c r="B61" s="131" t="s">
        <v>156</v>
      </c>
      <c r="C61" s="131" t="s">
        <v>33</v>
      </c>
      <c r="D61" s="131"/>
      <c r="E61" s="132" t="s">
        <v>298</v>
      </c>
      <c r="F61" t="s">
        <v>330</v>
      </c>
      <c r="H61" s="119">
        <v>0</v>
      </c>
      <c r="I61" s="102">
        <f>SUMIF('MUTASI 2026'!$F$5:$F$1048576,BB!A61,'MUTASI 2026'!$G$5:$G$1048576)</f>
        <v>0</v>
      </c>
      <c r="J61" s="102">
        <f>SUMIF('MUTASI 2026'!$F$5:$F$1048576,BB!A61,'MUTASI 2026'!$H$5:$H$1048576)</f>
        <v>0</v>
      </c>
      <c r="K61" s="120">
        <f t="shared" si="4"/>
        <v>0</v>
      </c>
      <c r="L61" s="121">
        <f t="shared" si="5"/>
        <v>0</v>
      </c>
    </row>
    <row r="62" spans="1:12" x14ac:dyDescent="0.25">
      <c r="A62" t="s">
        <v>197</v>
      </c>
      <c r="B62" s="131" t="s">
        <v>156</v>
      </c>
      <c r="C62" s="131" t="s">
        <v>343</v>
      </c>
      <c r="D62" s="131"/>
      <c r="E62" s="132" t="s">
        <v>297</v>
      </c>
      <c r="F62" t="s">
        <v>31</v>
      </c>
      <c r="H62" s="119">
        <v>0</v>
      </c>
      <c r="I62" s="102">
        <f>SUMIF('MUTASI 2026'!$F$5:$F$1048576,BB!A62,'MUTASI 2026'!$G$5:$G$1048576)</f>
        <v>0</v>
      </c>
      <c r="J62" s="102">
        <f>SUMIF('MUTASI 2026'!$F$5:$F$1048576,BB!A62,'MUTASI 2026'!$H$5:$H$1048576)</f>
        <v>0</v>
      </c>
      <c r="K62" s="120">
        <f t="shared" si="4"/>
        <v>0</v>
      </c>
      <c r="L62" s="121">
        <f t="shared" si="5"/>
        <v>0</v>
      </c>
    </row>
    <row r="63" spans="1:12" x14ac:dyDescent="0.25">
      <c r="A63" t="s">
        <v>198</v>
      </c>
      <c r="B63" s="131" t="s">
        <v>156</v>
      </c>
      <c r="C63" s="131" t="s">
        <v>33</v>
      </c>
      <c r="D63" s="131"/>
      <c r="E63" s="132" t="s">
        <v>298</v>
      </c>
      <c r="F63" t="s">
        <v>274</v>
      </c>
      <c r="H63" s="119">
        <v>0</v>
      </c>
      <c r="I63" s="102">
        <f>SUMIF('MUTASI 2026'!$F$5:$F$1048576,BB!A63,'MUTASI 2026'!$G$5:$G$1048576)</f>
        <v>0</v>
      </c>
      <c r="J63" s="102">
        <f>SUMIF('MUTASI 2026'!$F$5:$F$1048576,BB!A63,'MUTASI 2026'!$H$5:$H$1048576)</f>
        <v>0</v>
      </c>
      <c r="K63" s="120">
        <f>I63-J63</f>
        <v>0</v>
      </c>
      <c r="L63" s="121">
        <f>+H63+K63</f>
        <v>0</v>
      </c>
    </row>
    <row r="64" spans="1:12" x14ac:dyDescent="0.25">
      <c r="A64" t="s">
        <v>199</v>
      </c>
      <c r="B64" s="131" t="s">
        <v>156</v>
      </c>
      <c r="C64" s="131" t="s">
        <v>344</v>
      </c>
      <c r="D64" s="131"/>
      <c r="E64" s="132" t="s">
        <v>297</v>
      </c>
      <c r="F64" t="s">
        <v>32</v>
      </c>
      <c r="H64" s="119">
        <v>0</v>
      </c>
      <c r="I64" s="102">
        <f>SUMIF('MUTASI 2026'!$F$5:$F$1048576,BB!A64,'MUTASI 2026'!$G$5:$G$1048576)</f>
        <v>0</v>
      </c>
      <c r="J64" s="102">
        <f>SUMIF('MUTASI 2026'!$F$5:$F$1048576,BB!A64,'MUTASI 2026'!$H$5:$H$1048576)</f>
        <v>0</v>
      </c>
      <c r="K64" s="120">
        <f>I64-J64</f>
        <v>0</v>
      </c>
      <c r="L64" s="121">
        <f>+H64+K64</f>
        <v>0</v>
      </c>
    </row>
    <row r="65" spans="1:12" x14ac:dyDescent="0.25">
      <c r="A65" t="s">
        <v>200</v>
      </c>
      <c r="B65" s="131" t="s">
        <v>156</v>
      </c>
      <c r="C65" s="131" t="s">
        <v>33</v>
      </c>
      <c r="D65" s="131"/>
      <c r="E65" s="132" t="s">
        <v>298</v>
      </c>
      <c r="F65" t="s">
        <v>275</v>
      </c>
      <c r="H65" s="119">
        <v>0</v>
      </c>
      <c r="I65" s="102">
        <f>SUMIF('MUTASI 2026'!$F$5:$F$1048576,BB!A65,'MUTASI 2026'!$G$5:$G$1048576)</f>
        <v>0</v>
      </c>
      <c r="J65" s="102">
        <f>SUMIF('MUTASI 2026'!$F$5:$F$1048576,BB!A65,'MUTASI 2026'!$H$5:$H$1048576)</f>
        <v>0</v>
      </c>
      <c r="K65" s="120">
        <f t="shared" si="4"/>
        <v>0</v>
      </c>
      <c r="L65" s="121">
        <f t="shared" si="5"/>
        <v>0</v>
      </c>
    </row>
    <row r="66" spans="1:12" x14ac:dyDescent="0.25">
      <c r="A66" t="s">
        <v>201</v>
      </c>
      <c r="B66" s="131" t="s">
        <v>156</v>
      </c>
      <c r="C66" s="131" t="s">
        <v>35</v>
      </c>
      <c r="D66" s="131"/>
      <c r="E66" s="132" t="s">
        <v>297</v>
      </c>
      <c r="F66" t="s">
        <v>276</v>
      </c>
      <c r="H66" s="119">
        <v>0</v>
      </c>
      <c r="I66" s="102">
        <f>SUMIF('MUTASI 2026'!$F$5:$F$1048576,BB!A66,'MUTASI 2026'!$G$5:$G$1048576)</f>
        <v>0</v>
      </c>
      <c r="J66" s="102">
        <f>SUMIF('MUTASI 2026'!$F$5:$F$1048576,BB!A66,'MUTASI 2026'!$H$5:$H$1048576)</f>
        <v>0</v>
      </c>
      <c r="K66" s="120">
        <f t="shared" si="4"/>
        <v>0</v>
      </c>
      <c r="L66" s="121">
        <f t="shared" si="5"/>
        <v>0</v>
      </c>
    </row>
    <row r="67" spans="1:12" x14ac:dyDescent="0.25">
      <c r="A67" t="s">
        <v>202</v>
      </c>
      <c r="B67" s="131" t="s">
        <v>156</v>
      </c>
      <c r="C67" s="131" t="s">
        <v>35</v>
      </c>
      <c r="D67" s="131"/>
      <c r="E67" s="132" t="s">
        <v>297</v>
      </c>
      <c r="F67" t="s">
        <v>331</v>
      </c>
      <c r="H67" s="119">
        <v>0</v>
      </c>
      <c r="I67" s="102">
        <f>SUMIF('MUTASI 2026'!$F$5:$F$1048576,BB!A67,'MUTASI 2026'!$G$5:$G$1048576)</f>
        <v>0</v>
      </c>
      <c r="J67" s="102">
        <f>SUMIF('MUTASI 2026'!$F$5:$F$1048576,BB!A67,'MUTASI 2026'!$H$5:$H$1048576)</f>
        <v>0</v>
      </c>
      <c r="K67" s="120">
        <f t="shared" si="4"/>
        <v>0</v>
      </c>
      <c r="L67" s="121">
        <f t="shared" si="5"/>
        <v>0</v>
      </c>
    </row>
    <row r="68" spans="1:12" x14ac:dyDescent="0.25">
      <c r="A68" t="s">
        <v>203</v>
      </c>
      <c r="B68" s="131" t="s">
        <v>156</v>
      </c>
      <c r="C68" s="131" t="s">
        <v>36</v>
      </c>
      <c r="D68" s="131"/>
      <c r="E68" s="132" t="s">
        <v>298</v>
      </c>
      <c r="F68" t="s">
        <v>277</v>
      </c>
      <c r="H68" s="119">
        <v>0</v>
      </c>
      <c r="I68" s="102">
        <f>SUMIF('MUTASI 2026'!$F$5:$F$1048576,BB!A68,'MUTASI 2026'!$G$5:$G$1048576)</f>
        <v>0</v>
      </c>
      <c r="J68" s="102">
        <f>SUMIF('MUTASI 2026'!$F$5:$F$1048576,BB!A68,'MUTASI 2026'!$H$5:$H$1048576)</f>
        <v>0</v>
      </c>
      <c r="K68" s="120">
        <f t="shared" si="4"/>
        <v>0</v>
      </c>
      <c r="L68" s="121">
        <f t="shared" si="5"/>
        <v>0</v>
      </c>
    </row>
    <row r="69" spans="1:12" x14ac:dyDescent="0.25">
      <c r="A69" t="s">
        <v>204</v>
      </c>
      <c r="B69" s="131" t="s">
        <v>156</v>
      </c>
      <c r="C69" s="131" t="s">
        <v>36</v>
      </c>
      <c r="D69" s="131"/>
      <c r="E69" s="132" t="s">
        <v>298</v>
      </c>
      <c r="F69" t="s">
        <v>332</v>
      </c>
      <c r="H69" s="119">
        <v>0</v>
      </c>
      <c r="I69" s="102">
        <f>SUMIF('MUTASI 2026'!$F$5:$F$1048576,BB!A69,'MUTASI 2026'!$G$5:$G$1048576)</f>
        <v>0</v>
      </c>
      <c r="J69" s="102">
        <f>SUMIF('MUTASI 2026'!$F$5:$F$1048576,BB!A69,'MUTASI 2026'!$H$5:$H$1048576)</f>
        <v>0</v>
      </c>
      <c r="K69" s="120">
        <f t="shared" si="4"/>
        <v>0</v>
      </c>
      <c r="L69" s="121">
        <f t="shared" si="5"/>
        <v>0</v>
      </c>
    </row>
    <row r="70" spans="1:12" x14ac:dyDescent="0.25">
      <c r="A70" t="s">
        <v>205</v>
      </c>
      <c r="B70" s="131" t="s">
        <v>156</v>
      </c>
      <c r="C70" s="131" t="s">
        <v>28</v>
      </c>
      <c r="D70" s="131"/>
      <c r="E70" s="132" t="s">
        <v>297</v>
      </c>
      <c r="F70" t="s">
        <v>37</v>
      </c>
      <c r="H70" s="119">
        <v>0</v>
      </c>
      <c r="I70" s="102">
        <f>SUMIF('MUTASI 2026'!$F$5:$F$1048576,BB!A70,'MUTASI 2026'!$G$5:$G$1048576)</f>
        <v>0</v>
      </c>
      <c r="J70" s="102">
        <f>SUMIF('MUTASI 2026'!$F$5:$F$1048576,BB!A70,'MUTASI 2026'!$H$5:$H$1048576)</f>
        <v>0</v>
      </c>
      <c r="K70" s="120">
        <f t="shared" si="4"/>
        <v>0</v>
      </c>
      <c r="L70" s="121">
        <f t="shared" si="5"/>
        <v>0</v>
      </c>
    </row>
    <row r="71" spans="1:12" x14ac:dyDescent="0.25">
      <c r="A71" t="s">
        <v>206</v>
      </c>
      <c r="B71" s="131" t="s">
        <v>299</v>
      </c>
      <c r="C71" s="131" t="s">
        <v>38</v>
      </c>
      <c r="D71" s="131"/>
      <c r="E71" s="132" t="s">
        <v>298</v>
      </c>
      <c r="F71" t="s">
        <v>333</v>
      </c>
      <c r="H71" s="119">
        <v>0</v>
      </c>
      <c r="I71" s="102">
        <f>SUMIF('MUTASI 2026'!$F$5:$F$1048576,BB!A71,'MUTASI 2026'!$G$5:$G$1048576)</f>
        <v>0</v>
      </c>
      <c r="J71" s="102">
        <f>SUMIF('MUTASI 2026'!$F$5:$F$1048576,BB!A71,'MUTASI 2026'!$H$5:$H$1048576)</f>
        <v>0</v>
      </c>
      <c r="K71" s="120">
        <f t="shared" si="4"/>
        <v>0</v>
      </c>
      <c r="L71" s="121">
        <f t="shared" si="5"/>
        <v>0</v>
      </c>
    </row>
    <row r="72" spans="1:12" x14ac:dyDescent="0.25">
      <c r="A72" s="154" t="s">
        <v>334</v>
      </c>
      <c r="B72" s="131" t="s">
        <v>299</v>
      </c>
      <c r="C72" s="131" t="s">
        <v>40</v>
      </c>
      <c r="D72" s="131"/>
      <c r="E72" s="132" t="s">
        <v>298</v>
      </c>
      <c r="F72" t="s">
        <v>335</v>
      </c>
      <c r="H72" s="119">
        <v>0</v>
      </c>
      <c r="I72" s="102">
        <f>SUMIF('MUTASI 2026'!$F$5:$F$1048576,BB!A72,'MUTASI 2026'!$G$5:$G$1048576)</f>
        <v>0</v>
      </c>
      <c r="J72" s="102">
        <f>SUMIF('MUTASI 2026'!$F$5:$F$1048576,BB!A72,'MUTASI 2026'!$H$5:$H$1048576)</f>
        <v>0</v>
      </c>
      <c r="K72" s="120">
        <f t="shared" si="4"/>
        <v>0</v>
      </c>
      <c r="L72" s="121">
        <f t="shared" si="5"/>
        <v>0</v>
      </c>
    </row>
    <row r="73" spans="1:12" x14ac:dyDescent="0.25">
      <c r="A73" s="154" t="s">
        <v>336</v>
      </c>
      <c r="B73" s="131" t="s">
        <v>299</v>
      </c>
      <c r="C73" s="131" t="s">
        <v>41</v>
      </c>
      <c r="D73" s="131"/>
      <c r="E73" s="132" t="s">
        <v>298</v>
      </c>
      <c r="F73" t="s">
        <v>337</v>
      </c>
      <c r="H73" s="119">
        <v>0</v>
      </c>
      <c r="I73" s="102">
        <f>SUMIF('MUTASI 2026'!$F$5:$F$1048576,BB!A73,'MUTASI 2026'!$G$5:$G$1048576)</f>
        <v>0</v>
      </c>
      <c r="J73" s="102">
        <f>SUMIF('MUTASI 2026'!$F$5:$F$1048576,BB!A73,'MUTASI 2026'!$H$5:$H$1048576)</f>
        <v>0</v>
      </c>
      <c r="K73" s="120">
        <f t="shared" si="4"/>
        <v>0</v>
      </c>
      <c r="L73" s="121">
        <f t="shared" si="5"/>
        <v>0</v>
      </c>
    </row>
    <row r="74" spans="1:12" x14ac:dyDescent="0.25">
      <c r="A74" s="154" t="s">
        <v>476</v>
      </c>
      <c r="B74" s="131" t="s">
        <v>299</v>
      </c>
      <c r="C74" s="131" t="s">
        <v>41</v>
      </c>
      <c r="D74" s="131"/>
      <c r="E74" s="132" t="s">
        <v>298</v>
      </c>
      <c r="F74" t="s">
        <v>324</v>
      </c>
      <c r="H74" s="119">
        <v>0</v>
      </c>
      <c r="I74" s="102">
        <f>SUMIF('MUTASI 2026'!$F$5:$F$1048576,BB!A74,'MUTASI 2026'!$G$5:$G$1048576)</f>
        <v>0</v>
      </c>
      <c r="J74" s="102">
        <f>SUMIF('MUTASI 2026'!$F$5:$F$1048576,BB!A74,'MUTASI 2026'!$H$5:$H$1048576)</f>
        <v>0</v>
      </c>
      <c r="K74" s="120">
        <f>I74-J74</f>
        <v>0</v>
      </c>
      <c r="L74" s="121">
        <f>+H74+K74</f>
        <v>0</v>
      </c>
    </row>
    <row r="75" spans="1:12" x14ac:dyDescent="0.25">
      <c r="A75" s="154" t="s">
        <v>477</v>
      </c>
      <c r="B75" s="131" t="s">
        <v>299</v>
      </c>
      <c r="C75" s="131" t="s">
        <v>41</v>
      </c>
      <c r="D75" s="131"/>
      <c r="E75" s="132" t="s">
        <v>298</v>
      </c>
      <c r="F75" t="s">
        <v>479</v>
      </c>
      <c r="H75" s="119">
        <v>-300000000</v>
      </c>
      <c r="I75" s="102">
        <f>SUMIF('MUTASI 2026'!$F$5:$F$1048576,BB!A75,'MUTASI 2026'!$G$5:$G$1048576)</f>
        <v>0</v>
      </c>
      <c r="J75" s="102">
        <f>SUMIF('MUTASI 2026'!$F$5:$F$1048576,BB!A75,'MUTASI 2026'!$H$5:$H$1048576)</f>
        <v>0</v>
      </c>
      <c r="K75" s="120">
        <f>I75-J75</f>
        <v>0</v>
      </c>
      <c r="L75" s="121">
        <f>+H75+K75</f>
        <v>-300000000</v>
      </c>
    </row>
    <row r="76" spans="1:12" x14ac:dyDescent="0.25">
      <c r="A76" s="154" t="s">
        <v>478</v>
      </c>
      <c r="B76" s="131" t="s">
        <v>299</v>
      </c>
      <c r="C76" s="131" t="s">
        <v>41</v>
      </c>
      <c r="D76" s="131"/>
      <c r="E76" s="132" t="s">
        <v>298</v>
      </c>
      <c r="F76" t="s">
        <v>480</v>
      </c>
      <c r="H76" s="119">
        <v>0</v>
      </c>
      <c r="I76" s="102">
        <f>SUMIF('MUTASI 2026'!$F$5:$F$1048576,BB!A76,'MUTASI 2026'!$G$5:$G$1048576)</f>
        <v>0</v>
      </c>
      <c r="J76" s="102">
        <f>SUMIF('MUTASI 2026'!$F$5:$F$1048576,BB!A76,'MUTASI 2026'!$H$5:$H$1048576)</f>
        <v>0</v>
      </c>
      <c r="K76" s="120">
        <f>I76-J76</f>
        <v>0</v>
      </c>
      <c r="L76" s="121">
        <f>+H76+K76</f>
        <v>0</v>
      </c>
    </row>
    <row r="77" spans="1:12" x14ac:dyDescent="0.25">
      <c r="A77" s="154" t="s">
        <v>496</v>
      </c>
      <c r="B77" s="131" t="s">
        <v>299</v>
      </c>
      <c r="C77" s="131" t="s">
        <v>41</v>
      </c>
      <c r="D77" s="131"/>
      <c r="E77" s="132" t="s">
        <v>298</v>
      </c>
      <c r="F77" t="s">
        <v>497</v>
      </c>
      <c r="H77" s="119">
        <v>0</v>
      </c>
      <c r="I77" s="102">
        <f>SUMIF('MUTASI 2026'!$F$5:$F$1048576,BB!A77,'MUTASI 2026'!$G$5:$G$1048576)</f>
        <v>0</v>
      </c>
      <c r="J77" s="102">
        <f>SUMIF('MUTASI 2026'!$F$5:$F$1048576,BB!A77,'MUTASI 2026'!$H$5:$H$1048576)</f>
        <v>0</v>
      </c>
      <c r="K77" s="120">
        <f>I77-J77</f>
        <v>0</v>
      </c>
      <c r="L77" s="121">
        <f>+H77+K77</f>
        <v>0</v>
      </c>
    </row>
    <row r="78" spans="1:12" x14ac:dyDescent="0.25">
      <c r="A78" s="154" t="s">
        <v>338</v>
      </c>
      <c r="B78" s="131" t="s">
        <v>299</v>
      </c>
      <c r="C78" s="131" t="s">
        <v>42</v>
      </c>
      <c r="D78" s="131"/>
      <c r="E78" s="132" t="s">
        <v>298</v>
      </c>
      <c r="F78" t="s">
        <v>418</v>
      </c>
      <c r="H78" s="119">
        <v>0</v>
      </c>
      <c r="I78" s="102">
        <f>SUMIF('MUTASI 2026'!$F$5:$F$1048576,BB!A78,'MUTASI 2026'!$G$5:$G$1048576)</f>
        <v>0</v>
      </c>
      <c r="J78" s="102">
        <f>SUMIF('MUTASI 2026'!$F$5:$F$1048576,BB!A78,'MUTASI 2026'!$H$5:$H$1048576)</f>
        <v>0</v>
      </c>
      <c r="K78" s="120">
        <f t="shared" si="4"/>
        <v>0</v>
      </c>
      <c r="L78" s="121">
        <f t="shared" si="5"/>
        <v>0</v>
      </c>
    </row>
    <row r="79" spans="1:12" x14ac:dyDescent="0.25">
      <c r="A79" s="154" t="s">
        <v>339</v>
      </c>
      <c r="B79" s="131" t="s">
        <v>299</v>
      </c>
      <c r="C79" s="131" t="s">
        <v>345</v>
      </c>
      <c r="D79" s="131"/>
      <c r="E79" s="132" t="s">
        <v>298</v>
      </c>
      <c r="F79" t="s">
        <v>419</v>
      </c>
      <c r="H79" s="119">
        <v>0</v>
      </c>
      <c r="I79" s="102">
        <f>SUMIF('MUTASI 2026'!$F$5:$F$1048576,BB!A79,'MUTASI 2026'!$G$5:$G$1048576)</f>
        <v>0</v>
      </c>
      <c r="J79" s="102">
        <f>SUMIF('MUTASI 2026'!$F$5:$F$1048576,BB!A79,'MUTASI 2026'!$H$5:$H$1048576)</f>
        <v>0</v>
      </c>
      <c r="K79" s="120">
        <f>I79-J79</f>
        <v>0</v>
      </c>
      <c r="L79" s="121">
        <f>+H79+K79</f>
        <v>0</v>
      </c>
    </row>
    <row r="80" spans="1:12" x14ac:dyDescent="0.25">
      <c r="A80" t="s">
        <v>207</v>
      </c>
      <c r="B80" s="131" t="s">
        <v>299</v>
      </c>
      <c r="C80" s="131" t="s">
        <v>44</v>
      </c>
      <c r="D80" s="131"/>
      <c r="E80" s="132" t="s">
        <v>298</v>
      </c>
      <c r="F80" t="s">
        <v>346</v>
      </c>
      <c r="H80" s="119">
        <v>0</v>
      </c>
      <c r="I80" s="102">
        <f>SUMIF('MUTASI 2026'!$F$5:$F$1048576,BB!A80,'MUTASI 2026'!$G$5:$G$1048576)</f>
        <v>0</v>
      </c>
      <c r="J80" s="102">
        <f>SUMIF('MUTASI 2026'!$F$5:$F$1048576,BB!A80,'MUTASI 2026'!$H$5:$H$1048576)</f>
        <v>0</v>
      </c>
      <c r="K80" s="120">
        <f t="shared" si="4"/>
        <v>0</v>
      </c>
      <c r="L80" s="121">
        <f t="shared" si="5"/>
        <v>0</v>
      </c>
    </row>
    <row r="81" spans="1:13" x14ac:dyDescent="0.25">
      <c r="A81" t="s">
        <v>208</v>
      </c>
      <c r="B81" s="131" t="s">
        <v>299</v>
      </c>
      <c r="C81" s="131" t="s">
        <v>39</v>
      </c>
      <c r="D81" s="131"/>
      <c r="E81" s="132" t="s">
        <v>298</v>
      </c>
      <c r="F81" t="s">
        <v>347</v>
      </c>
      <c r="H81" s="119">
        <v>-21680000</v>
      </c>
      <c r="I81" s="102">
        <f>SUMIF('MUTASI 2026'!$F$5:$F$1048576,BB!A81,'MUTASI 2026'!$G$5:$G$1048576)</f>
        <v>0</v>
      </c>
      <c r="J81" s="102">
        <f>SUMIF('MUTASI 2026'!$F$5:$F$1048576,BB!A81,'MUTASI 2026'!$H$5:$H$1048576)</f>
        <v>0</v>
      </c>
      <c r="K81" s="120">
        <f t="shared" si="4"/>
        <v>0</v>
      </c>
      <c r="L81" s="121">
        <f t="shared" si="5"/>
        <v>-21680000</v>
      </c>
    </row>
    <row r="82" spans="1:13" x14ac:dyDescent="0.25">
      <c r="A82" t="s">
        <v>209</v>
      </c>
      <c r="B82" s="131" t="s">
        <v>299</v>
      </c>
      <c r="C82" s="131" t="s">
        <v>43</v>
      </c>
      <c r="D82" s="131"/>
      <c r="E82" s="132" t="s">
        <v>298</v>
      </c>
      <c r="F82" t="s">
        <v>348</v>
      </c>
      <c r="H82" s="119">
        <v>0</v>
      </c>
      <c r="I82" s="102">
        <f>SUMIF('MUTASI 2026'!$F$5:$F$1048576,BB!A82,'MUTASI 2026'!$G$5:$G$1048576)</f>
        <v>0</v>
      </c>
      <c r="J82" s="102">
        <f>SUMIF('MUTASI 2026'!$F$5:$F$1048576,BB!A82,'MUTASI 2026'!$H$5:$H$1048576)</f>
        <v>0</v>
      </c>
      <c r="K82" s="120">
        <f t="shared" si="4"/>
        <v>0</v>
      </c>
      <c r="L82" s="121">
        <f t="shared" si="5"/>
        <v>0</v>
      </c>
    </row>
    <row r="83" spans="1:13" x14ac:dyDescent="0.25">
      <c r="A83" t="s">
        <v>210</v>
      </c>
      <c r="B83" s="131" t="s">
        <v>299</v>
      </c>
      <c r="C83" s="131" t="s">
        <v>43</v>
      </c>
      <c r="D83" s="131"/>
      <c r="E83" s="132" t="s">
        <v>298</v>
      </c>
      <c r="F83" t="s">
        <v>349</v>
      </c>
      <c r="H83" s="119">
        <v>-47239212.427372783</v>
      </c>
      <c r="I83" s="102">
        <f>SUMIF('MUTASI 2026'!$F$5:$F$1048576,BB!A83,'MUTASI 2026'!$G$5:$G$1048576)</f>
        <v>30050492</v>
      </c>
      <c r="J83" s="102">
        <f>SUMIF('MUTASI 2026'!$F$5:$F$1048576,BB!A83,'MUTASI 2026'!$H$5:$H$1048576)</f>
        <v>0</v>
      </c>
      <c r="K83" s="120">
        <f t="shared" ref="K83:K116" si="6">I83-J83</f>
        <v>30050492</v>
      </c>
      <c r="L83" s="121">
        <f t="shared" ref="L83:L116" si="7">+H83+K83</f>
        <v>-17188720.427372783</v>
      </c>
    </row>
    <row r="84" spans="1:13" x14ac:dyDescent="0.25">
      <c r="A84" t="s">
        <v>211</v>
      </c>
      <c r="B84" s="131" t="s">
        <v>299</v>
      </c>
      <c r="C84" s="131" t="s">
        <v>43</v>
      </c>
      <c r="D84" s="131"/>
      <c r="E84" s="132" t="s">
        <v>298</v>
      </c>
      <c r="F84" t="s">
        <v>278</v>
      </c>
      <c r="H84" s="119">
        <v>0</v>
      </c>
      <c r="I84" s="102">
        <f>SUMIF('MUTASI 2026'!$F$5:$F$1048576,BB!A84,'MUTASI 2026'!$G$5:$G$1048576)</f>
        <v>0</v>
      </c>
      <c r="J84" s="102">
        <f>SUMIF('MUTASI 2026'!$F$5:$F$1048576,BB!A84,'MUTASI 2026'!$H$5:$H$1048576)</f>
        <v>0</v>
      </c>
      <c r="K84" s="120">
        <f t="shared" si="6"/>
        <v>0</v>
      </c>
      <c r="L84" s="121">
        <f t="shared" si="7"/>
        <v>0</v>
      </c>
    </row>
    <row r="85" spans="1:13" x14ac:dyDescent="0.25">
      <c r="A85" t="s">
        <v>212</v>
      </c>
      <c r="B85" s="131" t="s">
        <v>299</v>
      </c>
      <c r="C85" s="131" t="s">
        <v>43</v>
      </c>
      <c r="D85" s="131"/>
      <c r="E85" s="132" t="s">
        <v>298</v>
      </c>
      <c r="F85" t="s">
        <v>279</v>
      </c>
      <c r="H85" s="119">
        <v>0</v>
      </c>
      <c r="I85" s="102">
        <f>SUMIF('MUTASI 2026'!$F$5:$F$1048576,BB!A85,'MUTASI 2026'!$G$5:$G$1048576)</f>
        <v>0</v>
      </c>
      <c r="J85" s="102">
        <f>SUMIF('MUTASI 2026'!$F$5:$F$1048576,BB!A85,'MUTASI 2026'!$H$5:$H$1048576)</f>
        <v>0</v>
      </c>
      <c r="K85" s="120">
        <f t="shared" si="6"/>
        <v>0</v>
      </c>
      <c r="L85" s="121">
        <f t="shared" si="7"/>
        <v>0</v>
      </c>
    </row>
    <row r="86" spans="1:13" x14ac:dyDescent="0.25">
      <c r="A86" t="s">
        <v>213</v>
      </c>
      <c r="B86" s="131" t="s">
        <v>299</v>
      </c>
      <c r="C86" s="131" t="s">
        <v>43</v>
      </c>
      <c r="D86" s="131"/>
      <c r="E86" s="132" t="s">
        <v>298</v>
      </c>
      <c r="F86" t="s">
        <v>263</v>
      </c>
      <c r="H86" s="119">
        <v>0</v>
      </c>
      <c r="I86" s="102">
        <f>SUMIF('MUTASI 2026'!$F$5:$F$1048576,BB!A86,'MUTASI 2026'!$G$5:$G$1048576)</f>
        <v>0</v>
      </c>
      <c r="J86" s="102">
        <f>SUMIF('MUTASI 2026'!$F$5:$F$1048576,BB!A86,'MUTASI 2026'!$H$5:$H$1048576)</f>
        <v>0</v>
      </c>
      <c r="K86" s="120">
        <f t="shared" si="6"/>
        <v>0</v>
      </c>
      <c r="L86" s="121">
        <f t="shared" si="7"/>
        <v>0</v>
      </c>
    </row>
    <row r="87" spans="1:13" x14ac:dyDescent="0.25">
      <c r="A87" t="s">
        <v>214</v>
      </c>
      <c r="B87" s="131" t="s">
        <v>299</v>
      </c>
      <c r="C87" s="131" t="s">
        <v>43</v>
      </c>
      <c r="D87" s="131"/>
      <c r="E87" s="132" t="s">
        <v>298</v>
      </c>
      <c r="F87" t="s">
        <v>280</v>
      </c>
      <c r="H87" s="119">
        <v>0</v>
      </c>
      <c r="I87" s="102">
        <f>SUMIF('MUTASI 2026'!$F$5:$F$1048576,BB!A87,'MUTASI 2026'!$G$5:$G$1048576)</f>
        <v>0</v>
      </c>
      <c r="J87" s="102">
        <f>SUMIF('MUTASI 2026'!$F$5:$F$1048576,BB!A87,'MUTASI 2026'!$H$5:$H$1048576)</f>
        <v>0</v>
      </c>
      <c r="K87" s="120">
        <f t="shared" si="6"/>
        <v>0</v>
      </c>
      <c r="L87" s="121">
        <f t="shared" si="7"/>
        <v>0</v>
      </c>
    </row>
    <row r="88" spans="1:13" x14ac:dyDescent="0.25">
      <c r="A88" t="s">
        <v>215</v>
      </c>
      <c r="B88" s="131" t="s">
        <v>299</v>
      </c>
      <c r="C88" s="131" t="s">
        <v>43</v>
      </c>
      <c r="D88" s="131"/>
      <c r="E88" s="132" t="s">
        <v>298</v>
      </c>
      <c r="F88" t="s">
        <v>281</v>
      </c>
      <c r="H88" s="119">
        <v>0</v>
      </c>
      <c r="I88" s="102">
        <f>SUMIF('MUTASI 2026'!$F$5:$F$1048576,BB!A88,'MUTASI 2026'!$G$5:$G$1048576)</f>
        <v>0</v>
      </c>
      <c r="J88" s="102">
        <f>SUMIF('MUTASI 2026'!$F$5:$F$1048576,BB!A88,'MUTASI 2026'!$H$5:$H$1048576)</f>
        <v>0</v>
      </c>
      <c r="K88" s="120">
        <f t="shared" si="6"/>
        <v>0</v>
      </c>
      <c r="L88" s="121">
        <f t="shared" si="7"/>
        <v>0</v>
      </c>
    </row>
    <row r="89" spans="1:13" x14ac:dyDescent="0.25">
      <c r="A89" t="s">
        <v>216</v>
      </c>
      <c r="B89" s="131" t="s">
        <v>299</v>
      </c>
      <c r="C89" s="131" t="s">
        <v>43</v>
      </c>
      <c r="D89" s="131"/>
      <c r="E89" s="132" t="s">
        <v>298</v>
      </c>
      <c r="F89" t="s">
        <v>350</v>
      </c>
      <c r="H89" s="119">
        <v>0</v>
      </c>
      <c r="I89" s="102">
        <f>SUMIF('MUTASI 2026'!$F$5:$F$1048576,BB!A89,'MUTASI 2026'!$G$5:$G$1048576)</f>
        <v>0</v>
      </c>
      <c r="J89" s="102">
        <f>SUMIF('MUTASI 2026'!$F$5:$F$1048576,BB!A89,'MUTASI 2026'!$H$5:$H$1048576)</f>
        <v>0</v>
      </c>
      <c r="K89" s="120">
        <f t="shared" si="6"/>
        <v>0</v>
      </c>
      <c r="L89" s="121">
        <f t="shared" si="7"/>
        <v>0</v>
      </c>
    </row>
    <row r="90" spans="1:13" x14ac:dyDescent="0.25">
      <c r="A90" t="s">
        <v>217</v>
      </c>
      <c r="B90" s="131" t="s">
        <v>299</v>
      </c>
      <c r="C90" s="131" t="s">
        <v>43</v>
      </c>
      <c r="D90" s="131"/>
      <c r="E90" s="132" t="s">
        <v>298</v>
      </c>
      <c r="F90" t="s">
        <v>282</v>
      </c>
      <c r="H90" s="119">
        <v>0</v>
      </c>
      <c r="I90" s="102">
        <f>SUMIF('MUTASI 2026'!$F$5:$F$1048576,BB!A90,'MUTASI 2026'!$G$5:$G$1048576)</f>
        <v>0</v>
      </c>
      <c r="J90" s="102">
        <f>SUMIF('MUTASI 2026'!$F$5:$F$1048576,BB!A90,'MUTASI 2026'!$H$5:$H$1048576)</f>
        <v>0</v>
      </c>
      <c r="K90" s="120">
        <f t="shared" si="6"/>
        <v>0</v>
      </c>
      <c r="L90" s="121">
        <f t="shared" si="7"/>
        <v>0</v>
      </c>
    </row>
    <row r="91" spans="1:13" x14ac:dyDescent="0.25">
      <c r="A91" t="s">
        <v>218</v>
      </c>
      <c r="B91" s="131" t="s">
        <v>299</v>
      </c>
      <c r="C91" s="131" t="s">
        <v>43</v>
      </c>
      <c r="D91" s="131"/>
      <c r="E91" s="132" t="s">
        <v>298</v>
      </c>
      <c r="F91" t="s">
        <v>283</v>
      </c>
      <c r="H91" s="119">
        <v>0</v>
      </c>
      <c r="I91" s="102">
        <f>SUMIF('MUTASI 2026'!$F$5:$F$1048576,BB!A91,'MUTASI 2026'!$G$5:$G$1048576)</f>
        <v>0</v>
      </c>
      <c r="J91" s="102">
        <f>SUMIF('MUTASI 2026'!$F$5:$F$1048576,BB!A91,'MUTASI 2026'!$H$5:$H$1048576)</f>
        <v>0</v>
      </c>
      <c r="K91" s="120">
        <f t="shared" si="6"/>
        <v>0</v>
      </c>
      <c r="L91" s="121">
        <f t="shared" si="7"/>
        <v>0</v>
      </c>
    </row>
    <row r="92" spans="1:13" x14ac:dyDescent="0.25">
      <c r="A92" t="s">
        <v>219</v>
      </c>
      <c r="B92" s="131" t="s">
        <v>299</v>
      </c>
      <c r="C92" s="131" t="s">
        <v>43</v>
      </c>
      <c r="D92" s="131"/>
      <c r="E92" s="132" t="s">
        <v>298</v>
      </c>
      <c r="F92" t="s">
        <v>284</v>
      </c>
      <c r="H92" s="119">
        <v>0</v>
      </c>
      <c r="I92" s="102">
        <f>SUMIF('MUTASI 2026'!$F$5:$F$1048576,BB!A92,'MUTASI 2026'!$G$5:$G$1048576)</f>
        <v>0</v>
      </c>
      <c r="J92" s="102">
        <f>SUMIF('MUTASI 2026'!$F$5:$F$1048576,BB!A92,'MUTASI 2026'!$H$5:$H$1048576)</f>
        <v>0</v>
      </c>
      <c r="K92" s="120">
        <f t="shared" si="6"/>
        <v>0</v>
      </c>
      <c r="L92" s="121">
        <f t="shared" si="7"/>
        <v>0</v>
      </c>
    </row>
    <row r="93" spans="1:13" x14ac:dyDescent="0.25">
      <c r="A93" t="s">
        <v>220</v>
      </c>
      <c r="B93" s="131" t="s">
        <v>299</v>
      </c>
      <c r="C93" s="131" t="s">
        <v>46</v>
      </c>
      <c r="D93" s="131"/>
      <c r="E93" s="132" t="s">
        <v>298</v>
      </c>
      <c r="F93" t="s">
        <v>47</v>
      </c>
      <c r="H93" s="119">
        <v>0</v>
      </c>
      <c r="I93" s="102">
        <f>SUMIF('MUTASI 2026'!$F$5:$F$1048576,BB!A93,'MUTASI 2026'!$G$5:$G$1048576)</f>
        <v>0</v>
      </c>
      <c r="J93" s="102">
        <f>SUMIF('MUTASI 2026'!$F$5:$F$1048576,BB!A93,'MUTASI 2026'!$H$5:$H$1048576)</f>
        <v>0</v>
      </c>
      <c r="K93" s="120">
        <f t="shared" si="6"/>
        <v>0</v>
      </c>
      <c r="L93" s="121">
        <f t="shared" si="7"/>
        <v>0</v>
      </c>
    </row>
    <row r="94" spans="1:13" x14ac:dyDescent="0.25">
      <c r="A94" s="154" t="s">
        <v>435</v>
      </c>
      <c r="B94" s="131" t="s">
        <v>299</v>
      </c>
      <c r="C94" s="131" t="s">
        <v>46</v>
      </c>
      <c r="D94" s="131"/>
      <c r="E94" s="132" t="s">
        <v>298</v>
      </c>
      <c r="F94" t="s">
        <v>436</v>
      </c>
      <c r="H94" s="119">
        <v>0</v>
      </c>
      <c r="I94" s="102">
        <f>SUMIF('MUTASI 2026'!$F$5:$F$1048576,BB!A94,'MUTASI 2026'!$G$5:$G$1048576)</f>
        <v>115800000</v>
      </c>
      <c r="J94" s="102">
        <f>SUMIF('MUTASI 2026'!$F$5:$F$1048576,BB!A94,'MUTASI 2026'!$H$5:$H$1048576)</f>
        <v>144750000</v>
      </c>
      <c r="K94" s="120">
        <f>I94-J94</f>
        <v>-28950000</v>
      </c>
      <c r="L94" s="121">
        <f>+H94+K94</f>
        <v>-28950000</v>
      </c>
      <c r="M94" s="210">
        <f>-L94/14475000</f>
        <v>2</v>
      </c>
    </row>
    <row r="95" spans="1:13" x14ac:dyDescent="0.25">
      <c r="A95" s="154" t="s">
        <v>437</v>
      </c>
      <c r="B95" s="131" t="s">
        <v>299</v>
      </c>
      <c r="C95" s="131" t="s">
        <v>46</v>
      </c>
      <c r="D95" s="131"/>
      <c r="E95" s="132" t="s">
        <v>298</v>
      </c>
      <c r="F95" t="s">
        <v>438</v>
      </c>
      <c r="H95" s="119">
        <v>0</v>
      </c>
      <c r="I95" s="102">
        <f>SUMIF('MUTASI 2026'!$F$5:$F$1048576,BB!A95,'MUTASI 2026'!$G$5:$G$1048576)</f>
        <v>0</v>
      </c>
      <c r="J95" s="102">
        <f>SUMIF('MUTASI 2026'!$F$5:$F$1048576,BB!A95,'MUTASI 2026'!$H$5:$H$1048576)</f>
        <v>0</v>
      </c>
      <c r="K95" s="120">
        <f>I95-J95</f>
        <v>0</v>
      </c>
      <c r="L95" s="121">
        <f>+H95+K95</f>
        <v>0</v>
      </c>
    </row>
    <row r="96" spans="1:13" x14ac:dyDescent="0.25">
      <c r="A96" s="154" t="s">
        <v>439</v>
      </c>
      <c r="B96" s="131" t="s">
        <v>299</v>
      </c>
      <c r="C96" s="131" t="s">
        <v>46</v>
      </c>
      <c r="D96" s="131"/>
      <c r="E96" s="132" t="s">
        <v>298</v>
      </c>
      <c r="F96" t="s">
        <v>440</v>
      </c>
      <c r="H96" s="119">
        <v>0</v>
      </c>
      <c r="I96" s="102">
        <f>SUMIF('MUTASI 2026'!$F$5:$F$1048576,BB!A96,'MUTASI 2026'!$G$5:$G$1048576)</f>
        <v>69651000</v>
      </c>
      <c r="J96" s="102">
        <f>SUMIF('MUTASI 2026'!$F$5:$F$1048576,BB!A96,'MUTASI 2026'!$H$5:$H$1048576)</f>
        <v>69651000</v>
      </c>
      <c r="K96" s="120">
        <f>I96-J96</f>
        <v>0</v>
      </c>
      <c r="L96" s="121">
        <f>+H96+K96</f>
        <v>0</v>
      </c>
    </row>
    <row r="97" spans="1:16" x14ac:dyDescent="0.25">
      <c r="A97" s="154" t="s">
        <v>508</v>
      </c>
      <c r="B97" s="131" t="s">
        <v>299</v>
      </c>
      <c r="C97" s="131" t="s">
        <v>46</v>
      </c>
      <c r="D97" s="131"/>
      <c r="E97" s="132" t="s">
        <v>298</v>
      </c>
      <c r="F97" t="s">
        <v>507</v>
      </c>
      <c r="H97" s="119">
        <f>-93098803.8810875*0</f>
        <v>0</v>
      </c>
      <c r="I97" s="102">
        <f>SUMIF('MUTASI 2026'!$F$5:$F$1048576,BB!A97,'MUTASI 2026'!$G$5:$G$1048576)</f>
        <v>0</v>
      </c>
      <c r="J97" s="102">
        <f>SUMIF('MUTASI 2026'!$F$5:$F$1048576,BB!A97,'MUTASI 2026'!$H$5:$H$1048576)</f>
        <v>0</v>
      </c>
      <c r="K97" s="120">
        <f>I97-J97</f>
        <v>0</v>
      </c>
      <c r="L97" s="121">
        <f>+H97+K97</f>
        <v>0</v>
      </c>
    </row>
    <row r="98" spans="1:16" x14ac:dyDescent="0.25">
      <c r="A98" t="s">
        <v>221</v>
      </c>
      <c r="B98" s="131" t="s">
        <v>299</v>
      </c>
      <c r="C98" s="131" t="s">
        <v>45</v>
      </c>
      <c r="D98" s="131"/>
      <c r="E98" s="132" t="s">
        <v>298</v>
      </c>
      <c r="F98" t="s">
        <v>802</v>
      </c>
      <c r="H98" s="119">
        <v>0</v>
      </c>
      <c r="I98" s="102">
        <f>SUMIF('MUTASI 2026'!$F$5:$F$1048576,BB!A98,'MUTASI 2026'!$G$5:$G$1048576)</f>
        <v>195719913</v>
      </c>
      <c r="J98" s="102">
        <f>SUMIF('MUTASI 2026'!$F$5:$F$1048576,BB!A98,'MUTASI 2026'!$H$5:$H$1048576)</f>
        <v>195719913</v>
      </c>
      <c r="K98" s="120">
        <f t="shared" si="6"/>
        <v>0</v>
      </c>
      <c r="L98" s="121">
        <f t="shared" si="7"/>
        <v>0</v>
      </c>
    </row>
    <row r="99" spans="1:16" x14ac:dyDescent="0.25">
      <c r="A99" t="s">
        <v>222</v>
      </c>
      <c r="B99" s="131" t="s">
        <v>299</v>
      </c>
      <c r="C99" s="131" t="s">
        <v>48</v>
      </c>
      <c r="D99" s="131"/>
      <c r="E99" s="132" t="s">
        <v>298</v>
      </c>
      <c r="F99" t="s">
        <v>351</v>
      </c>
      <c r="H99" s="119">
        <v>0</v>
      </c>
      <c r="I99" s="102">
        <f>SUMIF('MUTASI 2026'!$F$5:$F$1048576,BB!A99,'MUTASI 2026'!$G$5:$G$1048576)</f>
        <v>0</v>
      </c>
      <c r="J99" s="102">
        <f>SUMIF('MUTASI 2026'!$F$5:$F$1048576,BB!A99,'MUTASI 2026'!$H$5:$H$1048576)</f>
        <v>0</v>
      </c>
      <c r="K99" s="120">
        <f t="shared" si="6"/>
        <v>0</v>
      </c>
      <c r="L99" s="121">
        <f t="shared" si="7"/>
        <v>0</v>
      </c>
    </row>
    <row r="100" spans="1:16" x14ac:dyDescent="0.25">
      <c r="A100" t="s">
        <v>223</v>
      </c>
      <c r="B100" s="131" t="s">
        <v>299</v>
      </c>
      <c r="C100" s="131" t="s">
        <v>49</v>
      </c>
      <c r="D100" s="131"/>
      <c r="E100" s="132" t="s">
        <v>298</v>
      </c>
      <c r="F100" t="s">
        <v>352</v>
      </c>
      <c r="H100" s="119">
        <v>0</v>
      </c>
      <c r="I100" s="102">
        <f>SUMIF('MUTASI 2026'!$F$5:$F$1048576,BB!A100,'MUTASI 2026'!$G$5:$G$1048576)</f>
        <v>0</v>
      </c>
      <c r="J100" s="102">
        <f>SUMIF('MUTASI 2026'!$F$5:$F$1048576,BB!A100,'MUTASI 2026'!$H$5:$H$1048576)</f>
        <v>0</v>
      </c>
      <c r="K100" s="120">
        <f t="shared" si="6"/>
        <v>0</v>
      </c>
      <c r="L100" s="121">
        <f t="shared" si="7"/>
        <v>0</v>
      </c>
    </row>
    <row r="101" spans="1:16" x14ac:dyDescent="0.25">
      <c r="A101" t="s">
        <v>224</v>
      </c>
      <c r="B101" s="131" t="s">
        <v>299</v>
      </c>
      <c r="C101" s="131" t="s">
        <v>50</v>
      </c>
      <c r="D101" s="131"/>
      <c r="E101" s="132" t="s">
        <v>298</v>
      </c>
      <c r="F101" t="s">
        <v>353</v>
      </c>
      <c r="H101" s="119">
        <v>0</v>
      </c>
      <c r="I101" s="102">
        <f>SUMIF('MUTASI 2026'!$F$5:$F$1048576,BB!A101,'MUTASI 2026'!$G$5:$G$1048576)</f>
        <v>0</v>
      </c>
      <c r="J101" s="102">
        <f>SUMIF('MUTASI 2026'!$F$5:$F$1048576,BB!A101,'MUTASI 2026'!$H$5:$H$1048576)</f>
        <v>0</v>
      </c>
      <c r="K101" s="120">
        <f t="shared" si="6"/>
        <v>0</v>
      </c>
      <c r="L101" s="121">
        <f t="shared" si="7"/>
        <v>0</v>
      </c>
    </row>
    <row r="102" spans="1:16" x14ac:dyDescent="0.25">
      <c r="A102" t="s">
        <v>225</v>
      </c>
      <c r="B102" s="131" t="s">
        <v>299</v>
      </c>
      <c r="C102" s="131" t="s">
        <v>51</v>
      </c>
      <c r="D102" s="131"/>
      <c r="E102" s="132" t="s">
        <v>298</v>
      </c>
      <c r="F102" t="s">
        <v>286</v>
      </c>
      <c r="H102" s="119">
        <v>0</v>
      </c>
      <c r="I102" s="102">
        <f>SUMIF('MUTASI 2026'!$F$5:$F$1048576,BB!A102,'MUTASI 2026'!$G$5:$G$1048576)</f>
        <v>0</v>
      </c>
      <c r="J102" s="102">
        <f>SUMIF('MUTASI 2026'!$F$5:$F$1048576,BB!A102,'MUTASI 2026'!$H$5:$H$1048576)</f>
        <v>0</v>
      </c>
      <c r="K102" s="120">
        <f t="shared" si="6"/>
        <v>0</v>
      </c>
      <c r="L102" s="121">
        <f t="shared" si="7"/>
        <v>0</v>
      </c>
    </row>
    <row r="103" spans="1:16" x14ac:dyDescent="0.25">
      <c r="A103" t="s">
        <v>226</v>
      </c>
      <c r="B103" s="131" t="s">
        <v>299</v>
      </c>
      <c r="C103" s="131" t="s">
        <v>52</v>
      </c>
      <c r="D103" s="131"/>
      <c r="E103" s="132" t="s">
        <v>298</v>
      </c>
      <c r="F103" t="s">
        <v>396</v>
      </c>
      <c r="H103" s="119">
        <v>-7900000</v>
      </c>
      <c r="I103" s="102">
        <f>SUMIF('MUTASI 2026'!$F$5:$F$1048576,BB!A103,'MUTASI 2026'!$G$5:$G$1048576)</f>
        <v>300000</v>
      </c>
      <c r="J103" s="102">
        <f>SUMIF('MUTASI 2026'!$F$5:$F$1048576,BB!A103,'MUTASI 2026'!$H$5:$H$1048576)</f>
        <v>300000</v>
      </c>
      <c r="K103" s="120">
        <f>I103-J103</f>
        <v>0</v>
      </c>
      <c r="L103" s="121">
        <f>+H103+K103</f>
        <v>-7900000</v>
      </c>
      <c r="M103" s="142">
        <v>7900000</v>
      </c>
      <c r="N103" s="155">
        <f>+L103+M103</f>
        <v>0</v>
      </c>
      <c r="O103" s="165"/>
      <c r="P103" s="165"/>
    </row>
    <row r="104" spans="1:16" x14ac:dyDescent="0.25">
      <c r="A104" s="154" t="s">
        <v>227</v>
      </c>
      <c r="B104" s="131" t="s">
        <v>299</v>
      </c>
      <c r="C104" s="131" t="s">
        <v>354</v>
      </c>
      <c r="D104" s="131"/>
      <c r="E104" s="132" t="s">
        <v>298</v>
      </c>
      <c r="F104" t="s">
        <v>397</v>
      </c>
      <c r="H104" s="119">
        <v>-339030000</v>
      </c>
      <c r="I104" s="102">
        <f>SUMIF('MUTASI 2026'!$F$5:$F$1048576,BB!A104,'MUTASI 2026'!$G$5:$G$1048576)</f>
        <v>15320000</v>
      </c>
      <c r="J104" s="102">
        <f>SUMIF('MUTASI 2026'!$F$5:$F$1048576,BB!A104,'MUTASI 2026'!$H$5:$H$1048576)</f>
        <v>30900000</v>
      </c>
      <c r="K104" s="120">
        <f>I104-J104</f>
        <v>-15580000</v>
      </c>
      <c r="L104" s="121">
        <f>+H104+K104</f>
        <v>-354610000</v>
      </c>
      <c r="M104" s="142">
        <v>354610000</v>
      </c>
      <c r="N104" s="155">
        <f>+L104+M104</f>
        <v>0</v>
      </c>
    </row>
    <row r="105" spans="1:16" x14ac:dyDescent="0.25">
      <c r="A105" s="154" t="s">
        <v>228</v>
      </c>
      <c r="B105" s="131" t="s">
        <v>299</v>
      </c>
      <c r="C105" s="131" t="s">
        <v>53</v>
      </c>
      <c r="D105" s="131"/>
      <c r="E105" s="132" t="s">
        <v>298</v>
      </c>
      <c r="F105" t="s">
        <v>398</v>
      </c>
      <c r="H105" s="119">
        <v>0</v>
      </c>
      <c r="I105" s="102">
        <f>SUMIF('MUTASI 2026'!$F$5:$F$1048576,BB!A105,'MUTASI 2026'!$G$5:$G$1048576)</f>
        <v>0</v>
      </c>
      <c r="J105" s="102">
        <f>SUMIF('MUTASI 2026'!$F$5:$F$1048576,BB!A105,'MUTASI 2026'!$H$5:$H$1048576)</f>
        <v>0</v>
      </c>
      <c r="K105" s="120">
        <f>I105-J105</f>
        <v>0</v>
      </c>
      <c r="L105" s="121">
        <f>+H105+K105</f>
        <v>0</v>
      </c>
    </row>
    <row r="106" spans="1:16" x14ac:dyDescent="0.25">
      <c r="A106" s="154" t="s">
        <v>400</v>
      </c>
      <c r="B106" s="131" t="s">
        <v>299</v>
      </c>
      <c r="C106" s="131" t="s">
        <v>54</v>
      </c>
      <c r="D106" s="131"/>
      <c r="E106" s="132" t="s">
        <v>298</v>
      </c>
      <c r="F106" t="s">
        <v>287</v>
      </c>
      <c r="H106" s="119">
        <v>-1827910535.5656493</v>
      </c>
      <c r="I106" s="102">
        <f>SUMIF('MUTASI 2026'!$F$5:$F$1048576,BB!A106,'MUTASI 2026'!$G$5:$G$1048576)</f>
        <v>0</v>
      </c>
      <c r="J106" s="102">
        <f>SUMIF('MUTASI 2026'!$F$5:$F$1048576,BB!A106,'MUTASI 2026'!$H$5:$H$1048576)</f>
        <v>63489852.091553897</v>
      </c>
      <c r="K106" s="120">
        <f t="shared" si="6"/>
        <v>-63489852.091553897</v>
      </c>
      <c r="L106" s="121">
        <f t="shared" si="7"/>
        <v>-1891400387.6572032</v>
      </c>
    </row>
    <row r="107" spans="1:16" x14ac:dyDescent="0.25">
      <c r="A107" s="154" t="s">
        <v>401</v>
      </c>
      <c r="B107" s="131" t="s">
        <v>299</v>
      </c>
      <c r="C107" s="131" t="s">
        <v>55</v>
      </c>
      <c r="D107" s="131"/>
      <c r="E107" s="132" t="s">
        <v>298</v>
      </c>
      <c r="F107" t="s">
        <v>56</v>
      </c>
      <c r="H107" s="119">
        <f>-62513192.2104664-93098803.8810875</f>
        <v>-155611996.0915539</v>
      </c>
      <c r="I107" s="102">
        <f>SUMIF('MUTASI 2026'!$F$5:$F$1048576,BB!A107,'MUTASI 2026'!$G$5:$G$1048576)</f>
        <v>155611996.0915539</v>
      </c>
      <c r="J107" s="102">
        <f>SUMIF('MUTASI 2026'!$F$5:$F$1048576,BB!A107,'MUTASI 2026'!$H$5:$H$1048576)</f>
        <v>0</v>
      </c>
      <c r="K107" s="120">
        <f t="shared" si="6"/>
        <v>155611996.0915539</v>
      </c>
      <c r="L107" s="121">
        <f t="shared" si="7"/>
        <v>0</v>
      </c>
    </row>
    <row r="108" spans="1:16" x14ac:dyDescent="0.25">
      <c r="A108" s="154" t="s">
        <v>402</v>
      </c>
      <c r="B108" s="131" t="s">
        <v>299</v>
      </c>
      <c r="C108" s="131" t="s">
        <v>399</v>
      </c>
      <c r="D108" s="131"/>
      <c r="E108" s="132" t="s">
        <v>298</v>
      </c>
      <c r="F108" t="s">
        <v>288</v>
      </c>
      <c r="H108" s="119">
        <v>0</v>
      </c>
      <c r="I108" s="102">
        <f>SUMIF('MUTASI 2026'!$F$5:$F$1048576,BB!A108,'MUTASI 2026'!$G$5:$G$1048576)</f>
        <v>0</v>
      </c>
      <c r="J108" s="102">
        <f>SUMIF('MUTASI 2026'!$F$5:$F$1048576,BB!A108,'MUTASI 2026'!$H$5:$H$1048576)</f>
        <v>0</v>
      </c>
      <c r="K108" s="120">
        <f t="shared" si="6"/>
        <v>0</v>
      </c>
      <c r="L108" s="121">
        <f t="shared" si="7"/>
        <v>0</v>
      </c>
    </row>
    <row r="109" spans="1:16" x14ac:dyDescent="0.25">
      <c r="A109" t="s">
        <v>229</v>
      </c>
      <c r="B109" s="131" t="s">
        <v>300</v>
      </c>
      <c r="C109" s="131" t="s">
        <v>59</v>
      </c>
      <c r="D109" s="131" t="s">
        <v>513</v>
      </c>
      <c r="E109" s="132" t="s">
        <v>298</v>
      </c>
      <c r="F109" t="s">
        <v>355</v>
      </c>
      <c r="H109" s="119">
        <v>0</v>
      </c>
      <c r="I109" s="102">
        <f>SUMIF('MUTASI 2026'!$F$5:$F$1048576,BB!A109,'MUTASI 2026'!$G$5:$G$1048576)</f>
        <v>0</v>
      </c>
      <c r="J109" s="102">
        <f>SUMIF('MUTASI 2026'!$F$5:$F$1048576,BB!A109,'MUTASI 2026'!$H$5:$H$1048576)</f>
        <v>0</v>
      </c>
      <c r="K109" s="120">
        <f t="shared" si="6"/>
        <v>0</v>
      </c>
      <c r="L109" s="121">
        <f t="shared" si="7"/>
        <v>0</v>
      </c>
    </row>
    <row r="110" spans="1:16" x14ac:dyDescent="0.25">
      <c r="A110" s="154" t="s">
        <v>369</v>
      </c>
      <c r="B110" s="131" t="s">
        <v>300</v>
      </c>
      <c r="C110" s="131" t="s">
        <v>356</v>
      </c>
      <c r="D110" s="131" t="s">
        <v>513</v>
      </c>
      <c r="E110" s="132" t="s">
        <v>298</v>
      </c>
      <c r="F110" t="s">
        <v>361</v>
      </c>
      <c r="H110" s="119">
        <v>0</v>
      </c>
      <c r="I110" s="102">
        <f>SUMIF('MUTASI 2026'!$F$5:$F$1048576,BB!A110,'MUTASI 2026'!$G$5:$G$1048576)</f>
        <v>0</v>
      </c>
      <c r="J110" s="102">
        <f>SUMIF('MUTASI 2026'!$F$5:$F$1048576,BB!A110,'MUTASI 2026'!$H$5:$H$1048576)</f>
        <v>650410861.11111128</v>
      </c>
      <c r="K110" s="120">
        <f t="shared" si="6"/>
        <v>-650410861.11111128</v>
      </c>
      <c r="L110" s="121">
        <f t="shared" si="7"/>
        <v>-650410861.11111128</v>
      </c>
      <c r="O110" s="142"/>
    </row>
    <row r="111" spans="1:16" x14ac:dyDescent="0.25">
      <c r="A111" s="154" t="s">
        <v>370</v>
      </c>
      <c r="B111" s="131" t="s">
        <v>300</v>
      </c>
      <c r="C111" s="131" t="s">
        <v>357</v>
      </c>
      <c r="D111" s="131" t="s">
        <v>513</v>
      </c>
      <c r="E111" s="132" t="s">
        <v>298</v>
      </c>
      <c r="F111" t="s">
        <v>362</v>
      </c>
      <c r="H111" s="119">
        <v>0</v>
      </c>
      <c r="I111" s="102">
        <f>SUMIF('MUTASI 2026'!$F$5:$F$1048576,BB!A111,'MUTASI 2026'!$G$5:$G$1048576)</f>
        <v>0</v>
      </c>
      <c r="J111" s="102">
        <f>SUMIF('MUTASI 2026'!$F$5:$F$1048576,BB!A111,'MUTASI 2026'!$H$5:$H$1048576)</f>
        <v>0</v>
      </c>
      <c r="K111" s="120">
        <f t="shared" si="6"/>
        <v>0</v>
      </c>
      <c r="L111" s="121">
        <f t="shared" si="7"/>
        <v>0</v>
      </c>
      <c r="O111" s="142"/>
    </row>
    <row r="112" spans="1:16" x14ac:dyDescent="0.25">
      <c r="A112" s="154" t="s">
        <v>371</v>
      </c>
      <c r="B112" s="131" t="s">
        <v>300</v>
      </c>
      <c r="C112" s="131" t="s">
        <v>358</v>
      </c>
      <c r="D112" s="131" t="s">
        <v>513</v>
      </c>
      <c r="E112" s="132" t="s">
        <v>298</v>
      </c>
      <c r="F112" t="s">
        <v>363</v>
      </c>
      <c r="H112" s="119">
        <v>0</v>
      </c>
      <c r="I112" s="102">
        <f>SUMIF('MUTASI 2026'!$F$5:$F$1048576,BB!A112,'MUTASI 2026'!$G$5:$G$1048576)</f>
        <v>92500</v>
      </c>
      <c r="J112" s="102">
        <f>SUMIF('MUTASI 2026'!$F$5:$F$1048576,BB!A112,'MUTASI 2026'!$H$5:$H$1048576)</f>
        <v>2321500</v>
      </c>
      <c r="K112" s="120">
        <f t="shared" si="6"/>
        <v>-2229000</v>
      </c>
      <c r="L112" s="121">
        <f t="shared" si="7"/>
        <v>-2229000</v>
      </c>
      <c r="O112" s="142"/>
    </row>
    <row r="113" spans="1:12" x14ac:dyDescent="0.25">
      <c r="A113" s="154" t="s">
        <v>372</v>
      </c>
      <c r="B113" s="131" t="s">
        <v>300</v>
      </c>
      <c r="C113" s="131" t="s">
        <v>60</v>
      </c>
      <c r="D113" s="131" t="s">
        <v>513</v>
      </c>
      <c r="E113" s="132" t="s">
        <v>297</v>
      </c>
      <c r="F113" t="s">
        <v>359</v>
      </c>
      <c r="H113" s="119">
        <v>0</v>
      </c>
      <c r="I113" s="102">
        <f>SUMIF('MUTASI 2026'!$F$5:$F$1048576,BB!A113,'MUTASI 2026'!$G$5:$G$1048576)</f>
        <v>0</v>
      </c>
      <c r="J113" s="102">
        <f>SUMIF('MUTASI 2026'!$F$5:$F$1048576,BB!A113,'MUTASI 2026'!$H$5:$H$1048576)</f>
        <v>0</v>
      </c>
      <c r="K113" s="120">
        <f t="shared" si="6"/>
        <v>0</v>
      </c>
      <c r="L113" s="121">
        <f t="shared" si="7"/>
        <v>0</v>
      </c>
    </row>
    <row r="114" spans="1:12" x14ac:dyDescent="0.25">
      <c r="A114" s="154" t="s">
        <v>373</v>
      </c>
      <c r="B114" s="131" t="s">
        <v>300</v>
      </c>
      <c r="C114" s="131" t="s">
        <v>360</v>
      </c>
      <c r="D114" s="131" t="s">
        <v>513</v>
      </c>
      <c r="E114" s="132" t="s">
        <v>297</v>
      </c>
      <c r="F114" t="s">
        <v>364</v>
      </c>
      <c r="H114" s="119">
        <v>0</v>
      </c>
      <c r="I114" s="102">
        <f>SUMIF('MUTASI 2026'!$F$5:$F$1048576,BB!A114,'MUTASI 2026'!$G$5:$G$1048576)</f>
        <v>501344999.99999994</v>
      </c>
      <c r="J114" s="102">
        <f>SUMIF('MUTASI 2026'!$F$5:$F$1048576,BB!A114,'MUTASI 2026'!$H$5:$H$1048576)</f>
        <v>0</v>
      </c>
      <c r="K114" s="120">
        <f t="shared" si="6"/>
        <v>501344999.99999994</v>
      </c>
      <c r="L114" s="121">
        <f t="shared" si="7"/>
        <v>501344999.99999994</v>
      </c>
    </row>
    <row r="115" spans="1:12" x14ac:dyDescent="0.25">
      <c r="A115" s="154" t="s">
        <v>374</v>
      </c>
      <c r="B115" s="131" t="s">
        <v>300</v>
      </c>
      <c r="C115" s="131" t="s">
        <v>367</v>
      </c>
      <c r="D115" s="131" t="s">
        <v>513</v>
      </c>
      <c r="E115" s="132" t="s">
        <v>297</v>
      </c>
      <c r="F115" t="s">
        <v>365</v>
      </c>
      <c r="H115" s="119">
        <v>0</v>
      </c>
      <c r="I115" s="102">
        <f>SUMIF('MUTASI 2026'!$F$5:$F$1048576,BB!A115,'MUTASI 2026'!$G$5:$G$1048576)</f>
        <v>0</v>
      </c>
      <c r="J115" s="102">
        <f>SUMIF('MUTASI 2026'!$F$5:$F$1048576,BB!A115,'MUTASI 2026'!$H$5:$H$1048576)</f>
        <v>0</v>
      </c>
      <c r="K115" s="120">
        <f t="shared" si="6"/>
        <v>0</v>
      </c>
      <c r="L115" s="121">
        <f t="shared" si="7"/>
        <v>0</v>
      </c>
    </row>
    <row r="116" spans="1:12" x14ac:dyDescent="0.25">
      <c r="A116" s="154" t="s">
        <v>375</v>
      </c>
      <c r="B116" s="131" t="s">
        <v>300</v>
      </c>
      <c r="C116" s="131" t="s">
        <v>368</v>
      </c>
      <c r="D116" s="131" t="s">
        <v>513</v>
      </c>
      <c r="E116" s="132" t="s">
        <v>297</v>
      </c>
      <c r="F116" t="s">
        <v>366</v>
      </c>
      <c r="H116" s="119">
        <v>0</v>
      </c>
      <c r="I116" s="102">
        <f>SUMIF('MUTASI 2026'!$F$5:$F$1048576,BB!A116,'MUTASI 2026'!$G$5:$G$1048576)</f>
        <v>0</v>
      </c>
      <c r="J116" s="102">
        <f>SUMIF('MUTASI 2026'!$F$5:$F$1048576,BB!A116,'MUTASI 2026'!$H$5:$H$1048576)</f>
        <v>0</v>
      </c>
      <c r="K116" s="120">
        <f t="shared" si="6"/>
        <v>0</v>
      </c>
      <c r="L116" s="121">
        <f t="shared" si="7"/>
        <v>0</v>
      </c>
    </row>
    <row r="117" spans="1:12" x14ac:dyDescent="0.25">
      <c r="A117" t="s">
        <v>230</v>
      </c>
      <c r="B117" s="131" t="s">
        <v>300</v>
      </c>
      <c r="C117" s="131" t="s">
        <v>61</v>
      </c>
      <c r="D117" s="131" t="s">
        <v>514</v>
      </c>
      <c r="E117" s="132" t="s">
        <v>297</v>
      </c>
      <c r="F117" t="s">
        <v>62</v>
      </c>
      <c r="H117" s="119">
        <v>0</v>
      </c>
      <c r="I117" s="102">
        <f>SUMIF('MUTASI 2026'!$F$5:$F$1048576,BB!A117,'MUTASI 2026'!$G$5:$G$1048576)</f>
        <v>0</v>
      </c>
      <c r="J117" s="102">
        <f>SUMIF('MUTASI 2026'!$F$5:$F$1048576,BB!A117,'MUTASI 2026'!$H$5:$H$1048576)</f>
        <v>0</v>
      </c>
      <c r="K117" s="120">
        <f t="shared" ref="K117:K131" si="8">I117-J117</f>
        <v>0</v>
      </c>
      <c r="L117" s="121">
        <f t="shared" ref="L117:L131" si="9">+H117+K117</f>
        <v>0</v>
      </c>
    </row>
    <row r="118" spans="1:12" x14ac:dyDescent="0.25">
      <c r="A118" t="s">
        <v>231</v>
      </c>
      <c r="B118" s="131" t="s">
        <v>300</v>
      </c>
      <c r="C118" s="131" t="s">
        <v>61</v>
      </c>
      <c r="D118" s="131" t="s">
        <v>514</v>
      </c>
      <c r="E118" s="132" t="s">
        <v>297</v>
      </c>
      <c r="F118" t="s">
        <v>289</v>
      </c>
      <c r="H118" s="119">
        <v>0</v>
      </c>
      <c r="I118" s="102">
        <f>SUMIF('MUTASI 2026'!$F$5:$F$1048576,BB!A118,'MUTASI 2026'!$G$5:$G$1048576)</f>
        <v>0</v>
      </c>
      <c r="J118" s="102">
        <f>SUMIF('MUTASI 2026'!$F$5:$F$1048576,BB!A118,'MUTASI 2026'!$H$5:$H$1048576)</f>
        <v>0</v>
      </c>
      <c r="K118" s="120">
        <f t="shared" si="8"/>
        <v>0</v>
      </c>
      <c r="L118" s="121">
        <f t="shared" si="9"/>
        <v>0</v>
      </c>
    </row>
    <row r="119" spans="1:12" x14ac:dyDescent="0.25">
      <c r="A119" t="s">
        <v>232</v>
      </c>
      <c r="B119" s="131" t="s">
        <v>300</v>
      </c>
      <c r="C119" s="131" t="s">
        <v>61</v>
      </c>
      <c r="D119" s="131" t="s">
        <v>514</v>
      </c>
      <c r="E119" s="132" t="s">
        <v>297</v>
      </c>
      <c r="F119" t="s">
        <v>376</v>
      </c>
      <c r="H119" s="119">
        <v>0</v>
      </c>
      <c r="I119" s="102">
        <f>SUMIF('MUTASI 2026'!$F$5:$F$1048576,BB!A119,'MUTASI 2026'!$G$5:$G$1048576)</f>
        <v>0</v>
      </c>
      <c r="J119" s="102">
        <f>SUMIF('MUTASI 2026'!$F$5:$F$1048576,BB!A119,'MUTASI 2026'!$H$5:$H$1048576)</f>
        <v>0</v>
      </c>
      <c r="K119" s="120">
        <f t="shared" si="8"/>
        <v>0</v>
      </c>
      <c r="L119" s="121">
        <f t="shared" si="9"/>
        <v>0</v>
      </c>
    </row>
    <row r="120" spans="1:12" x14ac:dyDescent="0.25">
      <c r="A120" t="s">
        <v>233</v>
      </c>
      <c r="B120" s="131" t="s">
        <v>300</v>
      </c>
      <c r="C120" s="131" t="s">
        <v>61</v>
      </c>
      <c r="D120" s="131" t="s">
        <v>514</v>
      </c>
      <c r="E120" s="132" t="s">
        <v>297</v>
      </c>
      <c r="F120" t="s">
        <v>377</v>
      </c>
      <c r="H120" s="119">
        <v>0</v>
      </c>
      <c r="I120" s="102">
        <f>SUMIF('MUTASI 2026'!$F$5:$F$1048576,BB!A120,'MUTASI 2026'!$G$5:$G$1048576)</f>
        <v>0</v>
      </c>
      <c r="J120" s="102">
        <f>SUMIF('MUTASI 2026'!$F$5:$F$1048576,BB!A120,'MUTASI 2026'!$H$5:$H$1048576)</f>
        <v>0</v>
      </c>
      <c r="K120" s="120">
        <f t="shared" si="8"/>
        <v>0</v>
      </c>
      <c r="L120" s="121">
        <f t="shared" si="9"/>
        <v>0</v>
      </c>
    </row>
    <row r="121" spans="1:12" x14ac:dyDescent="0.25">
      <c r="A121" s="154" t="s">
        <v>234</v>
      </c>
      <c r="B121" s="131" t="s">
        <v>300</v>
      </c>
      <c r="C121" s="131" t="s">
        <v>61</v>
      </c>
      <c r="D121" s="131" t="s">
        <v>514</v>
      </c>
      <c r="E121" s="132" t="s">
        <v>297</v>
      </c>
      <c r="F121" t="s">
        <v>406</v>
      </c>
      <c r="H121" s="119">
        <v>0</v>
      </c>
      <c r="I121" s="102">
        <f>SUMIF('MUTASI 2026'!$F$5:$F$1048576,BB!A121,'MUTASI 2026'!$G$5:$G$1048576)</f>
        <v>7000000</v>
      </c>
      <c r="J121" s="102">
        <f>SUMIF('MUTASI 2026'!$F$5:$F$1048576,BB!A121,'MUTASI 2026'!$H$5:$H$1048576)</f>
        <v>0</v>
      </c>
      <c r="K121" s="120">
        <f>I121-J121</f>
        <v>7000000</v>
      </c>
      <c r="L121" s="121">
        <f>+H121+K121</f>
        <v>7000000</v>
      </c>
    </row>
    <row r="122" spans="1:12" x14ac:dyDescent="0.25">
      <c r="A122" s="154" t="s">
        <v>235</v>
      </c>
      <c r="B122" s="131" t="s">
        <v>300</v>
      </c>
      <c r="C122" s="131" t="s">
        <v>61</v>
      </c>
      <c r="D122" s="131" t="s">
        <v>514</v>
      </c>
      <c r="E122" s="132" t="s">
        <v>297</v>
      </c>
      <c r="F122" t="s">
        <v>378</v>
      </c>
      <c r="H122" s="119">
        <v>0</v>
      </c>
      <c r="I122" s="102">
        <f>SUMIF('MUTASI 2026'!$F$5:$F$1048576,BB!A122,'MUTASI 2026'!$G$5:$G$1048576)</f>
        <v>0</v>
      </c>
      <c r="J122" s="102">
        <f>SUMIF('MUTASI 2026'!$F$5:$F$1048576,BB!A122,'MUTASI 2026'!$H$5:$H$1048576)</f>
        <v>0</v>
      </c>
      <c r="K122" s="120">
        <f t="shared" si="8"/>
        <v>0</v>
      </c>
      <c r="L122" s="121">
        <f t="shared" si="9"/>
        <v>0</v>
      </c>
    </row>
    <row r="123" spans="1:12" x14ac:dyDescent="0.25">
      <c r="A123" s="154" t="s">
        <v>236</v>
      </c>
      <c r="B123" s="131" t="s">
        <v>300</v>
      </c>
      <c r="C123" s="131" t="s">
        <v>61</v>
      </c>
      <c r="D123" s="131" t="s">
        <v>514</v>
      </c>
      <c r="E123" s="132" t="s">
        <v>297</v>
      </c>
      <c r="F123" t="s">
        <v>387</v>
      </c>
      <c r="H123" s="119">
        <v>0</v>
      </c>
      <c r="I123" s="102">
        <f>SUMIF('MUTASI 2026'!$F$5:$F$1048576,BB!A123,'MUTASI 2026'!$G$5:$G$1048576)</f>
        <v>0</v>
      </c>
      <c r="J123" s="102">
        <f>SUMIF('MUTASI 2026'!$F$5:$F$1048576,BB!A123,'MUTASI 2026'!$H$5:$H$1048576)</f>
        <v>0</v>
      </c>
      <c r="K123" s="120">
        <f t="shared" si="8"/>
        <v>0</v>
      </c>
      <c r="L123" s="121">
        <f t="shared" si="9"/>
        <v>0</v>
      </c>
    </row>
    <row r="124" spans="1:12" x14ac:dyDescent="0.25">
      <c r="A124" s="154" t="s">
        <v>237</v>
      </c>
      <c r="B124" s="131" t="s">
        <v>300</v>
      </c>
      <c r="C124" s="131" t="s">
        <v>61</v>
      </c>
      <c r="D124" s="131" t="s">
        <v>514</v>
      </c>
      <c r="E124" s="132" t="s">
        <v>297</v>
      </c>
      <c r="F124" t="s">
        <v>94</v>
      </c>
      <c r="H124" s="119">
        <v>0</v>
      </c>
      <c r="I124" s="102">
        <f>SUMIF('MUTASI 2026'!$F$5:$F$1048576,BB!A124,'MUTASI 2026'!$G$5:$G$1048576)</f>
        <v>0</v>
      </c>
      <c r="J124" s="102">
        <f>SUMIF('MUTASI 2026'!$F$5:$F$1048576,BB!A124,'MUTASI 2026'!$H$5:$H$1048576)</f>
        <v>0</v>
      </c>
      <c r="K124" s="120">
        <f>I124-J124</f>
        <v>0</v>
      </c>
      <c r="L124" s="121">
        <f>+H124+K124</f>
        <v>0</v>
      </c>
    </row>
    <row r="125" spans="1:12" x14ac:dyDescent="0.25">
      <c r="A125" s="154" t="s">
        <v>238</v>
      </c>
      <c r="B125" s="131" t="s">
        <v>300</v>
      </c>
      <c r="C125" s="131" t="s">
        <v>61</v>
      </c>
      <c r="D125" s="131" t="s">
        <v>514</v>
      </c>
      <c r="E125" s="132" t="s">
        <v>297</v>
      </c>
      <c r="F125" t="s">
        <v>379</v>
      </c>
      <c r="H125" s="119">
        <v>0</v>
      </c>
      <c r="I125" s="102">
        <f>SUMIF('MUTASI 2026'!$F$5:$F$1048576,BB!A125,'MUTASI 2026'!$G$5:$G$1048576)</f>
        <v>0</v>
      </c>
      <c r="J125" s="102">
        <f>SUMIF('MUTASI 2026'!$F$5:$F$1048576,BB!A125,'MUTASI 2026'!$H$5:$H$1048576)</f>
        <v>0</v>
      </c>
      <c r="K125" s="120">
        <f t="shared" si="8"/>
        <v>0</v>
      </c>
      <c r="L125" s="121">
        <f t="shared" si="9"/>
        <v>0</v>
      </c>
    </row>
    <row r="126" spans="1:12" x14ac:dyDescent="0.25">
      <c r="A126" s="154" t="s">
        <v>412</v>
      </c>
      <c r="B126" s="131" t="s">
        <v>300</v>
      </c>
      <c r="C126" s="131" t="s">
        <v>61</v>
      </c>
      <c r="D126" s="131" t="s">
        <v>514</v>
      </c>
      <c r="E126" s="132" t="s">
        <v>297</v>
      </c>
      <c r="F126" t="s">
        <v>413</v>
      </c>
      <c r="H126" s="119">
        <v>0</v>
      </c>
      <c r="I126" s="102">
        <f>SUMIF('MUTASI 2026'!$F$5:$F$1048576,BB!A126,'MUTASI 2026'!$G$5:$G$1048576)</f>
        <v>0</v>
      </c>
      <c r="J126" s="102">
        <f>SUMIF('MUTASI 2026'!$F$5:$F$1048576,BB!A126,'MUTASI 2026'!$H$5:$H$1048576)</f>
        <v>0</v>
      </c>
      <c r="K126" s="120">
        <f>I126-J126</f>
        <v>0</v>
      </c>
      <c r="L126" s="121">
        <f>+H126+K126</f>
        <v>0</v>
      </c>
    </row>
    <row r="127" spans="1:12" x14ac:dyDescent="0.25">
      <c r="A127" s="154" t="s">
        <v>429</v>
      </c>
      <c r="B127" s="131" t="s">
        <v>300</v>
      </c>
      <c r="C127" s="131" t="s">
        <v>61</v>
      </c>
      <c r="D127" s="131" t="s">
        <v>514</v>
      </c>
      <c r="E127" s="132" t="s">
        <v>297</v>
      </c>
      <c r="F127" t="s">
        <v>430</v>
      </c>
      <c r="H127" s="119">
        <v>0</v>
      </c>
      <c r="I127" s="102">
        <f>SUMIF('MUTASI 2026'!$F$5:$F$1048576,BB!A127,'MUTASI 2026'!$G$5:$G$1048576)</f>
        <v>27207000</v>
      </c>
      <c r="J127" s="102">
        <f>SUMIF('MUTASI 2026'!$F$5:$F$1048576,BB!A127,'MUTASI 2026'!$H$5:$H$1048576)</f>
        <v>0</v>
      </c>
      <c r="K127" s="120">
        <f>I127-J127</f>
        <v>27207000</v>
      </c>
      <c r="L127" s="121">
        <f>+H127+K127</f>
        <v>27207000</v>
      </c>
    </row>
    <row r="128" spans="1:12" x14ac:dyDescent="0.25">
      <c r="A128" s="154" t="s">
        <v>380</v>
      </c>
      <c r="B128" s="131" t="s">
        <v>300</v>
      </c>
      <c r="C128" s="131" t="s">
        <v>61</v>
      </c>
      <c r="D128" s="131" t="s">
        <v>515</v>
      </c>
      <c r="E128" s="132" t="s">
        <v>297</v>
      </c>
      <c r="F128" t="s">
        <v>290</v>
      </c>
      <c r="H128" s="119">
        <v>0</v>
      </c>
      <c r="I128" s="102">
        <f>SUMIF('MUTASI 2026'!$F$5:$F$1048576,BB!A128,'MUTASI 2026'!$G$5:$G$1048576)</f>
        <v>0</v>
      </c>
      <c r="J128" s="102">
        <f>SUMIF('MUTASI 2026'!$F$5:$F$1048576,BB!A128,'MUTASI 2026'!$H$5:$H$1048576)</f>
        <v>0</v>
      </c>
      <c r="K128" s="120">
        <f t="shared" si="8"/>
        <v>0</v>
      </c>
      <c r="L128" s="121">
        <f t="shared" si="9"/>
        <v>0</v>
      </c>
    </row>
    <row r="129" spans="1:15" x14ac:dyDescent="0.25">
      <c r="A129" s="154" t="s">
        <v>381</v>
      </c>
      <c r="B129" s="131" t="s">
        <v>300</v>
      </c>
      <c r="C129" s="131" t="s">
        <v>61</v>
      </c>
      <c r="D129" s="131" t="s">
        <v>515</v>
      </c>
      <c r="E129" s="132" t="s">
        <v>297</v>
      </c>
      <c r="F129" t="s">
        <v>382</v>
      </c>
      <c r="H129" s="119">
        <v>0</v>
      </c>
      <c r="I129" s="102">
        <f>SUMIF('MUTASI 2026'!$F$5:$F$1048576,BB!A129,'MUTASI 2026'!$G$5:$G$1048576)</f>
        <v>43862600</v>
      </c>
      <c r="J129" s="102">
        <f>SUMIF('MUTASI 2026'!$F$5:$F$1048576,BB!A129,'MUTASI 2026'!$H$5:$H$1048576)</f>
        <v>0</v>
      </c>
      <c r="K129" s="120">
        <f t="shared" si="8"/>
        <v>43862600</v>
      </c>
      <c r="L129" s="121">
        <f t="shared" si="9"/>
        <v>43862600</v>
      </c>
    </row>
    <row r="130" spans="1:15" x14ac:dyDescent="0.25">
      <c r="A130" s="154" t="s">
        <v>385</v>
      </c>
      <c r="B130" s="131" t="s">
        <v>300</v>
      </c>
      <c r="C130" s="131" t="s">
        <v>61</v>
      </c>
      <c r="D130" s="131" t="s">
        <v>515</v>
      </c>
      <c r="E130" s="132" t="s">
        <v>297</v>
      </c>
      <c r="F130" t="s">
        <v>383</v>
      </c>
      <c r="H130" s="119">
        <v>0</v>
      </c>
      <c r="I130" s="102">
        <f>SUMIF('MUTASI 2026'!$F$5:$F$1048576,BB!A130,'MUTASI 2026'!$G$5:$G$1048576)</f>
        <v>1378000</v>
      </c>
      <c r="J130" s="102">
        <f>SUMIF('MUTASI 2026'!$F$5:$F$1048576,BB!A130,'MUTASI 2026'!$H$5:$H$1048576)</f>
        <v>0</v>
      </c>
      <c r="K130" s="120">
        <f t="shared" si="8"/>
        <v>1378000</v>
      </c>
      <c r="L130" s="121">
        <f t="shared" si="9"/>
        <v>1378000</v>
      </c>
    </row>
    <row r="131" spans="1:15" x14ac:dyDescent="0.25">
      <c r="A131" s="154" t="s">
        <v>386</v>
      </c>
      <c r="B131" s="131" t="s">
        <v>300</v>
      </c>
      <c r="C131" s="131" t="s">
        <v>61</v>
      </c>
      <c r="D131" s="131" t="s">
        <v>515</v>
      </c>
      <c r="E131" s="132" t="s">
        <v>297</v>
      </c>
      <c r="F131" t="s">
        <v>384</v>
      </c>
      <c r="H131" s="119">
        <v>0</v>
      </c>
      <c r="I131" s="102">
        <f>SUMIF('MUTASI 2026'!$F$5:$F$1048576,BB!A131,'MUTASI 2026'!$G$5:$G$1048576)</f>
        <v>0</v>
      </c>
      <c r="J131" s="102">
        <f>SUMIF('MUTASI 2026'!$F$5:$F$1048576,BB!A131,'MUTASI 2026'!$H$5:$H$1048576)</f>
        <v>0</v>
      </c>
      <c r="K131" s="120">
        <f t="shared" si="8"/>
        <v>0</v>
      </c>
      <c r="L131" s="121">
        <f t="shared" si="9"/>
        <v>0</v>
      </c>
    </row>
    <row r="132" spans="1:15" x14ac:dyDescent="0.25">
      <c r="A132" t="s">
        <v>239</v>
      </c>
      <c r="B132" s="131" t="s">
        <v>300</v>
      </c>
      <c r="C132" s="131" t="s">
        <v>63</v>
      </c>
      <c r="D132" s="131" t="s">
        <v>516</v>
      </c>
      <c r="E132" s="132" t="s">
        <v>298</v>
      </c>
      <c r="F132" t="s">
        <v>65</v>
      </c>
      <c r="H132" s="119">
        <v>0</v>
      </c>
      <c r="I132" s="102">
        <f>SUMIF('MUTASI 2026'!$F$5:$F$1048576,BB!A132,'MUTASI 2026'!$G$5:$G$1048576)</f>
        <v>0</v>
      </c>
      <c r="J132" s="102">
        <f>SUMIF('MUTASI 2026'!$F$5:$F$1048576,BB!A132,'MUTASI 2026'!$H$5:$H$1048576)</f>
        <v>0</v>
      </c>
      <c r="K132" s="120">
        <f t="shared" ref="K132:K150" si="10">I132-J132</f>
        <v>0</v>
      </c>
      <c r="L132" s="121">
        <f t="shared" ref="L132:L150" si="11">+H132+K132</f>
        <v>0</v>
      </c>
    </row>
    <row r="133" spans="1:15" x14ac:dyDescent="0.25">
      <c r="A133" t="s">
        <v>240</v>
      </c>
      <c r="B133" s="131" t="s">
        <v>300</v>
      </c>
      <c r="C133" s="131" t="s">
        <v>63</v>
      </c>
      <c r="D133" s="131" t="s">
        <v>516</v>
      </c>
      <c r="E133" s="132" t="s">
        <v>298</v>
      </c>
      <c r="F133" t="s">
        <v>393</v>
      </c>
      <c r="H133" s="119">
        <v>0</v>
      </c>
      <c r="I133" s="102">
        <f>SUMIF('MUTASI 2026'!$F$5:$F$1048576,BB!A133,'MUTASI 2026'!$G$5:$G$1048576)</f>
        <v>0</v>
      </c>
      <c r="J133" s="102">
        <f>SUMIF('MUTASI 2026'!$F$5:$F$1048576,BB!A133,'MUTASI 2026'!$H$5:$H$1048576)</f>
        <v>0</v>
      </c>
      <c r="K133" s="120">
        <f t="shared" si="10"/>
        <v>0</v>
      </c>
      <c r="L133" s="121">
        <f t="shared" si="11"/>
        <v>0</v>
      </c>
    </row>
    <row r="134" spans="1:15" x14ac:dyDescent="0.25">
      <c r="A134" t="s">
        <v>241</v>
      </c>
      <c r="B134" s="131" t="s">
        <v>300</v>
      </c>
      <c r="C134" s="131" t="s">
        <v>63</v>
      </c>
      <c r="D134" s="131" t="s">
        <v>516</v>
      </c>
      <c r="E134" s="132" t="s">
        <v>298</v>
      </c>
      <c r="F134" t="s">
        <v>388</v>
      </c>
      <c r="H134" s="119">
        <v>0</v>
      </c>
      <c r="I134" s="102">
        <f>SUMIF('MUTASI 2026'!$F$5:$F$1048576,BB!A134,'MUTASI 2026'!$G$5:$G$1048576)</f>
        <v>0</v>
      </c>
      <c r="J134" s="102">
        <f>SUMIF('MUTASI 2026'!$F$5:$F$1048576,BB!A134,'MUTASI 2026'!$H$5:$H$1048576)</f>
        <v>0</v>
      </c>
      <c r="K134" s="120">
        <f t="shared" si="10"/>
        <v>0</v>
      </c>
      <c r="L134" s="121">
        <f t="shared" si="11"/>
        <v>0</v>
      </c>
      <c r="O134" s="142">
        <f>-K134</f>
        <v>0</v>
      </c>
    </row>
    <row r="135" spans="1:15" x14ac:dyDescent="0.25">
      <c r="A135" t="s">
        <v>242</v>
      </c>
      <c r="B135" s="131" t="s">
        <v>300</v>
      </c>
      <c r="C135" s="131" t="s">
        <v>63</v>
      </c>
      <c r="D135" s="131" t="s">
        <v>516</v>
      </c>
      <c r="E135" s="132" t="s">
        <v>298</v>
      </c>
      <c r="F135" t="s">
        <v>153</v>
      </c>
      <c r="H135" s="119">
        <v>0</v>
      </c>
      <c r="I135" s="102">
        <f>SUMIF('MUTASI 2026'!$F$5:$F$1048576,BB!A135,'MUTASI 2026'!$G$5:$G$1048576)</f>
        <v>0</v>
      </c>
      <c r="J135" s="102">
        <f>SUMIF('MUTASI 2026'!$F$5:$F$1048576,BB!A135,'MUTASI 2026'!$H$5:$H$1048576)</f>
        <v>0</v>
      </c>
      <c r="K135" s="120">
        <f t="shared" si="10"/>
        <v>0</v>
      </c>
      <c r="L135" s="121">
        <f t="shared" si="11"/>
        <v>0</v>
      </c>
      <c r="O135" s="142"/>
    </row>
    <row r="136" spans="1:15" x14ac:dyDescent="0.25">
      <c r="A136" t="s">
        <v>243</v>
      </c>
      <c r="B136" s="131" t="s">
        <v>300</v>
      </c>
      <c r="C136" s="131" t="s">
        <v>63</v>
      </c>
      <c r="D136" s="131" t="s">
        <v>516</v>
      </c>
      <c r="E136" s="132" t="s">
        <v>298</v>
      </c>
      <c r="F136" t="s">
        <v>291</v>
      </c>
      <c r="H136" s="119">
        <v>0</v>
      </c>
      <c r="I136" s="102">
        <f>SUMIF('MUTASI 2026'!$F$5:$F$1048576,BB!A136,'MUTASI 2026'!$G$5:$G$1048576)</f>
        <v>0</v>
      </c>
      <c r="J136" s="102">
        <f>SUMIF('MUTASI 2026'!$F$5:$F$1048576,BB!A136,'MUTASI 2026'!$H$5:$H$1048576)</f>
        <v>0</v>
      </c>
      <c r="K136" s="120">
        <f t="shared" si="10"/>
        <v>0</v>
      </c>
      <c r="L136" s="121">
        <f t="shared" si="11"/>
        <v>0</v>
      </c>
      <c r="O136" s="142"/>
    </row>
    <row r="137" spans="1:15" x14ac:dyDescent="0.25">
      <c r="A137" s="154" t="s">
        <v>391</v>
      </c>
      <c r="B137" s="131" t="s">
        <v>300</v>
      </c>
      <c r="C137" s="131" t="s">
        <v>63</v>
      </c>
      <c r="D137" s="131" t="s">
        <v>516</v>
      </c>
      <c r="E137" s="132" t="s">
        <v>298</v>
      </c>
      <c r="F137" t="s">
        <v>389</v>
      </c>
      <c r="H137" s="119">
        <v>0</v>
      </c>
      <c r="I137" s="102">
        <f>SUMIF('MUTASI 2026'!$F$5:$F$1048576,BB!A137,'MUTASI 2026'!$G$5:$G$1048576)</f>
        <v>0</v>
      </c>
      <c r="J137" s="102">
        <f>SUMIF('MUTASI 2026'!$F$5:$F$1048576,BB!A137,'MUTASI 2026'!$H$5:$H$1048576)</f>
        <v>0</v>
      </c>
      <c r="K137" s="120">
        <f>I137-J137</f>
        <v>0</v>
      </c>
      <c r="L137" s="121">
        <f>+H137+K137</f>
        <v>0</v>
      </c>
      <c r="O137" s="142"/>
    </row>
    <row r="138" spans="1:15" x14ac:dyDescent="0.25">
      <c r="A138" s="154" t="s">
        <v>392</v>
      </c>
      <c r="B138" s="131" t="s">
        <v>300</v>
      </c>
      <c r="C138" s="131" t="s">
        <v>63</v>
      </c>
      <c r="D138" s="131" t="s">
        <v>516</v>
      </c>
      <c r="E138" s="132" t="s">
        <v>298</v>
      </c>
      <c r="F138" t="s">
        <v>390</v>
      </c>
      <c r="H138" s="119">
        <v>0</v>
      </c>
      <c r="I138" s="102">
        <f>SUMIF('MUTASI 2026'!$F$5:$F$1048576,BB!A138,'MUTASI 2026'!$G$5:$G$1048576)</f>
        <v>0</v>
      </c>
      <c r="J138" s="102">
        <f>SUMIF('MUTASI 2026'!$F$5:$F$1048576,BB!A138,'MUTASI 2026'!$H$5:$H$1048576)</f>
        <v>0</v>
      </c>
      <c r="K138" s="120">
        <f>I138-J138</f>
        <v>0</v>
      </c>
      <c r="L138" s="121">
        <f>+H138+K138</f>
        <v>0</v>
      </c>
      <c r="O138" s="142"/>
    </row>
    <row r="139" spans="1:15" x14ac:dyDescent="0.25">
      <c r="A139" s="154" t="s">
        <v>394</v>
      </c>
      <c r="B139" s="131" t="s">
        <v>300</v>
      </c>
      <c r="C139" s="131" t="s">
        <v>63</v>
      </c>
      <c r="D139" s="131" t="s">
        <v>516</v>
      </c>
      <c r="E139" s="132" t="s">
        <v>298</v>
      </c>
      <c r="F139" t="s">
        <v>405</v>
      </c>
      <c r="H139" s="119">
        <v>0</v>
      </c>
      <c r="I139" s="102">
        <f>SUMIF('MUTASI 2026'!$F$5:$F$1048576,BB!A139,'MUTASI 2026'!$G$5:$G$1048576)</f>
        <v>0</v>
      </c>
      <c r="J139" s="102">
        <f>SUMIF('MUTASI 2026'!$F$5:$F$1048576,BB!A139,'MUTASI 2026'!$H$5:$H$1048576)</f>
        <v>909000</v>
      </c>
      <c r="K139" s="120">
        <f>I139-J139</f>
        <v>-909000</v>
      </c>
      <c r="L139" s="121">
        <f>+H139+K139</f>
        <v>-909000</v>
      </c>
      <c r="O139" s="142">
        <f>-K139</f>
        <v>909000</v>
      </c>
    </row>
    <row r="140" spans="1:15" x14ac:dyDescent="0.25">
      <c r="A140" s="154" t="s">
        <v>403</v>
      </c>
      <c r="B140" s="131" t="s">
        <v>300</v>
      </c>
      <c r="C140" s="131" t="s">
        <v>63</v>
      </c>
      <c r="D140" s="131" t="s">
        <v>516</v>
      </c>
      <c r="E140" s="132" t="s">
        <v>298</v>
      </c>
      <c r="F140" t="s">
        <v>404</v>
      </c>
      <c r="H140" s="119">
        <v>0</v>
      </c>
      <c r="I140" s="102">
        <f>SUMIF('MUTASI 2026'!$F$5:$F$1048576,BB!A140,'MUTASI 2026'!$G$5:$G$1048576)</f>
        <v>0</v>
      </c>
      <c r="J140" s="102">
        <f>SUMIF('MUTASI 2026'!$F$5:$F$1048576,BB!A140,'MUTASI 2026'!$H$5:$H$1048576)</f>
        <v>12050000</v>
      </c>
      <c r="K140" s="120">
        <f>I140-J140</f>
        <v>-12050000</v>
      </c>
      <c r="L140" s="121">
        <f>+H140+K140</f>
        <v>-12050000</v>
      </c>
      <c r="O140" s="142">
        <f>-K140</f>
        <v>12050000</v>
      </c>
    </row>
    <row r="141" spans="1:15" x14ac:dyDescent="0.25">
      <c r="A141" t="s">
        <v>244</v>
      </c>
      <c r="B141" s="131" t="s">
        <v>300</v>
      </c>
      <c r="C141" s="131" t="s">
        <v>63</v>
      </c>
      <c r="D141" s="131" t="s">
        <v>516</v>
      </c>
      <c r="E141" s="132" t="s">
        <v>298</v>
      </c>
      <c r="F141" t="s">
        <v>503</v>
      </c>
      <c r="H141" s="119">
        <v>0</v>
      </c>
      <c r="I141" s="102">
        <f>SUMIF('MUTASI 2026'!$F$5:$F$1048576,BB!A141,'MUTASI 2026'!$G$5:$G$1048576)</f>
        <v>0</v>
      </c>
      <c r="J141" s="102">
        <f>SUMIF('MUTASI 2026'!$F$5:$F$1048576,BB!A141,'MUTASI 2026'!$H$5:$H$1048576)</f>
        <v>0</v>
      </c>
      <c r="K141" s="120">
        <f t="shared" si="10"/>
        <v>0</v>
      </c>
      <c r="L141" s="121">
        <f t="shared" si="11"/>
        <v>0</v>
      </c>
      <c r="O141" s="142">
        <f>-K141</f>
        <v>0</v>
      </c>
    </row>
    <row r="142" spans="1:15" x14ac:dyDescent="0.25">
      <c r="A142" s="154" t="s">
        <v>504</v>
      </c>
      <c r="B142" s="131" t="s">
        <v>300</v>
      </c>
      <c r="C142" s="131" t="s">
        <v>63</v>
      </c>
      <c r="D142" s="131" t="s">
        <v>516</v>
      </c>
      <c r="E142" s="132" t="s">
        <v>298</v>
      </c>
      <c r="F142" t="s">
        <v>292</v>
      </c>
      <c r="H142" s="119">
        <v>0</v>
      </c>
      <c r="I142" s="102">
        <f>SUMIF('MUTASI 2026'!$F$5:$F$1048576,BB!A142,'MUTASI 2026'!$G$5:$G$1048576)</f>
        <v>0</v>
      </c>
      <c r="J142" s="102">
        <f>SUMIF('MUTASI 2026'!$F$5:$F$1048576,BB!A142,'MUTASI 2026'!$H$5:$H$1048576)</f>
        <v>1856667.333332777</v>
      </c>
      <c r="K142" s="120">
        <f>I142-J142</f>
        <v>-1856667.333332777</v>
      </c>
      <c r="L142" s="121">
        <f>+H142+K142</f>
        <v>-1856667.333332777</v>
      </c>
      <c r="O142" s="142">
        <f>-K142</f>
        <v>1856667.333332777</v>
      </c>
    </row>
    <row r="143" spans="1:15" x14ac:dyDescent="0.25">
      <c r="A143" s="154" t="s">
        <v>505</v>
      </c>
      <c r="B143" s="131" t="s">
        <v>300</v>
      </c>
      <c r="C143" s="131" t="s">
        <v>63</v>
      </c>
      <c r="D143" s="131" t="s">
        <v>516</v>
      </c>
      <c r="E143" s="132" t="s">
        <v>298</v>
      </c>
      <c r="F143" t="s">
        <v>485</v>
      </c>
      <c r="H143" s="119">
        <v>0</v>
      </c>
      <c r="I143" s="102">
        <f>SUMIF('MUTASI 2026'!$F$5:$F$1048576,BB!A143,'MUTASI 2026'!$G$5:$G$1048576)</f>
        <v>0</v>
      </c>
      <c r="J143" s="102">
        <f>SUMIF('MUTASI 2026'!$F$5:$F$1048576,BB!A143,'MUTASI 2026'!$H$5:$H$1048576)</f>
        <v>0</v>
      </c>
      <c r="K143" s="120">
        <f>I143-J143</f>
        <v>0</v>
      </c>
      <c r="L143" s="121">
        <f>+H143+K143</f>
        <v>0</v>
      </c>
    </row>
    <row r="144" spans="1:15" x14ac:dyDescent="0.25">
      <c r="A144" t="s">
        <v>245</v>
      </c>
      <c r="B144" s="131" t="s">
        <v>300</v>
      </c>
      <c r="C144" s="131" t="s">
        <v>64</v>
      </c>
      <c r="D144" s="131" t="s">
        <v>516</v>
      </c>
      <c r="E144" s="132" t="s">
        <v>297</v>
      </c>
      <c r="F144" t="s">
        <v>66</v>
      </c>
      <c r="H144" s="119">
        <v>0</v>
      </c>
      <c r="I144" s="102">
        <f>SUMIF('MUTASI 2026'!$F$5:$F$1048576,BB!A144,'MUTASI 2026'!$G$5:$G$1048576)</f>
        <v>0</v>
      </c>
      <c r="J144" s="102">
        <f>SUMIF('MUTASI 2026'!$F$5:$F$1048576,BB!A144,'MUTASI 2026'!$H$5:$H$1048576)</f>
        <v>0</v>
      </c>
      <c r="K144" s="120">
        <f t="shared" si="10"/>
        <v>0</v>
      </c>
      <c r="L144" s="121">
        <f t="shared" si="11"/>
        <v>0</v>
      </c>
    </row>
    <row r="145" spans="1:12" x14ac:dyDescent="0.25">
      <c r="A145" t="s">
        <v>246</v>
      </c>
      <c r="B145" s="131" t="s">
        <v>300</v>
      </c>
      <c r="C145" s="131" t="s">
        <v>64</v>
      </c>
      <c r="D145" s="131" t="s">
        <v>516</v>
      </c>
      <c r="E145" s="132" t="s">
        <v>297</v>
      </c>
      <c r="F145" t="s">
        <v>395</v>
      </c>
      <c r="H145" s="119">
        <v>0</v>
      </c>
      <c r="I145" s="102">
        <f>SUMIF('MUTASI 2026'!$F$5:$F$1048576,BB!A145,'MUTASI 2026'!$G$5:$G$1048576)</f>
        <v>0</v>
      </c>
      <c r="J145" s="102">
        <f>SUMIF('MUTASI 2026'!$F$5:$F$1048576,BB!A145,'MUTASI 2026'!$H$5:$H$1048576)</f>
        <v>0</v>
      </c>
      <c r="K145" s="120">
        <f t="shared" si="10"/>
        <v>0</v>
      </c>
      <c r="L145" s="121">
        <f t="shared" si="11"/>
        <v>0</v>
      </c>
    </row>
    <row r="146" spans="1:12" x14ac:dyDescent="0.25">
      <c r="A146" t="s">
        <v>247</v>
      </c>
      <c r="B146" s="131" t="s">
        <v>300</v>
      </c>
      <c r="C146" s="131" t="s">
        <v>64</v>
      </c>
      <c r="D146" s="131" t="s">
        <v>516</v>
      </c>
      <c r="E146" s="132" t="s">
        <v>297</v>
      </c>
      <c r="F146" t="s">
        <v>293</v>
      </c>
      <c r="H146" s="119">
        <v>0</v>
      </c>
      <c r="I146" s="102">
        <f>SUMIF('MUTASI 2026'!$F$5:$F$1048576,BB!A146,'MUTASI 2026'!$G$5:$G$1048576)</f>
        <v>0</v>
      </c>
      <c r="J146" s="102">
        <f>SUMIF('MUTASI 2026'!$F$5:$F$1048576,BB!A146,'MUTASI 2026'!$H$5:$H$1048576)</f>
        <v>0</v>
      </c>
      <c r="K146" s="120">
        <f t="shared" si="10"/>
        <v>0</v>
      </c>
      <c r="L146" s="121">
        <f t="shared" si="11"/>
        <v>0</v>
      </c>
    </row>
    <row r="147" spans="1:12" x14ac:dyDescent="0.25">
      <c r="A147" s="154" t="s">
        <v>248</v>
      </c>
      <c r="B147" s="131" t="s">
        <v>300</v>
      </c>
      <c r="C147" s="131" t="s">
        <v>64</v>
      </c>
      <c r="D147" s="131" t="s">
        <v>516</v>
      </c>
      <c r="E147" s="132" t="s">
        <v>297</v>
      </c>
      <c r="F147" t="s">
        <v>408</v>
      </c>
      <c r="H147" s="119">
        <v>0</v>
      </c>
      <c r="I147" s="102">
        <f>SUMIF('MUTASI 2026'!$F$5:$F$1048576,BB!A147,'MUTASI 2026'!$G$5:$G$1048576)</f>
        <v>528776.91000000015</v>
      </c>
      <c r="J147" s="102">
        <f>SUMIF('MUTASI 2026'!$F$5:$F$1048576,BB!A147,'MUTASI 2026'!$H$5:$H$1048576)</f>
        <v>313384.5</v>
      </c>
      <c r="K147" s="120">
        <f>I147-J147</f>
        <v>215392.41000000015</v>
      </c>
      <c r="L147" s="121">
        <f>+H147+K147</f>
        <v>215392.41000000015</v>
      </c>
    </row>
    <row r="148" spans="1:12" x14ac:dyDescent="0.25">
      <c r="A148" s="154" t="s">
        <v>416</v>
      </c>
      <c r="B148" s="131" t="s">
        <v>300</v>
      </c>
      <c r="C148" s="131" t="s">
        <v>64</v>
      </c>
      <c r="D148" s="131" t="s">
        <v>517</v>
      </c>
      <c r="E148" s="132" t="s">
        <v>297</v>
      </c>
      <c r="F148" t="s">
        <v>417</v>
      </c>
      <c r="H148" s="119">
        <v>0</v>
      </c>
      <c r="I148" s="102">
        <f>SUMIF('MUTASI 2026'!$F$5:$F$1048576,BB!A148,'MUTASI 2026'!$G$5:$G$1048576)</f>
        <v>12000000</v>
      </c>
      <c r="J148" s="102">
        <f>SUMIF('MUTASI 2026'!$F$5:$F$1048576,BB!A148,'MUTASI 2026'!$H$5:$H$1048576)</f>
        <v>0</v>
      </c>
      <c r="K148" s="120">
        <f>I148-J148</f>
        <v>12000000</v>
      </c>
      <c r="L148" s="121">
        <f>+H148+K148</f>
        <v>12000000</v>
      </c>
    </row>
    <row r="149" spans="1:12" x14ac:dyDescent="0.25">
      <c r="A149" t="s">
        <v>249</v>
      </c>
      <c r="B149" s="131" t="s">
        <v>300</v>
      </c>
      <c r="C149" s="131" t="s">
        <v>64</v>
      </c>
      <c r="D149" s="131" t="s">
        <v>516</v>
      </c>
      <c r="E149" s="132" t="s">
        <v>297</v>
      </c>
      <c r="F149" t="s">
        <v>294</v>
      </c>
      <c r="H149" s="119">
        <v>0</v>
      </c>
      <c r="I149" s="102">
        <f>SUMIF('MUTASI 2026'!$F$5:$F$1048576,BB!A149,'MUTASI 2026'!$G$5:$G$1048576)</f>
        <v>13.666666075587273</v>
      </c>
      <c r="J149" s="102">
        <f>SUMIF('MUTASI 2026'!$F$5:$F$1048576,BB!A149,'MUTASI 2026'!$H$5:$H$1048576)</f>
        <v>0</v>
      </c>
      <c r="K149" s="120">
        <f t="shared" si="10"/>
        <v>13.666666075587273</v>
      </c>
      <c r="L149" s="121">
        <f t="shared" si="11"/>
        <v>13.666666075587273</v>
      </c>
    </row>
    <row r="150" spans="1:12" x14ac:dyDescent="0.25">
      <c r="A150" t="s">
        <v>250</v>
      </c>
      <c r="B150" s="131" t="s">
        <v>300</v>
      </c>
      <c r="C150" s="131" t="s">
        <v>301</v>
      </c>
      <c r="D150" s="131" t="s">
        <v>518</v>
      </c>
      <c r="E150" s="132" t="s">
        <v>297</v>
      </c>
      <c r="F150" t="s">
        <v>67</v>
      </c>
      <c r="H150" s="119">
        <v>0</v>
      </c>
      <c r="I150" s="102">
        <f>SUMIF('MUTASI 2026'!$F$5:$F$1048576,BB!A150,'MUTASI 2026'!$G$5:$G$1048576)</f>
        <v>0</v>
      </c>
      <c r="J150" s="102">
        <f>SUMIF('MUTASI 2026'!$F$5:$F$1048576,BB!A150,'MUTASI 2026'!$H$5:$H$1048576)</f>
        <v>0</v>
      </c>
      <c r="K150" s="120">
        <f t="shared" si="10"/>
        <v>0</v>
      </c>
      <c r="L150" s="121">
        <f t="shared" si="11"/>
        <v>0</v>
      </c>
    </row>
    <row r="151" spans="1:12" x14ac:dyDescent="0.25">
      <c r="A151" t="s">
        <v>251</v>
      </c>
      <c r="B151" s="131" t="s">
        <v>300</v>
      </c>
      <c r="C151" s="131" t="s">
        <v>301</v>
      </c>
      <c r="D151" s="131" t="s">
        <v>518</v>
      </c>
      <c r="E151" s="132" t="s">
        <v>297</v>
      </c>
      <c r="F151" t="s">
        <v>295</v>
      </c>
      <c r="H151" s="119">
        <v>0</v>
      </c>
      <c r="I151" s="102">
        <f>SUMIF('MUTASI 2026'!$F$5:$F$1048576,BB!A151,'MUTASI 2026'!$G$5:$G$1048576)</f>
        <v>0</v>
      </c>
      <c r="J151" s="102">
        <f>SUMIF('MUTASI 2026'!$F$5:$F$1048576,BB!A151,'MUTASI 2026'!$H$5:$H$1048576)</f>
        <v>0</v>
      </c>
      <c r="K151" s="120">
        <f>I151-J151</f>
        <v>0</v>
      </c>
      <c r="L151" s="121">
        <f>+H151+K151</f>
        <v>0</v>
      </c>
    </row>
    <row r="152" spans="1:12" x14ac:dyDescent="0.25">
      <c r="A152" t="s">
        <v>252</v>
      </c>
      <c r="B152" s="131" t="s">
        <v>300</v>
      </c>
      <c r="C152" s="131" t="s">
        <v>301</v>
      </c>
      <c r="D152" s="131" t="s">
        <v>518</v>
      </c>
      <c r="E152" s="132" t="s">
        <v>297</v>
      </c>
      <c r="F152" t="s">
        <v>296</v>
      </c>
      <c r="H152" s="119">
        <v>0</v>
      </c>
      <c r="I152" s="102">
        <f>SUMIF('MUTASI 2026'!$F$5:$F$1048576,BB!A152,'MUTASI 2026'!$G$5:$G$1048576)</f>
        <v>0</v>
      </c>
      <c r="J152" s="102">
        <f>SUMIF('MUTASI 2026'!$F$5:$F$1048576,BB!A152,'MUTASI 2026'!$H$5:$H$1048576)</f>
        <v>0</v>
      </c>
      <c r="K152" s="120">
        <f>I152-J152</f>
        <v>0</v>
      </c>
      <c r="L152" s="121">
        <f>+H152+K152</f>
        <v>0</v>
      </c>
    </row>
  </sheetData>
  <autoFilter ref="A7:L152" xr:uid="{C5DFBAD6-97A3-4B12-91F5-F54C640C5D0E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NR</vt:lpstr>
      <vt:lpstr>LR</vt:lpstr>
      <vt:lpstr>WS Trial balance</vt:lpstr>
      <vt:lpstr>MUTASI 2026</vt:lpstr>
      <vt:lpstr>BB</vt:lpstr>
      <vt:lpstr>'WS Trial balance'!Database</vt:lpstr>
      <vt:lpstr>LR!Print_Area</vt:lpstr>
      <vt:lpstr>NR!Print_Area</vt:lpstr>
      <vt:lpstr>'WS Trial balance'!Print_Area</vt:lpstr>
      <vt:lpstr>'WS Trial balance'!Print_Titles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Adita</dc:creator>
  <cp:lastModifiedBy>PT. Gresik Cipta Sejahtera</cp:lastModifiedBy>
  <cp:lastPrinted>2025-02-21T08:57:57Z</cp:lastPrinted>
  <dcterms:created xsi:type="dcterms:W3CDTF">2018-08-14T03:39:28Z</dcterms:created>
  <dcterms:modified xsi:type="dcterms:W3CDTF">2026-09-25T01:05:58Z</dcterms:modified>
</cp:coreProperties>
</file>