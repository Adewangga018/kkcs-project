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. KERJA\K K C S\Laporan Bulanan\2026\"/>
    </mc:Choice>
  </mc:AlternateContent>
  <xr:revisionPtr revIDLastSave="0" documentId="13_ncr:1_{769C6BC6-80E2-4DAA-8635-37FC0F318884}" xr6:coauthVersionLast="47" xr6:coauthVersionMax="47" xr10:uidLastSave="{00000000-0000-0000-0000-000000000000}"/>
  <bookViews>
    <workbookView xWindow="-120" yWindow="-120" windowWidth="29040" windowHeight="15720" xr2:uid="{F18AB9F2-DA06-4902-A915-B3E0E5037166}"/>
  </bookViews>
  <sheets>
    <sheet name="Kartu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K130" i="1" l="1"/>
  <c r="AC130" i="1"/>
  <c r="DH1" i="1"/>
  <c r="L181" i="1" l="1"/>
  <c r="L180" i="1"/>
  <c r="L179" i="1"/>
  <c r="L178" i="1"/>
  <c r="L177" i="1"/>
  <c r="L176" i="1"/>
  <c r="L175" i="1"/>
  <c r="L174" i="1"/>
  <c r="L173" i="1"/>
  <c r="L172" i="1"/>
  <c r="L171" i="1"/>
  <c r="L170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L142" i="1"/>
  <c r="K142" i="1"/>
  <c r="J142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K106" i="1"/>
  <c r="K105" i="1"/>
  <c r="K104" i="1"/>
  <c r="K103" i="1"/>
  <c r="K102" i="1"/>
  <c r="K101" i="1"/>
  <c r="K100" i="1"/>
  <c r="K99" i="1"/>
  <c r="K98" i="1"/>
  <c r="K97" i="1"/>
  <c r="K96" i="1"/>
  <c r="J93" i="1"/>
  <c r="J92" i="1"/>
  <c r="J91" i="1"/>
  <c r="J90" i="1"/>
  <c r="J89" i="1"/>
  <c r="J88" i="1"/>
  <c r="J87" i="1"/>
  <c r="J86" i="1"/>
  <c r="J85" i="1"/>
  <c r="J84" i="1"/>
  <c r="J83" i="1"/>
  <c r="J82" i="1"/>
  <c r="L80" i="1"/>
  <c r="J80" i="1"/>
  <c r="K80" i="1"/>
  <c r="L57" i="1"/>
  <c r="L56" i="1"/>
  <c r="L55" i="1"/>
  <c r="L54" i="1"/>
  <c r="L53" i="1"/>
  <c r="L52" i="1"/>
  <c r="L51" i="1"/>
  <c r="L50" i="1"/>
  <c r="L49" i="1"/>
  <c r="L48" i="1"/>
  <c r="L47" i="1"/>
  <c r="L46" i="1"/>
  <c r="K44" i="1"/>
  <c r="K43" i="1"/>
  <c r="K42" i="1"/>
  <c r="K41" i="1"/>
  <c r="K40" i="1"/>
  <c r="K39" i="1"/>
  <c r="K38" i="1"/>
  <c r="K37" i="1"/>
  <c r="K36" i="1"/>
  <c r="K35" i="1"/>
  <c r="K34" i="1"/>
  <c r="K33" i="1"/>
  <c r="J31" i="1"/>
  <c r="J30" i="1"/>
  <c r="J29" i="1"/>
  <c r="J28" i="1"/>
  <c r="J27" i="1"/>
  <c r="J26" i="1"/>
  <c r="J25" i="1"/>
  <c r="J24" i="1"/>
  <c r="J23" i="1"/>
  <c r="J22" i="1"/>
  <c r="J21" i="1"/>
  <c r="J20" i="1"/>
  <c r="L18" i="1"/>
  <c r="K18" i="1"/>
  <c r="J18" i="1"/>
  <c r="M18" i="1" s="1"/>
  <c r="M67" i="1" s="1"/>
  <c r="M6" i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80" i="1" l="1"/>
  <c r="M129" i="1" s="1"/>
  <c r="M68" i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K95" i="1"/>
  <c r="M142" i="1" l="1"/>
  <c r="M130" i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CR181" i="1" l="1"/>
  <c r="CR180" i="1"/>
  <c r="CR179" i="1"/>
  <c r="CR178" i="1"/>
  <c r="CR177" i="1"/>
  <c r="CR176" i="1"/>
  <c r="CR175" i="1"/>
  <c r="CR174" i="1"/>
  <c r="CR173" i="1"/>
  <c r="CR172" i="1"/>
  <c r="CR171" i="1"/>
  <c r="CR170" i="1"/>
  <c r="CQ168" i="1"/>
  <c r="CQ167" i="1"/>
  <c r="CQ166" i="1"/>
  <c r="CQ165" i="1"/>
  <c r="CQ164" i="1"/>
  <c r="CQ163" i="1"/>
  <c r="CQ162" i="1"/>
  <c r="CQ161" i="1"/>
  <c r="CQ160" i="1"/>
  <c r="CQ159" i="1"/>
  <c r="CQ158" i="1"/>
  <c r="CQ157" i="1"/>
  <c r="CP155" i="1"/>
  <c r="CP154" i="1"/>
  <c r="CP153" i="1"/>
  <c r="CP152" i="1"/>
  <c r="CP151" i="1"/>
  <c r="CP150" i="1"/>
  <c r="CP149" i="1"/>
  <c r="CP148" i="1"/>
  <c r="CP147" i="1"/>
  <c r="CP146" i="1"/>
  <c r="CP145" i="1"/>
  <c r="CP144" i="1"/>
  <c r="CR142" i="1"/>
  <c r="CQ142" i="1"/>
  <c r="CP142" i="1"/>
  <c r="CR119" i="1"/>
  <c r="CR118" i="1"/>
  <c r="CR117" i="1"/>
  <c r="CR116" i="1"/>
  <c r="CR115" i="1"/>
  <c r="CR114" i="1"/>
  <c r="CR113" i="1"/>
  <c r="CR112" i="1"/>
  <c r="CR111" i="1"/>
  <c r="CR110" i="1"/>
  <c r="CR109" i="1"/>
  <c r="CR108" i="1"/>
  <c r="CQ106" i="1"/>
  <c r="CQ105" i="1"/>
  <c r="CQ104" i="1"/>
  <c r="CQ103" i="1"/>
  <c r="CQ102" i="1"/>
  <c r="CQ101" i="1"/>
  <c r="CQ100" i="1"/>
  <c r="CQ99" i="1"/>
  <c r="CQ98" i="1"/>
  <c r="CQ97" i="1"/>
  <c r="CQ96" i="1"/>
  <c r="CQ95" i="1"/>
  <c r="CP93" i="1"/>
  <c r="CP92" i="1"/>
  <c r="CP91" i="1"/>
  <c r="CP90" i="1"/>
  <c r="CP89" i="1"/>
  <c r="CP88" i="1"/>
  <c r="CP87" i="1"/>
  <c r="CP86" i="1"/>
  <c r="CP85" i="1"/>
  <c r="CP84" i="1"/>
  <c r="CP83" i="1"/>
  <c r="CP82" i="1"/>
  <c r="CR80" i="1"/>
  <c r="CQ80" i="1"/>
  <c r="CP80" i="1"/>
  <c r="CQ65" i="1"/>
  <c r="CR57" i="1"/>
  <c r="CR56" i="1"/>
  <c r="CR55" i="1"/>
  <c r="CR54" i="1"/>
  <c r="CR53" i="1"/>
  <c r="CR52" i="1"/>
  <c r="CR51" i="1"/>
  <c r="CR50" i="1"/>
  <c r="CR49" i="1"/>
  <c r="CR48" i="1"/>
  <c r="CR47" i="1"/>
  <c r="CR46" i="1"/>
  <c r="CQ44" i="1"/>
  <c r="CQ43" i="1"/>
  <c r="CQ42" i="1"/>
  <c r="CQ41" i="1"/>
  <c r="CQ40" i="1"/>
  <c r="CQ39" i="1"/>
  <c r="CQ38" i="1"/>
  <c r="CQ37" i="1"/>
  <c r="CQ36" i="1"/>
  <c r="CQ35" i="1"/>
  <c r="CQ34" i="1"/>
  <c r="CQ33" i="1"/>
  <c r="CP31" i="1"/>
  <c r="CP30" i="1"/>
  <c r="CP29" i="1"/>
  <c r="CP28" i="1"/>
  <c r="CP27" i="1"/>
  <c r="CP26" i="1"/>
  <c r="CP25" i="1"/>
  <c r="CP24" i="1"/>
  <c r="CP23" i="1"/>
  <c r="CP22" i="1"/>
  <c r="CP21" i="1"/>
  <c r="CP20" i="1"/>
  <c r="CR18" i="1"/>
  <c r="CQ18" i="1"/>
  <c r="CP18" i="1"/>
  <c r="CS18" i="1" s="1"/>
  <c r="CS67" i="1" s="1"/>
  <c r="CS6" i="1"/>
  <c r="CS7" i="1" s="1"/>
  <c r="CS8" i="1" s="1"/>
  <c r="CS9" i="1" s="1"/>
  <c r="CS10" i="1" s="1"/>
  <c r="CS11" i="1" s="1"/>
  <c r="CS12" i="1" s="1"/>
  <c r="CS13" i="1" s="1"/>
  <c r="CS14" i="1" s="1"/>
  <c r="CS15" i="1" s="1"/>
  <c r="CS16" i="1" s="1"/>
  <c r="CS17" i="1" s="1"/>
  <c r="CS68" i="1" l="1"/>
  <c r="CS69" i="1" s="1"/>
  <c r="CS70" i="1" s="1"/>
  <c r="CS71" i="1" s="1"/>
  <c r="CS72" i="1" s="1"/>
  <c r="CS73" i="1" s="1"/>
  <c r="CS74" i="1" s="1"/>
  <c r="CS75" i="1" s="1"/>
  <c r="CS76" i="1" s="1"/>
  <c r="CS77" i="1" s="1"/>
  <c r="CS78" i="1" s="1"/>
  <c r="CS79" i="1" s="1"/>
  <c r="CS80" i="1"/>
  <c r="CS129" i="1" s="1"/>
  <c r="CS142" i="1" l="1"/>
  <c r="CS130" i="1"/>
  <c r="CS131" i="1" s="1"/>
  <c r="CS132" i="1" s="1"/>
  <c r="CS133" i="1" s="1"/>
  <c r="CS134" i="1" s="1"/>
  <c r="CS135" i="1" s="1"/>
  <c r="CS136" i="1" s="1"/>
  <c r="CS137" i="1" s="1"/>
  <c r="CS138" i="1" s="1"/>
  <c r="CS139" i="1" s="1"/>
  <c r="CS140" i="1" s="1"/>
  <c r="CS141" i="1" s="1"/>
  <c r="X181" i="1" l="1"/>
  <c r="X180" i="1"/>
  <c r="X179" i="1"/>
  <c r="X178" i="1"/>
  <c r="X177" i="1"/>
  <c r="X176" i="1"/>
  <c r="X175" i="1"/>
  <c r="X174" i="1"/>
  <c r="X173" i="1"/>
  <c r="X172" i="1"/>
  <c r="X171" i="1"/>
  <c r="X170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X142" i="1"/>
  <c r="W142" i="1"/>
  <c r="V142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W106" i="1"/>
  <c r="W105" i="1"/>
  <c r="W104" i="1"/>
  <c r="W103" i="1"/>
  <c r="W102" i="1"/>
  <c r="W101" i="1"/>
  <c r="W100" i="1"/>
  <c r="W99" i="1"/>
  <c r="W98" i="1"/>
  <c r="W97" i="1"/>
  <c r="W96" i="1"/>
  <c r="W95" i="1"/>
  <c r="V93" i="1"/>
  <c r="V92" i="1"/>
  <c r="V91" i="1"/>
  <c r="V90" i="1"/>
  <c r="V89" i="1"/>
  <c r="V88" i="1"/>
  <c r="V87" i="1"/>
  <c r="V86" i="1"/>
  <c r="V85" i="1"/>
  <c r="V84" i="1"/>
  <c r="V83" i="1"/>
  <c r="V82" i="1"/>
  <c r="X80" i="1"/>
  <c r="W80" i="1"/>
  <c r="V80" i="1"/>
  <c r="X57" i="1"/>
  <c r="X56" i="1"/>
  <c r="X55" i="1"/>
  <c r="X54" i="1"/>
  <c r="X53" i="1"/>
  <c r="X52" i="1"/>
  <c r="X51" i="1"/>
  <c r="X50" i="1"/>
  <c r="X49" i="1"/>
  <c r="X48" i="1"/>
  <c r="X47" i="1"/>
  <c r="X46" i="1"/>
  <c r="W44" i="1"/>
  <c r="W43" i="1"/>
  <c r="W42" i="1"/>
  <c r="W41" i="1"/>
  <c r="W40" i="1"/>
  <c r="W39" i="1"/>
  <c r="W38" i="1"/>
  <c r="W37" i="1"/>
  <c r="W36" i="1"/>
  <c r="W35" i="1"/>
  <c r="W34" i="1"/>
  <c r="W33" i="1"/>
  <c r="V31" i="1"/>
  <c r="V30" i="1"/>
  <c r="V29" i="1"/>
  <c r="V28" i="1"/>
  <c r="V27" i="1"/>
  <c r="V26" i="1"/>
  <c r="V25" i="1"/>
  <c r="V24" i="1"/>
  <c r="V23" i="1"/>
  <c r="V22" i="1"/>
  <c r="V21" i="1"/>
  <c r="V20" i="1"/>
  <c r="X18" i="1"/>
  <c r="W18" i="1"/>
  <c r="V18" i="1"/>
  <c r="Y18" i="1" s="1"/>
  <c r="Y67" i="1" s="1"/>
  <c r="Y6" i="1"/>
  <c r="Y7" i="1" s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HB181" i="1"/>
  <c r="GV181" i="1"/>
  <c r="GP181" i="1"/>
  <c r="GJ181" i="1"/>
  <c r="GD181" i="1"/>
  <c r="FX181" i="1"/>
  <c r="FR181" i="1"/>
  <c r="FL181" i="1"/>
  <c r="FF181" i="1"/>
  <c r="EZ181" i="1"/>
  <c r="ET181" i="1"/>
  <c r="EN181" i="1"/>
  <c r="EH181" i="1"/>
  <c r="EB181" i="1"/>
  <c r="DV181" i="1"/>
  <c r="DP181" i="1"/>
  <c r="DJ181" i="1"/>
  <c r="DD181" i="1"/>
  <c r="CX181" i="1"/>
  <c r="CL181" i="1"/>
  <c r="CF181" i="1"/>
  <c r="BZ181" i="1"/>
  <c r="BT181" i="1"/>
  <c r="BN181" i="1"/>
  <c r="BH181" i="1"/>
  <c r="BB181" i="1"/>
  <c r="AV181" i="1"/>
  <c r="AP181" i="1"/>
  <c r="AJ181" i="1"/>
  <c r="AD181" i="1"/>
  <c r="R181" i="1"/>
  <c r="F181" i="1"/>
  <c r="HB180" i="1"/>
  <c r="GV180" i="1"/>
  <c r="GP180" i="1"/>
  <c r="GJ180" i="1"/>
  <c r="GD180" i="1"/>
  <c r="FX180" i="1"/>
  <c r="FR180" i="1"/>
  <c r="FL180" i="1"/>
  <c r="FF180" i="1"/>
  <c r="EZ180" i="1"/>
  <c r="ET180" i="1"/>
  <c r="EN180" i="1"/>
  <c r="EH180" i="1"/>
  <c r="EB180" i="1"/>
  <c r="DV180" i="1"/>
  <c r="DP180" i="1"/>
  <c r="DJ180" i="1"/>
  <c r="DD180" i="1"/>
  <c r="CX180" i="1"/>
  <c r="CL180" i="1"/>
  <c r="CF180" i="1"/>
  <c r="BZ180" i="1"/>
  <c r="BT180" i="1"/>
  <c r="BN180" i="1"/>
  <c r="BH180" i="1"/>
  <c r="BB180" i="1"/>
  <c r="AV180" i="1"/>
  <c r="AP180" i="1"/>
  <c r="AJ180" i="1"/>
  <c r="AD180" i="1"/>
  <c r="R180" i="1"/>
  <c r="F180" i="1"/>
  <c r="HB179" i="1"/>
  <c r="GV179" i="1"/>
  <c r="GP179" i="1"/>
  <c r="GJ179" i="1"/>
  <c r="GD179" i="1"/>
  <c r="FX179" i="1"/>
  <c r="FR179" i="1"/>
  <c r="FL179" i="1"/>
  <c r="FF179" i="1"/>
  <c r="EZ179" i="1"/>
  <c r="ET179" i="1"/>
  <c r="EN179" i="1"/>
  <c r="EH179" i="1"/>
  <c r="EB179" i="1"/>
  <c r="DV179" i="1"/>
  <c r="DP179" i="1"/>
  <c r="DJ179" i="1"/>
  <c r="DD179" i="1"/>
  <c r="CX179" i="1"/>
  <c r="CL179" i="1"/>
  <c r="CF179" i="1"/>
  <c r="BZ179" i="1"/>
  <c r="BT179" i="1"/>
  <c r="BN179" i="1"/>
  <c r="BH179" i="1"/>
  <c r="BB179" i="1"/>
  <c r="AV179" i="1"/>
  <c r="AP179" i="1"/>
  <c r="AJ179" i="1"/>
  <c r="AD179" i="1"/>
  <c r="R179" i="1"/>
  <c r="F179" i="1"/>
  <c r="HB178" i="1"/>
  <c r="GV178" i="1"/>
  <c r="GP178" i="1"/>
  <c r="GJ178" i="1"/>
  <c r="GD178" i="1"/>
  <c r="FX178" i="1"/>
  <c r="FR178" i="1"/>
  <c r="FL178" i="1"/>
  <c r="FF178" i="1"/>
  <c r="EZ178" i="1"/>
  <c r="ET178" i="1"/>
  <c r="EN178" i="1"/>
  <c r="EH178" i="1"/>
  <c r="EB178" i="1"/>
  <c r="DV178" i="1"/>
  <c r="DP178" i="1"/>
  <c r="DJ178" i="1"/>
  <c r="DD178" i="1"/>
  <c r="CX178" i="1"/>
  <c r="CL178" i="1"/>
  <c r="CF178" i="1"/>
  <c r="BZ178" i="1"/>
  <c r="BT178" i="1"/>
  <c r="BN178" i="1"/>
  <c r="BH178" i="1"/>
  <c r="BB178" i="1"/>
  <c r="AV178" i="1"/>
  <c r="AP178" i="1"/>
  <c r="AJ178" i="1"/>
  <c r="AD178" i="1"/>
  <c r="R178" i="1"/>
  <c r="F178" i="1"/>
  <c r="HB177" i="1"/>
  <c r="GV177" i="1"/>
  <c r="GP177" i="1"/>
  <c r="GJ177" i="1"/>
  <c r="GD177" i="1"/>
  <c r="FX177" i="1"/>
  <c r="FR177" i="1"/>
  <c r="FL177" i="1"/>
  <c r="FF177" i="1"/>
  <c r="EZ177" i="1"/>
  <c r="ET177" i="1"/>
  <c r="EN177" i="1"/>
  <c r="EH177" i="1"/>
  <c r="EB177" i="1"/>
  <c r="DV177" i="1"/>
  <c r="DP177" i="1"/>
  <c r="DJ177" i="1"/>
  <c r="DD177" i="1"/>
  <c r="CX177" i="1"/>
  <c r="CL177" i="1"/>
  <c r="CF177" i="1"/>
  <c r="BZ177" i="1"/>
  <c r="BT177" i="1"/>
  <c r="BN177" i="1"/>
  <c r="BH177" i="1"/>
  <c r="BB177" i="1"/>
  <c r="AV177" i="1"/>
  <c r="AP177" i="1"/>
  <c r="AJ177" i="1"/>
  <c r="AD177" i="1"/>
  <c r="R177" i="1"/>
  <c r="F177" i="1"/>
  <c r="HB176" i="1"/>
  <c r="GV176" i="1"/>
  <c r="GP176" i="1"/>
  <c r="GJ176" i="1"/>
  <c r="GD176" i="1"/>
  <c r="FX176" i="1"/>
  <c r="FR176" i="1"/>
  <c r="FL176" i="1"/>
  <c r="FF176" i="1"/>
  <c r="EZ176" i="1"/>
  <c r="ET176" i="1"/>
  <c r="EN176" i="1"/>
  <c r="EH176" i="1"/>
  <c r="EB176" i="1"/>
  <c r="DV176" i="1"/>
  <c r="DP176" i="1"/>
  <c r="DJ176" i="1"/>
  <c r="DD176" i="1"/>
  <c r="CX176" i="1"/>
  <c r="CL176" i="1"/>
  <c r="CF176" i="1"/>
  <c r="BZ176" i="1"/>
  <c r="BT176" i="1"/>
  <c r="BN176" i="1"/>
  <c r="BH176" i="1"/>
  <c r="BB176" i="1"/>
  <c r="AV176" i="1"/>
  <c r="AP176" i="1"/>
  <c r="AJ176" i="1"/>
  <c r="AD176" i="1"/>
  <c r="R176" i="1"/>
  <c r="F176" i="1"/>
  <c r="HB175" i="1"/>
  <c r="GV175" i="1"/>
  <c r="GP175" i="1"/>
  <c r="GJ175" i="1"/>
  <c r="GD175" i="1"/>
  <c r="FX175" i="1"/>
  <c r="FR175" i="1"/>
  <c r="FL175" i="1"/>
  <c r="FF175" i="1"/>
  <c r="EZ175" i="1"/>
  <c r="ET175" i="1"/>
  <c r="EN175" i="1"/>
  <c r="EH175" i="1"/>
  <c r="EB175" i="1"/>
  <c r="DV175" i="1"/>
  <c r="DP175" i="1"/>
  <c r="DJ175" i="1"/>
  <c r="DD175" i="1"/>
  <c r="CX175" i="1"/>
  <c r="CL175" i="1"/>
  <c r="CF175" i="1"/>
  <c r="BZ175" i="1"/>
  <c r="BT175" i="1"/>
  <c r="BN175" i="1"/>
  <c r="BH175" i="1"/>
  <c r="BB175" i="1"/>
  <c r="AV175" i="1"/>
  <c r="AP175" i="1"/>
  <c r="AJ175" i="1"/>
  <c r="AD175" i="1"/>
  <c r="R175" i="1"/>
  <c r="F175" i="1"/>
  <c r="HB174" i="1"/>
  <c r="GV174" i="1"/>
  <c r="GP174" i="1"/>
  <c r="GJ174" i="1"/>
  <c r="GD174" i="1"/>
  <c r="FX174" i="1"/>
  <c r="FR174" i="1"/>
  <c r="FL174" i="1"/>
  <c r="FF174" i="1"/>
  <c r="EZ174" i="1"/>
  <c r="ET174" i="1"/>
  <c r="EN174" i="1"/>
  <c r="EH174" i="1"/>
  <c r="EB174" i="1"/>
  <c r="DV174" i="1"/>
  <c r="DP174" i="1"/>
  <c r="DJ174" i="1"/>
  <c r="DD174" i="1"/>
  <c r="CX174" i="1"/>
  <c r="CL174" i="1"/>
  <c r="CF174" i="1"/>
  <c r="BZ174" i="1"/>
  <c r="BT174" i="1"/>
  <c r="BN174" i="1"/>
  <c r="BH174" i="1"/>
  <c r="BB174" i="1"/>
  <c r="AV174" i="1"/>
  <c r="AP174" i="1"/>
  <c r="AJ174" i="1"/>
  <c r="AD174" i="1"/>
  <c r="R174" i="1"/>
  <c r="F174" i="1"/>
  <c r="HB173" i="1"/>
  <c r="GV173" i="1"/>
  <c r="GP173" i="1"/>
  <c r="GJ173" i="1"/>
  <c r="GD173" i="1"/>
  <c r="FX173" i="1"/>
  <c r="FR173" i="1"/>
  <c r="FL173" i="1"/>
  <c r="FF173" i="1"/>
  <c r="EZ173" i="1"/>
  <c r="ET173" i="1"/>
  <c r="EN173" i="1"/>
  <c r="EH173" i="1"/>
  <c r="EB173" i="1"/>
  <c r="DV173" i="1"/>
  <c r="DP173" i="1"/>
  <c r="DJ173" i="1"/>
  <c r="DD173" i="1"/>
  <c r="CX173" i="1"/>
  <c r="CL173" i="1"/>
  <c r="CF173" i="1"/>
  <c r="BZ173" i="1"/>
  <c r="BT173" i="1"/>
  <c r="BN173" i="1"/>
  <c r="BH173" i="1"/>
  <c r="BB173" i="1"/>
  <c r="AV173" i="1"/>
  <c r="AP173" i="1"/>
  <c r="AJ173" i="1"/>
  <c r="AD173" i="1"/>
  <c r="R173" i="1"/>
  <c r="F173" i="1"/>
  <c r="HB172" i="1"/>
  <c r="GV172" i="1"/>
  <c r="GP172" i="1"/>
  <c r="GJ172" i="1"/>
  <c r="GD172" i="1"/>
  <c r="FX172" i="1"/>
  <c r="FR172" i="1"/>
  <c r="FL172" i="1"/>
  <c r="FF172" i="1"/>
  <c r="EZ172" i="1"/>
  <c r="ET172" i="1"/>
  <c r="EN172" i="1"/>
  <c r="EH172" i="1"/>
  <c r="EB172" i="1"/>
  <c r="DV172" i="1"/>
  <c r="DP172" i="1"/>
  <c r="DJ172" i="1"/>
  <c r="DD172" i="1"/>
  <c r="CX172" i="1"/>
  <c r="CL172" i="1"/>
  <c r="CF172" i="1"/>
  <c r="BZ172" i="1"/>
  <c r="BT172" i="1"/>
  <c r="BN172" i="1"/>
  <c r="BH172" i="1"/>
  <c r="BB172" i="1"/>
  <c r="AV172" i="1"/>
  <c r="AP172" i="1"/>
  <c r="AJ172" i="1"/>
  <c r="AD172" i="1"/>
  <c r="R172" i="1"/>
  <c r="F172" i="1"/>
  <c r="HB171" i="1"/>
  <c r="GV171" i="1"/>
  <c r="GP171" i="1"/>
  <c r="GJ171" i="1"/>
  <c r="GD171" i="1"/>
  <c r="FX171" i="1"/>
  <c r="FR171" i="1"/>
  <c r="FL171" i="1"/>
  <c r="FF171" i="1"/>
  <c r="EZ171" i="1"/>
  <c r="ET171" i="1"/>
  <c r="EN171" i="1"/>
  <c r="EH171" i="1"/>
  <c r="EB171" i="1"/>
  <c r="DV171" i="1"/>
  <c r="DP171" i="1"/>
  <c r="DJ171" i="1"/>
  <c r="DD171" i="1"/>
  <c r="CX171" i="1"/>
  <c r="CL171" i="1"/>
  <c r="CF171" i="1"/>
  <c r="BZ171" i="1"/>
  <c r="BT171" i="1"/>
  <c r="BN171" i="1"/>
  <c r="BH171" i="1"/>
  <c r="BB171" i="1"/>
  <c r="AV171" i="1"/>
  <c r="AP171" i="1"/>
  <c r="AJ171" i="1"/>
  <c r="AD171" i="1"/>
  <c r="R171" i="1"/>
  <c r="F171" i="1"/>
  <c r="HB170" i="1"/>
  <c r="GV170" i="1"/>
  <c r="GP170" i="1"/>
  <c r="GJ170" i="1"/>
  <c r="GD170" i="1"/>
  <c r="FX170" i="1"/>
  <c r="FR170" i="1"/>
  <c r="FL170" i="1"/>
  <c r="FF170" i="1"/>
  <c r="EZ170" i="1"/>
  <c r="ET170" i="1"/>
  <c r="EN170" i="1"/>
  <c r="EH170" i="1"/>
  <c r="EB170" i="1"/>
  <c r="DV170" i="1"/>
  <c r="DP170" i="1"/>
  <c r="DJ170" i="1"/>
  <c r="DD170" i="1"/>
  <c r="CX170" i="1"/>
  <c r="CL170" i="1"/>
  <c r="CF170" i="1"/>
  <c r="BZ170" i="1"/>
  <c r="BT170" i="1"/>
  <c r="BN170" i="1"/>
  <c r="BH170" i="1"/>
  <c r="BB170" i="1"/>
  <c r="AV170" i="1"/>
  <c r="AP170" i="1"/>
  <c r="AJ170" i="1"/>
  <c r="AD170" i="1"/>
  <c r="R170" i="1"/>
  <c r="F170" i="1"/>
  <c r="HA168" i="1"/>
  <c r="GU168" i="1"/>
  <c r="GO168" i="1"/>
  <c r="GI168" i="1"/>
  <c r="GC168" i="1"/>
  <c r="FW168" i="1"/>
  <c r="FQ168" i="1"/>
  <c r="FK168" i="1"/>
  <c r="FE168" i="1"/>
  <c r="EY168" i="1"/>
  <c r="ES168" i="1"/>
  <c r="EM168" i="1"/>
  <c r="EG168" i="1"/>
  <c r="EA168" i="1"/>
  <c r="DU168" i="1"/>
  <c r="DO168" i="1"/>
  <c r="DI168" i="1"/>
  <c r="DC168" i="1"/>
  <c r="CW168" i="1"/>
  <c r="CK168" i="1"/>
  <c r="CE168" i="1"/>
  <c r="BY168" i="1"/>
  <c r="BS168" i="1"/>
  <c r="BM168" i="1"/>
  <c r="BG168" i="1"/>
  <c r="BA168" i="1"/>
  <c r="AU168" i="1"/>
  <c r="AO168" i="1"/>
  <c r="AI168" i="1"/>
  <c r="AC168" i="1"/>
  <c r="Q168" i="1"/>
  <c r="E168" i="1"/>
  <c r="HA167" i="1"/>
  <c r="GU167" i="1"/>
  <c r="GO167" i="1"/>
  <c r="GI167" i="1"/>
  <c r="GC167" i="1"/>
  <c r="FW167" i="1"/>
  <c r="FQ167" i="1"/>
  <c r="FK167" i="1"/>
  <c r="FE167" i="1"/>
  <c r="EY167" i="1"/>
  <c r="ES167" i="1"/>
  <c r="EM167" i="1"/>
  <c r="EG167" i="1"/>
  <c r="EA167" i="1"/>
  <c r="DU167" i="1"/>
  <c r="DO167" i="1"/>
  <c r="DI167" i="1"/>
  <c r="DC167" i="1"/>
  <c r="CW167" i="1"/>
  <c r="CK167" i="1"/>
  <c r="CE167" i="1"/>
  <c r="BY167" i="1"/>
  <c r="BS167" i="1"/>
  <c r="BM167" i="1"/>
  <c r="BG167" i="1"/>
  <c r="BA167" i="1"/>
  <c r="AU167" i="1"/>
  <c r="AO167" i="1"/>
  <c r="AI167" i="1"/>
  <c r="AC167" i="1"/>
  <c r="Q167" i="1"/>
  <c r="E167" i="1"/>
  <c r="HA166" i="1"/>
  <c r="GU166" i="1"/>
  <c r="GO166" i="1"/>
  <c r="GI166" i="1"/>
  <c r="GC166" i="1"/>
  <c r="FW166" i="1"/>
  <c r="FQ166" i="1"/>
  <c r="FK166" i="1"/>
  <c r="FE166" i="1"/>
  <c r="EY166" i="1"/>
  <c r="ES166" i="1"/>
  <c r="EM166" i="1"/>
  <c r="EG166" i="1"/>
  <c r="EA166" i="1"/>
  <c r="DU166" i="1"/>
  <c r="DO166" i="1"/>
  <c r="DI166" i="1"/>
  <c r="DC166" i="1"/>
  <c r="CW166" i="1"/>
  <c r="CK166" i="1"/>
  <c r="CE166" i="1"/>
  <c r="BY166" i="1"/>
  <c r="BS166" i="1"/>
  <c r="BM166" i="1"/>
  <c r="BG166" i="1"/>
  <c r="BA166" i="1"/>
  <c r="AU166" i="1"/>
  <c r="AO166" i="1"/>
  <c r="AI166" i="1"/>
  <c r="AC166" i="1"/>
  <c r="Q166" i="1"/>
  <c r="E166" i="1"/>
  <c r="HA165" i="1"/>
  <c r="GU165" i="1"/>
  <c r="GO165" i="1"/>
  <c r="GI165" i="1"/>
  <c r="GC165" i="1"/>
  <c r="FW165" i="1"/>
  <c r="FQ165" i="1"/>
  <c r="FK165" i="1"/>
  <c r="FE165" i="1"/>
  <c r="EY165" i="1"/>
  <c r="ES165" i="1"/>
  <c r="EM165" i="1"/>
  <c r="EG165" i="1"/>
  <c r="EA165" i="1"/>
  <c r="DU165" i="1"/>
  <c r="DO165" i="1"/>
  <c r="DI165" i="1"/>
  <c r="DC165" i="1"/>
  <c r="CW165" i="1"/>
  <c r="CK165" i="1"/>
  <c r="CE165" i="1"/>
  <c r="BY165" i="1"/>
  <c r="BS165" i="1"/>
  <c r="BM165" i="1"/>
  <c r="BG165" i="1"/>
  <c r="BA165" i="1"/>
  <c r="AU165" i="1"/>
  <c r="AO165" i="1"/>
  <c r="AI165" i="1"/>
  <c r="AC165" i="1"/>
  <c r="Q165" i="1"/>
  <c r="E165" i="1"/>
  <c r="HA164" i="1"/>
  <c r="GU164" i="1"/>
  <c r="GO164" i="1"/>
  <c r="GI164" i="1"/>
  <c r="GC164" i="1"/>
  <c r="FW164" i="1"/>
  <c r="FQ164" i="1"/>
  <c r="FK164" i="1"/>
  <c r="FE164" i="1"/>
  <c r="EY164" i="1"/>
  <c r="ES164" i="1"/>
  <c r="EM164" i="1"/>
  <c r="EG164" i="1"/>
  <c r="DU164" i="1"/>
  <c r="DO164" i="1"/>
  <c r="DI164" i="1"/>
  <c r="DC164" i="1"/>
  <c r="CW164" i="1"/>
  <c r="CK164" i="1"/>
  <c r="CE164" i="1"/>
  <c r="BY164" i="1"/>
  <c r="BS164" i="1"/>
  <c r="BM164" i="1"/>
  <c r="BG164" i="1"/>
  <c r="BA164" i="1"/>
  <c r="AU164" i="1"/>
  <c r="AO164" i="1"/>
  <c r="AI164" i="1"/>
  <c r="AC164" i="1"/>
  <c r="Q164" i="1"/>
  <c r="E164" i="1"/>
  <c r="HA163" i="1"/>
  <c r="GU163" i="1"/>
  <c r="GO163" i="1"/>
  <c r="GI163" i="1"/>
  <c r="GC163" i="1"/>
  <c r="FW163" i="1"/>
  <c r="FK163" i="1"/>
  <c r="FE163" i="1"/>
  <c r="EY163" i="1"/>
  <c r="ES163" i="1"/>
  <c r="EM163" i="1"/>
  <c r="EG163" i="1"/>
  <c r="EA163" i="1"/>
  <c r="DU163" i="1"/>
  <c r="DO163" i="1"/>
  <c r="DI163" i="1"/>
  <c r="DC163" i="1"/>
  <c r="CK163" i="1"/>
  <c r="CE163" i="1"/>
  <c r="BY163" i="1"/>
  <c r="BS163" i="1"/>
  <c r="BM163" i="1"/>
  <c r="BG163" i="1"/>
  <c r="BA163" i="1"/>
  <c r="AU163" i="1"/>
  <c r="AO163" i="1"/>
  <c r="AI163" i="1"/>
  <c r="AC163" i="1"/>
  <c r="Q163" i="1"/>
  <c r="E163" i="1"/>
  <c r="HA162" i="1"/>
  <c r="GU162" i="1"/>
  <c r="GO162" i="1"/>
  <c r="GI162" i="1"/>
  <c r="GC162" i="1"/>
  <c r="FW162" i="1"/>
  <c r="FQ162" i="1"/>
  <c r="FK162" i="1"/>
  <c r="FE162" i="1"/>
  <c r="EY162" i="1"/>
  <c r="ES162" i="1"/>
  <c r="EM162" i="1"/>
  <c r="EG162" i="1"/>
  <c r="EA162" i="1"/>
  <c r="DU162" i="1"/>
  <c r="DO162" i="1"/>
  <c r="DI162" i="1"/>
  <c r="DC162" i="1"/>
  <c r="CW162" i="1"/>
  <c r="CK162" i="1"/>
  <c r="CE162" i="1"/>
  <c r="BY162" i="1"/>
  <c r="BS162" i="1"/>
  <c r="BM162" i="1"/>
  <c r="BG162" i="1"/>
  <c r="BA162" i="1"/>
  <c r="AU162" i="1"/>
  <c r="AO162" i="1"/>
  <c r="AI162" i="1"/>
  <c r="AC162" i="1"/>
  <c r="Q162" i="1"/>
  <c r="HA161" i="1"/>
  <c r="GU161" i="1"/>
  <c r="GO161" i="1"/>
  <c r="GI161" i="1"/>
  <c r="GC161" i="1"/>
  <c r="FW161" i="1"/>
  <c r="FQ161" i="1"/>
  <c r="FK161" i="1"/>
  <c r="FE161" i="1"/>
  <c r="EY161" i="1"/>
  <c r="ES161" i="1"/>
  <c r="EM161" i="1"/>
  <c r="EG161" i="1"/>
  <c r="EA161" i="1"/>
  <c r="DU161" i="1"/>
  <c r="DO161" i="1"/>
  <c r="DI161" i="1"/>
  <c r="DC161" i="1"/>
  <c r="CW161" i="1"/>
  <c r="CK161" i="1"/>
  <c r="CE161" i="1"/>
  <c r="BY161" i="1"/>
  <c r="BS161" i="1"/>
  <c r="BM161" i="1"/>
  <c r="BG161" i="1"/>
  <c r="BA161" i="1"/>
  <c r="AU161" i="1"/>
  <c r="AO161" i="1"/>
  <c r="AI161" i="1"/>
  <c r="Q161" i="1"/>
  <c r="E161" i="1"/>
  <c r="HA160" i="1"/>
  <c r="GU160" i="1"/>
  <c r="GO160" i="1"/>
  <c r="GI160" i="1"/>
  <c r="GC160" i="1"/>
  <c r="FW160" i="1"/>
  <c r="FQ160" i="1"/>
  <c r="FK160" i="1"/>
  <c r="FE160" i="1"/>
  <c r="EY160" i="1"/>
  <c r="ES160" i="1"/>
  <c r="EM160" i="1"/>
  <c r="EG160" i="1"/>
  <c r="EA160" i="1"/>
  <c r="DU160" i="1"/>
  <c r="DO160" i="1"/>
  <c r="DI160" i="1"/>
  <c r="DC160" i="1"/>
  <c r="CW160" i="1"/>
  <c r="CK160" i="1"/>
  <c r="CE160" i="1"/>
  <c r="BY160" i="1"/>
  <c r="BS160" i="1"/>
  <c r="BM160" i="1"/>
  <c r="BG160" i="1"/>
  <c r="AU160" i="1"/>
  <c r="AO160" i="1"/>
  <c r="AI160" i="1"/>
  <c r="AC160" i="1"/>
  <c r="Q160" i="1"/>
  <c r="E160" i="1"/>
  <c r="HA159" i="1"/>
  <c r="GU159" i="1"/>
  <c r="GO159" i="1"/>
  <c r="GI159" i="1"/>
  <c r="GC159" i="1"/>
  <c r="FW159" i="1"/>
  <c r="FQ159" i="1"/>
  <c r="FK159" i="1"/>
  <c r="FE159" i="1"/>
  <c r="EY159" i="1"/>
  <c r="ES159" i="1"/>
  <c r="EM159" i="1"/>
  <c r="EG159" i="1"/>
  <c r="EA159" i="1"/>
  <c r="DU159" i="1"/>
  <c r="DO159" i="1"/>
  <c r="DI159" i="1"/>
  <c r="DC159" i="1"/>
  <c r="CW159" i="1"/>
  <c r="CK159" i="1"/>
  <c r="CE159" i="1"/>
  <c r="BY159" i="1"/>
  <c r="BS159" i="1"/>
  <c r="BM159" i="1"/>
  <c r="BG159" i="1"/>
  <c r="BA159" i="1"/>
  <c r="AU159" i="1"/>
  <c r="AO159" i="1"/>
  <c r="AI159" i="1"/>
  <c r="AC159" i="1"/>
  <c r="Q159" i="1"/>
  <c r="E159" i="1"/>
  <c r="HA158" i="1"/>
  <c r="GU158" i="1"/>
  <c r="GO158" i="1"/>
  <c r="GI158" i="1"/>
  <c r="GC158" i="1"/>
  <c r="FW158" i="1"/>
  <c r="FQ158" i="1"/>
  <c r="FK158" i="1"/>
  <c r="FE158" i="1"/>
  <c r="EY158" i="1"/>
  <c r="ES158" i="1"/>
  <c r="EM158" i="1"/>
  <c r="EG158" i="1"/>
  <c r="EA158" i="1"/>
  <c r="DU158" i="1"/>
  <c r="DO158" i="1"/>
  <c r="DI158" i="1"/>
  <c r="DC158" i="1"/>
  <c r="CW158" i="1"/>
  <c r="CK158" i="1"/>
  <c r="CE158" i="1"/>
  <c r="BY158" i="1"/>
  <c r="BS158" i="1"/>
  <c r="BM158" i="1"/>
  <c r="BG158" i="1"/>
  <c r="AU158" i="1"/>
  <c r="AO158" i="1"/>
  <c r="AI158" i="1"/>
  <c r="AC158" i="1"/>
  <c r="Q158" i="1"/>
  <c r="HA157" i="1"/>
  <c r="GU157" i="1"/>
  <c r="GO157" i="1"/>
  <c r="GI157" i="1"/>
  <c r="GC157" i="1"/>
  <c r="FW157" i="1"/>
  <c r="FQ157" i="1"/>
  <c r="FK157" i="1"/>
  <c r="FE157" i="1"/>
  <c r="EY157" i="1"/>
  <c r="ES157" i="1"/>
  <c r="EM157" i="1"/>
  <c r="EG157" i="1"/>
  <c r="EA157" i="1"/>
  <c r="DU157" i="1"/>
  <c r="DO157" i="1"/>
  <c r="DI157" i="1"/>
  <c r="DC157" i="1"/>
  <c r="CW157" i="1"/>
  <c r="CK157" i="1"/>
  <c r="CE157" i="1"/>
  <c r="BY157" i="1"/>
  <c r="BS157" i="1"/>
  <c r="BM157" i="1"/>
  <c r="BG157" i="1"/>
  <c r="BA157" i="1"/>
  <c r="AU157" i="1"/>
  <c r="AO157" i="1"/>
  <c r="AI157" i="1"/>
  <c r="AC157" i="1"/>
  <c r="E157" i="1"/>
  <c r="GZ155" i="1"/>
  <c r="GT155" i="1"/>
  <c r="GN155" i="1"/>
  <c r="GH155" i="1"/>
  <c r="GB155" i="1"/>
  <c r="FV155" i="1"/>
  <c r="FP155" i="1"/>
  <c r="FJ155" i="1"/>
  <c r="FD155" i="1"/>
  <c r="EX155" i="1"/>
  <c r="ER155" i="1"/>
  <c r="EL155" i="1"/>
  <c r="EF155" i="1"/>
  <c r="DZ155" i="1"/>
  <c r="DT155" i="1"/>
  <c r="DN155" i="1"/>
  <c r="DH155" i="1"/>
  <c r="DB155" i="1"/>
  <c r="CV155" i="1"/>
  <c r="CJ155" i="1"/>
  <c r="CD155" i="1"/>
  <c r="BX155" i="1"/>
  <c r="BR155" i="1"/>
  <c r="BL155" i="1"/>
  <c r="BF155" i="1"/>
  <c r="AZ155" i="1"/>
  <c r="AT155" i="1"/>
  <c r="AN155" i="1"/>
  <c r="AH155" i="1"/>
  <c r="AB155" i="1"/>
  <c r="P155" i="1"/>
  <c r="D155" i="1"/>
  <c r="GZ154" i="1"/>
  <c r="GT154" i="1"/>
  <c r="GN154" i="1"/>
  <c r="GH154" i="1"/>
  <c r="GB154" i="1"/>
  <c r="FV154" i="1"/>
  <c r="FP154" i="1"/>
  <c r="FJ154" i="1"/>
  <c r="FD154" i="1"/>
  <c r="EX154" i="1"/>
  <c r="ER154" i="1"/>
  <c r="EL154" i="1"/>
  <c r="EF154" i="1"/>
  <c r="DZ154" i="1"/>
  <c r="DT154" i="1"/>
  <c r="DN154" i="1"/>
  <c r="DH154" i="1"/>
  <c r="DB154" i="1"/>
  <c r="CV154" i="1"/>
  <c r="CJ154" i="1"/>
  <c r="CD154" i="1"/>
  <c r="BX154" i="1"/>
  <c r="BR154" i="1"/>
  <c r="BL154" i="1"/>
  <c r="BF154" i="1"/>
  <c r="AZ154" i="1"/>
  <c r="AT154" i="1"/>
  <c r="AN154" i="1"/>
  <c r="AH154" i="1"/>
  <c r="AB154" i="1"/>
  <c r="P154" i="1"/>
  <c r="D154" i="1"/>
  <c r="GZ153" i="1"/>
  <c r="GT153" i="1"/>
  <c r="GN153" i="1"/>
  <c r="GH153" i="1"/>
  <c r="GB153" i="1"/>
  <c r="FV153" i="1"/>
  <c r="FP153" i="1"/>
  <c r="FJ153" i="1"/>
  <c r="FD153" i="1"/>
  <c r="EX153" i="1"/>
  <c r="ER153" i="1"/>
  <c r="EL153" i="1"/>
  <c r="EF153" i="1"/>
  <c r="DZ153" i="1"/>
  <c r="DT153" i="1"/>
  <c r="DN153" i="1"/>
  <c r="DH153" i="1"/>
  <c r="DB153" i="1"/>
  <c r="CV153" i="1"/>
  <c r="CJ153" i="1"/>
  <c r="CD153" i="1"/>
  <c r="BX153" i="1"/>
  <c r="BR153" i="1"/>
  <c r="BL153" i="1"/>
  <c r="BF153" i="1"/>
  <c r="AZ153" i="1"/>
  <c r="AT153" i="1"/>
  <c r="AN153" i="1"/>
  <c r="AH153" i="1"/>
  <c r="AB153" i="1"/>
  <c r="P153" i="1"/>
  <c r="D153" i="1"/>
  <c r="GZ152" i="1"/>
  <c r="GT152" i="1"/>
  <c r="GN152" i="1"/>
  <c r="GH152" i="1"/>
  <c r="GB152" i="1"/>
  <c r="FV152" i="1"/>
  <c r="FP152" i="1"/>
  <c r="FJ152" i="1"/>
  <c r="FD152" i="1"/>
  <c r="EX152" i="1"/>
  <c r="ER152" i="1"/>
  <c r="EL152" i="1"/>
  <c r="EF152" i="1"/>
  <c r="DZ152" i="1"/>
  <c r="DT152" i="1"/>
  <c r="DN152" i="1"/>
  <c r="DH152" i="1"/>
  <c r="DB152" i="1"/>
  <c r="CV152" i="1"/>
  <c r="CJ152" i="1"/>
  <c r="CD152" i="1"/>
  <c r="BX152" i="1"/>
  <c r="BR152" i="1"/>
  <c r="BL152" i="1"/>
  <c r="BF152" i="1"/>
  <c r="AZ152" i="1"/>
  <c r="AT152" i="1"/>
  <c r="AN152" i="1"/>
  <c r="AH152" i="1"/>
  <c r="AB152" i="1"/>
  <c r="P152" i="1"/>
  <c r="D152" i="1"/>
  <c r="GZ151" i="1"/>
  <c r="GT151" i="1"/>
  <c r="GN151" i="1"/>
  <c r="GH151" i="1"/>
  <c r="GB151" i="1"/>
  <c r="FV151" i="1"/>
  <c r="FP151" i="1"/>
  <c r="FJ151" i="1"/>
  <c r="FD151" i="1"/>
  <c r="EX151" i="1"/>
  <c r="ER151" i="1"/>
  <c r="EL151" i="1"/>
  <c r="EF151" i="1"/>
  <c r="DZ151" i="1"/>
  <c r="DT151" i="1"/>
  <c r="DN151" i="1"/>
  <c r="DH151" i="1"/>
  <c r="DB151" i="1"/>
  <c r="CV151" i="1"/>
  <c r="CJ151" i="1"/>
  <c r="CD151" i="1"/>
  <c r="BX151" i="1"/>
  <c r="BR151" i="1"/>
  <c r="BL151" i="1"/>
  <c r="BF151" i="1"/>
  <c r="AZ151" i="1"/>
  <c r="AT151" i="1"/>
  <c r="AN151" i="1"/>
  <c r="AH151" i="1"/>
  <c r="AB151" i="1"/>
  <c r="P151" i="1"/>
  <c r="D151" i="1"/>
  <c r="GZ150" i="1"/>
  <c r="GT150" i="1"/>
  <c r="GN150" i="1"/>
  <c r="GH150" i="1"/>
  <c r="GB150" i="1"/>
  <c r="FV150" i="1"/>
  <c r="FP150" i="1"/>
  <c r="FJ150" i="1"/>
  <c r="FD150" i="1"/>
  <c r="EX150" i="1"/>
  <c r="ER150" i="1"/>
  <c r="EL150" i="1"/>
  <c r="EF150" i="1"/>
  <c r="DZ150" i="1"/>
  <c r="DT150" i="1"/>
  <c r="DN150" i="1"/>
  <c r="DH150" i="1"/>
  <c r="DB150" i="1"/>
  <c r="CV150" i="1"/>
  <c r="CJ150" i="1"/>
  <c r="CD150" i="1"/>
  <c r="BX150" i="1"/>
  <c r="BR150" i="1"/>
  <c r="BL150" i="1"/>
  <c r="BF150" i="1"/>
  <c r="AZ150" i="1"/>
  <c r="AT150" i="1"/>
  <c r="AN150" i="1"/>
  <c r="AH150" i="1"/>
  <c r="AB150" i="1"/>
  <c r="P150" i="1"/>
  <c r="D150" i="1"/>
  <c r="GZ149" i="1"/>
  <c r="GT149" i="1"/>
  <c r="GN149" i="1"/>
  <c r="GH149" i="1"/>
  <c r="GB149" i="1"/>
  <c r="FV149" i="1"/>
  <c r="FP149" i="1"/>
  <c r="FJ149" i="1"/>
  <c r="FD149" i="1"/>
  <c r="EX149" i="1"/>
  <c r="ER149" i="1"/>
  <c r="EL149" i="1"/>
  <c r="EF149" i="1"/>
  <c r="DZ149" i="1"/>
  <c r="DT149" i="1"/>
  <c r="DN149" i="1"/>
  <c r="DH149" i="1"/>
  <c r="DB149" i="1"/>
  <c r="CV149" i="1"/>
  <c r="CJ149" i="1"/>
  <c r="CD149" i="1"/>
  <c r="BX149" i="1"/>
  <c r="BR149" i="1"/>
  <c r="BL149" i="1"/>
  <c r="BF149" i="1"/>
  <c r="AZ149" i="1"/>
  <c r="AT149" i="1"/>
  <c r="AN149" i="1"/>
  <c r="AH149" i="1"/>
  <c r="AB149" i="1"/>
  <c r="P149" i="1"/>
  <c r="D149" i="1"/>
  <c r="GZ148" i="1"/>
  <c r="GT148" i="1"/>
  <c r="GN148" i="1"/>
  <c r="GH148" i="1"/>
  <c r="GB148" i="1"/>
  <c r="FV148" i="1"/>
  <c r="FP148" i="1"/>
  <c r="FJ148" i="1"/>
  <c r="FD148" i="1"/>
  <c r="EX148" i="1"/>
  <c r="ER148" i="1"/>
  <c r="EL148" i="1"/>
  <c r="EF148" i="1"/>
  <c r="DZ148" i="1"/>
  <c r="DT148" i="1"/>
  <c r="DN148" i="1"/>
  <c r="DH148" i="1"/>
  <c r="DB148" i="1"/>
  <c r="CV148" i="1"/>
  <c r="CJ148" i="1"/>
  <c r="CD148" i="1"/>
  <c r="BX148" i="1"/>
  <c r="BR148" i="1"/>
  <c r="BL148" i="1"/>
  <c r="BF148" i="1"/>
  <c r="AZ148" i="1"/>
  <c r="AT148" i="1"/>
  <c r="AN148" i="1"/>
  <c r="AH148" i="1"/>
  <c r="AB148" i="1"/>
  <c r="P148" i="1"/>
  <c r="D148" i="1"/>
  <c r="GZ147" i="1"/>
  <c r="GT147" i="1"/>
  <c r="GN147" i="1"/>
  <c r="GH147" i="1"/>
  <c r="GB147" i="1"/>
  <c r="FV147" i="1"/>
  <c r="FP147" i="1"/>
  <c r="FJ147" i="1"/>
  <c r="FD147" i="1"/>
  <c r="EX147" i="1"/>
  <c r="ER147" i="1"/>
  <c r="EL147" i="1"/>
  <c r="EF147" i="1"/>
  <c r="DZ147" i="1"/>
  <c r="DT147" i="1"/>
  <c r="DN147" i="1"/>
  <c r="DH147" i="1"/>
  <c r="DB147" i="1"/>
  <c r="CV147" i="1"/>
  <c r="CJ147" i="1"/>
  <c r="CD147" i="1"/>
  <c r="BX147" i="1"/>
  <c r="BR147" i="1"/>
  <c r="BL147" i="1"/>
  <c r="BF147" i="1"/>
  <c r="AZ147" i="1"/>
  <c r="AT147" i="1"/>
  <c r="AN147" i="1"/>
  <c r="AH147" i="1"/>
  <c r="AB147" i="1"/>
  <c r="P147" i="1"/>
  <c r="D147" i="1"/>
  <c r="GZ146" i="1"/>
  <c r="GT146" i="1"/>
  <c r="GN146" i="1"/>
  <c r="GH146" i="1"/>
  <c r="GB146" i="1"/>
  <c r="FV146" i="1"/>
  <c r="FP146" i="1"/>
  <c r="FJ146" i="1"/>
  <c r="FD146" i="1"/>
  <c r="EX146" i="1"/>
  <c r="ER146" i="1"/>
  <c r="EL146" i="1"/>
  <c r="EF146" i="1"/>
  <c r="DZ146" i="1"/>
  <c r="DT146" i="1"/>
  <c r="DN146" i="1"/>
  <c r="DH146" i="1"/>
  <c r="DB146" i="1"/>
  <c r="CV146" i="1"/>
  <c r="CJ146" i="1"/>
  <c r="CD146" i="1"/>
  <c r="BX146" i="1"/>
  <c r="BR146" i="1"/>
  <c r="BL146" i="1"/>
  <c r="BF146" i="1"/>
  <c r="AZ146" i="1"/>
  <c r="AT146" i="1"/>
  <c r="AN146" i="1"/>
  <c r="AH146" i="1"/>
  <c r="AB146" i="1"/>
  <c r="P146" i="1"/>
  <c r="D146" i="1"/>
  <c r="GZ145" i="1"/>
  <c r="GT145" i="1"/>
  <c r="GN145" i="1"/>
  <c r="GH145" i="1"/>
  <c r="GB145" i="1"/>
  <c r="FV145" i="1"/>
  <c r="FP145" i="1"/>
  <c r="FJ145" i="1"/>
  <c r="FD145" i="1"/>
  <c r="EX145" i="1"/>
  <c r="ER145" i="1"/>
  <c r="EL145" i="1"/>
  <c r="EF145" i="1"/>
  <c r="DZ145" i="1"/>
  <c r="DT145" i="1"/>
  <c r="DN145" i="1"/>
  <c r="DH145" i="1"/>
  <c r="DB145" i="1"/>
  <c r="CV145" i="1"/>
  <c r="CJ145" i="1"/>
  <c r="CD145" i="1"/>
  <c r="BX145" i="1"/>
  <c r="BR145" i="1"/>
  <c r="BL145" i="1"/>
  <c r="BF145" i="1"/>
  <c r="AZ145" i="1"/>
  <c r="AT145" i="1"/>
  <c r="AN145" i="1"/>
  <c r="AH145" i="1"/>
  <c r="AB145" i="1"/>
  <c r="P145" i="1"/>
  <c r="D145" i="1"/>
  <c r="GZ144" i="1"/>
  <c r="GT144" i="1"/>
  <c r="GN144" i="1"/>
  <c r="GH144" i="1"/>
  <c r="GB144" i="1"/>
  <c r="FV144" i="1"/>
  <c r="FP144" i="1"/>
  <c r="FJ144" i="1"/>
  <c r="FD144" i="1"/>
  <c r="EX144" i="1"/>
  <c r="ER144" i="1"/>
  <c r="EL144" i="1"/>
  <c r="EF144" i="1"/>
  <c r="DZ144" i="1"/>
  <c r="DT144" i="1"/>
  <c r="DN144" i="1"/>
  <c r="DH144" i="1"/>
  <c r="DB144" i="1"/>
  <c r="CV144" i="1"/>
  <c r="CJ144" i="1"/>
  <c r="CD144" i="1"/>
  <c r="BX144" i="1"/>
  <c r="BR144" i="1"/>
  <c r="BL144" i="1"/>
  <c r="BF144" i="1"/>
  <c r="AZ144" i="1"/>
  <c r="AT144" i="1"/>
  <c r="AN144" i="1"/>
  <c r="AH144" i="1"/>
  <c r="AB144" i="1"/>
  <c r="P144" i="1"/>
  <c r="D144" i="1"/>
  <c r="HB142" i="1"/>
  <c r="HA142" i="1"/>
  <c r="GZ142" i="1"/>
  <c r="GV142" i="1"/>
  <c r="GU142" i="1"/>
  <c r="GT142" i="1"/>
  <c r="GP142" i="1"/>
  <c r="GO142" i="1"/>
  <c r="GN142" i="1"/>
  <c r="GJ142" i="1"/>
  <c r="GI142" i="1"/>
  <c r="GH142" i="1"/>
  <c r="GD142" i="1"/>
  <c r="GC142" i="1"/>
  <c r="GB142" i="1"/>
  <c r="FX142" i="1"/>
  <c r="FW142" i="1"/>
  <c r="FV142" i="1"/>
  <c r="FR142" i="1"/>
  <c r="FP142" i="1"/>
  <c r="FL142" i="1"/>
  <c r="FJ142" i="1"/>
  <c r="FF142" i="1"/>
  <c r="FE142" i="1"/>
  <c r="FD142" i="1"/>
  <c r="EZ142" i="1"/>
  <c r="EY142" i="1"/>
  <c r="EX142" i="1"/>
  <c r="ET142" i="1"/>
  <c r="ES142" i="1"/>
  <c r="ER142" i="1"/>
  <c r="EN142" i="1"/>
  <c r="EM142" i="1"/>
  <c r="EL142" i="1"/>
  <c r="EH142" i="1"/>
  <c r="EG142" i="1"/>
  <c r="EF142" i="1"/>
  <c r="EB142" i="1"/>
  <c r="EA142" i="1"/>
  <c r="DZ142" i="1"/>
  <c r="DV142" i="1"/>
  <c r="DU142" i="1"/>
  <c r="DT142" i="1"/>
  <c r="DP142" i="1"/>
  <c r="DO142" i="1"/>
  <c r="DN142" i="1"/>
  <c r="DJ142" i="1"/>
  <c r="DI142" i="1"/>
  <c r="DH142" i="1"/>
  <c r="DD142" i="1"/>
  <c r="DC142" i="1"/>
  <c r="DB142" i="1"/>
  <c r="CX142" i="1"/>
  <c r="CV142" i="1"/>
  <c r="CL142" i="1"/>
  <c r="CK142" i="1"/>
  <c r="CJ142" i="1"/>
  <c r="CF142" i="1"/>
  <c r="CE142" i="1"/>
  <c r="CD142" i="1"/>
  <c r="BZ142" i="1"/>
  <c r="BY142" i="1"/>
  <c r="BX142" i="1"/>
  <c r="BT142" i="1"/>
  <c r="BS142" i="1"/>
  <c r="BR142" i="1"/>
  <c r="BN142" i="1"/>
  <c r="BM142" i="1"/>
  <c r="BL142" i="1"/>
  <c r="BH142" i="1"/>
  <c r="BG142" i="1"/>
  <c r="BF142" i="1"/>
  <c r="BB142" i="1"/>
  <c r="BA142" i="1"/>
  <c r="AZ142" i="1"/>
  <c r="AV142" i="1"/>
  <c r="AU142" i="1"/>
  <c r="AT142" i="1"/>
  <c r="AP142" i="1"/>
  <c r="AO142" i="1"/>
  <c r="AN142" i="1"/>
  <c r="AJ142" i="1"/>
  <c r="AI142" i="1"/>
  <c r="AH142" i="1"/>
  <c r="AD142" i="1"/>
  <c r="AC142" i="1"/>
  <c r="AB142" i="1"/>
  <c r="R142" i="1"/>
  <c r="P142" i="1"/>
  <c r="F142" i="1"/>
  <c r="E142" i="1"/>
  <c r="D142" i="1"/>
  <c r="EA164" i="1"/>
  <c r="FQ142" i="1"/>
  <c r="CW163" i="1"/>
  <c r="E162" i="1"/>
  <c r="FK142" i="1"/>
  <c r="AC161" i="1"/>
  <c r="BA160" i="1"/>
  <c r="BA158" i="1"/>
  <c r="E158" i="1"/>
  <c r="Q157" i="1"/>
  <c r="DJ119" i="1"/>
  <c r="DJ118" i="1"/>
  <c r="DJ117" i="1"/>
  <c r="DJ116" i="1"/>
  <c r="DJ115" i="1"/>
  <c r="DJ114" i="1"/>
  <c r="DJ113" i="1"/>
  <c r="DJ112" i="1"/>
  <c r="DJ111" i="1"/>
  <c r="DJ110" i="1"/>
  <c r="DJ109" i="1"/>
  <c r="DJ108" i="1"/>
  <c r="DI106" i="1"/>
  <c r="DI105" i="1"/>
  <c r="DI104" i="1"/>
  <c r="DI103" i="1"/>
  <c r="DI102" i="1"/>
  <c r="DI101" i="1"/>
  <c r="DI100" i="1"/>
  <c r="DI99" i="1"/>
  <c r="DI98" i="1"/>
  <c r="DI97" i="1"/>
  <c r="DI96" i="1"/>
  <c r="DI95" i="1"/>
  <c r="DH93" i="1"/>
  <c r="DH92" i="1"/>
  <c r="DH91" i="1"/>
  <c r="DH90" i="1"/>
  <c r="DH89" i="1"/>
  <c r="DH88" i="1"/>
  <c r="DH87" i="1"/>
  <c r="DH86" i="1"/>
  <c r="DH85" i="1"/>
  <c r="DH84" i="1"/>
  <c r="DH83" i="1"/>
  <c r="DH82" i="1"/>
  <c r="DJ80" i="1"/>
  <c r="DI80" i="1"/>
  <c r="DH80" i="1"/>
  <c r="DJ57" i="1"/>
  <c r="DJ56" i="1"/>
  <c r="DJ55" i="1"/>
  <c r="DJ54" i="1"/>
  <c r="DJ53" i="1"/>
  <c r="DJ52" i="1"/>
  <c r="DJ51" i="1"/>
  <c r="DJ50" i="1"/>
  <c r="DJ49" i="1"/>
  <c r="DJ48" i="1"/>
  <c r="DJ47" i="1"/>
  <c r="DJ46" i="1"/>
  <c r="DI44" i="1"/>
  <c r="DI43" i="1"/>
  <c r="DI42" i="1"/>
  <c r="DI41" i="1"/>
  <c r="DI40" i="1"/>
  <c r="DI39" i="1"/>
  <c r="DI38" i="1"/>
  <c r="DI37" i="1"/>
  <c r="DI36" i="1"/>
  <c r="DI35" i="1"/>
  <c r="DI34" i="1"/>
  <c r="DI33" i="1"/>
  <c r="DH31" i="1"/>
  <c r="DH30" i="1"/>
  <c r="DH29" i="1"/>
  <c r="DH28" i="1"/>
  <c r="DH27" i="1"/>
  <c r="DH26" i="1"/>
  <c r="DH25" i="1"/>
  <c r="DH24" i="1"/>
  <c r="DH23" i="1"/>
  <c r="DH22" i="1"/>
  <c r="DH21" i="1"/>
  <c r="DH20" i="1"/>
  <c r="DJ18" i="1"/>
  <c r="DI18" i="1"/>
  <c r="DH18" i="1"/>
  <c r="DK6" i="1"/>
  <c r="DK7" i="1" s="1"/>
  <c r="DK8" i="1" s="1"/>
  <c r="DK9" i="1" s="1"/>
  <c r="DK10" i="1" s="1"/>
  <c r="DK11" i="1" s="1"/>
  <c r="DK12" i="1" s="1"/>
  <c r="DK13" i="1" s="1"/>
  <c r="DK14" i="1" s="1"/>
  <c r="DK15" i="1" s="1"/>
  <c r="DK16" i="1" s="1"/>
  <c r="DK17" i="1" s="1"/>
  <c r="Y80" i="1" l="1"/>
  <c r="Y129" i="1" s="1"/>
  <c r="Y68" i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B144" i="1"/>
  <c r="B170" i="1"/>
  <c r="B171" i="1"/>
  <c r="B172" i="1"/>
  <c r="B175" i="1"/>
  <c r="B176" i="1"/>
  <c r="B177" i="1"/>
  <c r="B178" i="1"/>
  <c r="B180" i="1"/>
  <c r="B181" i="1"/>
  <c r="B145" i="1"/>
  <c r="B152" i="1"/>
  <c r="B153" i="1"/>
  <c r="B179" i="1"/>
  <c r="B154" i="1"/>
  <c r="B162" i="1"/>
  <c r="B165" i="1"/>
  <c r="B168" i="1"/>
  <c r="B159" i="1"/>
  <c r="B174" i="1"/>
  <c r="B147" i="1"/>
  <c r="B155" i="1"/>
  <c r="B173" i="1"/>
  <c r="B161" i="1"/>
  <c r="B160" i="1"/>
  <c r="B164" i="1"/>
  <c r="B158" i="1"/>
  <c r="B146" i="1"/>
  <c r="B149" i="1"/>
  <c r="B150" i="1"/>
  <c r="B151" i="1"/>
  <c r="B157" i="1"/>
  <c r="B166" i="1"/>
  <c r="B167" i="1"/>
  <c r="B148" i="1"/>
  <c r="FQ163" i="1"/>
  <c r="B163" i="1" s="1"/>
  <c r="Q142" i="1"/>
  <c r="CW142" i="1"/>
  <c r="DK18" i="1"/>
  <c r="DK67" i="1" s="1"/>
  <c r="DK68" i="1" s="1"/>
  <c r="DK69" i="1" s="1"/>
  <c r="DK70" i="1" s="1"/>
  <c r="DK71" i="1" s="1"/>
  <c r="DK72" i="1" s="1"/>
  <c r="DK73" i="1" s="1"/>
  <c r="DK74" i="1" s="1"/>
  <c r="DK75" i="1" s="1"/>
  <c r="DK76" i="1" s="1"/>
  <c r="DK77" i="1" s="1"/>
  <c r="DK78" i="1" s="1"/>
  <c r="DK79" i="1" s="1"/>
  <c r="DK80" i="1" l="1"/>
  <c r="DK142" i="1" s="1"/>
  <c r="Y142" i="1"/>
  <c r="Y130" i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DK130" i="1"/>
  <c r="DK131" i="1" s="1"/>
  <c r="DK132" i="1" s="1"/>
  <c r="DK133" i="1" s="1"/>
  <c r="DK134" i="1" s="1"/>
  <c r="DK135" i="1" s="1"/>
  <c r="DK136" i="1" s="1"/>
  <c r="DK137" i="1" s="1"/>
  <c r="DK138" i="1" s="1"/>
  <c r="DK139" i="1" s="1"/>
  <c r="DK140" i="1" s="1"/>
  <c r="DK141" i="1" s="1"/>
  <c r="B187" i="1"/>
  <c r="B184" i="1"/>
  <c r="B185" i="1"/>
  <c r="CE65" i="1"/>
  <c r="EA75" i="1"/>
  <c r="CW74" i="1"/>
  <c r="FQ74" i="1"/>
  <c r="E73" i="1" l="1"/>
  <c r="EA72" i="1" l="1"/>
  <c r="FK72" i="1"/>
  <c r="AC72" i="1"/>
  <c r="E72" i="1" l="1"/>
  <c r="BA71" i="1"/>
  <c r="E69" i="1"/>
  <c r="BA69" i="1"/>
  <c r="BH119" i="1"/>
  <c r="BH118" i="1"/>
  <c r="BH117" i="1"/>
  <c r="BH116" i="1"/>
  <c r="BH115" i="1"/>
  <c r="BH114" i="1"/>
  <c r="BH113" i="1"/>
  <c r="BH112" i="1"/>
  <c r="BH111" i="1"/>
  <c r="BH110" i="1"/>
  <c r="BH109" i="1"/>
  <c r="BH108" i="1"/>
  <c r="BG106" i="1"/>
  <c r="BG105" i="1"/>
  <c r="BG104" i="1"/>
  <c r="BG103" i="1"/>
  <c r="BG102" i="1"/>
  <c r="BG101" i="1"/>
  <c r="BG100" i="1"/>
  <c r="BG99" i="1"/>
  <c r="BG98" i="1"/>
  <c r="BG97" i="1"/>
  <c r="BG96" i="1"/>
  <c r="BG95" i="1"/>
  <c r="BF93" i="1"/>
  <c r="BF92" i="1"/>
  <c r="BF91" i="1"/>
  <c r="BF90" i="1"/>
  <c r="BF89" i="1"/>
  <c r="BF88" i="1"/>
  <c r="BF87" i="1"/>
  <c r="BF86" i="1"/>
  <c r="BF85" i="1"/>
  <c r="BF84" i="1"/>
  <c r="BF83" i="1"/>
  <c r="BF82" i="1"/>
  <c r="BH80" i="1"/>
  <c r="BG80" i="1"/>
  <c r="BF80" i="1"/>
  <c r="BH57" i="1"/>
  <c r="BH56" i="1"/>
  <c r="BH55" i="1"/>
  <c r="BH54" i="1"/>
  <c r="BH53" i="1"/>
  <c r="BH52" i="1"/>
  <c r="BH51" i="1"/>
  <c r="BH50" i="1"/>
  <c r="BH49" i="1"/>
  <c r="BH48" i="1"/>
  <c r="BH47" i="1"/>
  <c r="BH46" i="1"/>
  <c r="BG44" i="1"/>
  <c r="BG43" i="1"/>
  <c r="BG42" i="1"/>
  <c r="BG41" i="1"/>
  <c r="BG40" i="1"/>
  <c r="BG39" i="1"/>
  <c r="BG38" i="1"/>
  <c r="BG37" i="1"/>
  <c r="BG36" i="1"/>
  <c r="BG35" i="1"/>
  <c r="BG34" i="1"/>
  <c r="BG33" i="1"/>
  <c r="BF31" i="1"/>
  <c r="BF30" i="1"/>
  <c r="BF29" i="1"/>
  <c r="BF28" i="1"/>
  <c r="BF27" i="1"/>
  <c r="BF26" i="1"/>
  <c r="BF25" i="1"/>
  <c r="BF24" i="1"/>
  <c r="BF23" i="1"/>
  <c r="BF22" i="1"/>
  <c r="BF21" i="1"/>
  <c r="BF20" i="1"/>
  <c r="BH18" i="1"/>
  <c r="BG18" i="1"/>
  <c r="BF18" i="1"/>
  <c r="BI6" i="1"/>
  <c r="BI7" i="1" s="1"/>
  <c r="BI8" i="1" s="1"/>
  <c r="BI9" i="1" s="1"/>
  <c r="BI10" i="1" s="1"/>
  <c r="BI11" i="1" s="1"/>
  <c r="BI12" i="1" s="1"/>
  <c r="BI13" i="1" s="1"/>
  <c r="BI14" i="1" s="1"/>
  <c r="BI15" i="1" s="1"/>
  <c r="BI16" i="1" s="1"/>
  <c r="BI17" i="1" s="1"/>
  <c r="BI18" i="1" l="1"/>
  <c r="BI67" i="1" s="1"/>
  <c r="BI68" i="1" s="1"/>
  <c r="BI69" i="1" s="1"/>
  <c r="BI70" i="1" s="1"/>
  <c r="BI71" i="1" s="1"/>
  <c r="BI72" i="1" s="1"/>
  <c r="BI73" i="1" s="1"/>
  <c r="BI74" i="1" s="1"/>
  <c r="BI75" i="1" s="1"/>
  <c r="BI76" i="1" s="1"/>
  <c r="BI77" i="1" s="1"/>
  <c r="BI78" i="1" s="1"/>
  <c r="BI79" i="1" s="1"/>
  <c r="Q68" i="1"/>
  <c r="BI80" i="1" l="1"/>
  <c r="ET119" i="1"/>
  <c r="ET118" i="1"/>
  <c r="ET117" i="1"/>
  <c r="ET116" i="1"/>
  <c r="ET115" i="1"/>
  <c r="ET114" i="1"/>
  <c r="ET113" i="1"/>
  <c r="ET112" i="1"/>
  <c r="ET111" i="1"/>
  <c r="ET110" i="1"/>
  <c r="ET109" i="1"/>
  <c r="ET108" i="1"/>
  <c r="ES106" i="1"/>
  <c r="ES105" i="1"/>
  <c r="ES104" i="1"/>
  <c r="ES103" i="1"/>
  <c r="ES102" i="1"/>
  <c r="ES101" i="1"/>
  <c r="ES100" i="1"/>
  <c r="ES99" i="1"/>
  <c r="ES98" i="1"/>
  <c r="ES97" i="1"/>
  <c r="ES96" i="1"/>
  <c r="ES95" i="1"/>
  <c r="ER93" i="1"/>
  <c r="ER92" i="1"/>
  <c r="ER91" i="1"/>
  <c r="ER90" i="1"/>
  <c r="ER89" i="1"/>
  <c r="ER88" i="1"/>
  <c r="ER87" i="1"/>
  <c r="ER86" i="1"/>
  <c r="ER85" i="1"/>
  <c r="ER84" i="1"/>
  <c r="ER83" i="1"/>
  <c r="ER82" i="1"/>
  <c r="ET80" i="1"/>
  <c r="ES80" i="1"/>
  <c r="ER80" i="1"/>
  <c r="ET57" i="1"/>
  <c r="ET56" i="1"/>
  <c r="ET55" i="1"/>
  <c r="ET54" i="1"/>
  <c r="ET53" i="1"/>
  <c r="ET52" i="1"/>
  <c r="ET51" i="1"/>
  <c r="ET50" i="1"/>
  <c r="ET49" i="1"/>
  <c r="ET48" i="1"/>
  <c r="ET47" i="1"/>
  <c r="ET46" i="1"/>
  <c r="ES44" i="1"/>
  <c r="ES43" i="1"/>
  <c r="ES42" i="1"/>
  <c r="ES41" i="1"/>
  <c r="ES40" i="1"/>
  <c r="ES39" i="1"/>
  <c r="ES38" i="1"/>
  <c r="ES37" i="1"/>
  <c r="ES36" i="1"/>
  <c r="ES35" i="1"/>
  <c r="ES34" i="1"/>
  <c r="ES33" i="1"/>
  <c r="ER31" i="1"/>
  <c r="ER30" i="1"/>
  <c r="ER29" i="1"/>
  <c r="ER28" i="1"/>
  <c r="ER27" i="1"/>
  <c r="ER26" i="1"/>
  <c r="ER25" i="1"/>
  <c r="ER24" i="1"/>
  <c r="ER23" i="1"/>
  <c r="ER22" i="1"/>
  <c r="ER21" i="1"/>
  <c r="ER20" i="1"/>
  <c r="ET18" i="1"/>
  <c r="ES18" i="1"/>
  <c r="ER18" i="1"/>
  <c r="EU6" i="1"/>
  <c r="EU7" i="1" s="1"/>
  <c r="EU8" i="1" s="1"/>
  <c r="EU9" i="1" s="1"/>
  <c r="EU10" i="1" s="1"/>
  <c r="EU11" i="1" s="1"/>
  <c r="EU12" i="1" s="1"/>
  <c r="EU13" i="1" s="1"/>
  <c r="EU14" i="1" s="1"/>
  <c r="EU15" i="1" s="1"/>
  <c r="EU16" i="1" s="1"/>
  <c r="EU17" i="1" s="1"/>
  <c r="BI142" i="1" l="1"/>
  <c r="BI130" i="1"/>
  <c r="BI131" i="1" s="1"/>
  <c r="BI132" i="1" s="1"/>
  <c r="BI133" i="1" s="1"/>
  <c r="BI134" i="1" s="1"/>
  <c r="BI135" i="1" s="1"/>
  <c r="BI136" i="1" s="1"/>
  <c r="BI137" i="1" s="1"/>
  <c r="BI138" i="1" s="1"/>
  <c r="BI139" i="1" s="1"/>
  <c r="BI140" i="1" s="1"/>
  <c r="BI141" i="1" s="1"/>
  <c r="EU18" i="1"/>
  <c r="EU67" i="1" s="1"/>
  <c r="EU80" i="1" s="1"/>
  <c r="EU130" i="1" l="1"/>
  <c r="EU131" i="1" s="1"/>
  <c r="EU132" i="1" s="1"/>
  <c r="EU133" i="1" s="1"/>
  <c r="EU134" i="1" s="1"/>
  <c r="EU135" i="1" s="1"/>
  <c r="EU136" i="1" s="1"/>
  <c r="EU137" i="1" s="1"/>
  <c r="EU138" i="1" s="1"/>
  <c r="EU139" i="1" s="1"/>
  <c r="EU140" i="1" s="1"/>
  <c r="EU141" i="1" s="1"/>
  <c r="EU142" i="1"/>
  <c r="EU68" i="1"/>
  <c r="EU69" i="1" s="1"/>
  <c r="EU70" i="1" s="1"/>
  <c r="EU71" i="1" s="1"/>
  <c r="EU72" i="1" s="1"/>
  <c r="EU73" i="1" s="1"/>
  <c r="EU74" i="1" s="1"/>
  <c r="EU75" i="1" s="1"/>
  <c r="EU76" i="1" s="1"/>
  <c r="EU77" i="1" s="1"/>
  <c r="EU78" i="1" s="1"/>
  <c r="EU79" i="1" s="1"/>
  <c r="AC102" i="1"/>
  <c r="HB119" i="1"/>
  <c r="GV119" i="1"/>
  <c r="GP119" i="1"/>
  <c r="GJ119" i="1"/>
  <c r="GD119" i="1"/>
  <c r="FX119" i="1"/>
  <c r="FR119" i="1"/>
  <c r="FL119" i="1"/>
  <c r="FF119" i="1"/>
  <c r="EZ119" i="1"/>
  <c r="EN119" i="1"/>
  <c r="EH119" i="1"/>
  <c r="EB119" i="1"/>
  <c r="DV119" i="1"/>
  <c r="DP119" i="1"/>
  <c r="DD119" i="1"/>
  <c r="CX119" i="1"/>
  <c r="CL119" i="1"/>
  <c r="CF119" i="1"/>
  <c r="BZ119" i="1"/>
  <c r="BT119" i="1"/>
  <c r="BN119" i="1"/>
  <c r="BB119" i="1"/>
  <c r="AV119" i="1"/>
  <c r="AP119" i="1"/>
  <c r="AJ119" i="1"/>
  <c r="F119" i="1"/>
  <c r="HB118" i="1"/>
  <c r="GV118" i="1"/>
  <c r="GP118" i="1"/>
  <c r="GJ118" i="1"/>
  <c r="GD118" i="1"/>
  <c r="FX118" i="1"/>
  <c r="FR118" i="1"/>
  <c r="FL118" i="1"/>
  <c r="FF118" i="1"/>
  <c r="EZ118" i="1"/>
  <c r="EN118" i="1"/>
  <c r="EH118" i="1"/>
  <c r="EB118" i="1"/>
  <c r="DV118" i="1"/>
  <c r="DP118" i="1"/>
  <c r="DD118" i="1"/>
  <c r="CX118" i="1"/>
  <c r="CL118" i="1"/>
  <c r="CF118" i="1"/>
  <c r="BZ118" i="1"/>
  <c r="BT118" i="1"/>
  <c r="BN118" i="1"/>
  <c r="BB118" i="1"/>
  <c r="AV118" i="1"/>
  <c r="AP118" i="1"/>
  <c r="AJ118" i="1"/>
  <c r="F118" i="1"/>
  <c r="HB117" i="1"/>
  <c r="GV117" i="1"/>
  <c r="GP117" i="1"/>
  <c r="GJ117" i="1"/>
  <c r="GD117" i="1"/>
  <c r="FX117" i="1"/>
  <c r="FR117" i="1"/>
  <c r="FL117" i="1"/>
  <c r="FF117" i="1"/>
  <c r="EZ117" i="1"/>
  <c r="EN117" i="1"/>
  <c r="EH117" i="1"/>
  <c r="EB117" i="1"/>
  <c r="DV117" i="1"/>
  <c r="DP117" i="1"/>
  <c r="DD117" i="1"/>
  <c r="CX117" i="1"/>
  <c r="CL117" i="1"/>
  <c r="CF117" i="1"/>
  <c r="BZ117" i="1"/>
  <c r="BT117" i="1"/>
  <c r="BN117" i="1"/>
  <c r="BB117" i="1"/>
  <c r="AV117" i="1"/>
  <c r="AP117" i="1"/>
  <c r="AJ117" i="1"/>
  <c r="HB116" i="1"/>
  <c r="GV116" i="1"/>
  <c r="GP116" i="1"/>
  <c r="GJ116" i="1"/>
  <c r="GD116" i="1"/>
  <c r="FX116" i="1"/>
  <c r="FR116" i="1"/>
  <c r="FL116" i="1"/>
  <c r="FF116" i="1"/>
  <c r="EZ116" i="1"/>
  <c r="EN116" i="1"/>
  <c r="EH116" i="1"/>
  <c r="EB116" i="1"/>
  <c r="DV116" i="1"/>
  <c r="DP116" i="1"/>
  <c r="DD116" i="1"/>
  <c r="CX116" i="1"/>
  <c r="CL116" i="1"/>
  <c r="CF116" i="1"/>
  <c r="BZ116" i="1"/>
  <c r="BT116" i="1"/>
  <c r="BN116" i="1"/>
  <c r="BB116" i="1"/>
  <c r="AV116" i="1"/>
  <c r="AP116" i="1"/>
  <c r="AJ116" i="1"/>
  <c r="F116" i="1"/>
  <c r="HB115" i="1"/>
  <c r="GV115" i="1"/>
  <c r="GP115" i="1"/>
  <c r="GJ115" i="1"/>
  <c r="GD115" i="1"/>
  <c r="FX115" i="1"/>
  <c r="FR115" i="1"/>
  <c r="FL115" i="1"/>
  <c r="FF115" i="1"/>
  <c r="EZ115" i="1"/>
  <c r="EN115" i="1"/>
  <c r="EH115" i="1"/>
  <c r="EB115" i="1"/>
  <c r="DV115" i="1"/>
  <c r="DP115" i="1"/>
  <c r="DD115" i="1"/>
  <c r="CX115" i="1"/>
  <c r="CL115" i="1"/>
  <c r="CF115" i="1"/>
  <c r="BZ115" i="1"/>
  <c r="BT115" i="1"/>
  <c r="BN115" i="1"/>
  <c r="BB115" i="1"/>
  <c r="AV115" i="1"/>
  <c r="AP115" i="1"/>
  <c r="AJ115" i="1"/>
  <c r="F115" i="1"/>
  <c r="HB114" i="1"/>
  <c r="GV114" i="1"/>
  <c r="GP114" i="1"/>
  <c r="GJ114" i="1"/>
  <c r="GD114" i="1"/>
  <c r="FX114" i="1"/>
  <c r="FR114" i="1"/>
  <c r="FL114" i="1"/>
  <c r="FF114" i="1"/>
  <c r="EZ114" i="1"/>
  <c r="EN114" i="1"/>
  <c r="EH114" i="1"/>
  <c r="EB114" i="1"/>
  <c r="DV114" i="1"/>
  <c r="DP114" i="1"/>
  <c r="DD114" i="1"/>
  <c r="CX114" i="1"/>
  <c r="CL114" i="1"/>
  <c r="CF114" i="1"/>
  <c r="BZ114" i="1"/>
  <c r="BT114" i="1"/>
  <c r="BN114" i="1"/>
  <c r="BB114" i="1"/>
  <c r="AV114" i="1"/>
  <c r="AP114" i="1"/>
  <c r="AJ114" i="1"/>
  <c r="F114" i="1"/>
  <c r="HB113" i="1"/>
  <c r="GV113" i="1"/>
  <c r="GP113" i="1"/>
  <c r="GJ113" i="1"/>
  <c r="GD113" i="1"/>
  <c r="FX113" i="1"/>
  <c r="FR113" i="1"/>
  <c r="FL113" i="1"/>
  <c r="FF113" i="1"/>
  <c r="EZ113" i="1"/>
  <c r="EN113" i="1"/>
  <c r="EH113" i="1"/>
  <c r="EB113" i="1"/>
  <c r="DV113" i="1"/>
  <c r="DP113" i="1"/>
  <c r="DD113" i="1"/>
  <c r="CX113" i="1"/>
  <c r="CL113" i="1"/>
  <c r="CF113" i="1"/>
  <c r="BZ113" i="1"/>
  <c r="BT113" i="1"/>
  <c r="BN113" i="1"/>
  <c r="BB113" i="1"/>
  <c r="AV113" i="1"/>
  <c r="AP113" i="1"/>
  <c r="AJ113" i="1"/>
  <c r="F113" i="1"/>
  <c r="HB112" i="1"/>
  <c r="GV112" i="1"/>
  <c r="GP112" i="1"/>
  <c r="GJ112" i="1"/>
  <c r="GD112" i="1"/>
  <c r="FX112" i="1"/>
  <c r="FR112" i="1"/>
  <c r="FL112" i="1"/>
  <c r="FF112" i="1"/>
  <c r="EZ112" i="1"/>
  <c r="EN112" i="1"/>
  <c r="EH112" i="1"/>
  <c r="EB112" i="1"/>
  <c r="DV112" i="1"/>
  <c r="DP112" i="1"/>
  <c r="DD112" i="1"/>
  <c r="CX112" i="1"/>
  <c r="CL112" i="1"/>
  <c r="CF112" i="1"/>
  <c r="BZ112" i="1"/>
  <c r="BT112" i="1"/>
  <c r="BN112" i="1"/>
  <c r="BB112" i="1"/>
  <c r="AV112" i="1"/>
  <c r="AP112" i="1"/>
  <c r="AJ112" i="1"/>
  <c r="F112" i="1"/>
  <c r="HB111" i="1"/>
  <c r="GV111" i="1"/>
  <c r="GP111" i="1"/>
  <c r="GJ111" i="1"/>
  <c r="GD111" i="1"/>
  <c r="FX111" i="1"/>
  <c r="FR111" i="1"/>
  <c r="FL111" i="1"/>
  <c r="FF111" i="1"/>
  <c r="EZ111" i="1"/>
  <c r="EN111" i="1"/>
  <c r="EH111" i="1"/>
  <c r="EB111" i="1"/>
  <c r="DV111" i="1"/>
  <c r="DP111" i="1"/>
  <c r="DD111" i="1"/>
  <c r="CX111" i="1"/>
  <c r="CL111" i="1"/>
  <c r="CF111" i="1"/>
  <c r="BZ111" i="1"/>
  <c r="BT111" i="1"/>
  <c r="BN111" i="1"/>
  <c r="BB111" i="1"/>
  <c r="AV111" i="1"/>
  <c r="AP111" i="1"/>
  <c r="AJ111" i="1"/>
  <c r="F111" i="1"/>
  <c r="HB110" i="1"/>
  <c r="GV110" i="1"/>
  <c r="GP110" i="1"/>
  <c r="GJ110" i="1"/>
  <c r="GD110" i="1"/>
  <c r="FX110" i="1"/>
  <c r="FR110" i="1"/>
  <c r="FL110" i="1"/>
  <c r="FF110" i="1"/>
  <c r="EZ110" i="1"/>
  <c r="EN110" i="1"/>
  <c r="EH110" i="1"/>
  <c r="EB110" i="1"/>
  <c r="DV110" i="1"/>
  <c r="DP110" i="1"/>
  <c r="DD110" i="1"/>
  <c r="CX110" i="1"/>
  <c r="CL110" i="1"/>
  <c r="CF110" i="1"/>
  <c r="BZ110" i="1"/>
  <c r="BT110" i="1"/>
  <c r="BN110" i="1"/>
  <c r="BB110" i="1"/>
  <c r="AV110" i="1"/>
  <c r="AP110" i="1"/>
  <c r="AJ110" i="1"/>
  <c r="F110" i="1"/>
  <c r="HB109" i="1"/>
  <c r="GV109" i="1"/>
  <c r="GP109" i="1"/>
  <c r="GJ109" i="1"/>
  <c r="GD109" i="1"/>
  <c r="FX109" i="1"/>
  <c r="FR109" i="1"/>
  <c r="FL109" i="1"/>
  <c r="FF109" i="1"/>
  <c r="EZ109" i="1"/>
  <c r="EN109" i="1"/>
  <c r="EH109" i="1"/>
  <c r="EB109" i="1"/>
  <c r="DV109" i="1"/>
  <c r="DP109" i="1"/>
  <c r="DD109" i="1"/>
  <c r="CX109" i="1"/>
  <c r="CL109" i="1"/>
  <c r="CF109" i="1"/>
  <c r="BZ109" i="1"/>
  <c r="BT109" i="1"/>
  <c r="BN109" i="1"/>
  <c r="BB109" i="1"/>
  <c r="AV109" i="1"/>
  <c r="AP109" i="1"/>
  <c r="AJ109" i="1"/>
  <c r="F109" i="1"/>
  <c r="HB108" i="1"/>
  <c r="GV108" i="1"/>
  <c r="GP108" i="1"/>
  <c r="GJ108" i="1"/>
  <c r="GD108" i="1"/>
  <c r="FX108" i="1"/>
  <c r="FR108" i="1"/>
  <c r="FL108" i="1"/>
  <c r="FF108" i="1"/>
  <c r="EZ108" i="1"/>
  <c r="EN108" i="1"/>
  <c r="EH108" i="1"/>
  <c r="EB108" i="1"/>
  <c r="DV108" i="1"/>
  <c r="DP108" i="1"/>
  <c r="DD108" i="1"/>
  <c r="CX108" i="1"/>
  <c r="CL108" i="1"/>
  <c r="CF108" i="1"/>
  <c r="BZ108" i="1"/>
  <c r="BT108" i="1"/>
  <c r="BN108" i="1"/>
  <c r="BB108" i="1"/>
  <c r="AV108" i="1"/>
  <c r="AP108" i="1"/>
  <c r="AJ108" i="1"/>
  <c r="F108" i="1"/>
  <c r="HA106" i="1"/>
  <c r="GU106" i="1"/>
  <c r="GO106" i="1"/>
  <c r="GI106" i="1"/>
  <c r="GC106" i="1"/>
  <c r="FW106" i="1"/>
  <c r="FQ106" i="1"/>
  <c r="FK106" i="1"/>
  <c r="FE106" i="1"/>
  <c r="EY106" i="1"/>
  <c r="EM106" i="1"/>
  <c r="EG106" i="1"/>
  <c r="EA106" i="1"/>
  <c r="DU106" i="1"/>
  <c r="DO106" i="1"/>
  <c r="DC106" i="1"/>
  <c r="CW106" i="1"/>
  <c r="CK106" i="1"/>
  <c r="CE106" i="1"/>
  <c r="BY106" i="1"/>
  <c r="BS106" i="1"/>
  <c r="BM106" i="1"/>
  <c r="BA106" i="1"/>
  <c r="AU106" i="1"/>
  <c r="AO106" i="1"/>
  <c r="AI106" i="1"/>
  <c r="AC106" i="1"/>
  <c r="Q106" i="1"/>
  <c r="E106" i="1"/>
  <c r="HA105" i="1"/>
  <c r="GU105" i="1"/>
  <c r="GO105" i="1"/>
  <c r="GI105" i="1"/>
  <c r="GC105" i="1"/>
  <c r="FW105" i="1"/>
  <c r="FQ105" i="1"/>
  <c r="FK105" i="1"/>
  <c r="FE105" i="1"/>
  <c r="EY105" i="1"/>
  <c r="EM105" i="1"/>
  <c r="EG105" i="1"/>
  <c r="EA105" i="1"/>
  <c r="DU105" i="1"/>
  <c r="DO105" i="1"/>
  <c r="DC105" i="1"/>
  <c r="CW105" i="1"/>
  <c r="CK105" i="1"/>
  <c r="CE105" i="1"/>
  <c r="BY105" i="1"/>
  <c r="BS105" i="1"/>
  <c r="BM105" i="1"/>
  <c r="BA105" i="1"/>
  <c r="AU105" i="1"/>
  <c r="AO105" i="1"/>
  <c r="AI105" i="1"/>
  <c r="AC105" i="1"/>
  <c r="Q105" i="1"/>
  <c r="E105" i="1"/>
  <c r="HA104" i="1"/>
  <c r="GU104" i="1"/>
  <c r="GO104" i="1"/>
  <c r="GI104" i="1"/>
  <c r="GC104" i="1"/>
  <c r="FW104" i="1"/>
  <c r="FQ104" i="1"/>
  <c r="FE104" i="1"/>
  <c r="EY104" i="1"/>
  <c r="EM104" i="1"/>
  <c r="EG104" i="1"/>
  <c r="EA104" i="1"/>
  <c r="DU104" i="1"/>
  <c r="DO104" i="1"/>
  <c r="DC104" i="1"/>
  <c r="CW104" i="1"/>
  <c r="CK104" i="1"/>
  <c r="CE104" i="1"/>
  <c r="BY104" i="1"/>
  <c r="BS104" i="1"/>
  <c r="BM104" i="1"/>
  <c r="BA104" i="1"/>
  <c r="AU104" i="1"/>
  <c r="AO104" i="1"/>
  <c r="AI104" i="1"/>
  <c r="AC104" i="1"/>
  <c r="Q104" i="1"/>
  <c r="E104" i="1"/>
  <c r="HA103" i="1"/>
  <c r="GU103" i="1"/>
  <c r="GO103" i="1"/>
  <c r="GI103" i="1"/>
  <c r="GC103" i="1"/>
  <c r="FW103" i="1"/>
  <c r="FQ103" i="1"/>
  <c r="FE103" i="1"/>
  <c r="EY103" i="1"/>
  <c r="EM103" i="1"/>
  <c r="EG103" i="1"/>
  <c r="EA103" i="1"/>
  <c r="DU103" i="1"/>
  <c r="DO103" i="1"/>
  <c r="DC103" i="1"/>
  <c r="CW103" i="1"/>
  <c r="CK103" i="1"/>
  <c r="CE103" i="1"/>
  <c r="BY103" i="1"/>
  <c r="BS103" i="1"/>
  <c r="BM103" i="1"/>
  <c r="BA103" i="1"/>
  <c r="AU103" i="1"/>
  <c r="AO103" i="1"/>
  <c r="AI103" i="1"/>
  <c r="Q103" i="1"/>
  <c r="HA102" i="1"/>
  <c r="GU102" i="1"/>
  <c r="GO102" i="1"/>
  <c r="GI102" i="1"/>
  <c r="GC102" i="1"/>
  <c r="FW102" i="1"/>
  <c r="FQ102" i="1"/>
  <c r="FK102" i="1"/>
  <c r="FE102" i="1"/>
  <c r="EY102" i="1"/>
  <c r="EM102" i="1"/>
  <c r="EG102" i="1"/>
  <c r="EA102" i="1"/>
  <c r="DU102" i="1"/>
  <c r="DO102" i="1"/>
  <c r="DC102" i="1"/>
  <c r="CW102" i="1"/>
  <c r="CK102" i="1"/>
  <c r="CE102" i="1"/>
  <c r="BY102" i="1"/>
  <c r="BS102" i="1"/>
  <c r="BM102" i="1"/>
  <c r="BA102" i="1"/>
  <c r="AU102" i="1"/>
  <c r="AO102" i="1"/>
  <c r="AI102" i="1"/>
  <c r="Q102" i="1"/>
  <c r="E102" i="1"/>
  <c r="HA101" i="1"/>
  <c r="GU101" i="1"/>
  <c r="GO101" i="1"/>
  <c r="GI101" i="1"/>
  <c r="GC101" i="1"/>
  <c r="FW101" i="1"/>
  <c r="FQ101" i="1"/>
  <c r="FK101" i="1"/>
  <c r="FE101" i="1"/>
  <c r="EY101" i="1"/>
  <c r="EM101" i="1"/>
  <c r="EG101" i="1"/>
  <c r="EA101" i="1"/>
  <c r="DU101" i="1"/>
  <c r="DO101" i="1"/>
  <c r="DC101" i="1"/>
  <c r="CW101" i="1"/>
  <c r="CK101" i="1"/>
  <c r="CE101" i="1"/>
  <c r="BY101" i="1"/>
  <c r="BS101" i="1"/>
  <c r="BM101" i="1"/>
  <c r="BA101" i="1"/>
  <c r="AU101" i="1"/>
  <c r="AO101" i="1"/>
  <c r="AI101" i="1"/>
  <c r="AC101" i="1"/>
  <c r="Q101" i="1"/>
  <c r="E101" i="1"/>
  <c r="HA100" i="1"/>
  <c r="GU100" i="1"/>
  <c r="GO100" i="1"/>
  <c r="GI100" i="1"/>
  <c r="GC100" i="1"/>
  <c r="FW100" i="1"/>
  <c r="FQ100" i="1"/>
  <c r="FK100" i="1"/>
  <c r="FE100" i="1"/>
  <c r="EY100" i="1"/>
  <c r="EM100" i="1"/>
  <c r="EG100" i="1"/>
  <c r="EA100" i="1"/>
  <c r="DU100" i="1"/>
  <c r="DO100" i="1"/>
  <c r="DC100" i="1"/>
  <c r="CW100" i="1"/>
  <c r="CK100" i="1"/>
  <c r="CE100" i="1"/>
  <c r="BY100" i="1"/>
  <c r="BS100" i="1"/>
  <c r="BM100" i="1"/>
  <c r="BA100" i="1"/>
  <c r="AU100" i="1"/>
  <c r="AO100" i="1"/>
  <c r="AI100" i="1"/>
  <c r="AC100" i="1"/>
  <c r="Q100" i="1"/>
  <c r="E100" i="1"/>
  <c r="HA99" i="1"/>
  <c r="GU99" i="1"/>
  <c r="GO99" i="1"/>
  <c r="GI99" i="1"/>
  <c r="GC99" i="1"/>
  <c r="FW99" i="1"/>
  <c r="FQ99" i="1"/>
  <c r="FK99" i="1"/>
  <c r="FE99" i="1"/>
  <c r="EY99" i="1"/>
  <c r="EM99" i="1"/>
  <c r="EG99" i="1"/>
  <c r="EA99" i="1"/>
  <c r="DU99" i="1"/>
  <c r="DO99" i="1"/>
  <c r="DC99" i="1"/>
  <c r="CW99" i="1"/>
  <c r="CK99" i="1"/>
  <c r="CE99" i="1"/>
  <c r="BY99" i="1"/>
  <c r="BS99" i="1"/>
  <c r="BM99" i="1"/>
  <c r="BA99" i="1"/>
  <c r="AU99" i="1"/>
  <c r="AO99" i="1"/>
  <c r="AI99" i="1"/>
  <c r="AC99" i="1"/>
  <c r="Q99" i="1"/>
  <c r="E99" i="1"/>
  <c r="HA98" i="1"/>
  <c r="GU98" i="1"/>
  <c r="GO98" i="1"/>
  <c r="GI98" i="1"/>
  <c r="GC98" i="1"/>
  <c r="FW98" i="1"/>
  <c r="FQ98" i="1"/>
  <c r="FK98" i="1"/>
  <c r="FE98" i="1"/>
  <c r="EY98" i="1"/>
  <c r="EM98" i="1"/>
  <c r="EG98" i="1"/>
  <c r="EA98" i="1"/>
  <c r="DU98" i="1"/>
  <c r="DO98" i="1"/>
  <c r="DC98" i="1"/>
  <c r="CW98" i="1"/>
  <c r="CK98" i="1"/>
  <c r="CE98" i="1"/>
  <c r="BY98" i="1"/>
  <c r="BS98" i="1"/>
  <c r="BM98" i="1"/>
  <c r="BA98" i="1"/>
  <c r="AU98" i="1"/>
  <c r="AO98" i="1"/>
  <c r="AI98" i="1"/>
  <c r="AC98" i="1"/>
  <c r="Q98" i="1"/>
  <c r="E98" i="1"/>
  <c r="HA97" i="1"/>
  <c r="GU97" i="1"/>
  <c r="GO97" i="1"/>
  <c r="GI97" i="1"/>
  <c r="GC97" i="1"/>
  <c r="FW97" i="1"/>
  <c r="FQ97" i="1"/>
  <c r="FK97" i="1"/>
  <c r="FE97" i="1"/>
  <c r="EY97" i="1"/>
  <c r="EM97" i="1"/>
  <c r="EG97" i="1"/>
  <c r="EA97" i="1"/>
  <c r="DU97" i="1"/>
  <c r="DO97" i="1"/>
  <c r="DC97" i="1"/>
  <c r="CW97" i="1"/>
  <c r="CK97" i="1"/>
  <c r="CE97" i="1"/>
  <c r="BY97" i="1"/>
  <c r="BS97" i="1"/>
  <c r="BM97" i="1"/>
  <c r="BA97" i="1"/>
  <c r="AU97" i="1"/>
  <c r="AO97" i="1"/>
  <c r="AI97" i="1"/>
  <c r="AC97" i="1"/>
  <c r="Q97" i="1"/>
  <c r="E97" i="1"/>
  <c r="HA96" i="1"/>
  <c r="GU96" i="1"/>
  <c r="GO96" i="1"/>
  <c r="GI96" i="1"/>
  <c r="GC96" i="1"/>
  <c r="FW96" i="1"/>
  <c r="FQ96" i="1"/>
  <c r="FK96" i="1"/>
  <c r="FE96" i="1"/>
  <c r="EY96" i="1"/>
  <c r="EM96" i="1"/>
  <c r="EG96" i="1"/>
  <c r="EA96" i="1"/>
  <c r="DU96" i="1"/>
  <c r="DO96" i="1"/>
  <c r="DC96" i="1"/>
  <c r="CW96" i="1"/>
  <c r="CK96" i="1"/>
  <c r="CE96" i="1"/>
  <c r="BY96" i="1"/>
  <c r="BS96" i="1"/>
  <c r="BM96" i="1"/>
  <c r="BA96" i="1"/>
  <c r="AU96" i="1"/>
  <c r="AO96" i="1"/>
  <c r="AI96" i="1"/>
  <c r="AC96" i="1"/>
  <c r="Q96" i="1"/>
  <c r="E96" i="1"/>
  <c r="HA95" i="1"/>
  <c r="GU95" i="1"/>
  <c r="GO95" i="1"/>
  <c r="GI95" i="1"/>
  <c r="GC95" i="1"/>
  <c r="FW95" i="1"/>
  <c r="FQ95" i="1"/>
  <c r="FK95" i="1"/>
  <c r="FE95" i="1"/>
  <c r="EY95" i="1"/>
  <c r="EM95" i="1"/>
  <c r="EG95" i="1"/>
  <c r="EA95" i="1"/>
  <c r="DU95" i="1"/>
  <c r="DO95" i="1"/>
  <c r="DC95" i="1"/>
  <c r="CW95" i="1"/>
  <c r="CK95" i="1"/>
  <c r="CE95" i="1"/>
  <c r="BY95" i="1"/>
  <c r="BS95" i="1"/>
  <c r="BM95" i="1"/>
  <c r="BA95" i="1"/>
  <c r="AU95" i="1"/>
  <c r="AO95" i="1"/>
  <c r="AI95" i="1"/>
  <c r="AC95" i="1"/>
  <c r="Q95" i="1"/>
  <c r="E95" i="1"/>
  <c r="GZ93" i="1"/>
  <c r="GT93" i="1"/>
  <c r="GN93" i="1"/>
  <c r="GH93" i="1"/>
  <c r="GB93" i="1"/>
  <c r="FV93" i="1"/>
  <c r="FP93" i="1"/>
  <c r="FJ93" i="1"/>
  <c r="FD93" i="1"/>
  <c r="EX93" i="1"/>
  <c r="EL93" i="1"/>
  <c r="EF93" i="1"/>
  <c r="DZ93" i="1"/>
  <c r="DT93" i="1"/>
  <c r="DN93" i="1"/>
  <c r="DB93" i="1"/>
  <c r="CV93" i="1"/>
  <c r="CJ93" i="1"/>
  <c r="CD93" i="1"/>
  <c r="BX93" i="1"/>
  <c r="BR93" i="1"/>
  <c r="BL93" i="1"/>
  <c r="AZ93" i="1"/>
  <c r="AT93" i="1"/>
  <c r="AN93" i="1"/>
  <c r="AH93" i="1"/>
  <c r="AB93" i="1"/>
  <c r="P93" i="1"/>
  <c r="D93" i="1"/>
  <c r="GZ92" i="1"/>
  <c r="GT92" i="1"/>
  <c r="GN92" i="1"/>
  <c r="GH92" i="1"/>
  <c r="GB92" i="1"/>
  <c r="FV92" i="1"/>
  <c r="FP92" i="1"/>
  <c r="FJ92" i="1"/>
  <c r="FD92" i="1"/>
  <c r="EX92" i="1"/>
  <c r="EL92" i="1"/>
  <c r="EF92" i="1"/>
  <c r="DZ92" i="1"/>
  <c r="DT92" i="1"/>
  <c r="DN92" i="1"/>
  <c r="DB92" i="1"/>
  <c r="CV92" i="1"/>
  <c r="CJ92" i="1"/>
  <c r="CD92" i="1"/>
  <c r="BX92" i="1"/>
  <c r="BR92" i="1"/>
  <c r="BL92" i="1"/>
  <c r="AZ92" i="1"/>
  <c r="AT92" i="1"/>
  <c r="AN92" i="1"/>
  <c r="AH92" i="1"/>
  <c r="AB92" i="1"/>
  <c r="P92" i="1"/>
  <c r="D92" i="1"/>
  <c r="GZ91" i="1"/>
  <c r="GT91" i="1"/>
  <c r="GN91" i="1"/>
  <c r="GH91" i="1"/>
  <c r="GB91" i="1"/>
  <c r="FV91" i="1"/>
  <c r="FP91" i="1"/>
  <c r="FJ91" i="1"/>
  <c r="FD91" i="1"/>
  <c r="EX91" i="1"/>
  <c r="EL91" i="1"/>
  <c r="EF91" i="1"/>
  <c r="DZ91" i="1"/>
  <c r="DT91" i="1"/>
  <c r="DN91" i="1"/>
  <c r="DB91" i="1"/>
  <c r="CV91" i="1"/>
  <c r="CJ91" i="1"/>
  <c r="CD91" i="1"/>
  <c r="BX91" i="1"/>
  <c r="BR91" i="1"/>
  <c r="BL91" i="1"/>
  <c r="AZ91" i="1"/>
  <c r="AT91" i="1"/>
  <c r="AN91" i="1"/>
  <c r="AH91" i="1"/>
  <c r="AB91" i="1"/>
  <c r="P91" i="1"/>
  <c r="D91" i="1"/>
  <c r="GZ90" i="1"/>
  <c r="GT90" i="1"/>
  <c r="GN90" i="1"/>
  <c r="GH90" i="1"/>
  <c r="GB90" i="1"/>
  <c r="FV90" i="1"/>
  <c r="FP90" i="1"/>
  <c r="FJ90" i="1"/>
  <c r="FD90" i="1"/>
  <c r="EX90" i="1"/>
  <c r="EL90" i="1"/>
  <c r="EF90" i="1"/>
  <c r="DZ90" i="1"/>
  <c r="DT90" i="1"/>
  <c r="DN90" i="1"/>
  <c r="DB90" i="1"/>
  <c r="CV90" i="1"/>
  <c r="CJ90" i="1"/>
  <c r="CD90" i="1"/>
  <c r="BX90" i="1"/>
  <c r="BR90" i="1"/>
  <c r="BL90" i="1"/>
  <c r="AZ90" i="1"/>
  <c r="AT90" i="1"/>
  <c r="AN90" i="1"/>
  <c r="AH90" i="1"/>
  <c r="AB90" i="1"/>
  <c r="P90" i="1"/>
  <c r="D90" i="1"/>
  <c r="GZ89" i="1"/>
  <c r="GT89" i="1"/>
  <c r="GN89" i="1"/>
  <c r="GH89" i="1"/>
  <c r="GB89" i="1"/>
  <c r="FV89" i="1"/>
  <c r="FP89" i="1"/>
  <c r="FJ89" i="1"/>
  <c r="FD89" i="1"/>
  <c r="EX89" i="1"/>
  <c r="EL89" i="1"/>
  <c r="EF89" i="1"/>
  <c r="DZ89" i="1"/>
  <c r="DT89" i="1"/>
  <c r="DN89" i="1"/>
  <c r="DB89" i="1"/>
  <c r="CV89" i="1"/>
  <c r="CJ89" i="1"/>
  <c r="CD89" i="1"/>
  <c r="BX89" i="1"/>
  <c r="BR89" i="1"/>
  <c r="BL89" i="1"/>
  <c r="AZ89" i="1"/>
  <c r="AT89" i="1"/>
  <c r="AN89" i="1"/>
  <c r="AH89" i="1"/>
  <c r="AB89" i="1"/>
  <c r="P89" i="1"/>
  <c r="D89" i="1"/>
  <c r="GZ88" i="1"/>
  <c r="GT88" i="1"/>
  <c r="GN88" i="1"/>
  <c r="GH88" i="1"/>
  <c r="GB88" i="1"/>
  <c r="FV88" i="1"/>
  <c r="FP88" i="1"/>
  <c r="FJ88" i="1"/>
  <c r="FD88" i="1"/>
  <c r="EX88" i="1"/>
  <c r="EL88" i="1"/>
  <c r="EF88" i="1"/>
  <c r="DZ88" i="1"/>
  <c r="DT88" i="1"/>
  <c r="DN88" i="1"/>
  <c r="DB88" i="1"/>
  <c r="CV88" i="1"/>
  <c r="CJ88" i="1"/>
  <c r="CD88" i="1"/>
  <c r="BX88" i="1"/>
  <c r="BR88" i="1"/>
  <c r="BL88" i="1"/>
  <c r="AZ88" i="1"/>
  <c r="AT88" i="1"/>
  <c r="AN88" i="1"/>
  <c r="AH88" i="1"/>
  <c r="AB88" i="1"/>
  <c r="P88" i="1"/>
  <c r="D88" i="1"/>
  <c r="GZ87" i="1"/>
  <c r="GT87" i="1"/>
  <c r="GN87" i="1"/>
  <c r="GH87" i="1"/>
  <c r="GB87" i="1"/>
  <c r="FV87" i="1"/>
  <c r="FP87" i="1"/>
  <c r="FJ87" i="1"/>
  <c r="FD87" i="1"/>
  <c r="EX87" i="1"/>
  <c r="EL87" i="1"/>
  <c r="EF87" i="1"/>
  <c r="DZ87" i="1"/>
  <c r="DT87" i="1"/>
  <c r="DN87" i="1"/>
  <c r="DB87" i="1"/>
  <c r="CV87" i="1"/>
  <c r="CJ87" i="1"/>
  <c r="CD87" i="1"/>
  <c r="BX87" i="1"/>
  <c r="BR87" i="1"/>
  <c r="BL87" i="1"/>
  <c r="AZ87" i="1"/>
  <c r="AT87" i="1"/>
  <c r="AN87" i="1"/>
  <c r="AH87" i="1"/>
  <c r="AB87" i="1"/>
  <c r="P87" i="1"/>
  <c r="D87" i="1"/>
  <c r="GZ86" i="1"/>
  <c r="GT86" i="1"/>
  <c r="GN86" i="1"/>
  <c r="GH86" i="1"/>
  <c r="GB86" i="1"/>
  <c r="FV86" i="1"/>
  <c r="FP86" i="1"/>
  <c r="FJ86" i="1"/>
  <c r="FD86" i="1"/>
  <c r="EX86" i="1"/>
  <c r="EL86" i="1"/>
  <c r="EF86" i="1"/>
  <c r="DZ86" i="1"/>
  <c r="DT86" i="1"/>
  <c r="DN86" i="1"/>
  <c r="DB86" i="1"/>
  <c r="CV86" i="1"/>
  <c r="CJ86" i="1"/>
  <c r="CD86" i="1"/>
  <c r="BX86" i="1"/>
  <c r="BR86" i="1"/>
  <c r="BL86" i="1"/>
  <c r="AZ86" i="1"/>
  <c r="AT86" i="1"/>
  <c r="AN86" i="1"/>
  <c r="AH86" i="1"/>
  <c r="AB86" i="1"/>
  <c r="P86" i="1"/>
  <c r="D86" i="1"/>
  <c r="GZ85" i="1"/>
  <c r="GT85" i="1"/>
  <c r="GN85" i="1"/>
  <c r="GH85" i="1"/>
  <c r="GB85" i="1"/>
  <c r="FV85" i="1"/>
  <c r="FP85" i="1"/>
  <c r="FJ85" i="1"/>
  <c r="FD85" i="1"/>
  <c r="EX85" i="1"/>
  <c r="EL85" i="1"/>
  <c r="EF85" i="1"/>
  <c r="DZ85" i="1"/>
  <c r="DT85" i="1"/>
  <c r="DN85" i="1"/>
  <c r="DB85" i="1"/>
  <c r="CV85" i="1"/>
  <c r="CJ85" i="1"/>
  <c r="CD85" i="1"/>
  <c r="BX85" i="1"/>
  <c r="BR85" i="1"/>
  <c r="BL85" i="1"/>
  <c r="AZ85" i="1"/>
  <c r="AT85" i="1"/>
  <c r="AN85" i="1"/>
  <c r="AH85" i="1"/>
  <c r="AB85" i="1"/>
  <c r="P85" i="1"/>
  <c r="D85" i="1"/>
  <c r="GZ84" i="1"/>
  <c r="GT84" i="1"/>
  <c r="GN84" i="1"/>
  <c r="GH84" i="1"/>
  <c r="GB84" i="1"/>
  <c r="FV84" i="1"/>
  <c r="FP84" i="1"/>
  <c r="FJ84" i="1"/>
  <c r="FD84" i="1"/>
  <c r="EX84" i="1"/>
  <c r="EL84" i="1"/>
  <c r="EF84" i="1"/>
  <c r="DZ84" i="1"/>
  <c r="DT84" i="1"/>
  <c r="DN84" i="1"/>
  <c r="DB84" i="1"/>
  <c r="CV84" i="1"/>
  <c r="CJ84" i="1"/>
  <c r="CD84" i="1"/>
  <c r="BX84" i="1"/>
  <c r="BR84" i="1"/>
  <c r="BL84" i="1"/>
  <c r="AZ84" i="1"/>
  <c r="AT84" i="1"/>
  <c r="AN84" i="1"/>
  <c r="AH84" i="1"/>
  <c r="AB84" i="1"/>
  <c r="P84" i="1"/>
  <c r="D84" i="1"/>
  <c r="GZ83" i="1"/>
  <c r="GT83" i="1"/>
  <c r="GN83" i="1"/>
  <c r="GH83" i="1"/>
  <c r="GB83" i="1"/>
  <c r="FV83" i="1"/>
  <c r="FP83" i="1"/>
  <c r="FJ83" i="1"/>
  <c r="FD83" i="1"/>
  <c r="EX83" i="1"/>
  <c r="EL83" i="1"/>
  <c r="EF83" i="1"/>
  <c r="DZ83" i="1"/>
  <c r="DT83" i="1"/>
  <c r="DN83" i="1"/>
  <c r="DB83" i="1"/>
  <c r="CV83" i="1"/>
  <c r="CJ83" i="1"/>
  <c r="CD83" i="1"/>
  <c r="BX83" i="1"/>
  <c r="BR83" i="1"/>
  <c r="BL83" i="1"/>
  <c r="AZ83" i="1"/>
  <c r="AT83" i="1"/>
  <c r="AN83" i="1"/>
  <c r="AH83" i="1"/>
  <c r="AB83" i="1"/>
  <c r="P83" i="1"/>
  <c r="D83" i="1"/>
  <c r="GZ82" i="1"/>
  <c r="GT82" i="1"/>
  <c r="GN82" i="1"/>
  <c r="GH82" i="1"/>
  <c r="GB82" i="1"/>
  <c r="FV82" i="1"/>
  <c r="FP82" i="1"/>
  <c r="FJ82" i="1"/>
  <c r="FD82" i="1"/>
  <c r="EX82" i="1"/>
  <c r="EL82" i="1"/>
  <c r="EF82" i="1"/>
  <c r="DZ82" i="1"/>
  <c r="DT82" i="1"/>
  <c r="DN82" i="1"/>
  <c r="DB82" i="1"/>
  <c r="CV82" i="1"/>
  <c r="CJ82" i="1"/>
  <c r="CD82" i="1"/>
  <c r="BX82" i="1"/>
  <c r="BR82" i="1"/>
  <c r="BL82" i="1"/>
  <c r="AZ82" i="1"/>
  <c r="AT82" i="1"/>
  <c r="AN82" i="1"/>
  <c r="AH82" i="1"/>
  <c r="AB82" i="1"/>
  <c r="P82" i="1"/>
  <c r="D82" i="1"/>
  <c r="HB80" i="1"/>
  <c r="HA80" i="1"/>
  <c r="GZ80" i="1"/>
  <c r="GV80" i="1"/>
  <c r="GU80" i="1"/>
  <c r="GT80" i="1"/>
  <c r="GP80" i="1"/>
  <c r="GO80" i="1"/>
  <c r="GN80" i="1"/>
  <c r="GJ80" i="1"/>
  <c r="GI80" i="1"/>
  <c r="GH80" i="1"/>
  <c r="GD80" i="1"/>
  <c r="GC80" i="1"/>
  <c r="GB80" i="1"/>
  <c r="FX80" i="1"/>
  <c r="FW80" i="1"/>
  <c r="FV80" i="1"/>
  <c r="FR80" i="1"/>
  <c r="FQ80" i="1"/>
  <c r="FP80" i="1"/>
  <c r="FL80" i="1"/>
  <c r="FJ80" i="1"/>
  <c r="FF80" i="1"/>
  <c r="FE80" i="1"/>
  <c r="FD80" i="1"/>
  <c r="EZ80" i="1"/>
  <c r="EY80" i="1"/>
  <c r="EX80" i="1"/>
  <c r="EN80" i="1"/>
  <c r="EM80" i="1"/>
  <c r="EL80" i="1"/>
  <c r="EH80" i="1"/>
  <c r="EG80" i="1"/>
  <c r="EF80" i="1"/>
  <c r="EB80" i="1"/>
  <c r="EA80" i="1"/>
  <c r="DZ80" i="1"/>
  <c r="DV80" i="1"/>
  <c r="DU80" i="1"/>
  <c r="DT80" i="1"/>
  <c r="DP80" i="1"/>
  <c r="DO80" i="1"/>
  <c r="DN80" i="1"/>
  <c r="DD80" i="1"/>
  <c r="DC80" i="1"/>
  <c r="DB80" i="1"/>
  <c r="CX80" i="1"/>
  <c r="CW80" i="1"/>
  <c r="CV80" i="1"/>
  <c r="CL80" i="1"/>
  <c r="CK80" i="1"/>
  <c r="CJ80" i="1"/>
  <c r="CF80" i="1"/>
  <c r="CE80" i="1"/>
  <c r="CD80" i="1"/>
  <c r="BZ80" i="1"/>
  <c r="BY80" i="1"/>
  <c r="BX80" i="1"/>
  <c r="BT80" i="1"/>
  <c r="BS80" i="1"/>
  <c r="BR80" i="1"/>
  <c r="BN80" i="1"/>
  <c r="BM80" i="1"/>
  <c r="BL80" i="1"/>
  <c r="BB80" i="1"/>
  <c r="BA80" i="1"/>
  <c r="AZ80" i="1"/>
  <c r="AV80" i="1"/>
  <c r="AU80" i="1"/>
  <c r="AT80" i="1"/>
  <c r="AP80" i="1"/>
  <c r="AO80" i="1"/>
  <c r="AN80" i="1"/>
  <c r="AJ80" i="1"/>
  <c r="AI80" i="1"/>
  <c r="AH80" i="1"/>
  <c r="AB80" i="1"/>
  <c r="Q80" i="1"/>
  <c r="P80" i="1"/>
  <c r="E80" i="1"/>
  <c r="D80" i="1"/>
  <c r="FK104" i="1"/>
  <c r="F117" i="1"/>
  <c r="FK80" i="1"/>
  <c r="AC103" i="1"/>
  <c r="E103" i="1"/>
  <c r="B59" i="1"/>
  <c r="FK15" i="1"/>
  <c r="FK14" i="1"/>
  <c r="AC14" i="1"/>
  <c r="AC13" i="1"/>
  <c r="B88" i="1" l="1"/>
  <c r="B97" i="1"/>
  <c r="B106" i="1"/>
  <c r="B84" i="1"/>
  <c r="B92" i="1"/>
  <c r="B101" i="1"/>
  <c r="B83" i="1"/>
  <c r="B91" i="1"/>
  <c r="B100" i="1"/>
  <c r="AD108" i="1"/>
  <c r="R108" i="1"/>
  <c r="B86" i="1"/>
  <c r="B95" i="1"/>
  <c r="B85" i="1"/>
  <c r="B93" i="1"/>
  <c r="B105" i="1"/>
  <c r="AC80" i="1"/>
  <c r="B87" i="1"/>
  <c r="B96" i="1"/>
  <c r="B82" i="1"/>
  <c r="B90" i="1"/>
  <c r="B99" i="1"/>
  <c r="B89" i="1"/>
  <c r="B98" i="1"/>
  <c r="B104" i="1"/>
  <c r="B102" i="1"/>
  <c r="F80" i="1"/>
  <c r="FK103" i="1"/>
  <c r="B103" i="1" s="1"/>
  <c r="HB57" i="1"/>
  <c r="HB56" i="1"/>
  <c r="HB55" i="1"/>
  <c r="HB54" i="1"/>
  <c r="HB53" i="1"/>
  <c r="HB52" i="1"/>
  <c r="HB51" i="1"/>
  <c r="HB50" i="1"/>
  <c r="HB49" i="1"/>
  <c r="HB48" i="1"/>
  <c r="HB47" i="1"/>
  <c r="HB46" i="1"/>
  <c r="HA44" i="1"/>
  <c r="HA43" i="1"/>
  <c r="HA42" i="1"/>
  <c r="HA41" i="1"/>
  <c r="HA40" i="1"/>
  <c r="HA39" i="1"/>
  <c r="HA38" i="1"/>
  <c r="HA37" i="1"/>
  <c r="HA36" i="1"/>
  <c r="HA35" i="1"/>
  <c r="HA34" i="1"/>
  <c r="HA33" i="1"/>
  <c r="GZ31" i="1"/>
  <c r="GZ30" i="1"/>
  <c r="GZ29" i="1"/>
  <c r="GZ28" i="1"/>
  <c r="GZ27" i="1"/>
  <c r="GZ26" i="1"/>
  <c r="GZ25" i="1"/>
  <c r="GZ24" i="1"/>
  <c r="GZ23" i="1"/>
  <c r="GZ22" i="1"/>
  <c r="GZ21" i="1"/>
  <c r="GZ20" i="1"/>
  <c r="GV57" i="1"/>
  <c r="GV56" i="1"/>
  <c r="GV55" i="1"/>
  <c r="GV54" i="1"/>
  <c r="GV53" i="1"/>
  <c r="GV52" i="1"/>
  <c r="GV51" i="1"/>
  <c r="GV50" i="1"/>
  <c r="GV49" i="1"/>
  <c r="GV48" i="1"/>
  <c r="GV47" i="1"/>
  <c r="GV46" i="1"/>
  <c r="GU44" i="1"/>
  <c r="GU43" i="1"/>
  <c r="GU42" i="1"/>
  <c r="GU41" i="1"/>
  <c r="GU40" i="1"/>
  <c r="GU39" i="1"/>
  <c r="GU38" i="1"/>
  <c r="GU37" i="1"/>
  <c r="GU36" i="1"/>
  <c r="GU35" i="1"/>
  <c r="GU34" i="1"/>
  <c r="GU33" i="1"/>
  <c r="GT31" i="1"/>
  <c r="GT30" i="1"/>
  <c r="GT29" i="1"/>
  <c r="GT28" i="1"/>
  <c r="GT27" i="1"/>
  <c r="GT26" i="1"/>
  <c r="GT25" i="1"/>
  <c r="GT24" i="1"/>
  <c r="GT23" i="1"/>
  <c r="GT22" i="1"/>
  <c r="GT21" i="1"/>
  <c r="GT20" i="1"/>
  <c r="GP57" i="1"/>
  <c r="GP56" i="1"/>
  <c r="GP55" i="1"/>
  <c r="GP54" i="1"/>
  <c r="GP53" i="1"/>
  <c r="GP52" i="1"/>
  <c r="GP51" i="1"/>
  <c r="GP50" i="1"/>
  <c r="GP49" i="1"/>
  <c r="GP48" i="1"/>
  <c r="GP47" i="1"/>
  <c r="GP46" i="1"/>
  <c r="GO44" i="1"/>
  <c r="GO43" i="1"/>
  <c r="GO42" i="1"/>
  <c r="GO41" i="1"/>
  <c r="GO40" i="1"/>
  <c r="GO39" i="1"/>
  <c r="GO38" i="1"/>
  <c r="GO37" i="1"/>
  <c r="GO36" i="1"/>
  <c r="GO35" i="1"/>
  <c r="GO34" i="1"/>
  <c r="GO33" i="1"/>
  <c r="GN31" i="1"/>
  <c r="GN30" i="1"/>
  <c r="GN29" i="1"/>
  <c r="GN28" i="1"/>
  <c r="GN27" i="1"/>
  <c r="GN26" i="1"/>
  <c r="GN25" i="1"/>
  <c r="GN24" i="1"/>
  <c r="GN23" i="1"/>
  <c r="GN22" i="1"/>
  <c r="GN21" i="1"/>
  <c r="GN20" i="1"/>
  <c r="GJ57" i="1"/>
  <c r="GJ56" i="1"/>
  <c r="GJ55" i="1"/>
  <c r="GJ54" i="1"/>
  <c r="GJ53" i="1"/>
  <c r="GJ52" i="1"/>
  <c r="GJ51" i="1"/>
  <c r="GJ50" i="1"/>
  <c r="GJ49" i="1"/>
  <c r="GJ48" i="1"/>
  <c r="GJ47" i="1"/>
  <c r="GJ46" i="1"/>
  <c r="GI44" i="1"/>
  <c r="GI43" i="1"/>
  <c r="GI42" i="1"/>
  <c r="GI41" i="1"/>
  <c r="GI40" i="1"/>
  <c r="GI39" i="1"/>
  <c r="GI38" i="1"/>
  <c r="GI37" i="1"/>
  <c r="GI36" i="1"/>
  <c r="GI35" i="1"/>
  <c r="GI34" i="1"/>
  <c r="GI33" i="1"/>
  <c r="GH31" i="1"/>
  <c r="GH30" i="1"/>
  <c r="GH29" i="1"/>
  <c r="GH28" i="1"/>
  <c r="GH27" i="1"/>
  <c r="GH26" i="1"/>
  <c r="GH25" i="1"/>
  <c r="GH24" i="1"/>
  <c r="GH23" i="1"/>
  <c r="GH22" i="1"/>
  <c r="GH21" i="1"/>
  <c r="GH20" i="1"/>
  <c r="GD57" i="1"/>
  <c r="GD56" i="1"/>
  <c r="GD55" i="1"/>
  <c r="GD54" i="1"/>
  <c r="GD53" i="1"/>
  <c r="GD52" i="1"/>
  <c r="GD51" i="1"/>
  <c r="GD50" i="1"/>
  <c r="GD49" i="1"/>
  <c r="GD48" i="1"/>
  <c r="GD47" i="1"/>
  <c r="GD46" i="1"/>
  <c r="GC44" i="1"/>
  <c r="GC43" i="1"/>
  <c r="GC42" i="1"/>
  <c r="GC41" i="1"/>
  <c r="GC40" i="1"/>
  <c r="GC39" i="1"/>
  <c r="GC38" i="1"/>
  <c r="GC37" i="1"/>
  <c r="GC36" i="1"/>
  <c r="GC35" i="1"/>
  <c r="GC34" i="1"/>
  <c r="GC33" i="1"/>
  <c r="GB31" i="1"/>
  <c r="GB30" i="1"/>
  <c r="GB29" i="1"/>
  <c r="GB28" i="1"/>
  <c r="GB27" i="1"/>
  <c r="GB26" i="1"/>
  <c r="GB25" i="1"/>
  <c r="GB24" i="1"/>
  <c r="GB23" i="1"/>
  <c r="GB22" i="1"/>
  <c r="GB21" i="1"/>
  <c r="GB20" i="1"/>
  <c r="FX57" i="1"/>
  <c r="FX56" i="1"/>
  <c r="FX55" i="1"/>
  <c r="FX54" i="1"/>
  <c r="FX53" i="1"/>
  <c r="FX52" i="1"/>
  <c r="FX51" i="1"/>
  <c r="FX50" i="1"/>
  <c r="FX49" i="1"/>
  <c r="FX48" i="1"/>
  <c r="FX47" i="1"/>
  <c r="FX46" i="1"/>
  <c r="FW44" i="1"/>
  <c r="FW43" i="1"/>
  <c r="FW42" i="1"/>
  <c r="FW41" i="1"/>
  <c r="FW40" i="1"/>
  <c r="FW39" i="1"/>
  <c r="FW38" i="1"/>
  <c r="FW37" i="1"/>
  <c r="FW36" i="1"/>
  <c r="FW35" i="1"/>
  <c r="FW34" i="1"/>
  <c r="FW33" i="1"/>
  <c r="FV31" i="1"/>
  <c r="FV30" i="1"/>
  <c r="FV29" i="1"/>
  <c r="FV28" i="1"/>
  <c r="FV27" i="1"/>
  <c r="FV26" i="1"/>
  <c r="FV25" i="1"/>
  <c r="FV24" i="1"/>
  <c r="FV23" i="1"/>
  <c r="FV22" i="1"/>
  <c r="FV21" i="1"/>
  <c r="FV20" i="1"/>
  <c r="FR57" i="1"/>
  <c r="FR56" i="1"/>
  <c r="FR55" i="1"/>
  <c r="FR54" i="1"/>
  <c r="FR53" i="1"/>
  <c r="FR52" i="1"/>
  <c r="FR51" i="1"/>
  <c r="FR50" i="1"/>
  <c r="FR49" i="1"/>
  <c r="FR48" i="1"/>
  <c r="FR47" i="1"/>
  <c r="FR46" i="1"/>
  <c r="FQ44" i="1"/>
  <c r="FQ43" i="1"/>
  <c r="FQ42" i="1"/>
  <c r="FQ41" i="1"/>
  <c r="FQ40" i="1"/>
  <c r="FQ39" i="1"/>
  <c r="FQ38" i="1"/>
  <c r="FQ37" i="1"/>
  <c r="FQ36" i="1"/>
  <c r="FQ35" i="1"/>
  <c r="FQ34" i="1"/>
  <c r="FQ33" i="1"/>
  <c r="FP31" i="1"/>
  <c r="FP30" i="1"/>
  <c r="FP29" i="1"/>
  <c r="FP28" i="1"/>
  <c r="FP27" i="1"/>
  <c r="FP26" i="1"/>
  <c r="FP25" i="1"/>
  <c r="FP24" i="1"/>
  <c r="FP23" i="1"/>
  <c r="FP22" i="1"/>
  <c r="FP21" i="1"/>
  <c r="FP20" i="1"/>
  <c r="FL57" i="1"/>
  <c r="FL56" i="1"/>
  <c r="FL55" i="1"/>
  <c r="FL54" i="1"/>
  <c r="FL53" i="1"/>
  <c r="FL52" i="1"/>
  <c r="FL51" i="1"/>
  <c r="FL50" i="1"/>
  <c r="FL49" i="1"/>
  <c r="FL48" i="1"/>
  <c r="FL47" i="1"/>
  <c r="FL46" i="1"/>
  <c r="FK44" i="1"/>
  <c r="FK43" i="1"/>
  <c r="FK42" i="1"/>
  <c r="FK41" i="1"/>
  <c r="FK40" i="1"/>
  <c r="FK39" i="1"/>
  <c r="FK38" i="1"/>
  <c r="FK37" i="1"/>
  <c r="FK36" i="1"/>
  <c r="FK35" i="1"/>
  <c r="FK34" i="1"/>
  <c r="FK33" i="1"/>
  <c r="FJ31" i="1"/>
  <c r="FJ30" i="1"/>
  <c r="FJ29" i="1"/>
  <c r="FJ28" i="1"/>
  <c r="FJ27" i="1"/>
  <c r="FJ26" i="1"/>
  <c r="FJ25" i="1"/>
  <c r="FJ24" i="1"/>
  <c r="FJ23" i="1"/>
  <c r="FJ22" i="1"/>
  <c r="FJ21" i="1"/>
  <c r="FJ20" i="1"/>
  <c r="FF57" i="1"/>
  <c r="FF56" i="1"/>
  <c r="FF55" i="1"/>
  <c r="FF54" i="1"/>
  <c r="FF53" i="1"/>
  <c r="FF52" i="1"/>
  <c r="FF51" i="1"/>
  <c r="FF50" i="1"/>
  <c r="FF49" i="1"/>
  <c r="FF48" i="1"/>
  <c r="FF47" i="1"/>
  <c r="FF46" i="1"/>
  <c r="FE44" i="1"/>
  <c r="FE43" i="1"/>
  <c r="FE42" i="1"/>
  <c r="FE41" i="1"/>
  <c r="FE40" i="1"/>
  <c r="FE39" i="1"/>
  <c r="FE38" i="1"/>
  <c r="FE37" i="1"/>
  <c r="FE36" i="1"/>
  <c r="FE35" i="1"/>
  <c r="FE34" i="1"/>
  <c r="FE33" i="1"/>
  <c r="FD31" i="1"/>
  <c r="FD30" i="1"/>
  <c r="FD29" i="1"/>
  <c r="FD28" i="1"/>
  <c r="FD27" i="1"/>
  <c r="FD26" i="1"/>
  <c r="FD25" i="1"/>
  <c r="FD24" i="1"/>
  <c r="FD23" i="1"/>
  <c r="FD22" i="1"/>
  <c r="FD21" i="1"/>
  <c r="FD20" i="1"/>
  <c r="EZ57" i="1"/>
  <c r="EZ56" i="1"/>
  <c r="EZ55" i="1"/>
  <c r="EZ54" i="1"/>
  <c r="EZ53" i="1"/>
  <c r="EZ52" i="1"/>
  <c r="EZ51" i="1"/>
  <c r="EZ50" i="1"/>
  <c r="EZ49" i="1"/>
  <c r="EZ48" i="1"/>
  <c r="EZ47" i="1"/>
  <c r="EZ46" i="1"/>
  <c r="EY44" i="1"/>
  <c r="EY43" i="1"/>
  <c r="EY42" i="1"/>
  <c r="EY41" i="1"/>
  <c r="EY40" i="1"/>
  <c r="EY39" i="1"/>
  <c r="EY38" i="1"/>
  <c r="EY37" i="1"/>
  <c r="EY36" i="1"/>
  <c r="EY35" i="1"/>
  <c r="EY34" i="1"/>
  <c r="EY33" i="1"/>
  <c r="EX31" i="1"/>
  <c r="EX30" i="1"/>
  <c r="EX29" i="1"/>
  <c r="EX28" i="1"/>
  <c r="EX27" i="1"/>
  <c r="EX26" i="1"/>
  <c r="EX25" i="1"/>
  <c r="EX24" i="1"/>
  <c r="EX23" i="1"/>
  <c r="EX22" i="1"/>
  <c r="EX21" i="1"/>
  <c r="EX20" i="1"/>
  <c r="EN57" i="1"/>
  <c r="EN56" i="1"/>
  <c r="EN55" i="1"/>
  <c r="EN54" i="1"/>
  <c r="EN53" i="1"/>
  <c r="EN52" i="1"/>
  <c r="EN51" i="1"/>
  <c r="EN50" i="1"/>
  <c r="EN49" i="1"/>
  <c r="EN48" i="1"/>
  <c r="EN47" i="1"/>
  <c r="EN46" i="1"/>
  <c r="EM44" i="1"/>
  <c r="EM43" i="1"/>
  <c r="EM42" i="1"/>
  <c r="EM41" i="1"/>
  <c r="EM40" i="1"/>
  <c r="EM39" i="1"/>
  <c r="EM38" i="1"/>
  <c r="EM37" i="1"/>
  <c r="EM36" i="1"/>
  <c r="EM35" i="1"/>
  <c r="EM34" i="1"/>
  <c r="EM33" i="1"/>
  <c r="EL31" i="1"/>
  <c r="EL30" i="1"/>
  <c r="EL29" i="1"/>
  <c r="EL28" i="1"/>
  <c r="EL27" i="1"/>
  <c r="EL26" i="1"/>
  <c r="EL25" i="1"/>
  <c r="EL24" i="1"/>
  <c r="EL23" i="1"/>
  <c r="EL22" i="1"/>
  <c r="EL21" i="1"/>
  <c r="EL20" i="1"/>
  <c r="EH57" i="1"/>
  <c r="EH56" i="1"/>
  <c r="EH55" i="1"/>
  <c r="EH54" i="1"/>
  <c r="EH53" i="1"/>
  <c r="EH52" i="1"/>
  <c r="EH51" i="1"/>
  <c r="EH50" i="1"/>
  <c r="EH49" i="1"/>
  <c r="EH48" i="1"/>
  <c r="EH47" i="1"/>
  <c r="EH46" i="1"/>
  <c r="EG44" i="1"/>
  <c r="EG43" i="1"/>
  <c r="EG42" i="1"/>
  <c r="EG41" i="1"/>
  <c r="EG40" i="1"/>
  <c r="EG39" i="1"/>
  <c r="EG38" i="1"/>
  <c r="EG37" i="1"/>
  <c r="EG36" i="1"/>
  <c r="EG35" i="1"/>
  <c r="EG34" i="1"/>
  <c r="EG33" i="1"/>
  <c r="EF31" i="1"/>
  <c r="EF30" i="1"/>
  <c r="EF29" i="1"/>
  <c r="EF28" i="1"/>
  <c r="EF27" i="1"/>
  <c r="EF26" i="1"/>
  <c r="EF25" i="1"/>
  <c r="EF24" i="1"/>
  <c r="EF23" i="1"/>
  <c r="EF22" i="1"/>
  <c r="EF21" i="1"/>
  <c r="EF20" i="1"/>
  <c r="EB57" i="1"/>
  <c r="EB56" i="1"/>
  <c r="EB55" i="1"/>
  <c r="EB54" i="1"/>
  <c r="EB53" i="1"/>
  <c r="EB52" i="1"/>
  <c r="EB51" i="1"/>
  <c r="EB50" i="1"/>
  <c r="EB49" i="1"/>
  <c r="EB48" i="1"/>
  <c r="EB47" i="1"/>
  <c r="EB46" i="1"/>
  <c r="EA44" i="1"/>
  <c r="EA43" i="1"/>
  <c r="EA42" i="1"/>
  <c r="EA41" i="1"/>
  <c r="EA40" i="1"/>
  <c r="EA39" i="1"/>
  <c r="EA38" i="1"/>
  <c r="EA37" i="1"/>
  <c r="EA36" i="1"/>
  <c r="EA35" i="1"/>
  <c r="EA34" i="1"/>
  <c r="EA33" i="1"/>
  <c r="DZ31" i="1"/>
  <c r="DZ30" i="1"/>
  <c r="DZ29" i="1"/>
  <c r="DZ28" i="1"/>
  <c r="DZ27" i="1"/>
  <c r="DZ26" i="1"/>
  <c r="DZ25" i="1"/>
  <c r="DZ24" i="1"/>
  <c r="DZ23" i="1"/>
  <c r="DZ22" i="1"/>
  <c r="DZ21" i="1"/>
  <c r="DZ20" i="1"/>
  <c r="DV57" i="1"/>
  <c r="DV56" i="1"/>
  <c r="DV55" i="1"/>
  <c r="DV54" i="1"/>
  <c r="DV53" i="1"/>
  <c r="DV52" i="1"/>
  <c r="DV51" i="1"/>
  <c r="DV50" i="1"/>
  <c r="DV49" i="1"/>
  <c r="DV48" i="1"/>
  <c r="DV47" i="1"/>
  <c r="DV46" i="1"/>
  <c r="DU44" i="1"/>
  <c r="DU43" i="1"/>
  <c r="DU42" i="1"/>
  <c r="DU41" i="1"/>
  <c r="DU40" i="1"/>
  <c r="DU39" i="1"/>
  <c r="DU38" i="1"/>
  <c r="DU37" i="1"/>
  <c r="DU36" i="1"/>
  <c r="DU35" i="1"/>
  <c r="DU34" i="1"/>
  <c r="DU33" i="1"/>
  <c r="DT31" i="1"/>
  <c r="DT30" i="1"/>
  <c r="DT29" i="1"/>
  <c r="DT28" i="1"/>
  <c r="DT27" i="1"/>
  <c r="DT26" i="1"/>
  <c r="DT25" i="1"/>
  <c r="DT24" i="1"/>
  <c r="DT23" i="1"/>
  <c r="DT22" i="1"/>
  <c r="DT21" i="1"/>
  <c r="DT20" i="1"/>
  <c r="DP57" i="1"/>
  <c r="DP56" i="1"/>
  <c r="DP55" i="1"/>
  <c r="DP54" i="1"/>
  <c r="DP53" i="1"/>
  <c r="DP52" i="1"/>
  <c r="DP51" i="1"/>
  <c r="DP50" i="1"/>
  <c r="DP49" i="1"/>
  <c r="DP48" i="1"/>
  <c r="DP47" i="1"/>
  <c r="DP46" i="1"/>
  <c r="DO44" i="1"/>
  <c r="DO43" i="1"/>
  <c r="DO42" i="1"/>
  <c r="DO41" i="1"/>
  <c r="DO40" i="1"/>
  <c r="DO39" i="1"/>
  <c r="DO38" i="1"/>
  <c r="DO37" i="1"/>
  <c r="DO36" i="1"/>
  <c r="DO35" i="1"/>
  <c r="DO34" i="1"/>
  <c r="DO33" i="1"/>
  <c r="DN31" i="1"/>
  <c r="DN30" i="1"/>
  <c r="DN29" i="1"/>
  <c r="DN28" i="1"/>
  <c r="DN27" i="1"/>
  <c r="DN26" i="1"/>
  <c r="DN25" i="1"/>
  <c r="DN24" i="1"/>
  <c r="DN23" i="1"/>
  <c r="DN22" i="1"/>
  <c r="DN21" i="1"/>
  <c r="DN20" i="1"/>
  <c r="DD57" i="1"/>
  <c r="DD56" i="1"/>
  <c r="DD55" i="1"/>
  <c r="DD54" i="1"/>
  <c r="DD53" i="1"/>
  <c r="DD52" i="1"/>
  <c r="DD51" i="1"/>
  <c r="DD50" i="1"/>
  <c r="DD49" i="1"/>
  <c r="DD48" i="1"/>
  <c r="DD47" i="1"/>
  <c r="DD46" i="1"/>
  <c r="DC44" i="1"/>
  <c r="DC43" i="1"/>
  <c r="DC42" i="1"/>
  <c r="DC41" i="1"/>
  <c r="DC40" i="1"/>
  <c r="DC39" i="1"/>
  <c r="DC38" i="1"/>
  <c r="DC37" i="1"/>
  <c r="DC36" i="1"/>
  <c r="DC35" i="1"/>
  <c r="DC34" i="1"/>
  <c r="DC33" i="1"/>
  <c r="DB31" i="1"/>
  <c r="DB30" i="1"/>
  <c r="DB29" i="1"/>
  <c r="DB28" i="1"/>
  <c r="DB27" i="1"/>
  <c r="DB26" i="1"/>
  <c r="DB25" i="1"/>
  <c r="DB24" i="1"/>
  <c r="DB23" i="1"/>
  <c r="DB22" i="1"/>
  <c r="DB21" i="1"/>
  <c r="DB20" i="1"/>
  <c r="CX57" i="1"/>
  <c r="CX56" i="1"/>
  <c r="CX55" i="1"/>
  <c r="CX54" i="1"/>
  <c r="CX53" i="1"/>
  <c r="CX52" i="1"/>
  <c r="CX51" i="1"/>
  <c r="CX50" i="1"/>
  <c r="CX49" i="1"/>
  <c r="CX48" i="1"/>
  <c r="CX47" i="1"/>
  <c r="CX46" i="1"/>
  <c r="CW44" i="1"/>
  <c r="CW43" i="1"/>
  <c r="CW42" i="1"/>
  <c r="CW41" i="1"/>
  <c r="CW40" i="1"/>
  <c r="CW39" i="1"/>
  <c r="CW38" i="1"/>
  <c r="CW37" i="1"/>
  <c r="CW36" i="1"/>
  <c r="CW35" i="1"/>
  <c r="CW34" i="1"/>
  <c r="CW33" i="1"/>
  <c r="CV31" i="1"/>
  <c r="CV30" i="1"/>
  <c r="CV29" i="1"/>
  <c r="CV28" i="1"/>
  <c r="CV27" i="1"/>
  <c r="CV26" i="1"/>
  <c r="CV25" i="1"/>
  <c r="CV24" i="1"/>
  <c r="CV23" i="1"/>
  <c r="CV22" i="1"/>
  <c r="CV21" i="1"/>
  <c r="CV20" i="1"/>
  <c r="CL57" i="1"/>
  <c r="CL56" i="1"/>
  <c r="CL55" i="1"/>
  <c r="CL54" i="1"/>
  <c r="CL53" i="1"/>
  <c r="CL52" i="1"/>
  <c r="CL51" i="1"/>
  <c r="CL50" i="1"/>
  <c r="CL49" i="1"/>
  <c r="CL48" i="1"/>
  <c r="CL47" i="1"/>
  <c r="CL46" i="1"/>
  <c r="CK44" i="1"/>
  <c r="CK43" i="1"/>
  <c r="CK42" i="1"/>
  <c r="CK41" i="1"/>
  <c r="CK40" i="1"/>
  <c r="CK39" i="1"/>
  <c r="CK38" i="1"/>
  <c r="CK37" i="1"/>
  <c r="CK36" i="1"/>
  <c r="CK35" i="1"/>
  <c r="CK34" i="1"/>
  <c r="CK33" i="1"/>
  <c r="CJ31" i="1"/>
  <c r="CJ30" i="1"/>
  <c r="CJ29" i="1"/>
  <c r="CJ28" i="1"/>
  <c r="CJ27" i="1"/>
  <c r="CJ26" i="1"/>
  <c r="CJ25" i="1"/>
  <c r="CJ24" i="1"/>
  <c r="CJ23" i="1"/>
  <c r="CJ22" i="1"/>
  <c r="CJ21" i="1"/>
  <c r="CJ20" i="1"/>
  <c r="CF57" i="1"/>
  <c r="CF56" i="1"/>
  <c r="CF55" i="1"/>
  <c r="CF54" i="1"/>
  <c r="CF53" i="1"/>
  <c r="CF52" i="1"/>
  <c r="CF51" i="1"/>
  <c r="CF50" i="1"/>
  <c r="CF49" i="1"/>
  <c r="CF48" i="1"/>
  <c r="CF47" i="1"/>
  <c r="CF46" i="1"/>
  <c r="CE44" i="1"/>
  <c r="CE43" i="1"/>
  <c r="CE42" i="1"/>
  <c r="CE41" i="1"/>
  <c r="CE40" i="1"/>
  <c r="CE39" i="1"/>
  <c r="CE38" i="1"/>
  <c r="CE37" i="1"/>
  <c r="CE36" i="1"/>
  <c r="CE35" i="1"/>
  <c r="CE34" i="1"/>
  <c r="CE33" i="1"/>
  <c r="CD31" i="1"/>
  <c r="CD30" i="1"/>
  <c r="CD29" i="1"/>
  <c r="CD28" i="1"/>
  <c r="CD27" i="1"/>
  <c r="CD26" i="1"/>
  <c r="CD25" i="1"/>
  <c r="CD24" i="1"/>
  <c r="CD23" i="1"/>
  <c r="CD22" i="1"/>
  <c r="CD21" i="1"/>
  <c r="CD20" i="1"/>
  <c r="BZ57" i="1"/>
  <c r="BZ56" i="1"/>
  <c r="BZ55" i="1"/>
  <c r="BZ54" i="1"/>
  <c r="BZ53" i="1"/>
  <c r="BZ52" i="1"/>
  <c r="BZ51" i="1"/>
  <c r="BZ50" i="1"/>
  <c r="BZ49" i="1"/>
  <c r="BZ48" i="1"/>
  <c r="BZ47" i="1"/>
  <c r="BZ46" i="1"/>
  <c r="BY44" i="1"/>
  <c r="BY43" i="1"/>
  <c r="BY42" i="1"/>
  <c r="BY41" i="1"/>
  <c r="BY40" i="1"/>
  <c r="BY39" i="1"/>
  <c r="BY38" i="1"/>
  <c r="BY37" i="1"/>
  <c r="BY36" i="1"/>
  <c r="BY35" i="1"/>
  <c r="BY34" i="1"/>
  <c r="BY33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T57" i="1"/>
  <c r="BT56" i="1"/>
  <c r="BT55" i="1"/>
  <c r="BT54" i="1"/>
  <c r="BT53" i="1"/>
  <c r="BT52" i="1"/>
  <c r="BT51" i="1"/>
  <c r="BT50" i="1"/>
  <c r="BT49" i="1"/>
  <c r="BT48" i="1"/>
  <c r="BT47" i="1"/>
  <c r="BT46" i="1"/>
  <c r="BS44" i="1"/>
  <c r="BS43" i="1"/>
  <c r="BS42" i="1"/>
  <c r="BS41" i="1"/>
  <c r="BS40" i="1"/>
  <c r="BS39" i="1"/>
  <c r="BS38" i="1"/>
  <c r="BS37" i="1"/>
  <c r="BS36" i="1"/>
  <c r="BS35" i="1"/>
  <c r="BS34" i="1"/>
  <c r="BS33" i="1"/>
  <c r="BR31" i="1"/>
  <c r="BR30" i="1"/>
  <c r="BR29" i="1"/>
  <c r="BR28" i="1"/>
  <c r="BR27" i="1"/>
  <c r="BR26" i="1"/>
  <c r="BR25" i="1"/>
  <c r="BR24" i="1"/>
  <c r="BR23" i="1"/>
  <c r="BR22" i="1"/>
  <c r="BR21" i="1"/>
  <c r="BR20" i="1"/>
  <c r="BN57" i="1"/>
  <c r="BN56" i="1"/>
  <c r="BN55" i="1"/>
  <c r="BN54" i="1"/>
  <c r="BN53" i="1"/>
  <c r="BN52" i="1"/>
  <c r="BN51" i="1"/>
  <c r="BN50" i="1"/>
  <c r="BN49" i="1"/>
  <c r="BN48" i="1"/>
  <c r="BN47" i="1"/>
  <c r="BN46" i="1"/>
  <c r="BM44" i="1"/>
  <c r="BM43" i="1"/>
  <c r="BM42" i="1"/>
  <c r="BM41" i="1"/>
  <c r="BM40" i="1"/>
  <c r="BM39" i="1"/>
  <c r="BM38" i="1"/>
  <c r="BM37" i="1"/>
  <c r="BM36" i="1"/>
  <c r="BM35" i="1"/>
  <c r="BM34" i="1"/>
  <c r="BM33" i="1"/>
  <c r="BL31" i="1"/>
  <c r="BL30" i="1"/>
  <c r="BL29" i="1"/>
  <c r="BL28" i="1"/>
  <c r="BL27" i="1"/>
  <c r="BL26" i="1"/>
  <c r="BL25" i="1"/>
  <c r="BL24" i="1"/>
  <c r="BL23" i="1"/>
  <c r="BL22" i="1"/>
  <c r="BL21" i="1"/>
  <c r="BL20" i="1"/>
  <c r="BB57" i="1"/>
  <c r="BB56" i="1"/>
  <c r="BB55" i="1"/>
  <c r="BB54" i="1"/>
  <c r="BB53" i="1"/>
  <c r="BB52" i="1"/>
  <c r="BB51" i="1"/>
  <c r="BB50" i="1"/>
  <c r="BB49" i="1"/>
  <c r="BB48" i="1"/>
  <c r="BB47" i="1"/>
  <c r="BB46" i="1"/>
  <c r="BA44" i="1"/>
  <c r="BA43" i="1"/>
  <c r="BA42" i="1"/>
  <c r="BA41" i="1"/>
  <c r="BA40" i="1"/>
  <c r="BA39" i="1"/>
  <c r="BA38" i="1"/>
  <c r="BA37" i="1"/>
  <c r="BA36" i="1"/>
  <c r="BA35" i="1"/>
  <c r="BA34" i="1"/>
  <c r="BA33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V57" i="1"/>
  <c r="AV56" i="1"/>
  <c r="AV55" i="1"/>
  <c r="AV54" i="1"/>
  <c r="AV53" i="1"/>
  <c r="AV52" i="1"/>
  <c r="AV51" i="1"/>
  <c r="AV50" i="1"/>
  <c r="AV49" i="1"/>
  <c r="AV48" i="1"/>
  <c r="AV47" i="1"/>
  <c r="AV46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O44" i="1"/>
  <c r="AO43" i="1"/>
  <c r="AO42" i="1"/>
  <c r="AO41" i="1"/>
  <c r="AO40" i="1"/>
  <c r="AO39" i="1"/>
  <c r="AO38" i="1"/>
  <c r="AO37" i="1"/>
  <c r="AO36" i="1"/>
  <c r="AO35" i="1"/>
  <c r="AO34" i="1"/>
  <c r="AO33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R57" i="1"/>
  <c r="R56" i="1"/>
  <c r="R55" i="1"/>
  <c r="R54" i="1"/>
  <c r="R53" i="1"/>
  <c r="R52" i="1"/>
  <c r="R51" i="1"/>
  <c r="R50" i="1"/>
  <c r="R49" i="1"/>
  <c r="R48" i="1"/>
  <c r="R47" i="1"/>
  <c r="R46" i="1"/>
  <c r="Q44" i="1"/>
  <c r="Q43" i="1"/>
  <c r="Q42" i="1"/>
  <c r="Q41" i="1"/>
  <c r="Q40" i="1"/>
  <c r="Q39" i="1"/>
  <c r="Q38" i="1"/>
  <c r="Q37" i="1"/>
  <c r="Q36" i="1"/>
  <c r="Q35" i="1"/>
  <c r="Q34" i="1"/>
  <c r="Q33" i="1"/>
  <c r="P31" i="1"/>
  <c r="P30" i="1"/>
  <c r="P29" i="1"/>
  <c r="P28" i="1"/>
  <c r="P27" i="1"/>
  <c r="P26" i="1"/>
  <c r="P25" i="1"/>
  <c r="P24" i="1"/>
  <c r="P23" i="1"/>
  <c r="P22" i="1"/>
  <c r="P21" i="1"/>
  <c r="P20" i="1"/>
  <c r="F57" i="1"/>
  <c r="F56" i="1"/>
  <c r="F54" i="1"/>
  <c r="F53" i="1"/>
  <c r="F52" i="1"/>
  <c r="F51" i="1"/>
  <c r="F50" i="1"/>
  <c r="F49" i="1"/>
  <c r="F48" i="1"/>
  <c r="F47" i="1"/>
  <c r="F46" i="1"/>
  <c r="E44" i="1"/>
  <c r="E43" i="1"/>
  <c r="E42" i="1"/>
  <c r="E40" i="1"/>
  <c r="E39" i="1"/>
  <c r="E38" i="1"/>
  <c r="E37" i="1"/>
  <c r="E36" i="1"/>
  <c r="E35" i="1"/>
  <c r="E34" i="1"/>
  <c r="E33" i="1"/>
  <c r="D31" i="1"/>
  <c r="D30" i="1"/>
  <c r="D29" i="1"/>
  <c r="D28" i="1"/>
  <c r="D27" i="1"/>
  <c r="D26" i="1"/>
  <c r="D25" i="1"/>
  <c r="D24" i="1"/>
  <c r="D23" i="1"/>
  <c r="D22" i="1"/>
  <c r="D21" i="1"/>
  <c r="D20" i="1"/>
  <c r="HB18" i="1"/>
  <c r="HA18" i="1"/>
  <c r="GZ18" i="1"/>
  <c r="HC6" i="1"/>
  <c r="HC7" i="1" s="1"/>
  <c r="HC8" i="1" s="1"/>
  <c r="HC9" i="1" s="1"/>
  <c r="HC10" i="1" s="1"/>
  <c r="HC11" i="1" s="1"/>
  <c r="HC12" i="1" s="1"/>
  <c r="HC13" i="1" s="1"/>
  <c r="HC14" i="1" s="1"/>
  <c r="HC15" i="1" s="1"/>
  <c r="HC16" i="1" s="1"/>
  <c r="HC17" i="1" s="1"/>
  <c r="B40" i="1" l="1"/>
  <c r="B108" i="1"/>
  <c r="AD109" i="1"/>
  <c r="R109" i="1"/>
  <c r="B122" i="1"/>
  <c r="B123" i="1"/>
  <c r="B42" i="1"/>
  <c r="B53" i="1"/>
  <c r="B27" i="1"/>
  <c r="B25" i="1"/>
  <c r="B47" i="1"/>
  <c r="B21" i="1"/>
  <c r="B38" i="1"/>
  <c r="B29" i="1"/>
  <c r="B34" i="1"/>
  <c r="B28" i="1"/>
  <c r="B52" i="1"/>
  <c r="B26" i="1"/>
  <c r="B35" i="1"/>
  <c r="B57" i="1"/>
  <c r="B22" i="1"/>
  <c r="B30" i="1"/>
  <c r="B39" i="1"/>
  <c r="B49" i="1"/>
  <c r="B46" i="1"/>
  <c r="B54" i="1"/>
  <c r="B23" i="1"/>
  <c r="B31" i="1"/>
  <c r="B50" i="1"/>
  <c r="B24" i="1"/>
  <c r="B51" i="1"/>
  <c r="B48" i="1"/>
  <c r="B56" i="1"/>
  <c r="B36" i="1"/>
  <c r="B44" i="1"/>
  <c r="B33" i="1"/>
  <c r="B20" i="1"/>
  <c r="B43" i="1"/>
  <c r="B37" i="1"/>
  <c r="HC18" i="1"/>
  <c r="HC67" i="1" s="1"/>
  <c r="EG18" i="1"/>
  <c r="EI6" i="1"/>
  <c r="EI7" i="1" s="1"/>
  <c r="EI8" i="1" s="1"/>
  <c r="EI9" i="1" s="1"/>
  <c r="EI10" i="1" s="1"/>
  <c r="EI11" i="1" s="1"/>
  <c r="EI12" i="1" s="1"/>
  <c r="EI13" i="1" s="1"/>
  <c r="EI14" i="1" s="1"/>
  <c r="EI15" i="1" s="1"/>
  <c r="EI16" i="1" s="1"/>
  <c r="EI17" i="1" s="1"/>
  <c r="AJ18" i="1"/>
  <c r="AI18" i="1"/>
  <c r="AH18" i="1"/>
  <c r="AK6" i="1"/>
  <c r="AK7" i="1" s="1"/>
  <c r="AK8" i="1" s="1"/>
  <c r="AK9" i="1" s="1"/>
  <c r="AK10" i="1" s="1"/>
  <c r="AK11" i="1" s="1"/>
  <c r="AK12" i="1" s="1"/>
  <c r="AK13" i="1" s="1"/>
  <c r="AK14" i="1" s="1"/>
  <c r="AK15" i="1" s="1"/>
  <c r="AK16" i="1" s="1"/>
  <c r="AK17" i="1" s="1"/>
  <c r="GP18" i="1"/>
  <c r="GO18" i="1"/>
  <c r="GN18" i="1"/>
  <c r="GQ6" i="1"/>
  <c r="GQ7" i="1" s="1"/>
  <c r="GQ8" i="1" s="1"/>
  <c r="GQ9" i="1" s="1"/>
  <c r="GQ10" i="1" s="1"/>
  <c r="GQ11" i="1" s="1"/>
  <c r="GQ12" i="1" s="1"/>
  <c r="GQ13" i="1" s="1"/>
  <c r="GQ14" i="1" s="1"/>
  <c r="GQ15" i="1" s="1"/>
  <c r="GQ16" i="1" s="1"/>
  <c r="GQ17" i="1" s="1"/>
  <c r="GJ18" i="1"/>
  <c r="GI18" i="1"/>
  <c r="GH18" i="1"/>
  <c r="GK6" i="1"/>
  <c r="GK7" i="1" s="1"/>
  <c r="GK8" i="1" s="1"/>
  <c r="GK9" i="1" s="1"/>
  <c r="GK10" i="1" s="1"/>
  <c r="GK11" i="1" s="1"/>
  <c r="GK12" i="1" s="1"/>
  <c r="GK13" i="1" s="1"/>
  <c r="GK14" i="1" s="1"/>
  <c r="GK15" i="1" s="1"/>
  <c r="GK16" i="1" s="1"/>
  <c r="GK17" i="1" s="1"/>
  <c r="GD18" i="1"/>
  <c r="GC18" i="1"/>
  <c r="GB18" i="1"/>
  <c r="GE6" i="1"/>
  <c r="GE7" i="1" s="1"/>
  <c r="GE8" i="1" s="1"/>
  <c r="GE9" i="1" s="1"/>
  <c r="GE10" i="1" s="1"/>
  <c r="GE11" i="1" s="1"/>
  <c r="GE12" i="1" s="1"/>
  <c r="GE13" i="1" s="1"/>
  <c r="GE14" i="1" s="1"/>
  <c r="GE15" i="1" s="1"/>
  <c r="GE16" i="1" s="1"/>
  <c r="GE17" i="1" s="1"/>
  <c r="FX18" i="1"/>
  <c r="FW18" i="1"/>
  <c r="FV18" i="1"/>
  <c r="FY6" i="1"/>
  <c r="FY7" i="1" s="1"/>
  <c r="FY8" i="1" s="1"/>
  <c r="FY9" i="1" s="1"/>
  <c r="FY10" i="1" s="1"/>
  <c r="FY11" i="1" s="1"/>
  <c r="FY12" i="1" s="1"/>
  <c r="FY13" i="1" s="1"/>
  <c r="FY14" i="1" s="1"/>
  <c r="FY15" i="1" s="1"/>
  <c r="FY16" i="1" s="1"/>
  <c r="FY17" i="1" s="1"/>
  <c r="FR18" i="1"/>
  <c r="FQ18" i="1"/>
  <c r="FP18" i="1"/>
  <c r="FS6" i="1"/>
  <c r="FS7" i="1" s="1"/>
  <c r="FS8" i="1" s="1"/>
  <c r="FS9" i="1" s="1"/>
  <c r="FS10" i="1" s="1"/>
  <c r="FS11" i="1" s="1"/>
  <c r="FS12" i="1" s="1"/>
  <c r="FS13" i="1" s="1"/>
  <c r="FS14" i="1" s="1"/>
  <c r="FS15" i="1" s="1"/>
  <c r="FS16" i="1" s="1"/>
  <c r="FS17" i="1" s="1"/>
  <c r="FL18" i="1"/>
  <c r="FK18" i="1"/>
  <c r="FJ18" i="1"/>
  <c r="FM6" i="1"/>
  <c r="FM7" i="1" s="1"/>
  <c r="FM8" i="1" s="1"/>
  <c r="FM9" i="1" s="1"/>
  <c r="FM10" i="1" s="1"/>
  <c r="FM11" i="1" s="1"/>
  <c r="FM12" i="1" s="1"/>
  <c r="FM13" i="1" s="1"/>
  <c r="FM14" i="1" s="1"/>
  <c r="FM15" i="1" s="1"/>
  <c r="FM16" i="1" s="1"/>
  <c r="FM17" i="1" s="1"/>
  <c r="FF18" i="1"/>
  <c r="FE18" i="1"/>
  <c r="FD18" i="1"/>
  <c r="FG6" i="1"/>
  <c r="FG7" i="1" s="1"/>
  <c r="FG8" i="1" s="1"/>
  <c r="FG9" i="1" s="1"/>
  <c r="FG10" i="1" s="1"/>
  <c r="FG11" i="1" s="1"/>
  <c r="FG12" i="1" s="1"/>
  <c r="FG13" i="1" s="1"/>
  <c r="FG14" i="1" s="1"/>
  <c r="FG15" i="1" s="1"/>
  <c r="FG16" i="1" s="1"/>
  <c r="FG17" i="1" s="1"/>
  <c r="EZ18" i="1"/>
  <c r="EY18" i="1"/>
  <c r="EX18" i="1"/>
  <c r="FA6" i="1"/>
  <c r="FA7" i="1" s="1"/>
  <c r="FA8" i="1" s="1"/>
  <c r="FA9" i="1" s="1"/>
  <c r="FA10" i="1" s="1"/>
  <c r="FA11" i="1" s="1"/>
  <c r="FA12" i="1" s="1"/>
  <c r="FA13" i="1" s="1"/>
  <c r="FA14" i="1" s="1"/>
  <c r="FA15" i="1" s="1"/>
  <c r="FA16" i="1" s="1"/>
  <c r="FA17" i="1" s="1"/>
  <c r="EN18" i="1"/>
  <c r="EM18" i="1"/>
  <c r="EL18" i="1"/>
  <c r="EO6" i="1"/>
  <c r="EO7" i="1" s="1"/>
  <c r="EO8" i="1" s="1"/>
  <c r="EO9" i="1" s="1"/>
  <c r="EO10" i="1" s="1"/>
  <c r="EO11" i="1" s="1"/>
  <c r="EO12" i="1" s="1"/>
  <c r="EO13" i="1" s="1"/>
  <c r="EO14" i="1" s="1"/>
  <c r="EO15" i="1" s="1"/>
  <c r="EO16" i="1" s="1"/>
  <c r="EO17" i="1" s="1"/>
  <c r="EH18" i="1"/>
  <c r="EF18" i="1"/>
  <c r="EC6" i="1"/>
  <c r="EC7" i="1" s="1"/>
  <c r="EC8" i="1" s="1"/>
  <c r="EC9" i="1" s="1"/>
  <c r="EC10" i="1" s="1"/>
  <c r="EC11" i="1" s="1"/>
  <c r="EC12" i="1" s="1"/>
  <c r="EC13" i="1" s="1"/>
  <c r="EC14" i="1" s="1"/>
  <c r="EC15" i="1" s="1"/>
  <c r="EC16" i="1" s="1"/>
  <c r="EC17" i="1" s="1"/>
  <c r="DW6" i="1"/>
  <c r="DW7" i="1" s="1"/>
  <c r="DW8" i="1" s="1"/>
  <c r="DW9" i="1" s="1"/>
  <c r="DW10" i="1" s="1"/>
  <c r="DW11" i="1" s="1"/>
  <c r="DW12" i="1" s="1"/>
  <c r="DW13" i="1" s="1"/>
  <c r="DW14" i="1" s="1"/>
  <c r="DW15" i="1" s="1"/>
  <c r="DW16" i="1" s="1"/>
  <c r="DW17" i="1" s="1"/>
  <c r="EB18" i="1"/>
  <c r="EA18" i="1"/>
  <c r="DZ18" i="1"/>
  <c r="DV18" i="1"/>
  <c r="DU18" i="1"/>
  <c r="DT18" i="1"/>
  <c r="DP18" i="1"/>
  <c r="DO18" i="1"/>
  <c r="DN18" i="1"/>
  <c r="DQ6" i="1"/>
  <c r="DQ7" i="1" s="1"/>
  <c r="DQ8" i="1" s="1"/>
  <c r="DQ9" i="1" s="1"/>
  <c r="DQ10" i="1" s="1"/>
  <c r="DQ11" i="1" s="1"/>
  <c r="DQ12" i="1" s="1"/>
  <c r="DQ13" i="1" s="1"/>
  <c r="DQ14" i="1" s="1"/>
  <c r="DQ15" i="1" s="1"/>
  <c r="DQ16" i="1" s="1"/>
  <c r="DQ17" i="1" s="1"/>
  <c r="DD18" i="1"/>
  <c r="DC18" i="1"/>
  <c r="DB18" i="1"/>
  <c r="DE6" i="1"/>
  <c r="DE7" i="1" s="1"/>
  <c r="DE8" i="1" s="1"/>
  <c r="DE9" i="1" s="1"/>
  <c r="DE10" i="1" s="1"/>
  <c r="DE11" i="1" s="1"/>
  <c r="DE12" i="1" s="1"/>
  <c r="DE13" i="1" s="1"/>
  <c r="DE14" i="1" s="1"/>
  <c r="DE15" i="1" s="1"/>
  <c r="DE16" i="1" s="1"/>
  <c r="DE17" i="1" s="1"/>
  <c r="CX18" i="1"/>
  <c r="CW18" i="1"/>
  <c r="CV18" i="1"/>
  <c r="CY6" i="1"/>
  <c r="CY7" i="1" s="1"/>
  <c r="CY8" i="1" s="1"/>
  <c r="CY9" i="1" s="1"/>
  <c r="CY10" i="1" s="1"/>
  <c r="CY11" i="1" s="1"/>
  <c r="CY12" i="1" s="1"/>
  <c r="CY13" i="1" s="1"/>
  <c r="CY14" i="1" s="1"/>
  <c r="CY15" i="1" s="1"/>
  <c r="CY16" i="1" s="1"/>
  <c r="CY17" i="1" s="1"/>
  <c r="CL18" i="1"/>
  <c r="CK18" i="1"/>
  <c r="CJ18" i="1"/>
  <c r="CM6" i="1"/>
  <c r="CM7" i="1" s="1"/>
  <c r="CM8" i="1" s="1"/>
  <c r="CM9" i="1" s="1"/>
  <c r="CM10" i="1" s="1"/>
  <c r="CM11" i="1" s="1"/>
  <c r="CM12" i="1" s="1"/>
  <c r="CM13" i="1" s="1"/>
  <c r="CM14" i="1" s="1"/>
  <c r="CM15" i="1" s="1"/>
  <c r="CM16" i="1" s="1"/>
  <c r="CM17" i="1" s="1"/>
  <c r="CF18" i="1"/>
  <c r="CE18" i="1"/>
  <c r="CD18" i="1"/>
  <c r="CG6" i="1"/>
  <c r="CG7" i="1" s="1"/>
  <c r="CG8" i="1" s="1"/>
  <c r="CG9" i="1" s="1"/>
  <c r="CG10" i="1" s="1"/>
  <c r="CG11" i="1" s="1"/>
  <c r="CG12" i="1" s="1"/>
  <c r="CG13" i="1" s="1"/>
  <c r="CG14" i="1" s="1"/>
  <c r="CG15" i="1" s="1"/>
  <c r="CG16" i="1" s="1"/>
  <c r="CG17" i="1" s="1"/>
  <c r="BZ18" i="1"/>
  <c r="BY18" i="1"/>
  <c r="BX18" i="1"/>
  <c r="CA6" i="1"/>
  <c r="CA7" i="1" s="1"/>
  <c r="CA8" i="1" s="1"/>
  <c r="CA9" i="1" s="1"/>
  <c r="CA10" i="1" s="1"/>
  <c r="CA11" i="1" s="1"/>
  <c r="CA12" i="1" s="1"/>
  <c r="CA13" i="1" s="1"/>
  <c r="CA14" i="1" s="1"/>
  <c r="CA15" i="1" s="1"/>
  <c r="CA16" i="1" s="1"/>
  <c r="CA17" i="1" s="1"/>
  <c r="BT18" i="1"/>
  <c r="BS18" i="1"/>
  <c r="BR18" i="1"/>
  <c r="BU6" i="1"/>
  <c r="BU7" i="1" s="1"/>
  <c r="BU8" i="1" s="1"/>
  <c r="BU9" i="1" s="1"/>
  <c r="BU10" i="1" s="1"/>
  <c r="BU11" i="1" s="1"/>
  <c r="BU12" i="1" s="1"/>
  <c r="BU13" i="1" s="1"/>
  <c r="BU14" i="1" s="1"/>
  <c r="BU15" i="1" s="1"/>
  <c r="BU16" i="1" s="1"/>
  <c r="BU17" i="1" s="1"/>
  <c r="BN18" i="1"/>
  <c r="BM18" i="1"/>
  <c r="BL18" i="1"/>
  <c r="BO6" i="1"/>
  <c r="BO7" i="1" s="1"/>
  <c r="BO8" i="1" s="1"/>
  <c r="BO9" i="1" s="1"/>
  <c r="BO10" i="1" s="1"/>
  <c r="BO11" i="1" s="1"/>
  <c r="BO12" i="1" s="1"/>
  <c r="BO13" i="1" s="1"/>
  <c r="BO14" i="1" s="1"/>
  <c r="BO15" i="1" s="1"/>
  <c r="BO16" i="1" s="1"/>
  <c r="BO17" i="1" s="1"/>
  <c r="BB18" i="1"/>
  <c r="BA18" i="1"/>
  <c r="AZ18" i="1"/>
  <c r="BC6" i="1"/>
  <c r="BC7" i="1" s="1"/>
  <c r="BC8" i="1" s="1"/>
  <c r="BC9" i="1" s="1"/>
  <c r="BC10" i="1" s="1"/>
  <c r="BC11" i="1" s="1"/>
  <c r="BC12" i="1" s="1"/>
  <c r="BC13" i="1" s="1"/>
  <c r="BC14" i="1" s="1"/>
  <c r="BC15" i="1" s="1"/>
  <c r="BC16" i="1" s="1"/>
  <c r="BC17" i="1" s="1"/>
  <c r="AV18" i="1"/>
  <c r="AU18" i="1"/>
  <c r="AT18" i="1"/>
  <c r="AW6" i="1"/>
  <c r="AW7" i="1" s="1"/>
  <c r="AW8" i="1" s="1"/>
  <c r="AW9" i="1" s="1"/>
  <c r="AW10" i="1" s="1"/>
  <c r="AW11" i="1" s="1"/>
  <c r="AW12" i="1" s="1"/>
  <c r="AW13" i="1" s="1"/>
  <c r="AW14" i="1" s="1"/>
  <c r="AW15" i="1" s="1"/>
  <c r="AW16" i="1" s="1"/>
  <c r="AW17" i="1" s="1"/>
  <c r="AP18" i="1"/>
  <c r="AO18" i="1"/>
  <c r="AN18" i="1"/>
  <c r="AQ6" i="1"/>
  <c r="AQ7" i="1" s="1"/>
  <c r="AQ8" i="1" s="1"/>
  <c r="AQ9" i="1" s="1"/>
  <c r="AQ10" i="1" s="1"/>
  <c r="AQ11" i="1" s="1"/>
  <c r="AQ12" i="1" s="1"/>
  <c r="AQ13" i="1" s="1"/>
  <c r="AQ14" i="1" s="1"/>
  <c r="AQ15" i="1" s="1"/>
  <c r="AQ16" i="1" s="1"/>
  <c r="AQ17" i="1" s="1"/>
  <c r="AD18" i="1"/>
  <c r="AC18" i="1"/>
  <c r="AB18" i="1"/>
  <c r="AE6" i="1"/>
  <c r="AE7" i="1" s="1"/>
  <c r="AE8" i="1" s="1"/>
  <c r="AE9" i="1" s="1"/>
  <c r="AE10" i="1" s="1"/>
  <c r="AE11" i="1" s="1"/>
  <c r="AE12" i="1" s="1"/>
  <c r="AE13" i="1" s="1"/>
  <c r="AE14" i="1" s="1"/>
  <c r="AE15" i="1" s="1"/>
  <c r="AE16" i="1" s="1"/>
  <c r="AE17" i="1" s="1"/>
  <c r="GU18" i="1"/>
  <c r="GV18" i="1"/>
  <c r="GT18" i="1"/>
  <c r="GW6" i="1"/>
  <c r="GW7" i="1" s="1"/>
  <c r="GW8" i="1" s="1"/>
  <c r="GW9" i="1" s="1"/>
  <c r="GW10" i="1" s="1"/>
  <c r="GW11" i="1" s="1"/>
  <c r="GW12" i="1" s="1"/>
  <c r="GW13" i="1" s="1"/>
  <c r="GW14" i="1" s="1"/>
  <c r="GW15" i="1" s="1"/>
  <c r="GW16" i="1" s="1"/>
  <c r="GW17" i="1" s="1"/>
  <c r="R18" i="1"/>
  <c r="Q18" i="1"/>
  <c r="P18" i="1"/>
  <c r="S6" i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D18" i="1"/>
  <c r="F15" i="1"/>
  <c r="E14" i="1"/>
  <c r="G6" i="1"/>
  <c r="G7" i="1" s="1"/>
  <c r="G8" i="1" s="1"/>
  <c r="G9" i="1" s="1"/>
  <c r="G10" i="1" s="1"/>
  <c r="G11" i="1" s="1"/>
  <c r="G12" i="1" s="1"/>
  <c r="G13" i="1" s="1"/>
  <c r="HC68" i="1" l="1"/>
  <c r="HC69" i="1" s="1"/>
  <c r="HC70" i="1" s="1"/>
  <c r="HC71" i="1" s="1"/>
  <c r="HC72" i="1" s="1"/>
  <c r="HC73" i="1" s="1"/>
  <c r="HC74" i="1" s="1"/>
  <c r="HC75" i="1" s="1"/>
  <c r="HC76" i="1" s="1"/>
  <c r="HC77" i="1" s="1"/>
  <c r="HC78" i="1" s="1"/>
  <c r="HC79" i="1" s="1"/>
  <c r="HC80" i="1"/>
  <c r="HC129" i="1" s="1"/>
  <c r="B109" i="1"/>
  <c r="AD110" i="1"/>
  <c r="R110" i="1"/>
  <c r="B60" i="1"/>
  <c r="E18" i="1"/>
  <c r="E41" i="1"/>
  <c r="B41" i="1" s="1"/>
  <c r="B61" i="1" s="1"/>
  <c r="F18" i="1"/>
  <c r="F55" i="1"/>
  <c r="B55" i="1" s="1"/>
  <c r="B63" i="1" s="1"/>
  <c r="AK18" i="1"/>
  <c r="AK67" i="1" s="1"/>
  <c r="GQ18" i="1"/>
  <c r="GQ67" i="1" s="1"/>
  <c r="GK18" i="1"/>
  <c r="GK67" i="1" s="1"/>
  <c r="GE18" i="1"/>
  <c r="GE67" i="1" s="1"/>
  <c r="FY18" i="1"/>
  <c r="FY67" i="1" s="1"/>
  <c r="FS18" i="1"/>
  <c r="FS67" i="1" s="1"/>
  <c r="FM18" i="1"/>
  <c r="FM67" i="1" s="1"/>
  <c r="FG18" i="1"/>
  <c r="FG67" i="1" s="1"/>
  <c r="FA18" i="1"/>
  <c r="FA67" i="1" s="1"/>
  <c r="EO18" i="1"/>
  <c r="EO67" i="1" s="1"/>
  <c r="EI18" i="1"/>
  <c r="EI67" i="1" s="1"/>
  <c r="EC18" i="1"/>
  <c r="EC67" i="1" s="1"/>
  <c r="DW18" i="1"/>
  <c r="DW67" i="1" s="1"/>
  <c r="DQ18" i="1"/>
  <c r="DQ67" i="1" s="1"/>
  <c r="DE18" i="1"/>
  <c r="DE67" i="1" s="1"/>
  <c r="CY18" i="1"/>
  <c r="CY67" i="1" s="1"/>
  <c r="CM18" i="1"/>
  <c r="CM67" i="1" s="1"/>
  <c r="CG18" i="1"/>
  <c r="CG67" i="1" s="1"/>
  <c r="CA18" i="1"/>
  <c r="CA67" i="1" s="1"/>
  <c r="BU18" i="1"/>
  <c r="BU67" i="1" s="1"/>
  <c r="BO18" i="1"/>
  <c r="BO67" i="1" s="1"/>
  <c r="BC18" i="1"/>
  <c r="BC67" i="1" s="1"/>
  <c r="AW18" i="1"/>
  <c r="AW67" i="1" s="1"/>
  <c r="AQ18" i="1"/>
  <c r="AQ67" i="1" s="1"/>
  <c r="AE18" i="1"/>
  <c r="AE67" i="1" s="1"/>
  <c r="GW18" i="1"/>
  <c r="GW67" i="1" s="1"/>
  <c r="S18" i="1"/>
  <c r="S67" i="1" s="1"/>
  <c r="G14" i="1"/>
  <c r="G15" i="1" s="1"/>
  <c r="G16" i="1" s="1"/>
  <c r="G17" i="1" s="1"/>
  <c r="HC130" i="1" l="1"/>
  <c r="HC131" i="1" s="1"/>
  <c r="HC132" i="1" s="1"/>
  <c r="HC133" i="1" s="1"/>
  <c r="HC134" i="1" s="1"/>
  <c r="HC135" i="1" s="1"/>
  <c r="HC136" i="1" s="1"/>
  <c r="HC137" i="1" s="1"/>
  <c r="HC138" i="1" s="1"/>
  <c r="HC139" i="1" s="1"/>
  <c r="HC140" i="1" s="1"/>
  <c r="HC141" i="1" s="1"/>
  <c r="HC142" i="1"/>
  <c r="B110" i="1"/>
  <c r="CA68" i="1"/>
  <c r="CA69" i="1" s="1"/>
  <c r="CA70" i="1" s="1"/>
  <c r="CA71" i="1" s="1"/>
  <c r="CA72" i="1" s="1"/>
  <c r="CA73" i="1" s="1"/>
  <c r="CA74" i="1" s="1"/>
  <c r="CA75" i="1" s="1"/>
  <c r="CA76" i="1" s="1"/>
  <c r="CA77" i="1" s="1"/>
  <c r="CA78" i="1" s="1"/>
  <c r="CA79" i="1" s="1"/>
  <c r="CA80" i="1"/>
  <c r="CG68" i="1"/>
  <c r="CG69" i="1" s="1"/>
  <c r="CG70" i="1" s="1"/>
  <c r="CG71" i="1" s="1"/>
  <c r="CG72" i="1" s="1"/>
  <c r="CG73" i="1" s="1"/>
  <c r="CG74" i="1" s="1"/>
  <c r="CG75" i="1" s="1"/>
  <c r="CG76" i="1" s="1"/>
  <c r="CG77" i="1" s="1"/>
  <c r="CG78" i="1" s="1"/>
  <c r="CG79" i="1" s="1"/>
  <c r="CG80" i="1"/>
  <c r="GQ68" i="1"/>
  <c r="GQ69" i="1" s="1"/>
  <c r="GQ70" i="1" s="1"/>
  <c r="GQ71" i="1" s="1"/>
  <c r="GQ72" i="1" s="1"/>
  <c r="GQ73" i="1" s="1"/>
  <c r="GQ74" i="1" s="1"/>
  <c r="GQ75" i="1" s="1"/>
  <c r="GQ76" i="1" s="1"/>
  <c r="GQ77" i="1" s="1"/>
  <c r="GQ78" i="1" s="1"/>
  <c r="GQ79" i="1" s="1"/>
  <c r="GQ80" i="1"/>
  <c r="GQ129" i="1" s="1"/>
  <c r="AE68" i="1"/>
  <c r="AE69" i="1" s="1"/>
  <c r="AE70" i="1" s="1"/>
  <c r="AE71" i="1" s="1"/>
  <c r="AE72" i="1" s="1"/>
  <c r="AE73" i="1" s="1"/>
  <c r="AE74" i="1" s="1"/>
  <c r="AE75" i="1" s="1"/>
  <c r="AE76" i="1" s="1"/>
  <c r="AE77" i="1" s="1"/>
  <c r="AE78" i="1" s="1"/>
  <c r="AE79" i="1" s="1"/>
  <c r="AE80" i="1"/>
  <c r="FA68" i="1"/>
  <c r="FA69" i="1" s="1"/>
  <c r="FA70" i="1" s="1"/>
  <c r="FA71" i="1" s="1"/>
  <c r="FA72" i="1" s="1"/>
  <c r="FA73" i="1" s="1"/>
  <c r="FA74" i="1" s="1"/>
  <c r="FA75" i="1" s="1"/>
  <c r="FA76" i="1" s="1"/>
  <c r="FA77" i="1" s="1"/>
  <c r="FA78" i="1" s="1"/>
  <c r="FA79" i="1" s="1"/>
  <c r="FA80" i="1"/>
  <c r="AK68" i="1"/>
  <c r="AK69" i="1" s="1"/>
  <c r="AK70" i="1" s="1"/>
  <c r="AK71" i="1" s="1"/>
  <c r="AK72" i="1" s="1"/>
  <c r="AK73" i="1" s="1"/>
  <c r="AK74" i="1" s="1"/>
  <c r="AK75" i="1" s="1"/>
  <c r="AK76" i="1" s="1"/>
  <c r="AK77" i="1" s="1"/>
  <c r="AK78" i="1" s="1"/>
  <c r="AK79" i="1" s="1"/>
  <c r="AK80" i="1"/>
  <c r="AK129" i="1" s="1"/>
  <c r="AQ68" i="1"/>
  <c r="AQ69" i="1" s="1"/>
  <c r="AQ70" i="1" s="1"/>
  <c r="AQ71" i="1" s="1"/>
  <c r="AQ72" i="1" s="1"/>
  <c r="AQ73" i="1" s="1"/>
  <c r="AQ74" i="1" s="1"/>
  <c r="AQ75" i="1" s="1"/>
  <c r="AQ76" i="1" s="1"/>
  <c r="AQ77" i="1" s="1"/>
  <c r="AQ78" i="1" s="1"/>
  <c r="AQ79" i="1" s="1"/>
  <c r="AQ80" i="1"/>
  <c r="AW68" i="1"/>
  <c r="AW69" i="1" s="1"/>
  <c r="AW70" i="1" s="1"/>
  <c r="AW71" i="1" s="1"/>
  <c r="AW72" i="1" s="1"/>
  <c r="AW73" i="1" s="1"/>
  <c r="AW74" i="1" s="1"/>
  <c r="AW75" i="1" s="1"/>
  <c r="AW76" i="1" s="1"/>
  <c r="AW77" i="1" s="1"/>
  <c r="AW78" i="1" s="1"/>
  <c r="AW79" i="1" s="1"/>
  <c r="AW80" i="1"/>
  <c r="AW129" i="1" s="1"/>
  <c r="FM68" i="1"/>
  <c r="FM69" i="1" s="1"/>
  <c r="FM70" i="1" s="1"/>
  <c r="FM71" i="1" s="1"/>
  <c r="FM72" i="1" s="1"/>
  <c r="FM73" i="1" s="1"/>
  <c r="FM74" i="1" s="1"/>
  <c r="FM75" i="1" s="1"/>
  <c r="FM76" i="1" s="1"/>
  <c r="FM77" i="1" s="1"/>
  <c r="FM78" i="1" s="1"/>
  <c r="FM79" i="1" s="1"/>
  <c r="FM80" i="1"/>
  <c r="DQ68" i="1"/>
  <c r="DQ69" i="1" s="1"/>
  <c r="DQ70" i="1" s="1"/>
  <c r="DQ71" i="1" s="1"/>
  <c r="DQ72" i="1" s="1"/>
  <c r="DQ73" i="1" s="1"/>
  <c r="DQ74" i="1" s="1"/>
  <c r="DQ75" i="1" s="1"/>
  <c r="DQ76" i="1" s="1"/>
  <c r="DQ77" i="1" s="1"/>
  <c r="DQ78" i="1" s="1"/>
  <c r="DQ79" i="1" s="1"/>
  <c r="DQ80" i="1"/>
  <c r="FS68" i="1"/>
  <c r="FS69" i="1" s="1"/>
  <c r="FS70" i="1" s="1"/>
  <c r="FS71" i="1" s="1"/>
  <c r="FS72" i="1" s="1"/>
  <c r="FS73" i="1" s="1"/>
  <c r="FS74" i="1" s="1"/>
  <c r="FS75" i="1" s="1"/>
  <c r="FS76" i="1" s="1"/>
  <c r="FS77" i="1" s="1"/>
  <c r="FS78" i="1" s="1"/>
  <c r="FS79" i="1" s="1"/>
  <c r="FS80" i="1"/>
  <c r="BO68" i="1"/>
  <c r="BO69" i="1" s="1"/>
  <c r="BO70" i="1" s="1"/>
  <c r="BO71" i="1" s="1"/>
  <c r="BO72" i="1" s="1"/>
  <c r="BO73" i="1" s="1"/>
  <c r="BO74" i="1" s="1"/>
  <c r="BO75" i="1" s="1"/>
  <c r="BO76" i="1" s="1"/>
  <c r="BO77" i="1" s="1"/>
  <c r="BO78" i="1" s="1"/>
  <c r="BO79" i="1" s="1"/>
  <c r="BO80" i="1"/>
  <c r="BO129" i="1" s="1"/>
  <c r="DW68" i="1"/>
  <c r="DW69" i="1" s="1"/>
  <c r="DW70" i="1" s="1"/>
  <c r="DW71" i="1" s="1"/>
  <c r="DW72" i="1" s="1"/>
  <c r="DW73" i="1" s="1"/>
  <c r="DW74" i="1" s="1"/>
  <c r="DW75" i="1" s="1"/>
  <c r="DW76" i="1" s="1"/>
  <c r="DW77" i="1" s="1"/>
  <c r="DW78" i="1" s="1"/>
  <c r="DW79" i="1" s="1"/>
  <c r="DW80" i="1"/>
  <c r="FY68" i="1"/>
  <c r="FY69" i="1" s="1"/>
  <c r="FY70" i="1" s="1"/>
  <c r="FY71" i="1" s="1"/>
  <c r="FY72" i="1" s="1"/>
  <c r="FY73" i="1" s="1"/>
  <c r="FY74" i="1" s="1"/>
  <c r="FY75" i="1" s="1"/>
  <c r="FY76" i="1" s="1"/>
  <c r="FY77" i="1" s="1"/>
  <c r="FY78" i="1" s="1"/>
  <c r="FY79" i="1" s="1"/>
  <c r="FY80" i="1"/>
  <c r="FY129" i="1" s="1"/>
  <c r="S80" i="1"/>
  <c r="S68" i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EI68" i="1"/>
  <c r="EI69" i="1" s="1"/>
  <c r="EI70" i="1" s="1"/>
  <c r="EI71" i="1" s="1"/>
  <c r="EI72" i="1" s="1"/>
  <c r="EI73" i="1" s="1"/>
  <c r="EI74" i="1" s="1"/>
  <c r="EI75" i="1" s="1"/>
  <c r="EI76" i="1" s="1"/>
  <c r="EI77" i="1" s="1"/>
  <c r="EI78" i="1" s="1"/>
  <c r="EI79" i="1" s="1"/>
  <c r="EI80" i="1"/>
  <c r="EI129" i="1" s="1"/>
  <c r="GK68" i="1"/>
  <c r="GK69" i="1" s="1"/>
  <c r="GK70" i="1" s="1"/>
  <c r="GK71" i="1" s="1"/>
  <c r="GK72" i="1" s="1"/>
  <c r="GK73" i="1" s="1"/>
  <c r="GK74" i="1" s="1"/>
  <c r="GK75" i="1" s="1"/>
  <c r="GK76" i="1" s="1"/>
  <c r="GK77" i="1" s="1"/>
  <c r="GK78" i="1" s="1"/>
  <c r="GK79" i="1" s="1"/>
  <c r="GK80" i="1"/>
  <c r="GW68" i="1"/>
  <c r="GW69" i="1" s="1"/>
  <c r="GW70" i="1" s="1"/>
  <c r="GW71" i="1" s="1"/>
  <c r="GW72" i="1" s="1"/>
  <c r="GW73" i="1" s="1"/>
  <c r="GW74" i="1" s="1"/>
  <c r="GW75" i="1" s="1"/>
  <c r="GW76" i="1" s="1"/>
  <c r="GW77" i="1" s="1"/>
  <c r="GW78" i="1" s="1"/>
  <c r="GW79" i="1" s="1"/>
  <c r="GW80" i="1"/>
  <c r="GW129" i="1" s="1"/>
  <c r="EO68" i="1"/>
  <c r="EO69" i="1" s="1"/>
  <c r="EO70" i="1" s="1"/>
  <c r="EO71" i="1" s="1"/>
  <c r="EO72" i="1" s="1"/>
  <c r="EO73" i="1" s="1"/>
  <c r="EO74" i="1" s="1"/>
  <c r="EO75" i="1" s="1"/>
  <c r="EO76" i="1" s="1"/>
  <c r="EO77" i="1" s="1"/>
  <c r="EO78" i="1" s="1"/>
  <c r="EO79" i="1" s="1"/>
  <c r="EO80" i="1"/>
  <c r="CM68" i="1"/>
  <c r="CM69" i="1" s="1"/>
  <c r="CM70" i="1" s="1"/>
  <c r="CM71" i="1" s="1"/>
  <c r="CM72" i="1" s="1"/>
  <c r="CM73" i="1" s="1"/>
  <c r="CM74" i="1" s="1"/>
  <c r="CM75" i="1" s="1"/>
  <c r="CM76" i="1" s="1"/>
  <c r="CM77" i="1" s="1"/>
  <c r="CM78" i="1" s="1"/>
  <c r="CM79" i="1" s="1"/>
  <c r="CM80" i="1"/>
  <c r="CY68" i="1"/>
  <c r="CY69" i="1" s="1"/>
  <c r="CY70" i="1" s="1"/>
  <c r="CY71" i="1" s="1"/>
  <c r="CY72" i="1" s="1"/>
  <c r="CY73" i="1" s="1"/>
  <c r="CY74" i="1" s="1"/>
  <c r="CY75" i="1" s="1"/>
  <c r="CY76" i="1" s="1"/>
  <c r="CY77" i="1" s="1"/>
  <c r="CY78" i="1" s="1"/>
  <c r="CY79" i="1" s="1"/>
  <c r="CY80" i="1"/>
  <c r="FG68" i="1"/>
  <c r="FG69" i="1" s="1"/>
  <c r="FG70" i="1" s="1"/>
  <c r="FG71" i="1" s="1"/>
  <c r="FG72" i="1" s="1"/>
  <c r="FG73" i="1" s="1"/>
  <c r="FG74" i="1" s="1"/>
  <c r="FG75" i="1" s="1"/>
  <c r="FG76" i="1" s="1"/>
  <c r="FG77" i="1" s="1"/>
  <c r="FG78" i="1" s="1"/>
  <c r="FG79" i="1" s="1"/>
  <c r="FG80" i="1"/>
  <c r="DE68" i="1"/>
  <c r="DE69" i="1" s="1"/>
  <c r="DE70" i="1" s="1"/>
  <c r="DE71" i="1" s="1"/>
  <c r="DE72" i="1" s="1"/>
  <c r="DE73" i="1" s="1"/>
  <c r="DE74" i="1" s="1"/>
  <c r="DE75" i="1" s="1"/>
  <c r="DE76" i="1" s="1"/>
  <c r="DE77" i="1" s="1"/>
  <c r="DE78" i="1" s="1"/>
  <c r="DE79" i="1" s="1"/>
  <c r="DE80" i="1"/>
  <c r="DE129" i="1" s="1"/>
  <c r="BC68" i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/>
  <c r="BU68" i="1"/>
  <c r="BU69" i="1" s="1"/>
  <c r="BU70" i="1" s="1"/>
  <c r="BU71" i="1" s="1"/>
  <c r="BU72" i="1" s="1"/>
  <c r="BU73" i="1" s="1"/>
  <c r="BU74" i="1" s="1"/>
  <c r="BU75" i="1" s="1"/>
  <c r="BU76" i="1" s="1"/>
  <c r="BU77" i="1" s="1"/>
  <c r="BU78" i="1" s="1"/>
  <c r="BU79" i="1" s="1"/>
  <c r="BU80" i="1"/>
  <c r="EC68" i="1"/>
  <c r="EC69" i="1" s="1"/>
  <c r="EC70" i="1" s="1"/>
  <c r="EC71" i="1" s="1"/>
  <c r="EC72" i="1" s="1"/>
  <c r="EC73" i="1" s="1"/>
  <c r="EC74" i="1" s="1"/>
  <c r="EC75" i="1" s="1"/>
  <c r="EC76" i="1" s="1"/>
  <c r="EC77" i="1" s="1"/>
  <c r="EC78" i="1" s="1"/>
  <c r="EC79" i="1" s="1"/>
  <c r="EC80" i="1"/>
  <c r="GE68" i="1"/>
  <c r="GE69" i="1" s="1"/>
  <c r="GE70" i="1" s="1"/>
  <c r="GE71" i="1" s="1"/>
  <c r="GE72" i="1" s="1"/>
  <c r="GE73" i="1" s="1"/>
  <c r="GE74" i="1" s="1"/>
  <c r="GE75" i="1" s="1"/>
  <c r="GE76" i="1" s="1"/>
  <c r="GE77" i="1" s="1"/>
  <c r="GE78" i="1" s="1"/>
  <c r="GE79" i="1" s="1"/>
  <c r="GE80" i="1"/>
  <c r="AD111" i="1"/>
  <c r="R111" i="1"/>
  <c r="B62" i="1"/>
  <c r="G18" i="1"/>
  <c r="G67" i="1" s="1"/>
  <c r="S130" i="1" l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/>
  <c r="FG142" i="1"/>
  <c r="FG130" i="1"/>
  <c r="FG131" i="1" s="1"/>
  <c r="FG132" i="1" s="1"/>
  <c r="FG133" i="1" s="1"/>
  <c r="FG134" i="1" s="1"/>
  <c r="FG135" i="1" s="1"/>
  <c r="FG136" i="1" s="1"/>
  <c r="FG137" i="1" s="1"/>
  <c r="FG138" i="1" s="1"/>
  <c r="FG139" i="1" s="1"/>
  <c r="FG140" i="1" s="1"/>
  <c r="FG141" i="1" s="1"/>
  <c r="GW130" i="1"/>
  <c r="GW131" i="1" s="1"/>
  <c r="GW132" i="1" s="1"/>
  <c r="GW133" i="1" s="1"/>
  <c r="GW134" i="1" s="1"/>
  <c r="GW135" i="1" s="1"/>
  <c r="GW136" i="1" s="1"/>
  <c r="GW137" i="1" s="1"/>
  <c r="GW138" i="1" s="1"/>
  <c r="GW139" i="1" s="1"/>
  <c r="GW140" i="1" s="1"/>
  <c r="GW141" i="1" s="1"/>
  <c r="GW142" i="1"/>
  <c r="DQ130" i="1"/>
  <c r="DQ131" i="1" s="1"/>
  <c r="DQ132" i="1" s="1"/>
  <c r="DQ133" i="1" s="1"/>
  <c r="DQ134" i="1" s="1"/>
  <c r="DQ135" i="1" s="1"/>
  <c r="DQ136" i="1" s="1"/>
  <c r="DQ137" i="1" s="1"/>
  <c r="DQ138" i="1" s="1"/>
  <c r="DQ139" i="1" s="1"/>
  <c r="DQ140" i="1" s="1"/>
  <c r="DQ141" i="1" s="1"/>
  <c r="DQ142" i="1"/>
  <c r="AK130" i="1"/>
  <c r="AK131" i="1" s="1"/>
  <c r="AK132" i="1" s="1"/>
  <c r="AK133" i="1" s="1"/>
  <c r="AK134" i="1" s="1"/>
  <c r="AK135" i="1" s="1"/>
  <c r="AK136" i="1" s="1"/>
  <c r="AK137" i="1" s="1"/>
  <c r="AK138" i="1" s="1"/>
  <c r="AK139" i="1" s="1"/>
  <c r="AK140" i="1" s="1"/>
  <c r="AK141" i="1" s="1"/>
  <c r="AK142" i="1"/>
  <c r="CG130" i="1"/>
  <c r="CG131" i="1" s="1"/>
  <c r="CG132" i="1" s="1"/>
  <c r="CG133" i="1" s="1"/>
  <c r="CG134" i="1" s="1"/>
  <c r="CG135" i="1" s="1"/>
  <c r="CG136" i="1" s="1"/>
  <c r="CG137" i="1" s="1"/>
  <c r="CG138" i="1" s="1"/>
  <c r="CG139" i="1" s="1"/>
  <c r="CG140" i="1" s="1"/>
  <c r="CG141" i="1" s="1"/>
  <c r="CG142" i="1"/>
  <c r="EC130" i="1"/>
  <c r="EC131" i="1" s="1"/>
  <c r="EC132" i="1" s="1"/>
  <c r="EC133" i="1" s="1"/>
  <c r="EC134" i="1" s="1"/>
  <c r="EC135" i="1" s="1"/>
  <c r="EC136" i="1" s="1"/>
  <c r="EC137" i="1" s="1"/>
  <c r="EC138" i="1" s="1"/>
  <c r="EC139" i="1" s="1"/>
  <c r="EC140" i="1" s="1"/>
  <c r="EC141" i="1" s="1"/>
  <c r="EC142" i="1"/>
  <c r="FY130" i="1"/>
  <c r="FY131" i="1" s="1"/>
  <c r="FY132" i="1" s="1"/>
  <c r="FY133" i="1" s="1"/>
  <c r="FY134" i="1" s="1"/>
  <c r="FY135" i="1" s="1"/>
  <c r="FY136" i="1" s="1"/>
  <c r="FY137" i="1" s="1"/>
  <c r="FY138" i="1" s="1"/>
  <c r="FY139" i="1" s="1"/>
  <c r="FY140" i="1" s="1"/>
  <c r="FY141" i="1" s="1"/>
  <c r="FY142" i="1"/>
  <c r="BU130" i="1"/>
  <c r="BU131" i="1" s="1"/>
  <c r="BU132" i="1" s="1"/>
  <c r="BU133" i="1" s="1"/>
  <c r="BU134" i="1" s="1"/>
  <c r="BU135" i="1" s="1"/>
  <c r="BU136" i="1" s="1"/>
  <c r="BU137" i="1" s="1"/>
  <c r="BU138" i="1" s="1"/>
  <c r="BU139" i="1" s="1"/>
  <c r="BU140" i="1" s="1"/>
  <c r="BU141" i="1" s="1"/>
  <c r="BU142" i="1"/>
  <c r="CY130" i="1"/>
  <c r="CY131" i="1" s="1"/>
  <c r="CY132" i="1" s="1"/>
  <c r="CY133" i="1" s="1"/>
  <c r="CY134" i="1" s="1"/>
  <c r="CY135" i="1" s="1"/>
  <c r="CY136" i="1" s="1"/>
  <c r="CY137" i="1" s="1"/>
  <c r="CY138" i="1" s="1"/>
  <c r="CY139" i="1" s="1"/>
  <c r="CY140" i="1" s="1"/>
  <c r="CY141" i="1" s="1"/>
  <c r="CY142" i="1"/>
  <c r="GK130" i="1"/>
  <c r="GK131" i="1" s="1"/>
  <c r="GK132" i="1" s="1"/>
  <c r="GK133" i="1" s="1"/>
  <c r="GK134" i="1" s="1"/>
  <c r="GK135" i="1" s="1"/>
  <c r="GK136" i="1" s="1"/>
  <c r="GK137" i="1" s="1"/>
  <c r="GK138" i="1" s="1"/>
  <c r="GK139" i="1" s="1"/>
  <c r="GK140" i="1" s="1"/>
  <c r="GK141" i="1" s="1"/>
  <c r="GK142" i="1"/>
  <c r="DW142" i="1"/>
  <c r="DW130" i="1"/>
  <c r="DW131" i="1" s="1"/>
  <c r="DW132" i="1" s="1"/>
  <c r="DW133" i="1" s="1"/>
  <c r="DW134" i="1" s="1"/>
  <c r="DW135" i="1" s="1"/>
  <c r="DW136" i="1" s="1"/>
  <c r="DW137" i="1" s="1"/>
  <c r="DW138" i="1" s="1"/>
  <c r="DW139" i="1" s="1"/>
  <c r="DW140" i="1" s="1"/>
  <c r="DW141" i="1" s="1"/>
  <c r="FM130" i="1"/>
  <c r="FM131" i="1" s="1"/>
  <c r="FM132" i="1" s="1"/>
  <c r="FM133" i="1" s="1"/>
  <c r="FM134" i="1" s="1"/>
  <c r="FM135" i="1" s="1"/>
  <c r="FM136" i="1" s="1"/>
  <c r="FM137" i="1" s="1"/>
  <c r="FM138" i="1" s="1"/>
  <c r="FM139" i="1" s="1"/>
  <c r="FM140" i="1" s="1"/>
  <c r="FM141" i="1" s="1"/>
  <c r="FM142" i="1"/>
  <c r="FA130" i="1"/>
  <c r="FA131" i="1" s="1"/>
  <c r="FA132" i="1" s="1"/>
  <c r="FA133" i="1" s="1"/>
  <c r="FA134" i="1" s="1"/>
  <c r="FA135" i="1" s="1"/>
  <c r="FA136" i="1" s="1"/>
  <c r="FA137" i="1" s="1"/>
  <c r="FA138" i="1" s="1"/>
  <c r="FA139" i="1" s="1"/>
  <c r="FA140" i="1" s="1"/>
  <c r="FA141" i="1" s="1"/>
  <c r="FA142" i="1"/>
  <c r="CA130" i="1"/>
  <c r="CA131" i="1" s="1"/>
  <c r="CA132" i="1" s="1"/>
  <c r="CA133" i="1" s="1"/>
  <c r="CA134" i="1" s="1"/>
  <c r="CA135" i="1" s="1"/>
  <c r="CA136" i="1" s="1"/>
  <c r="CA137" i="1" s="1"/>
  <c r="CA138" i="1" s="1"/>
  <c r="CA139" i="1" s="1"/>
  <c r="CA140" i="1" s="1"/>
  <c r="CA141" i="1" s="1"/>
  <c r="CA142" i="1"/>
  <c r="BC130" i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/>
  <c r="EI130" i="1"/>
  <c r="EI131" i="1" s="1"/>
  <c r="EI132" i="1" s="1"/>
  <c r="EI133" i="1" s="1"/>
  <c r="EI134" i="1" s="1"/>
  <c r="EI135" i="1" s="1"/>
  <c r="EI136" i="1" s="1"/>
  <c r="EI137" i="1" s="1"/>
  <c r="EI138" i="1" s="1"/>
  <c r="EI139" i="1" s="1"/>
  <c r="EI140" i="1" s="1"/>
  <c r="EI141" i="1" s="1"/>
  <c r="EI142" i="1"/>
  <c r="CM130" i="1"/>
  <c r="CM131" i="1" s="1"/>
  <c r="CM132" i="1" s="1"/>
  <c r="CM133" i="1" s="1"/>
  <c r="CM134" i="1" s="1"/>
  <c r="CM135" i="1" s="1"/>
  <c r="CM136" i="1" s="1"/>
  <c r="CM137" i="1" s="1"/>
  <c r="CM138" i="1" s="1"/>
  <c r="CM139" i="1" s="1"/>
  <c r="CM140" i="1" s="1"/>
  <c r="CM141" i="1" s="1"/>
  <c r="CM142" i="1"/>
  <c r="BO130" i="1"/>
  <c r="BO131" i="1" s="1"/>
  <c r="BO132" i="1" s="1"/>
  <c r="BO133" i="1" s="1"/>
  <c r="BO134" i="1" s="1"/>
  <c r="BO135" i="1" s="1"/>
  <c r="BO136" i="1" s="1"/>
  <c r="BO137" i="1" s="1"/>
  <c r="BO138" i="1" s="1"/>
  <c r="BO139" i="1" s="1"/>
  <c r="BO140" i="1" s="1"/>
  <c r="BO141" i="1" s="1"/>
  <c r="BO142" i="1"/>
  <c r="AW142" i="1"/>
  <c r="AW130" i="1"/>
  <c r="AW131" i="1" s="1"/>
  <c r="AW132" i="1" s="1"/>
  <c r="AW133" i="1" s="1"/>
  <c r="AW134" i="1" s="1"/>
  <c r="AW135" i="1" s="1"/>
  <c r="AW136" i="1" s="1"/>
  <c r="AW137" i="1" s="1"/>
  <c r="AW138" i="1" s="1"/>
  <c r="AW139" i="1" s="1"/>
  <c r="AW140" i="1" s="1"/>
  <c r="AW141" i="1" s="1"/>
  <c r="AE130" i="1"/>
  <c r="AE131" i="1" s="1"/>
  <c r="AE132" i="1" s="1"/>
  <c r="AE133" i="1" s="1"/>
  <c r="AE134" i="1" s="1"/>
  <c r="AE135" i="1" s="1"/>
  <c r="AE136" i="1" s="1"/>
  <c r="AE137" i="1" s="1"/>
  <c r="AE138" i="1" s="1"/>
  <c r="AE139" i="1" s="1"/>
  <c r="AE140" i="1" s="1"/>
  <c r="AE141" i="1" s="1"/>
  <c r="AE142" i="1"/>
  <c r="GE130" i="1"/>
  <c r="GE131" i="1" s="1"/>
  <c r="GE132" i="1" s="1"/>
  <c r="GE133" i="1" s="1"/>
  <c r="GE134" i="1" s="1"/>
  <c r="GE135" i="1" s="1"/>
  <c r="GE136" i="1" s="1"/>
  <c r="GE137" i="1" s="1"/>
  <c r="GE138" i="1" s="1"/>
  <c r="GE139" i="1" s="1"/>
  <c r="GE140" i="1" s="1"/>
  <c r="GE141" i="1" s="1"/>
  <c r="GE142" i="1"/>
  <c r="DE130" i="1"/>
  <c r="DE131" i="1" s="1"/>
  <c r="DE132" i="1" s="1"/>
  <c r="DE133" i="1" s="1"/>
  <c r="DE134" i="1" s="1"/>
  <c r="DE135" i="1" s="1"/>
  <c r="DE136" i="1" s="1"/>
  <c r="DE137" i="1" s="1"/>
  <c r="DE138" i="1" s="1"/>
  <c r="DE139" i="1" s="1"/>
  <c r="DE140" i="1" s="1"/>
  <c r="DE141" i="1" s="1"/>
  <c r="DE142" i="1"/>
  <c r="EO130" i="1"/>
  <c r="EO131" i="1" s="1"/>
  <c r="EO132" i="1" s="1"/>
  <c r="EO133" i="1" s="1"/>
  <c r="EO134" i="1" s="1"/>
  <c r="EO135" i="1" s="1"/>
  <c r="EO136" i="1" s="1"/>
  <c r="EO137" i="1" s="1"/>
  <c r="EO138" i="1" s="1"/>
  <c r="EO139" i="1" s="1"/>
  <c r="EO140" i="1" s="1"/>
  <c r="EO141" i="1" s="1"/>
  <c r="EO142" i="1"/>
  <c r="FS142" i="1"/>
  <c r="FS130" i="1"/>
  <c r="FS131" i="1" s="1"/>
  <c r="FS132" i="1" s="1"/>
  <c r="FS133" i="1" s="1"/>
  <c r="FS134" i="1" s="1"/>
  <c r="FS135" i="1" s="1"/>
  <c r="FS136" i="1" s="1"/>
  <c r="FS137" i="1" s="1"/>
  <c r="FS138" i="1" s="1"/>
  <c r="FS139" i="1" s="1"/>
  <c r="FS140" i="1" s="1"/>
  <c r="FS141" i="1" s="1"/>
  <c r="AQ130" i="1"/>
  <c r="AQ131" i="1" s="1"/>
  <c r="AQ132" i="1" s="1"/>
  <c r="AQ133" i="1" s="1"/>
  <c r="AQ134" i="1" s="1"/>
  <c r="AQ135" i="1" s="1"/>
  <c r="AQ136" i="1" s="1"/>
  <c r="AQ137" i="1" s="1"/>
  <c r="AQ138" i="1" s="1"/>
  <c r="AQ139" i="1" s="1"/>
  <c r="AQ140" i="1" s="1"/>
  <c r="AQ141" i="1" s="1"/>
  <c r="AQ142" i="1"/>
  <c r="GQ130" i="1"/>
  <c r="GQ131" i="1" s="1"/>
  <c r="GQ132" i="1" s="1"/>
  <c r="GQ133" i="1" s="1"/>
  <c r="GQ134" i="1" s="1"/>
  <c r="GQ135" i="1" s="1"/>
  <c r="GQ136" i="1" s="1"/>
  <c r="GQ137" i="1" s="1"/>
  <c r="GQ138" i="1" s="1"/>
  <c r="GQ139" i="1" s="1"/>
  <c r="GQ140" i="1" s="1"/>
  <c r="GQ141" i="1" s="1"/>
  <c r="GQ142" i="1"/>
  <c r="G68" i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/>
  <c r="B121" i="1"/>
  <c r="B124" i="1" s="1"/>
  <c r="B111" i="1"/>
  <c r="AD112" i="1"/>
  <c r="R112" i="1"/>
  <c r="B183" i="1" l="1"/>
  <c r="B186" i="1" s="1"/>
  <c r="G130" i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/>
  <c r="B112" i="1"/>
  <c r="AD113" i="1"/>
  <c r="R113" i="1"/>
  <c r="B113" i="1" l="1"/>
  <c r="AD114" i="1"/>
  <c r="R114" i="1"/>
  <c r="B114" i="1" l="1"/>
  <c r="AD115" i="1"/>
  <c r="R115" i="1"/>
  <c r="B115" i="1" l="1"/>
  <c r="AD116" i="1"/>
  <c r="R116" i="1"/>
  <c r="B116" i="1" l="1"/>
  <c r="AD117" i="1"/>
  <c r="R117" i="1"/>
  <c r="B117" i="1" l="1"/>
  <c r="AD118" i="1"/>
  <c r="R118" i="1"/>
  <c r="B118" i="1" l="1"/>
  <c r="AD119" i="1"/>
  <c r="AD80" i="1"/>
  <c r="R119" i="1"/>
  <c r="R80" i="1"/>
  <c r="B119" i="1" l="1"/>
  <c r="B125" i="1" s="1"/>
</calcChain>
</file>

<file path=xl/sharedStrings.xml><?xml version="1.0" encoding="utf-8"?>
<sst xmlns="http://schemas.openxmlformats.org/spreadsheetml/2006/main" count="579" uniqueCount="153">
  <si>
    <t>Saldo Piutang</t>
  </si>
  <si>
    <t>Pinjam</t>
  </si>
  <si>
    <t>Bayar</t>
  </si>
  <si>
    <t>Periode</t>
  </si>
  <si>
    <t>AGUS RIYANTO</t>
  </si>
  <si>
    <t>AGUS SUPRIYONO</t>
  </si>
  <si>
    <t>WYNFRIED ARDIAN DIDOK</t>
  </si>
  <si>
    <t>ARI WIBOWO</t>
  </si>
  <si>
    <t>BAGUS ADITA</t>
  </si>
  <si>
    <t>BAMBANG SYAMADJI</t>
  </si>
  <si>
    <t>BUKHORI</t>
  </si>
  <si>
    <t>DIAH PUSPITASARI</t>
  </si>
  <si>
    <t>DWI TEGUH</t>
  </si>
  <si>
    <t>FADELAN</t>
  </si>
  <si>
    <t>FARID FAHRUDIN</t>
  </si>
  <si>
    <t>FERDI ALISKA</t>
  </si>
  <si>
    <t>HANDOKO TEJO</t>
  </si>
  <si>
    <t>HERI</t>
  </si>
  <si>
    <t>JEMMY RINTI</t>
  </si>
  <si>
    <t>KUSNAN</t>
  </si>
  <si>
    <t>MURSIDI</t>
  </si>
  <si>
    <t>MUSTAKIM</t>
  </si>
  <si>
    <t>NANANG BUDI D.</t>
  </si>
  <si>
    <t>PURWANTO</t>
  </si>
  <si>
    <t>SETYO H.</t>
  </si>
  <si>
    <t>SOLICHIN</t>
  </si>
  <si>
    <t>SUBEKAN</t>
  </si>
  <si>
    <t>SUGENG</t>
  </si>
  <si>
    <t>SUNTORO</t>
  </si>
  <si>
    <t>SUTO SUSENO</t>
  </si>
  <si>
    <t>SYAHRUR RIDHO</t>
  </si>
  <si>
    <t>AYIK</t>
  </si>
  <si>
    <t>MARGIN</t>
  </si>
  <si>
    <t>SALDO AWAL</t>
  </si>
  <si>
    <t>PINJAM</t>
  </si>
  <si>
    <t>BAYAR</t>
  </si>
  <si>
    <t>SALDO AKHIR</t>
  </si>
  <si>
    <t>Bayar 202301</t>
  </si>
  <si>
    <t>Bayar 202302</t>
  </si>
  <si>
    <t>Bayar 202303</t>
  </si>
  <si>
    <t>Bayar 202304</t>
  </si>
  <si>
    <t>Bayar 202305</t>
  </si>
  <si>
    <t>Bayar 202306</t>
  </si>
  <si>
    <t>Bayar 202307</t>
  </si>
  <si>
    <t>Bayar 202308</t>
  </si>
  <si>
    <t>Bayar 202309</t>
  </si>
  <si>
    <t>Bayar 202310</t>
  </si>
  <si>
    <t>Bayar 202311</t>
  </si>
  <si>
    <t>Bayar 202312</t>
  </si>
  <si>
    <t>Pinjam 202301</t>
  </si>
  <si>
    <t>Pinjam 202302</t>
  </si>
  <si>
    <t>Pinjam 202303</t>
  </si>
  <si>
    <t>Pinjam 202304</t>
  </si>
  <si>
    <t>Pinjam 202305</t>
  </si>
  <si>
    <t>Pinjam 202306</t>
  </si>
  <si>
    <t>Pinjam 202307</t>
  </si>
  <si>
    <t>Pinjam 202308</t>
  </si>
  <si>
    <t>Pinjam 202309</t>
  </si>
  <si>
    <t>Pinjam 202310</t>
  </si>
  <si>
    <t>Pinjam 202311</t>
  </si>
  <si>
    <t>Pinjam 202312</t>
  </si>
  <si>
    <t>Margin 202301</t>
  </si>
  <si>
    <t>Margin 202302</t>
  </si>
  <si>
    <t>Margin 202303</t>
  </si>
  <si>
    <t>Margin 202304</t>
  </si>
  <si>
    <t>Margin 202305</t>
  </si>
  <si>
    <t>Margin 202306</t>
  </si>
  <si>
    <t>Margin 202307</t>
  </si>
  <si>
    <t>Margin 202308</t>
  </si>
  <si>
    <t>Margin 202309</t>
  </si>
  <si>
    <t>Margin 202310</t>
  </si>
  <si>
    <t>Margin 202311</t>
  </si>
  <si>
    <t>Margin 202312</t>
  </si>
  <si>
    <t>`</t>
  </si>
  <si>
    <t>NIKO FREDIKA</t>
  </si>
  <si>
    <t>CHASIM</t>
  </si>
  <si>
    <t>ISFAK</t>
  </si>
  <si>
    <t>Pinjam 202401</t>
  </si>
  <si>
    <t>Pinjam 202402</t>
  </si>
  <si>
    <t>Pinjam 202403</t>
  </si>
  <si>
    <t>Pinjam 202404</t>
  </si>
  <si>
    <t>Pinjam 202405</t>
  </si>
  <si>
    <t>Pinjam 202406</t>
  </si>
  <si>
    <t>Pinjam 202407</t>
  </si>
  <si>
    <t>Pinjam 202408</t>
  </si>
  <si>
    <t>Pinjam 202409</t>
  </si>
  <si>
    <t>Pinjam 202410</t>
  </si>
  <si>
    <t>Pinjam 202411</t>
  </si>
  <si>
    <t>Pinjam 202412</t>
  </si>
  <si>
    <t>Bayar 202401</t>
  </si>
  <si>
    <t>Bayar 202402</t>
  </si>
  <si>
    <t>Bayar 202403</t>
  </si>
  <si>
    <t>Bayar 202404</t>
  </si>
  <si>
    <t>Bayar 202405</t>
  </si>
  <si>
    <t>Bayar 202406</t>
  </si>
  <si>
    <t>Bayar 202407</t>
  </si>
  <si>
    <t>Bayar 202408</t>
  </si>
  <si>
    <t>Bayar 202409</t>
  </si>
  <si>
    <t>Bayar 202410</t>
  </si>
  <si>
    <t>Bayar 202411</t>
  </si>
  <si>
    <t>Bayar 202412</t>
  </si>
  <si>
    <t>Margin 202401</t>
  </si>
  <si>
    <t>Margin 202402</t>
  </si>
  <si>
    <t>Margin 202403</t>
  </si>
  <si>
    <t>Margin 202404</t>
  </si>
  <si>
    <t>Margin 202405</t>
  </si>
  <si>
    <t>Margin 202406</t>
  </si>
  <si>
    <t>Margin 202407</t>
  </si>
  <si>
    <t>Margin 202408</t>
  </si>
  <si>
    <t>Margin 202409</t>
  </si>
  <si>
    <t>Margin 202410</t>
  </si>
  <si>
    <t>Margin 202411</t>
  </si>
  <si>
    <t>Margin 202412</t>
  </si>
  <si>
    <t>AHMAD MUKHLIS</t>
  </si>
  <si>
    <t>FIFI EMMALIA</t>
  </si>
  <si>
    <t>AGA FIRMANSYAH</t>
  </si>
  <si>
    <t>Pinjam 202601</t>
  </si>
  <si>
    <t>Pinjam 202602</t>
  </si>
  <si>
    <t>Pinjam 202603</t>
  </si>
  <si>
    <t>Pinjam 202604</t>
  </si>
  <si>
    <t>Pinjam 202605</t>
  </si>
  <si>
    <t>Pinjam 202606</t>
  </si>
  <si>
    <t>Pinjam 202607</t>
  </si>
  <si>
    <t>Pinjam 202608</t>
  </si>
  <si>
    <t>Pinjam 202609</t>
  </si>
  <si>
    <t>Pinjam 202610</t>
  </si>
  <si>
    <t>Pinjam 202611</t>
  </si>
  <si>
    <t>Pinjam 202612</t>
  </si>
  <si>
    <t>Bayar 202601</t>
  </si>
  <si>
    <t>Bayar 202602</t>
  </si>
  <si>
    <t>Bayar 202603</t>
  </si>
  <si>
    <t>Bayar 202604</t>
  </si>
  <si>
    <t>Bayar 202605</t>
  </si>
  <si>
    <t>Bayar 202606</t>
  </si>
  <si>
    <t>Bayar 202607</t>
  </si>
  <si>
    <t>Bayar 202608</t>
  </si>
  <si>
    <t>Bayar 202609</t>
  </si>
  <si>
    <t>Bayar 202610</t>
  </si>
  <si>
    <t>Bayar 202611</t>
  </si>
  <si>
    <t>Bayar 202612</t>
  </si>
  <si>
    <t>Margin 202601</t>
  </si>
  <si>
    <t>Margin 202602</t>
  </si>
  <si>
    <t>Margin 202603</t>
  </si>
  <si>
    <t>Margin 202604</t>
  </si>
  <si>
    <t>Margin 202605</t>
  </si>
  <si>
    <t>Margin 202606</t>
  </si>
  <si>
    <t>Margin 202607</t>
  </si>
  <si>
    <t>Margin 202608</t>
  </si>
  <si>
    <t>Margin 202609</t>
  </si>
  <si>
    <t>Margin 202610</t>
  </si>
  <si>
    <t>Margin 202611</t>
  </si>
  <si>
    <t>Margin 202612</t>
  </si>
  <si>
    <t>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</si>
</sst>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9"/>
      <color theme="1"/>
      <name val="Calibri"/>
      <family val="2"/>
      <charset val="1"/>
      <scheme val="minor"/>
    </font>
    <font>
      <sz val="9"/>
      <color rgb="FFFF0000"/>
      <name val="Calibri"/>
      <family val="2"/>
      <charset val="1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0070C0"/>
      <name val="Calibri"/>
      <family val="2"/>
      <charset val="1"/>
      <scheme val="minor"/>
    </font>
    <font>
      <sz val="9"/>
      <color rgb="FF7030A0"/>
      <name val="Calibri"/>
      <family val="2"/>
      <charset val="1"/>
      <scheme val="minor"/>
    </font>
    <font>
      <b/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9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6">
    <xf numFmtId="0" fontId="0" fillId="0" borderId="0" xfId="0"/>
    <xf numFmtId="43" fontId="2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43" fontId="2" fillId="0" borderId="0" xfId="1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43" fontId="2" fillId="0" borderId="2" xfId="1" applyFont="1" applyBorder="1"/>
    <xf numFmtId="43" fontId="2" fillId="0" borderId="3" xfId="1" applyFont="1" applyBorder="1"/>
    <xf numFmtId="43" fontId="3" fillId="0" borderId="2" xfId="1" applyFont="1" applyBorder="1"/>
    <xf numFmtId="43" fontId="2" fillId="0" borderId="2" xfId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3" fontId="2" fillId="0" borderId="5" xfId="1" applyFont="1" applyBorder="1" applyAlignment="1">
      <alignment horizontal="center"/>
    </xf>
    <xf numFmtId="43" fontId="2" fillId="0" borderId="5" xfId="1" applyFont="1" applyBorder="1"/>
    <xf numFmtId="43" fontId="3" fillId="0" borderId="5" xfId="1" applyFont="1" applyBorder="1"/>
    <xf numFmtId="43" fontId="2" fillId="0" borderId="6" xfId="1" applyFont="1" applyBorder="1"/>
    <xf numFmtId="0" fontId="2" fillId="2" borderId="7" xfId="0" applyFont="1" applyFill="1" applyBorder="1" applyAlignment="1">
      <alignment horizontal="center"/>
    </xf>
    <xf numFmtId="43" fontId="2" fillId="2" borderId="8" xfId="1" applyFont="1" applyFill="1" applyBorder="1"/>
    <xf numFmtId="0" fontId="4" fillId="0" borderId="10" xfId="0" applyFont="1" applyBorder="1" applyAlignment="1">
      <alignment horizontal="center" vertical="center"/>
    </xf>
    <xf numFmtId="43" fontId="4" fillId="0" borderId="11" xfId="1" applyFont="1" applyBorder="1" applyAlignment="1">
      <alignment horizontal="center" vertical="center"/>
    </xf>
    <xf numFmtId="43" fontId="4" fillId="0" borderId="12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3" fontId="4" fillId="0" borderId="13" xfId="1" applyFont="1" applyBorder="1" applyAlignment="1">
      <alignment vertical="center"/>
    </xf>
    <xf numFmtId="43" fontId="4" fillId="0" borderId="14" xfId="1" applyFont="1" applyBorder="1" applyAlignment="1">
      <alignment vertical="center"/>
    </xf>
    <xf numFmtId="0" fontId="4" fillId="0" borderId="0" xfId="0" applyFont="1" applyAlignment="1">
      <alignment vertical="center"/>
    </xf>
    <xf numFmtId="43" fontId="6" fillId="3" borderId="14" xfId="1" applyFont="1" applyFill="1" applyBorder="1" applyAlignment="1">
      <alignment vertical="center"/>
    </xf>
    <xf numFmtId="43" fontId="5" fillId="2" borderId="15" xfId="1" applyFont="1" applyFill="1" applyBorder="1" applyAlignment="1">
      <alignment vertical="center"/>
    </xf>
    <xf numFmtId="43" fontId="5" fillId="2" borderId="9" xfId="1" applyFont="1" applyFill="1" applyBorder="1"/>
    <xf numFmtId="43" fontId="2" fillId="0" borderId="16" xfId="1" applyFont="1" applyBorder="1" applyAlignment="1">
      <alignment horizontal="center"/>
    </xf>
    <xf numFmtId="43" fontId="2" fillId="0" borderId="17" xfId="1" applyFont="1" applyBorder="1" applyAlignment="1">
      <alignment horizontal="center"/>
    </xf>
    <xf numFmtId="43" fontId="3" fillId="0" borderId="0" xfId="1" applyFont="1"/>
    <xf numFmtId="43" fontId="7" fillId="0" borderId="0" xfId="1" applyFont="1"/>
    <xf numFmtId="0" fontId="7" fillId="0" borderId="0" xfId="0" applyFont="1" applyAlignment="1">
      <alignment horizontal="center"/>
    </xf>
    <xf numFmtId="0" fontId="7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43" fontId="8" fillId="0" borderId="0" xfId="1" applyFont="1"/>
    <xf numFmtId="0" fontId="8" fillId="0" borderId="0" xfId="0" applyFont="1"/>
    <xf numFmtId="0" fontId="8" fillId="0" borderId="0" xfId="0" applyFont="1" applyAlignment="1">
      <alignment horizontal="center"/>
    </xf>
    <xf numFmtId="43" fontId="2" fillId="0" borderId="0" xfId="0" applyNumberFormat="1" applyFont="1"/>
    <xf numFmtId="43" fontId="9" fillId="0" borderId="0" xfId="1" applyFont="1"/>
    <xf numFmtId="0" fontId="9" fillId="0" borderId="0" xfId="0" applyFont="1" applyAlignment="1">
      <alignment horizontal="center"/>
    </xf>
    <xf numFmtId="43" fontId="10" fillId="0" borderId="0" xfId="1" applyFont="1"/>
    <xf numFmtId="0" fontId="11" fillId="0" borderId="0" xfId="0" applyFont="1" applyAlignment="1">
      <alignment horizontal="center"/>
    </xf>
    <xf numFmtId="43" fontId="8" fillId="0" borderId="0" xfId="0" applyNumberFormat="1" applyFont="1"/>
    <xf numFmtId="0" fontId="6" fillId="3" borderId="0" xfId="0" applyFont="1" applyFill="1" applyAlignment="1">
      <alignment horizontal="left"/>
    </xf>
    <xf numFmtId="43" fontId="4" fillId="0" borderId="11" xfId="1" applyFont="1" applyBorder="1" applyAlignment="1">
      <alignment horizontal="center" vertical="center"/>
    </xf>
  </cellXfs>
  <cellStyles count="3">
    <cellStyle name="Comma" xfId="1" builtinId="3"/>
    <cellStyle name="Comma 2" xfId="2" xr:uid="{EFE316F9-F561-4EAF-A4A0-90B971F6A61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7D532-B856-4298-A1C6-EA3E343D1BA8}">
  <dimension ref="A1:HC187"/>
  <sheetViews>
    <sheetView tabSelected="1" workbookViewId="0">
      <pane xSplit="2" ySplit="2" topLeftCell="GI3" activePane="bottomRight" state="frozen"/>
      <selection pane="topRight" activeCell="C1" sqref="C1"/>
      <selection pane="bottomLeft" activeCell="A3" sqref="A3"/>
      <selection pane="bottomRight" activeCell="GY3" sqref="GY3"/>
    </sheetView>
  </sheetViews>
  <sheetFormatPr defaultRowHeight="12" outlineLevelRow="2" x14ac:dyDescent="0.2"/>
  <cols>
    <col min="1" max="1" width="12.42578125" style="4" customWidth="1"/>
    <col min="2" max="2" width="16" style="4" customWidth="1"/>
    <col min="3" max="3" width="9.140625" style="2"/>
    <col min="4" max="4" width="11.140625" style="3" bestFit="1" customWidth="1"/>
    <col min="5" max="5" width="11.5703125" style="3" bestFit="1" customWidth="1"/>
    <col min="6" max="6" width="9.85546875" style="3" bestFit="1" customWidth="1"/>
    <col min="7" max="7" width="13.28515625" style="3" bestFit="1" customWidth="1"/>
    <col min="8" max="8" width="9.140625" style="4"/>
    <col min="9" max="9" width="9.140625" style="2"/>
    <col min="10" max="10" width="11.140625" style="3" bestFit="1" customWidth="1"/>
    <col min="11" max="11" width="11.5703125" style="3" bestFit="1" customWidth="1"/>
    <col min="12" max="12" width="9.85546875" style="3" bestFit="1" customWidth="1"/>
    <col min="13" max="13" width="13.28515625" style="3" bestFit="1" customWidth="1"/>
    <col min="14" max="14" width="9.140625" style="4"/>
    <col min="15" max="15" width="9.140625" style="2"/>
    <col min="16" max="16" width="11.140625" style="3" bestFit="1" customWidth="1"/>
    <col min="17" max="17" width="11.5703125" style="3" bestFit="1" customWidth="1"/>
    <col min="18" max="18" width="9.85546875" style="3" bestFit="1" customWidth="1"/>
    <col min="19" max="19" width="13.28515625" style="3" bestFit="1" customWidth="1"/>
    <col min="20" max="20" width="9.140625" style="4"/>
    <col min="21" max="21" width="9.140625" style="2"/>
    <col min="22" max="23" width="12" style="3" bestFit="1" customWidth="1"/>
    <col min="24" max="24" width="9.85546875" style="3" bestFit="1" customWidth="1"/>
    <col min="25" max="25" width="13.28515625" style="3" bestFit="1" customWidth="1"/>
    <col min="26" max="26" width="9.140625" style="4"/>
    <col min="27" max="27" width="9.140625" style="2"/>
    <col min="28" max="28" width="11.140625" style="3" bestFit="1" customWidth="1"/>
    <col min="29" max="29" width="11.5703125" style="3" bestFit="1" customWidth="1"/>
    <col min="30" max="30" width="9.85546875" style="3" bestFit="1" customWidth="1"/>
    <col min="31" max="31" width="13.28515625" style="3" bestFit="1" customWidth="1"/>
    <col min="32" max="32" width="9.140625" style="4"/>
    <col min="33" max="33" width="9.140625" style="2"/>
    <col min="34" max="35" width="12" style="3" bestFit="1" customWidth="1"/>
    <col min="36" max="36" width="9.85546875" style="3" bestFit="1" customWidth="1"/>
    <col min="37" max="37" width="13.28515625" style="3" bestFit="1" customWidth="1"/>
    <col min="38" max="38" width="9.140625" style="4"/>
    <col min="39" max="39" width="9.140625" style="2"/>
    <col min="40" max="41" width="12" style="3" bestFit="1" customWidth="1"/>
    <col min="42" max="42" width="9.85546875" style="3" bestFit="1" customWidth="1"/>
    <col min="43" max="43" width="13.28515625" style="3" bestFit="1" customWidth="1"/>
    <col min="44" max="44" width="9.140625" style="4"/>
    <col min="45" max="45" width="9.140625" style="2"/>
    <col min="46" max="47" width="12" style="3" bestFit="1" customWidth="1"/>
    <col min="48" max="48" width="9.85546875" style="3" bestFit="1" customWidth="1"/>
    <col min="49" max="49" width="13.28515625" style="3" bestFit="1" customWidth="1"/>
    <col min="50" max="50" width="9.140625" style="4"/>
    <col min="51" max="51" width="9.140625" style="2"/>
    <col min="52" max="53" width="12" style="3" bestFit="1" customWidth="1"/>
    <col min="54" max="54" width="9.85546875" style="3" bestFit="1" customWidth="1"/>
    <col min="55" max="55" width="13.28515625" style="3" bestFit="1" customWidth="1"/>
    <col min="56" max="56" width="9.140625" style="4"/>
    <col min="57" max="57" width="9.140625" style="2"/>
    <col min="58" max="59" width="12" style="3" bestFit="1" customWidth="1"/>
    <col min="60" max="60" width="9.85546875" style="3" bestFit="1" customWidth="1"/>
    <col min="61" max="61" width="13.28515625" style="3" bestFit="1" customWidth="1"/>
    <col min="62" max="62" width="9.140625" style="4"/>
    <col min="63" max="63" width="9.140625" style="2"/>
    <col min="64" max="65" width="12" style="3" bestFit="1" customWidth="1"/>
    <col min="66" max="66" width="9.85546875" style="3" bestFit="1" customWidth="1"/>
    <col min="67" max="67" width="13.28515625" style="3" bestFit="1" customWidth="1"/>
    <col min="68" max="68" width="9.140625" style="4"/>
    <col min="69" max="69" width="9.140625" style="2"/>
    <col min="70" max="71" width="12" style="3" bestFit="1" customWidth="1"/>
    <col min="72" max="72" width="9.85546875" style="3" bestFit="1" customWidth="1"/>
    <col min="73" max="73" width="13.28515625" style="3" bestFit="1" customWidth="1"/>
    <col min="74" max="74" width="9.140625" style="4"/>
    <col min="75" max="75" width="9.140625" style="2"/>
    <col min="76" max="77" width="12" style="3" bestFit="1" customWidth="1"/>
    <col min="78" max="78" width="9.85546875" style="3" bestFit="1" customWidth="1"/>
    <col min="79" max="79" width="13.28515625" style="3" bestFit="1" customWidth="1"/>
    <col min="80" max="80" width="9.140625" style="4"/>
    <col min="81" max="81" width="9.140625" style="2"/>
    <col min="82" max="83" width="12" style="3" bestFit="1" customWidth="1"/>
    <col min="84" max="84" width="9.85546875" style="3" bestFit="1" customWidth="1"/>
    <col min="85" max="85" width="13.28515625" style="3" bestFit="1" customWidth="1"/>
    <col min="86" max="86" width="9.140625" style="4"/>
    <col min="87" max="87" width="9.140625" style="2"/>
    <col min="88" max="89" width="12" style="3" bestFit="1" customWidth="1"/>
    <col min="90" max="90" width="9.85546875" style="3" bestFit="1" customWidth="1"/>
    <col min="91" max="91" width="13.28515625" style="3" bestFit="1" customWidth="1"/>
    <col min="92" max="92" width="9.140625" style="4"/>
    <col min="93" max="93" width="9.140625" style="2"/>
    <col min="94" max="95" width="12" style="3" bestFit="1" customWidth="1"/>
    <col min="96" max="96" width="9.85546875" style="3" bestFit="1" customWidth="1"/>
    <col min="97" max="97" width="13.28515625" style="3" bestFit="1" customWidth="1"/>
    <col min="98" max="98" width="9.140625" style="4"/>
    <col min="99" max="99" width="9.140625" style="2"/>
    <col min="100" max="101" width="12" style="3" bestFit="1" customWidth="1"/>
    <col min="102" max="102" width="9.85546875" style="3" bestFit="1" customWidth="1"/>
    <col min="103" max="103" width="13.28515625" style="3" bestFit="1" customWidth="1"/>
    <col min="104" max="104" width="9.140625" style="4"/>
    <col min="105" max="105" width="9.140625" style="2"/>
    <col min="106" max="107" width="12" style="3" bestFit="1" customWidth="1"/>
    <col min="108" max="108" width="9.85546875" style="3" bestFit="1" customWidth="1"/>
    <col min="109" max="109" width="13.28515625" style="3" bestFit="1" customWidth="1"/>
    <col min="110" max="110" width="9.140625" style="4"/>
    <col min="111" max="111" width="9.140625" style="2"/>
    <col min="112" max="113" width="12" style="3" bestFit="1" customWidth="1"/>
    <col min="114" max="114" width="9.85546875" style="3" bestFit="1" customWidth="1"/>
    <col min="115" max="115" width="13.28515625" style="3" bestFit="1" customWidth="1"/>
    <col min="116" max="116" width="9.140625" style="4"/>
    <col min="117" max="117" width="9.140625" style="2"/>
    <col min="118" max="119" width="12" style="3" bestFit="1" customWidth="1"/>
    <col min="120" max="120" width="9.85546875" style="3" bestFit="1" customWidth="1"/>
    <col min="121" max="121" width="13.28515625" style="3" bestFit="1" customWidth="1"/>
    <col min="122" max="122" width="9.140625" style="4"/>
    <col min="123" max="123" width="9.140625" style="2"/>
    <col min="124" max="125" width="12" style="3" bestFit="1" customWidth="1"/>
    <col min="126" max="126" width="9.85546875" style="3" bestFit="1" customWidth="1"/>
    <col min="127" max="127" width="13.28515625" style="3" bestFit="1" customWidth="1"/>
    <col min="128" max="128" width="9.140625" style="4"/>
    <col min="129" max="129" width="9.140625" style="2"/>
    <col min="130" max="131" width="12" style="3" bestFit="1" customWidth="1"/>
    <col min="132" max="132" width="9.85546875" style="3" bestFit="1" customWidth="1"/>
    <col min="133" max="133" width="13.28515625" style="3" bestFit="1" customWidth="1"/>
    <col min="134" max="134" width="9.140625" style="4"/>
    <col min="135" max="135" width="9.140625" style="2"/>
    <col min="136" max="137" width="12" style="3" bestFit="1" customWidth="1"/>
    <col min="138" max="138" width="9.85546875" style="3" bestFit="1" customWidth="1"/>
    <col min="139" max="139" width="13.28515625" style="3" bestFit="1" customWidth="1"/>
    <col min="140" max="140" width="9.140625" style="4"/>
    <col min="141" max="141" width="9.140625" style="2"/>
    <col min="142" max="143" width="12" style="3" bestFit="1" customWidth="1"/>
    <col min="144" max="144" width="9.85546875" style="3" bestFit="1" customWidth="1"/>
    <col min="145" max="145" width="13.28515625" style="3" bestFit="1" customWidth="1"/>
    <col min="146" max="146" width="9.140625" style="4"/>
    <col min="147" max="147" width="9.140625" style="2"/>
    <col min="148" max="149" width="12" style="3" bestFit="1" customWidth="1"/>
    <col min="150" max="150" width="9.85546875" style="3" bestFit="1" customWidth="1"/>
    <col min="151" max="151" width="13.28515625" style="3" bestFit="1" customWidth="1"/>
    <col min="152" max="152" width="9.140625" style="4"/>
    <col min="153" max="153" width="9.140625" style="2"/>
    <col min="154" max="155" width="12" style="3" bestFit="1" customWidth="1"/>
    <col min="156" max="156" width="9.85546875" style="3" bestFit="1" customWidth="1"/>
    <col min="157" max="157" width="13.28515625" style="3" bestFit="1" customWidth="1"/>
    <col min="158" max="158" width="9.140625" style="4"/>
    <col min="159" max="159" width="9.140625" style="2"/>
    <col min="160" max="161" width="12" style="3" bestFit="1" customWidth="1"/>
    <col min="162" max="162" width="9.85546875" style="3" bestFit="1" customWidth="1"/>
    <col min="163" max="163" width="13.28515625" style="3" bestFit="1" customWidth="1"/>
    <col min="164" max="164" width="9.140625" style="4"/>
    <col min="165" max="165" width="9.140625" style="2"/>
    <col min="166" max="167" width="12" style="3" bestFit="1" customWidth="1"/>
    <col min="168" max="168" width="9.85546875" style="3" bestFit="1" customWidth="1"/>
    <col min="169" max="169" width="13.28515625" style="3" bestFit="1" customWidth="1"/>
    <col min="170" max="170" width="9.140625" style="4"/>
    <col min="171" max="171" width="9.140625" style="2"/>
    <col min="172" max="173" width="12" style="3" bestFit="1" customWidth="1"/>
    <col min="174" max="174" width="9.85546875" style="3" bestFit="1" customWidth="1"/>
    <col min="175" max="175" width="13.28515625" style="3" bestFit="1" customWidth="1"/>
    <col min="176" max="176" width="9.140625" style="4"/>
    <col min="177" max="177" width="9.140625" style="2"/>
    <col min="178" max="179" width="12" style="3" bestFit="1" customWidth="1"/>
    <col min="180" max="180" width="9.85546875" style="3" bestFit="1" customWidth="1"/>
    <col min="181" max="181" width="13.28515625" style="3" bestFit="1" customWidth="1"/>
    <col min="182" max="182" width="9.140625" style="4"/>
    <col min="183" max="183" width="9.140625" style="2"/>
    <col min="184" max="185" width="12" style="3" bestFit="1" customWidth="1"/>
    <col min="186" max="186" width="9.85546875" style="3" bestFit="1" customWidth="1"/>
    <col min="187" max="187" width="13.28515625" style="3" bestFit="1" customWidth="1"/>
    <col min="188" max="188" width="9.140625" style="4"/>
    <col min="189" max="189" width="9.140625" style="2"/>
    <col min="190" max="191" width="12" style="3" bestFit="1" customWidth="1"/>
    <col min="192" max="192" width="9.85546875" style="3" bestFit="1" customWidth="1"/>
    <col min="193" max="193" width="13.28515625" style="3" bestFit="1" customWidth="1"/>
    <col min="194" max="194" width="9.140625" style="4"/>
    <col min="195" max="195" width="9.140625" style="2"/>
    <col min="196" max="197" width="12" style="3" bestFit="1" customWidth="1"/>
    <col min="198" max="198" width="9.85546875" style="3" bestFit="1" customWidth="1"/>
    <col min="199" max="199" width="13.28515625" style="3" bestFit="1" customWidth="1"/>
    <col min="200" max="200" width="9.140625" style="4"/>
    <col min="201" max="201" width="9.140625" style="2"/>
    <col min="202" max="202" width="11.140625" style="3" bestFit="1" customWidth="1"/>
    <col min="203" max="203" width="11.5703125" style="3" bestFit="1" customWidth="1"/>
    <col min="204" max="204" width="9.85546875" style="3" bestFit="1" customWidth="1"/>
    <col min="205" max="205" width="13.28515625" style="3" bestFit="1" customWidth="1"/>
    <col min="206" max="206" width="9.140625" style="4"/>
    <col min="207" max="207" width="9.140625" style="2"/>
    <col min="208" max="208" width="11.140625" style="3" bestFit="1" customWidth="1"/>
    <col min="209" max="209" width="11.5703125" style="3" bestFit="1" customWidth="1"/>
    <col min="210" max="210" width="9.85546875" style="3" bestFit="1" customWidth="1"/>
    <col min="211" max="211" width="13.28515625" style="3" bestFit="1" customWidth="1"/>
    <col min="212" max="16384" width="9.140625" style="4"/>
  </cols>
  <sheetData>
    <row r="1" spans="2:211" x14ac:dyDescent="0.2">
      <c r="DH1" s="3">
        <f>5000000-DH138</f>
        <v>5000000</v>
      </c>
    </row>
    <row r="2" spans="2:211" x14ac:dyDescent="0.2">
      <c r="C2" s="44" t="s">
        <v>4</v>
      </c>
      <c r="D2" s="44"/>
      <c r="E2" s="44"/>
      <c r="I2" s="44" t="s">
        <v>115</v>
      </c>
      <c r="J2" s="44"/>
      <c r="K2" s="44"/>
      <c r="O2" s="44" t="s">
        <v>5</v>
      </c>
      <c r="P2" s="44"/>
      <c r="Q2" s="44"/>
      <c r="U2" s="44" t="s">
        <v>113</v>
      </c>
      <c r="V2" s="44"/>
      <c r="W2" s="44"/>
      <c r="AA2" s="44" t="s">
        <v>7</v>
      </c>
      <c r="AB2" s="44"/>
      <c r="AC2" s="44"/>
      <c r="AG2" s="44" t="s">
        <v>31</v>
      </c>
      <c r="AH2" s="44"/>
      <c r="AI2" s="44"/>
      <c r="AM2" s="44" t="s">
        <v>8</v>
      </c>
      <c r="AN2" s="44"/>
      <c r="AO2" s="44"/>
      <c r="AS2" s="44" t="s">
        <v>9</v>
      </c>
      <c r="AT2" s="44"/>
      <c r="AU2" s="44"/>
      <c r="AY2" s="44" t="s">
        <v>10</v>
      </c>
      <c r="AZ2" s="44"/>
      <c r="BA2" s="44"/>
      <c r="BE2" s="44" t="s">
        <v>75</v>
      </c>
      <c r="BF2" s="44"/>
      <c r="BG2" s="44"/>
      <c r="BK2" s="44" t="s">
        <v>11</v>
      </c>
      <c r="BL2" s="44"/>
      <c r="BM2" s="44"/>
      <c r="BQ2" s="44" t="s">
        <v>12</v>
      </c>
      <c r="BR2" s="44"/>
      <c r="BS2" s="44"/>
      <c r="BW2" s="44" t="s">
        <v>13</v>
      </c>
      <c r="BX2" s="44"/>
      <c r="BY2" s="44"/>
      <c r="CC2" s="44" t="s">
        <v>14</v>
      </c>
      <c r="CD2" s="44"/>
      <c r="CE2" s="44"/>
      <c r="CI2" s="44" t="s">
        <v>15</v>
      </c>
      <c r="CJ2" s="44"/>
      <c r="CK2" s="44"/>
      <c r="CO2" s="44" t="s">
        <v>114</v>
      </c>
      <c r="CP2" s="44"/>
      <c r="CQ2" s="44"/>
      <c r="CU2" s="44" t="s">
        <v>16</v>
      </c>
      <c r="CV2" s="44"/>
      <c r="CW2" s="44"/>
      <c r="DA2" s="44" t="s">
        <v>17</v>
      </c>
      <c r="DB2" s="44"/>
      <c r="DC2" s="44"/>
      <c r="DG2" s="44" t="s">
        <v>76</v>
      </c>
      <c r="DH2" s="44"/>
      <c r="DI2" s="44"/>
      <c r="DM2" s="44" t="s">
        <v>18</v>
      </c>
      <c r="DN2" s="44"/>
      <c r="DO2" s="44"/>
      <c r="DS2" s="44" t="s">
        <v>19</v>
      </c>
      <c r="DT2" s="44"/>
      <c r="DU2" s="44"/>
      <c r="DY2" s="44" t="s">
        <v>20</v>
      </c>
      <c r="DZ2" s="44"/>
      <c r="EA2" s="44"/>
      <c r="EE2" s="44" t="s">
        <v>21</v>
      </c>
      <c r="EF2" s="44"/>
      <c r="EG2" s="44"/>
      <c r="EK2" s="44" t="s">
        <v>22</v>
      </c>
      <c r="EL2" s="44"/>
      <c r="EM2" s="44"/>
      <c r="EQ2" s="44" t="s">
        <v>74</v>
      </c>
      <c r="ER2" s="44"/>
      <c r="ES2" s="44"/>
      <c r="EW2" s="44" t="s">
        <v>23</v>
      </c>
      <c r="EX2" s="44"/>
      <c r="EY2" s="44"/>
      <c r="FC2" s="44" t="s">
        <v>24</v>
      </c>
      <c r="FD2" s="44"/>
      <c r="FE2" s="44"/>
      <c r="FI2" s="44" t="s">
        <v>25</v>
      </c>
      <c r="FJ2" s="44"/>
      <c r="FK2" s="44"/>
      <c r="FO2" s="44" t="s">
        <v>26</v>
      </c>
      <c r="FP2" s="44"/>
      <c r="FQ2" s="44"/>
      <c r="FU2" s="44" t="s">
        <v>27</v>
      </c>
      <c r="FV2" s="44"/>
      <c r="FW2" s="44"/>
      <c r="GA2" s="44" t="s">
        <v>28</v>
      </c>
      <c r="GB2" s="44"/>
      <c r="GC2" s="44"/>
      <c r="GG2" s="44" t="s">
        <v>29</v>
      </c>
      <c r="GH2" s="44"/>
      <c r="GI2" s="44"/>
      <c r="GM2" s="44" t="s">
        <v>30</v>
      </c>
      <c r="GN2" s="44"/>
      <c r="GO2" s="44"/>
      <c r="GS2" s="44" t="s">
        <v>6</v>
      </c>
      <c r="GT2" s="44"/>
      <c r="GU2" s="44"/>
      <c r="GY2" s="44" t="s">
        <v>152</v>
      </c>
      <c r="GZ2" s="44"/>
      <c r="HA2" s="44"/>
    </row>
    <row r="4" spans="2:211" s="20" customFormat="1" ht="20.100000000000001" hidden="1" customHeight="1" outlineLevel="1" thickTop="1" thickBot="1" x14ac:dyDescent="0.3">
      <c r="C4" s="17" t="s">
        <v>3</v>
      </c>
      <c r="D4" s="18" t="s">
        <v>1</v>
      </c>
      <c r="E4" s="45" t="s">
        <v>2</v>
      </c>
      <c r="F4" s="45"/>
      <c r="G4" s="19" t="s">
        <v>0</v>
      </c>
      <c r="I4" s="17" t="s">
        <v>3</v>
      </c>
      <c r="J4" s="18" t="s">
        <v>1</v>
      </c>
      <c r="K4" s="45" t="s">
        <v>2</v>
      </c>
      <c r="L4" s="45"/>
      <c r="M4" s="19" t="s">
        <v>0</v>
      </c>
      <c r="O4" s="17" t="s">
        <v>3</v>
      </c>
      <c r="P4" s="18" t="s">
        <v>1</v>
      </c>
      <c r="Q4" s="45" t="s">
        <v>2</v>
      </c>
      <c r="R4" s="45"/>
      <c r="S4" s="19" t="s">
        <v>0</v>
      </c>
      <c r="U4" s="17" t="s">
        <v>3</v>
      </c>
      <c r="V4" s="18" t="s">
        <v>1</v>
      </c>
      <c r="W4" s="45" t="s">
        <v>2</v>
      </c>
      <c r="X4" s="45"/>
      <c r="Y4" s="19" t="s">
        <v>0</v>
      </c>
      <c r="AA4" s="17" t="s">
        <v>3</v>
      </c>
      <c r="AB4" s="18" t="s">
        <v>1</v>
      </c>
      <c r="AC4" s="45" t="s">
        <v>2</v>
      </c>
      <c r="AD4" s="45"/>
      <c r="AE4" s="19" t="s">
        <v>0</v>
      </c>
      <c r="AG4" s="17" t="s">
        <v>3</v>
      </c>
      <c r="AH4" s="18" t="s">
        <v>1</v>
      </c>
      <c r="AI4" s="45" t="s">
        <v>2</v>
      </c>
      <c r="AJ4" s="45"/>
      <c r="AK4" s="19" t="s">
        <v>0</v>
      </c>
      <c r="AM4" s="17" t="s">
        <v>3</v>
      </c>
      <c r="AN4" s="18" t="s">
        <v>1</v>
      </c>
      <c r="AO4" s="45" t="s">
        <v>2</v>
      </c>
      <c r="AP4" s="45"/>
      <c r="AQ4" s="19" t="s">
        <v>0</v>
      </c>
      <c r="AS4" s="17" t="s">
        <v>3</v>
      </c>
      <c r="AT4" s="18" t="s">
        <v>1</v>
      </c>
      <c r="AU4" s="45" t="s">
        <v>2</v>
      </c>
      <c r="AV4" s="45"/>
      <c r="AW4" s="19" t="s">
        <v>0</v>
      </c>
      <c r="AY4" s="17" t="s">
        <v>3</v>
      </c>
      <c r="AZ4" s="18" t="s">
        <v>1</v>
      </c>
      <c r="BA4" s="45" t="s">
        <v>2</v>
      </c>
      <c r="BB4" s="45"/>
      <c r="BC4" s="19" t="s">
        <v>0</v>
      </c>
      <c r="BE4" s="17" t="s">
        <v>3</v>
      </c>
      <c r="BF4" s="18" t="s">
        <v>1</v>
      </c>
      <c r="BG4" s="45" t="s">
        <v>2</v>
      </c>
      <c r="BH4" s="45"/>
      <c r="BI4" s="19" t="s">
        <v>0</v>
      </c>
      <c r="BK4" s="17" t="s">
        <v>3</v>
      </c>
      <c r="BL4" s="18" t="s">
        <v>1</v>
      </c>
      <c r="BM4" s="45" t="s">
        <v>2</v>
      </c>
      <c r="BN4" s="45"/>
      <c r="BO4" s="19" t="s">
        <v>0</v>
      </c>
      <c r="BQ4" s="17" t="s">
        <v>3</v>
      </c>
      <c r="BR4" s="18" t="s">
        <v>1</v>
      </c>
      <c r="BS4" s="45" t="s">
        <v>2</v>
      </c>
      <c r="BT4" s="45"/>
      <c r="BU4" s="19" t="s">
        <v>0</v>
      </c>
      <c r="BW4" s="17" t="s">
        <v>3</v>
      </c>
      <c r="BX4" s="18" t="s">
        <v>1</v>
      </c>
      <c r="BY4" s="45" t="s">
        <v>2</v>
      </c>
      <c r="BZ4" s="45"/>
      <c r="CA4" s="19" t="s">
        <v>0</v>
      </c>
      <c r="CC4" s="17" t="s">
        <v>3</v>
      </c>
      <c r="CD4" s="18" t="s">
        <v>1</v>
      </c>
      <c r="CE4" s="45" t="s">
        <v>2</v>
      </c>
      <c r="CF4" s="45"/>
      <c r="CG4" s="19" t="s">
        <v>0</v>
      </c>
      <c r="CI4" s="17" t="s">
        <v>3</v>
      </c>
      <c r="CJ4" s="18" t="s">
        <v>1</v>
      </c>
      <c r="CK4" s="45" t="s">
        <v>2</v>
      </c>
      <c r="CL4" s="45"/>
      <c r="CM4" s="19" t="s">
        <v>0</v>
      </c>
      <c r="CO4" s="17" t="s">
        <v>3</v>
      </c>
      <c r="CP4" s="18" t="s">
        <v>1</v>
      </c>
      <c r="CQ4" s="45" t="s">
        <v>2</v>
      </c>
      <c r="CR4" s="45"/>
      <c r="CS4" s="19" t="s">
        <v>0</v>
      </c>
      <c r="CU4" s="17" t="s">
        <v>3</v>
      </c>
      <c r="CV4" s="18" t="s">
        <v>1</v>
      </c>
      <c r="CW4" s="45" t="s">
        <v>2</v>
      </c>
      <c r="CX4" s="45"/>
      <c r="CY4" s="19" t="s">
        <v>0</v>
      </c>
      <c r="DA4" s="17" t="s">
        <v>3</v>
      </c>
      <c r="DB4" s="18" t="s">
        <v>1</v>
      </c>
      <c r="DC4" s="45" t="s">
        <v>2</v>
      </c>
      <c r="DD4" s="45"/>
      <c r="DE4" s="19" t="s">
        <v>0</v>
      </c>
      <c r="DG4" s="17" t="s">
        <v>3</v>
      </c>
      <c r="DH4" s="18" t="s">
        <v>1</v>
      </c>
      <c r="DI4" s="45" t="s">
        <v>2</v>
      </c>
      <c r="DJ4" s="45"/>
      <c r="DK4" s="19" t="s">
        <v>0</v>
      </c>
      <c r="DM4" s="17" t="s">
        <v>3</v>
      </c>
      <c r="DN4" s="18" t="s">
        <v>1</v>
      </c>
      <c r="DO4" s="45" t="s">
        <v>2</v>
      </c>
      <c r="DP4" s="45"/>
      <c r="DQ4" s="19" t="s">
        <v>0</v>
      </c>
      <c r="DS4" s="17" t="s">
        <v>3</v>
      </c>
      <c r="DT4" s="18" t="s">
        <v>1</v>
      </c>
      <c r="DU4" s="45" t="s">
        <v>2</v>
      </c>
      <c r="DV4" s="45"/>
      <c r="DW4" s="19" t="s">
        <v>0</v>
      </c>
      <c r="DY4" s="17" t="s">
        <v>3</v>
      </c>
      <c r="DZ4" s="18" t="s">
        <v>1</v>
      </c>
      <c r="EA4" s="45" t="s">
        <v>2</v>
      </c>
      <c r="EB4" s="45"/>
      <c r="EC4" s="19" t="s">
        <v>0</v>
      </c>
      <c r="EE4" s="17" t="s">
        <v>3</v>
      </c>
      <c r="EF4" s="18" t="s">
        <v>1</v>
      </c>
      <c r="EG4" s="45" t="s">
        <v>2</v>
      </c>
      <c r="EH4" s="45"/>
      <c r="EI4" s="19" t="s">
        <v>0</v>
      </c>
      <c r="EK4" s="17" t="s">
        <v>3</v>
      </c>
      <c r="EL4" s="18" t="s">
        <v>1</v>
      </c>
      <c r="EM4" s="45" t="s">
        <v>2</v>
      </c>
      <c r="EN4" s="45"/>
      <c r="EO4" s="19" t="s">
        <v>0</v>
      </c>
      <c r="EQ4" s="17" t="s">
        <v>3</v>
      </c>
      <c r="ER4" s="18" t="s">
        <v>1</v>
      </c>
      <c r="ES4" s="45" t="s">
        <v>2</v>
      </c>
      <c r="ET4" s="45"/>
      <c r="EU4" s="19" t="s">
        <v>0</v>
      </c>
      <c r="EW4" s="17" t="s">
        <v>3</v>
      </c>
      <c r="EX4" s="18" t="s">
        <v>1</v>
      </c>
      <c r="EY4" s="45" t="s">
        <v>2</v>
      </c>
      <c r="EZ4" s="45"/>
      <c r="FA4" s="19" t="s">
        <v>0</v>
      </c>
      <c r="FC4" s="17" t="s">
        <v>3</v>
      </c>
      <c r="FD4" s="18" t="s">
        <v>1</v>
      </c>
      <c r="FE4" s="45" t="s">
        <v>2</v>
      </c>
      <c r="FF4" s="45"/>
      <c r="FG4" s="19" t="s">
        <v>0</v>
      </c>
      <c r="FI4" s="17" t="s">
        <v>3</v>
      </c>
      <c r="FJ4" s="18" t="s">
        <v>1</v>
      </c>
      <c r="FK4" s="45" t="s">
        <v>2</v>
      </c>
      <c r="FL4" s="45"/>
      <c r="FM4" s="19" t="s">
        <v>0</v>
      </c>
      <c r="FO4" s="17" t="s">
        <v>3</v>
      </c>
      <c r="FP4" s="18" t="s">
        <v>1</v>
      </c>
      <c r="FQ4" s="45" t="s">
        <v>2</v>
      </c>
      <c r="FR4" s="45"/>
      <c r="FS4" s="19" t="s">
        <v>0</v>
      </c>
      <c r="FU4" s="17" t="s">
        <v>3</v>
      </c>
      <c r="FV4" s="18" t="s">
        <v>1</v>
      </c>
      <c r="FW4" s="45" t="s">
        <v>2</v>
      </c>
      <c r="FX4" s="45"/>
      <c r="FY4" s="19" t="s">
        <v>0</v>
      </c>
      <c r="GA4" s="17" t="s">
        <v>3</v>
      </c>
      <c r="GB4" s="18" t="s">
        <v>1</v>
      </c>
      <c r="GC4" s="45" t="s">
        <v>2</v>
      </c>
      <c r="GD4" s="45"/>
      <c r="GE4" s="19" t="s">
        <v>0</v>
      </c>
      <c r="GG4" s="17" t="s">
        <v>3</v>
      </c>
      <c r="GH4" s="18" t="s">
        <v>1</v>
      </c>
      <c r="GI4" s="45" t="s">
        <v>2</v>
      </c>
      <c r="GJ4" s="45"/>
      <c r="GK4" s="19" t="s">
        <v>0</v>
      </c>
      <c r="GM4" s="17" t="s">
        <v>3</v>
      </c>
      <c r="GN4" s="18" t="s">
        <v>1</v>
      </c>
      <c r="GO4" s="45" t="s">
        <v>2</v>
      </c>
      <c r="GP4" s="45"/>
      <c r="GQ4" s="19" t="s">
        <v>0</v>
      </c>
      <c r="GS4" s="17" t="s">
        <v>3</v>
      </c>
      <c r="GT4" s="18" t="s">
        <v>1</v>
      </c>
      <c r="GU4" s="45" t="s">
        <v>2</v>
      </c>
      <c r="GV4" s="45"/>
      <c r="GW4" s="19" t="s">
        <v>0</v>
      </c>
      <c r="GY4" s="17" t="s">
        <v>3</v>
      </c>
      <c r="GZ4" s="18" t="s">
        <v>1</v>
      </c>
      <c r="HA4" s="45" t="s">
        <v>2</v>
      </c>
      <c r="HB4" s="45"/>
      <c r="HC4" s="19" t="s">
        <v>0</v>
      </c>
    </row>
    <row r="5" spans="2:211" hidden="1" outlineLevel="1" x14ac:dyDescent="0.2">
      <c r="C5" s="15"/>
      <c r="D5" s="16"/>
      <c r="E5" s="16"/>
      <c r="F5" s="16"/>
      <c r="G5" s="26">
        <v>2275000</v>
      </c>
      <c r="I5" s="15"/>
      <c r="J5" s="16"/>
      <c r="K5" s="16"/>
      <c r="L5" s="16"/>
      <c r="M5" s="26">
        <v>0</v>
      </c>
      <c r="O5" s="15"/>
      <c r="P5" s="16"/>
      <c r="Q5" s="16"/>
      <c r="R5" s="16"/>
      <c r="S5" s="26">
        <v>0</v>
      </c>
      <c r="U5" s="15"/>
      <c r="V5" s="16"/>
      <c r="W5" s="16"/>
      <c r="X5" s="16"/>
      <c r="Y5" s="26">
        <v>0</v>
      </c>
      <c r="AA5" s="15"/>
      <c r="AB5" s="16"/>
      <c r="AC5" s="16"/>
      <c r="AD5" s="16"/>
      <c r="AE5" s="26">
        <v>2286000</v>
      </c>
      <c r="AG5" s="15"/>
      <c r="AH5" s="16"/>
      <c r="AI5" s="16"/>
      <c r="AJ5" s="16"/>
      <c r="AK5" s="26">
        <v>0</v>
      </c>
      <c r="AM5" s="15"/>
      <c r="AN5" s="16"/>
      <c r="AO5" s="16"/>
      <c r="AP5" s="16"/>
      <c r="AQ5" s="26">
        <v>0</v>
      </c>
      <c r="AS5" s="15"/>
      <c r="AT5" s="16"/>
      <c r="AU5" s="16"/>
      <c r="AV5" s="16"/>
      <c r="AW5" s="26">
        <v>0</v>
      </c>
      <c r="AY5" s="15"/>
      <c r="AZ5" s="16"/>
      <c r="BA5" s="16"/>
      <c r="BB5" s="16"/>
      <c r="BC5" s="26">
        <v>1140000</v>
      </c>
      <c r="BE5" s="15"/>
      <c r="BF5" s="16"/>
      <c r="BG5" s="16"/>
      <c r="BH5" s="16"/>
      <c r="BI5" s="26">
        <v>0</v>
      </c>
      <c r="BK5" s="15"/>
      <c r="BL5" s="16"/>
      <c r="BM5" s="16"/>
      <c r="BN5" s="16"/>
      <c r="BO5" s="26">
        <v>0</v>
      </c>
      <c r="BQ5" s="15"/>
      <c r="BR5" s="16"/>
      <c r="BS5" s="16"/>
      <c r="BT5" s="16"/>
      <c r="BU5" s="26">
        <v>1090500</v>
      </c>
      <c r="BW5" s="15"/>
      <c r="BX5" s="16"/>
      <c r="BY5" s="16"/>
      <c r="BZ5" s="16"/>
      <c r="CA5" s="26">
        <v>1390000</v>
      </c>
      <c r="CC5" s="15"/>
      <c r="CD5" s="16"/>
      <c r="CE5" s="16"/>
      <c r="CF5" s="16"/>
      <c r="CG5" s="26">
        <v>3000000</v>
      </c>
      <c r="CI5" s="15"/>
      <c r="CJ5" s="16"/>
      <c r="CK5" s="16"/>
      <c r="CL5" s="16"/>
      <c r="CM5" s="26">
        <v>0</v>
      </c>
      <c r="CO5" s="15"/>
      <c r="CP5" s="16"/>
      <c r="CQ5" s="16"/>
      <c r="CR5" s="16"/>
      <c r="CS5" s="26">
        <v>0</v>
      </c>
      <c r="CU5" s="15"/>
      <c r="CV5" s="16"/>
      <c r="CW5" s="16"/>
      <c r="CX5" s="16"/>
      <c r="CY5" s="26">
        <v>0</v>
      </c>
      <c r="DA5" s="15"/>
      <c r="DB5" s="16"/>
      <c r="DC5" s="16"/>
      <c r="DD5" s="16"/>
      <c r="DE5" s="26">
        <v>288000</v>
      </c>
      <c r="DG5" s="15"/>
      <c r="DH5" s="16"/>
      <c r="DI5" s="16"/>
      <c r="DJ5" s="16"/>
      <c r="DK5" s="26">
        <v>0</v>
      </c>
      <c r="DM5" s="15"/>
      <c r="DN5" s="16"/>
      <c r="DO5" s="16"/>
      <c r="DP5" s="16"/>
      <c r="DQ5" s="26">
        <v>832000</v>
      </c>
      <c r="DS5" s="15"/>
      <c r="DT5" s="16"/>
      <c r="DU5" s="16"/>
      <c r="DV5" s="16"/>
      <c r="DW5" s="26">
        <v>2458000</v>
      </c>
      <c r="DY5" s="15"/>
      <c r="DZ5" s="16"/>
      <c r="EA5" s="16"/>
      <c r="EB5" s="16"/>
      <c r="EC5" s="26">
        <v>2000000</v>
      </c>
      <c r="EE5" s="15"/>
      <c r="EF5" s="16"/>
      <c r="EG5" s="16"/>
      <c r="EH5" s="16"/>
      <c r="EI5" s="26">
        <v>-100000</v>
      </c>
      <c r="EK5" s="15"/>
      <c r="EL5" s="16"/>
      <c r="EM5" s="16"/>
      <c r="EN5" s="16"/>
      <c r="EO5" s="26">
        <v>1400000</v>
      </c>
      <c r="EQ5" s="15"/>
      <c r="ER5" s="16"/>
      <c r="ES5" s="16"/>
      <c r="ET5" s="16"/>
      <c r="EU5" s="26">
        <v>0</v>
      </c>
      <c r="EW5" s="15"/>
      <c r="EX5" s="16"/>
      <c r="EY5" s="16"/>
      <c r="EZ5" s="16"/>
      <c r="FA5" s="26">
        <v>0</v>
      </c>
      <c r="FC5" s="15"/>
      <c r="FD5" s="16"/>
      <c r="FE5" s="16"/>
      <c r="FF5" s="16"/>
      <c r="FG5" s="26">
        <v>2269000</v>
      </c>
      <c r="FI5" s="15"/>
      <c r="FJ5" s="16"/>
      <c r="FK5" s="16"/>
      <c r="FL5" s="16"/>
      <c r="FM5" s="26">
        <v>2000000</v>
      </c>
      <c r="FO5" s="15"/>
      <c r="FP5" s="16"/>
      <c r="FQ5" s="16"/>
      <c r="FR5" s="16"/>
      <c r="FS5" s="26">
        <v>100000</v>
      </c>
      <c r="FU5" s="15"/>
      <c r="FV5" s="16"/>
      <c r="FW5" s="16"/>
      <c r="FX5" s="16"/>
      <c r="FY5" s="26">
        <v>200000</v>
      </c>
      <c r="GA5" s="15"/>
      <c r="GB5" s="16"/>
      <c r="GC5" s="16"/>
      <c r="GD5" s="16"/>
      <c r="GE5" s="26">
        <v>0</v>
      </c>
      <c r="GG5" s="15"/>
      <c r="GH5" s="16"/>
      <c r="GI5" s="16"/>
      <c r="GJ5" s="16"/>
      <c r="GK5" s="26">
        <v>1850000</v>
      </c>
      <c r="GM5" s="15"/>
      <c r="GN5" s="16"/>
      <c r="GO5" s="16"/>
      <c r="GP5" s="16"/>
      <c r="GQ5" s="26">
        <v>2000000</v>
      </c>
      <c r="GS5" s="15"/>
      <c r="GT5" s="16"/>
      <c r="GU5" s="16"/>
      <c r="GV5" s="16"/>
      <c r="GW5" s="26">
        <v>675000</v>
      </c>
      <c r="GY5" s="15"/>
      <c r="GZ5" s="16"/>
      <c r="HA5" s="16"/>
      <c r="HB5" s="16"/>
      <c r="HC5" s="26">
        <v>-24399.999999992549</v>
      </c>
    </row>
    <row r="6" spans="2:211" hidden="1" outlineLevel="1" x14ac:dyDescent="0.2">
      <c r="C6" s="5">
        <v>202301</v>
      </c>
      <c r="D6" s="6">
        <v>0</v>
      </c>
      <c r="E6" s="6">
        <v>0</v>
      </c>
      <c r="F6" s="8">
        <v>0</v>
      </c>
      <c r="G6" s="7">
        <f>G5+D6-E6</f>
        <v>2275000</v>
      </c>
      <c r="I6" s="5">
        <v>202301</v>
      </c>
      <c r="J6" s="6">
        <v>0</v>
      </c>
      <c r="K6" s="6">
        <v>0</v>
      </c>
      <c r="L6" s="8">
        <v>0</v>
      </c>
      <c r="M6" s="7">
        <f>M5+J6-K6</f>
        <v>0</v>
      </c>
      <c r="O6" s="5">
        <v>202301</v>
      </c>
      <c r="P6" s="6">
        <v>0</v>
      </c>
      <c r="Q6" s="6">
        <v>0</v>
      </c>
      <c r="R6" s="8">
        <v>0</v>
      </c>
      <c r="S6" s="7">
        <f>S5+P6-Q6</f>
        <v>0</v>
      </c>
      <c r="U6" s="5">
        <v>202301</v>
      </c>
      <c r="V6" s="6">
        <v>0</v>
      </c>
      <c r="W6" s="6">
        <v>0</v>
      </c>
      <c r="X6" s="8">
        <v>0</v>
      </c>
      <c r="Y6" s="7">
        <f>Y5+V6-W6</f>
        <v>0</v>
      </c>
      <c r="AA6" s="5">
        <v>202301</v>
      </c>
      <c r="AB6" s="6">
        <v>0</v>
      </c>
      <c r="AC6" s="9">
        <v>267500</v>
      </c>
      <c r="AD6" s="8">
        <v>0</v>
      </c>
      <c r="AE6" s="7">
        <f>AE5+AB6-AC6</f>
        <v>2018500</v>
      </c>
      <c r="AG6" s="5">
        <v>202301</v>
      </c>
      <c r="AH6" s="6">
        <v>0</v>
      </c>
      <c r="AI6" s="6">
        <v>0</v>
      </c>
      <c r="AJ6" s="8">
        <v>0</v>
      </c>
      <c r="AK6" s="7">
        <f>AK5+AH6-AI6</f>
        <v>0</v>
      </c>
      <c r="AM6" s="5">
        <v>202301</v>
      </c>
      <c r="AN6" s="6">
        <v>0</v>
      </c>
      <c r="AO6" s="9">
        <v>0</v>
      </c>
      <c r="AP6" s="8">
        <v>0</v>
      </c>
      <c r="AQ6" s="7">
        <f>AQ5+AN6-AO6</f>
        <v>0</v>
      </c>
      <c r="AS6" s="5">
        <v>202301</v>
      </c>
      <c r="AT6" s="6">
        <v>2000000</v>
      </c>
      <c r="AU6" s="9">
        <v>0</v>
      </c>
      <c r="AV6" s="8">
        <v>0</v>
      </c>
      <c r="AW6" s="7">
        <f>AW5+AT6-AU6</f>
        <v>2000000</v>
      </c>
      <c r="AY6" s="5">
        <v>202301</v>
      </c>
      <c r="AZ6" s="6">
        <v>0</v>
      </c>
      <c r="BA6" s="9">
        <v>215000</v>
      </c>
      <c r="BB6" s="8">
        <v>0</v>
      </c>
      <c r="BC6" s="7">
        <f>BC5+AZ6-BA6</f>
        <v>925000</v>
      </c>
      <c r="BE6" s="5">
        <v>202301</v>
      </c>
      <c r="BF6" s="6">
        <v>0</v>
      </c>
      <c r="BG6" s="9">
        <v>0</v>
      </c>
      <c r="BH6" s="8">
        <v>0</v>
      </c>
      <c r="BI6" s="7">
        <f>BI5+BF6-BG6</f>
        <v>0</v>
      </c>
      <c r="BK6" s="5">
        <v>202301</v>
      </c>
      <c r="BL6" s="6">
        <v>0</v>
      </c>
      <c r="BM6" s="9">
        <v>0</v>
      </c>
      <c r="BN6" s="8">
        <v>0</v>
      </c>
      <c r="BO6" s="7">
        <f>BO5+BL6-BM6</f>
        <v>0</v>
      </c>
      <c r="BQ6" s="5">
        <v>202301</v>
      </c>
      <c r="BR6" s="6">
        <v>0</v>
      </c>
      <c r="BS6" s="9">
        <v>0</v>
      </c>
      <c r="BT6" s="8">
        <v>0</v>
      </c>
      <c r="BU6" s="7">
        <f>BU5+BR6-BS6</f>
        <v>1090500</v>
      </c>
      <c r="BW6" s="5">
        <v>202301</v>
      </c>
      <c r="BX6" s="6">
        <v>0</v>
      </c>
      <c r="BY6" s="6">
        <v>320000</v>
      </c>
      <c r="BZ6" s="8">
        <v>0</v>
      </c>
      <c r="CA6" s="7">
        <f>CA5+BX6-BY6</f>
        <v>1070000</v>
      </c>
      <c r="CC6" s="5">
        <v>202301</v>
      </c>
      <c r="CD6" s="6">
        <v>0</v>
      </c>
      <c r="CE6" s="6">
        <v>0</v>
      </c>
      <c r="CF6" s="8">
        <v>0</v>
      </c>
      <c r="CG6" s="7">
        <f>CG5+CD6-CE6</f>
        <v>3000000</v>
      </c>
      <c r="CI6" s="5">
        <v>202301</v>
      </c>
      <c r="CJ6" s="6">
        <v>0</v>
      </c>
      <c r="CK6" s="6">
        <v>0</v>
      </c>
      <c r="CL6" s="8">
        <v>0</v>
      </c>
      <c r="CM6" s="7">
        <f>CM5+CJ6-CK6</f>
        <v>0</v>
      </c>
      <c r="CO6" s="5">
        <v>202301</v>
      </c>
      <c r="CP6" s="6">
        <v>0</v>
      </c>
      <c r="CQ6" s="6">
        <v>0</v>
      </c>
      <c r="CR6" s="8">
        <v>0</v>
      </c>
      <c r="CS6" s="7">
        <f>CS5+CP6-CQ6</f>
        <v>0</v>
      </c>
      <c r="CU6" s="5">
        <v>202301</v>
      </c>
      <c r="CV6" s="6">
        <v>0</v>
      </c>
      <c r="CW6" s="6">
        <v>0</v>
      </c>
      <c r="CX6" s="8">
        <v>0</v>
      </c>
      <c r="CY6" s="7">
        <f>CY5+CV6-CW6</f>
        <v>0</v>
      </c>
      <c r="DA6" s="5">
        <v>202301</v>
      </c>
      <c r="DB6" s="6">
        <v>0</v>
      </c>
      <c r="DC6" s="6">
        <v>0</v>
      </c>
      <c r="DD6" s="8">
        <v>0</v>
      </c>
      <c r="DE6" s="7">
        <f>DE5+DB6-DC6</f>
        <v>288000</v>
      </c>
      <c r="DG6" s="5">
        <v>202301</v>
      </c>
      <c r="DH6" s="6">
        <v>0</v>
      </c>
      <c r="DI6" s="6">
        <v>0</v>
      </c>
      <c r="DJ6" s="8">
        <v>0</v>
      </c>
      <c r="DK6" s="7">
        <f>DK5+DH6-DI6</f>
        <v>0</v>
      </c>
      <c r="DM6" s="5">
        <v>202301</v>
      </c>
      <c r="DN6" s="6">
        <v>0</v>
      </c>
      <c r="DO6" s="6">
        <v>0</v>
      </c>
      <c r="DP6" s="8">
        <v>0</v>
      </c>
      <c r="DQ6" s="7">
        <f>DQ5+DN6-DO6</f>
        <v>832000</v>
      </c>
      <c r="DS6" s="5">
        <v>202301</v>
      </c>
      <c r="DT6" s="6">
        <v>0</v>
      </c>
      <c r="DU6" s="6">
        <v>0</v>
      </c>
      <c r="DV6" s="8">
        <v>0</v>
      </c>
      <c r="DW6" s="7">
        <f>DW5+DT6-DU6</f>
        <v>2458000</v>
      </c>
      <c r="DY6" s="5">
        <v>202301</v>
      </c>
      <c r="DZ6" s="6">
        <v>0</v>
      </c>
      <c r="EA6" s="6">
        <v>250000</v>
      </c>
      <c r="EB6" s="8">
        <v>0</v>
      </c>
      <c r="EC6" s="7">
        <f>EC5+DZ6-EA6</f>
        <v>1750000</v>
      </c>
      <c r="EE6" s="5">
        <v>202301</v>
      </c>
      <c r="EF6" s="6">
        <v>100000</v>
      </c>
      <c r="EG6" s="6">
        <v>0</v>
      </c>
      <c r="EH6" s="8">
        <v>264200</v>
      </c>
      <c r="EI6" s="7">
        <f>EI5+EF6-EG6</f>
        <v>0</v>
      </c>
      <c r="EK6" s="5">
        <v>202301</v>
      </c>
      <c r="EL6" s="6">
        <v>0</v>
      </c>
      <c r="EM6" s="6">
        <v>200000</v>
      </c>
      <c r="EN6" s="8">
        <v>0</v>
      </c>
      <c r="EO6" s="7">
        <f>EO5+EL6-EM6</f>
        <v>1200000</v>
      </c>
      <c r="EQ6" s="5">
        <v>202301</v>
      </c>
      <c r="ER6" s="6">
        <v>0</v>
      </c>
      <c r="ES6" s="6">
        <v>0</v>
      </c>
      <c r="ET6" s="8">
        <v>0</v>
      </c>
      <c r="EU6" s="7">
        <f>EU5+ER6-ES6</f>
        <v>0</v>
      </c>
      <c r="EW6" s="5">
        <v>202301</v>
      </c>
      <c r="EX6" s="6">
        <v>0</v>
      </c>
      <c r="EY6" s="6">
        <v>0</v>
      </c>
      <c r="EZ6" s="8">
        <v>0</v>
      </c>
      <c r="FA6" s="7">
        <f>FA5+EX6-EY6</f>
        <v>0</v>
      </c>
      <c r="FC6" s="5">
        <v>202301</v>
      </c>
      <c r="FD6" s="6">
        <v>0</v>
      </c>
      <c r="FE6" s="6">
        <v>0</v>
      </c>
      <c r="FF6" s="8">
        <v>0</v>
      </c>
      <c r="FG6" s="7">
        <f>FG5+FD6-FE6</f>
        <v>2269000</v>
      </c>
      <c r="FI6" s="5">
        <v>202301</v>
      </c>
      <c r="FJ6" s="6">
        <v>0</v>
      </c>
      <c r="FK6" s="6">
        <v>400000</v>
      </c>
      <c r="FL6" s="8">
        <v>0</v>
      </c>
      <c r="FM6" s="7">
        <f>FM5+FJ6-FK6</f>
        <v>1600000</v>
      </c>
      <c r="FO6" s="5">
        <v>202301</v>
      </c>
      <c r="FP6" s="6">
        <v>0</v>
      </c>
      <c r="FQ6" s="6">
        <v>100000</v>
      </c>
      <c r="FR6" s="8">
        <v>300000</v>
      </c>
      <c r="FS6" s="7">
        <f>FS5+FP6-FQ6</f>
        <v>0</v>
      </c>
      <c r="FU6" s="5">
        <v>202301</v>
      </c>
      <c r="FV6" s="6">
        <v>0</v>
      </c>
      <c r="FW6" s="6">
        <v>200000</v>
      </c>
      <c r="FX6" s="8">
        <v>368000</v>
      </c>
      <c r="FY6" s="7">
        <f>FY5+FV6-FW6</f>
        <v>0</v>
      </c>
      <c r="GA6" s="5">
        <v>202301</v>
      </c>
      <c r="GB6" s="6">
        <v>2000000</v>
      </c>
      <c r="GC6" s="6">
        <v>0</v>
      </c>
      <c r="GD6" s="8">
        <v>0</v>
      </c>
      <c r="GE6" s="7">
        <f>GE5+GB6-GC6</f>
        <v>2000000</v>
      </c>
      <c r="GG6" s="5">
        <v>202301</v>
      </c>
      <c r="GH6" s="6">
        <v>0</v>
      </c>
      <c r="GI6" s="6">
        <v>0</v>
      </c>
      <c r="GJ6" s="8">
        <v>0</v>
      </c>
      <c r="GK6" s="7">
        <f>GK5+GH6-GI6</f>
        <v>1850000</v>
      </c>
      <c r="GM6" s="5">
        <v>202301</v>
      </c>
      <c r="GN6" s="6">
        <v>0</v>
      </c>
      <c r="GO6" s="6">
        <v>200000</v>
      </c>
      <c r="GP6" s="8">
        <v>0</v>
      </c>
      <c r="GQ6" s="7">
        <f>GQ5+GN6-GO6</f>
        <v>1800000</v>
      </c>
      <c r="GS6" s="5">
        <v>202301</v>
      </c>
      <c r="GT6" s="6">
        <v>0</v>
      </c>
      <c r="GU6" s="6">
        <v>675000</v>
      </c>
      <c r="GV6" s="8">
        <v>152500</v>
      </c>
      <c r="GW6" s="7">
        <f>GW5+GT6-GU6</f>
        <v>0</v>
      </c>
      <c r="GY6" s="5">
        <v>202301</v>
      </c>
      <c r="GZ6" s="6">
        <v>0</v>
      </c>
      <c r="HA6" s="6">
        <v>0</v>
      </c>
      <c r="HB6" s="8">
        <v>0</v>
      </c>
      <c r="HC6" s="7">
        <f>HC5+GZ6-HA6</f>
        <v>-24399.999999992549</v>
      </c>
    </row>
    <row r="7" spans="2:211" hidden="1" outlineLevel="1" x14ac:dyDescent="0.2">
      <c r="C7" s="5">
        <v>202302</v>
      </c>
      <c r="D7" s="6">
        <v>0</v>
      </c>
      <c r="E7" s="6">
        <v>225000</v>
      </c>
      <c r="F7" s="8">
        <v>0</v>
      </c>
      <c r="G7" s="7">
        <f t="shared" ref="G7:G17" si="0">G6+D7-E7</f>
        <v>2050000</v>
      </c>
      <c r="I7" s="5">
        <v>202302</v>
      </c>
      <c r="J7" s="6">
        <v>0</v>
      </c>
      <c r="K7" s="6">
        <v>0</v>
      </c>
      <c r="L7" s="8">
        <v>0</v>
      </c>
      <c r="M7" s="7">
        <f t="shared" ref="M7:M17" si="1">M6+J7-K7</f>
        <v>0</v>
      </c>
      <c r="O7" s="5">
        <v>202302</v>
      </c>
      <c r="P7" s="6">
        <v>0</v>
      </c>
      <c r="Q7" s="6">
        <v>0</v>
      </c>
      <c r="R7" s="8">
        <v>0</v>
      </c>
      <c r="S7" s="7">
        <f t="shared" ref="S7:S17" si="2">S6+P7-Q7</f>
        <v>0</v>
      </c>
      <c r="U7" s="5">
        <v>202302</v>
      </c>
      <c r="V7" s="6">
        <v>0</v>
      </c>
      <c r="W7" s="6">
        <v>0</v>
      </c>
      <c r="X7" s="8">
        <v>0</v>
      </c>
      <c r="Y7" s="7">
        <f t="shared" ref="Y7:Y17" si="3">Y6+V7-W7</f>
        <v>0</v>
      </c>
      <c r="AA7" s="5">
        <v>202302</v>
      </c>
      <c r="AB7" s="6">
        <v>0</v>
      </c>
      <c r="AC7" s="9">
        <v>267500</v>
      </c>
      <c r="AD7" s="8">
        <v>0</v>
      </c>
      <c r="AE7" s="7">
        <f t="shared" ref="AE7:AE17" si="4">AE6+AB7-AC7</f>
        <v>1751000</v>
      </c>
      <c r="AG7" s="5">
        <v>202302</v>
      </c>
      <c r="AH7" s="6">
        <v>0</v>
      </c>
      <c r="AI7" s="6">
        <v>0</v>
      </c>
      <c r="AJ7" s="8">
        <v>0</v>
      </c>
      <c r="AK7" s="7">
        <f t="shared" ref="AK7:AK17" si="5">AK6+AH7-AI7</f>
        <v>0</v>
      </c>
      <c r="AM7" s="5">
        <v>202302</v>
      </c>
      <c r="AN7" s="6">
        <v>0</v>
      </c>
      <c r="AO7" s="9">
        <v>0</v>
      </c>
      <c r="AP7" s="8">
        <v>0</v>
      </c>
      <c r="AQ7" s="7">
        <f t="shared" ref="AQ7:AQ17" si="6">AQ6+AN7-AO7</f>
        <v>0</v>
      </c>
      <c r="AS7" s="5">
        <v>202302</v>
      </c>
      <c r="AT7" s="6">
        <v>0</v>
      </c>
      <c r="AU7" s="9">
        <v>680000</v>
      </c>
      <c r="AV7" s="8">
        <v>0</v>
      </c>
      <c r="AW7" s="7">
        <f t="shared" ref="AW7:AW17" si="7">AW6+AT7-AU7</f>
        <v>1320000</v>
      </c>
      <c r="AY7" s="5">
        <v>202302</v>
      </c>
      <c r="AZ7" s="6">
        <v>0</v>
      </c>
      <c r="BA7" s="9">
        <v>0</v>
      </c>
      <c r="BB7" s="8">
        <v>0</v>
      </c>
      <c r="BC7" s="7">
        <f t="shared" ref="BC7:BC17" si="8">BC6+AZ7-BA7</f>
        <v>925000</v>
      </c>
      <c r="BE7" s="5">
        <v>202302</v>
      </c>
      <c r="BF7" s="6">
        <v>0</v>
      </c>
      <c r="BG7" s="9">
        <v>0</v>
      </c>
      <c r="BH7" s="8">
        <v>0</v>
      </c>
      <c r="BI7" s="7">
        <f t="shared" ref="BI7:BI17" si="9">BI6+BF7-BG7</f>
        <v>0</v>
      </c>
      <c r="BK7" s="5">
        <v>202302</v>
      </c>
      <c r="BL7" s="6">
        <v>0</v>
      </c>
      <c r="BM7" s="9">
        <v>0</v>
      </c>
      <c r="BN7" s="8">
        <v>0</v>
      </c>
      <c r="BO7" s="7">
        <f t="shared" ref="BO7:BO17" si="10">BO6+BL7-BM7</f>
        <v>0</v>
      </c>
      <c r="BQ7" s="5">
        <v>202302</v>
      </c>
      <c r="BR7" s="6">
        <v>0</v>
      </c>
      <c r="BS7" s="9">
        <v>214000</v>
      </c>
      <c r="BT7" s="8">
        <v>0</v>
      </c>
      <c r="BU7" s="7">
        <f t="shared" ref="BU7:BU17" si="11">BU6+BR7-BS7</f>
        <v>876500</v>
      </c>
      <c r="BW7" s="5">
        <v>202302</v>
      </c>
      <c r="BX7" s="6">
        <v>0</v>
      </c>
      <c r="BY7" s="6">
        <v>320000</v>
      </c>
      <c r="BZ7" s="8">
        <v>0</v>
      </c>
      <c r="CA7" s="7">
        <f t="shared" ref="CA7:CA17" si="12">CA6+BX7-BY7</f>
        <v>750000</v>
      </c>
      <c r="CC7" s="5">
        <v>202302</v>
      </c>
      <c r="CD7" s="6">
        <v>0</v>
      </c>
      <c r="CE7" s="6">
        <v>0</v>
      </c>
      <c r="CF7" s="8">
        <v>0</v>
      </c>
      <c r="CG7" s="7">
        <f t="shared" ref="CG7:CG17" si="13">CG6+CD7-CE7</f>
        <v>3000000</v>
      </c>
      <c r="CI7" s="5">
        <v>202302</v>
      </c>
      <c r="CJ7" s="6">
        <v>0</v>
      </c>
      <c r="CK7" s="6">
        <v>0</v>
      </c>
      <c r="CL7" s="8">
        <v>0</v>
      </c>
      <c r="CM7" s="7">
        <f t="shared" ref="CM7:CM17" si="14">CM6+CJ7-CK7</f>
        <v>0</v>
      </c>
      <c r="CO7" s="5">
        <v>202302</v>
      </c>
      <c r="CP7" s="6">
        <v>0</v>
      </c>
      <c r="CQ7" s="6">
        <v>0</v>
      </c>
      <c r="CR7" s="8">
        <v>0</v>
      </c>
      <c r="CS7" s="7">
        <f t="shared" ref="CS7:CS17" si="15">CS6+CP7-CQ7</f>
        <v>0</v>
      </c>
      <c r="CU7" s="5">
        <v>202302</v>
      </c>
      <c r="CV7" s="6">
        <v>0</v>
      </c>
      <c r="CW7" s="6">
        <v>0</v>
      </c>
      <c r="CX7" s="8">
        <v>0</v>
      </c>
      <c r="CY7" s="7">
        <f t="shared" ref="CY7:CY17" si="16">CY6+CV7-CW7</f>
        <v>0</v>
      </c>
      <c r="DA7" s="5">
        <v>202302</v>
      </c>
      <c r="DB7" s="6">
        <v>0</v>
      </c>
      <c r="DC7" s="6">
        <v>288000</v>
      </c>
      <c r="DD7" s="8">
        <v>140000</v>
      </c>
      <c r="DE7" s="7">
        <f t="shared" ref="DE7:DE17" si="17">DE6+DB7-DC7</f>
        <v>0</v>
      </c>
      <c r="DG7" s="5">
        <v>202302</v>
      </c>
      <c r="DH7" s="6">
        <v>0</v>
      </c>
      <c r="DI7" s="6">
        <v>0</v>
      </c>
      <c r="DJ7" s="8">
        <v>0</v>
      </c>
      <c r="DK7" s="7">
        <f t="shared" ref="DK7:DK17" si="18">DK6+DH7-DI7</f>
        <v>0</v>
      </c>
      <c r="DM7" s="5">
        <v>202302</v>
      </c>
      <c r="DN7" s="6">
        <v>0</v>
      </c>
      <c r="DO7" s="6">
        <v>271000</v>
      </c>
      <c r="DP7" s="8">
        <v>0</v>
      </c>
      <c r="DQ7" s="7">
        <f t="shared" ref="DQ7:DQ17" si="19">DQ6+DN7-DO7</f>
        <v>561000</v>
      </c>
      <c r="DS7" s="5">
        <v>202302</v>
      </c>
      <c r="DT7" s="6">
        <v>0</v>
      </c>
      <c r="DU7" s="6">
        <v>0</v>
      </c>
      <c r="DV7" s="8">
        <v>0</v>
      </c>
      <c r="DW7" s="7">
        <f t="shared" ref="DW7:DW17" si="20">DW6+DT7-DU7</f>
        <v>2458000</v>
      </c>
      <c r="DY7" s="5">
        <v>202302</v>
      </c>
      <c r="DZ7" s="6">
        <v>0</v>
      </c>
      <c r="EA7" s="6">
        <v>0</v>
      </c>
      <c r="EB7" s="8">
        <v>0</v>
      </c>
      <c r="EC7" s="7">
        <f t="shared" ref="EC7:EC17" si="21">EC6+DZ7-EA7</f>
        <v>1750000</v>
      </c>
      <c r="EE7" s="5">
        <v>202302</v>
      </c>
      <c r="EF7" s="6">
        <v>0</v>
      </c>
      <c r="EG7" s="6">
        <v>0</v>
      </c>
      <c r="EH7" s="8">
        <v>0</v>
      </c>
      <c r="EI7" s="7">
        <f t="shared" ref="EI7:EI17" si="22">EI6+EF7-EG7</f>
        <v>0</v>
      </c>
      <c r="EK7" s="5">
        <v>202302</v>
      </c>
      <c r="EL7" s="6">
        <v>0</v>
      </c>
      <c r="EM7" s="6">
        <v>0</v>
      </c>
      <c r="EN7" s="8">
        <v>0</v>
      </c>
      <c r="EO7" s="7">
        <f t="shared" ref="EO7:EO17" si="23">EO6+EL7-EM7</f>
        <v>1200000</v>
      </c>
      <c r="EQ7" s="5">
        <v>202302</v>
      </c>
      <c r="ER7" s="6">
        <v>0</v>
      </c>
      <c r="ES7" s="6">
        <v>0</v>
      </c>
      <c r="ET7" s="8">
        <v>0</v>
      </c>
      <c r="EU7" s="7">
        <f t="shared" ref="EU7:EU17" si="24">EU6+ER7-ES7</f>
        <v>0</v>
      </c>
      <c r="EW7" s="5">
        <v>202302</v>
      </c>
      <c r="EX7" s="6">
        <v>2500000</v>
      </c>
      <c r="EY7" s="6">
        <v>0</v>
      </c>
      <c r="EZ7" s="8">
        <v>0</v>
      </c>
      <c r="FA7" s="7">
        <f t="shared" ref="FA7:FA17" si="25">FA6+EX7-EY7</f>
        <v>2500000</v>
      </c>
      <c r="FC7" s="5">
        <v>202302</v>
      </c>
      <c r="FD7" s="6">
        <v>0</v>
      </c>
      <c r="FE7" s="6">
        <v>462000</v>
      </c>
      <c r="FF7" s="8">
        <v>0</v>
      </c>
      <c r="FG7" s="7">
        <f t="shared" ref="FG7:FG17" si="26">FG6+FD7-FE7</f>
        <v>1807000</v>
      </c>
      <c r="FI7" s="5">
        <v>202302</v>
      </c>
      <c r="FJ7" s="6">
        <v>0</v>
      </c>
      <c r="FK7" s="6">
        <v>0</v>
      </c>
      <c r="FL7" s="8">
        <v>0</v>
      </c>
      <c r="FM7" s="7">
        <f t="shared" ref="FM7:FM17" si="27">FM6+FJ7-FK7</f>
        <v>1600000</v>
      </c>
      <c r="FO7" s="5">
        <v>202302</v>
      </c>
      <c r="FP7" s="6">
        <v>0</v>
      </c>
      <c r="FQ7" s="6">
        <v>0</v>
      </c>
      <c r="FR7" s="8">
        <v>0</v>
      </c>
      <c r="FS7" s="7">
        <f t="shared" ref="FS7:FS17" si="28">FS6+FP7-FQ7</f>
        <v>0</v>
      </c>
      <c r="FU7" s="5">
        <v>202302</v>
      </c>
      <c r="FV7" s="6">
        <v>0</v>
      </c>
      <c r="FW7" s="6">
        <v>0</v>
      </c>
      <c r="FX7" s="8">
        <v>0</v>
      </c>
      <c r="FY7" s="7">
        <f t="shared" ref="FY7:FY17" si="29">FY6+FV7-FW7</f>
        <v>0</v>
      </c>
      <c r="GA7" s="5">
        <v>202302</v>
      </c>
      <c r="GB7" s="6">
        <v>0</v>
      </c>
      <c r="GC7" s="6">
        <v>214000</v>
      </c>
      <c r="GD7" s="8">
        <v>0</v>
      </c>
      <c r="GE7" s="7">
        <f t="shared" ref="GE7:GE17" si="30">GE6+GB7-GC7</f>
        <v>1786000</v>
      </c>
      <c r="GG7" s="5">
        <v>202302</v>
      </c>
      <c r="GH7" s="6">
        <v>0</v>
      </c>
      <c r="GI7" s="6">
        <v>300000</v>
      </c>
      <c r="GJ7" s="8">
        <v>0</v>
      </c>
      <c r="GK7" s="7">
        <f t="shared" ref="GK7:GK17" si="31">GK6+GH7-GI7</f>
        <v>1550000</v>
      </c>
      <c r="GM7" s="5">
        <v>202302</v>
      </c>
      <c r="GN7" s="6">
        <v>0</v>
      </c>
      <c r="GO7" s="6">
        <v>200000</v>
      </c>
      <c r="GP7" s="8">
        <v>0</v>
      </c>
      <c r="GQ7" s="7">
        <f t="shared" ref="GQ7:GQ17" si="32">GQ6+GN7-GO7</f>
        <v>1600000</v>
      </c>
      <c r="GS7" s="5">
        <v>202302</v>
      </c>
      <c r="GT7" s="6">
        <v>0</v>
      </c>
      <c r="GU7" s="6">
        <v>0</v>
      </c>
      <c r="GV7" s="8">
        <v>0</v>
      </c>
      <c r="GW7" s="7">
        <f t="shared" ref="GW7:GW17" si="33">GW6+GT7-GU7</f>
        <v>0</v>
      </c>
      <c r="GY7" s="5">
        <v>202302</v>
      </c>
      <c r="GZ7" s="6">
        <v>0</v>
      </c>
      <c r="HA7" s="6">
        <v>0</v>
      </c>
      <c r="HB7" s="8">
        <v>0</v>
      </c>
      <c r="HC7" s="7">
        <f t="shared" ref="HC7:HC17" si="34">HC6+GZ7-HA7</f>
        <v>-24399.999999992549</v>
      </c>
    </row>
    <row r="8" spans="2:211" hidden="1" outlineLevel="1" x14ac:dyDescent="0.2">
      <c r="C8" s="5">
        <v>202303</v>
      </c>
      <c r="D8" s="6">
        <v>0</v>
      </c>
      <c r="E8" s="6">
        <v>450000</v>
      </c>
      <c r="F8" s="8">
        <v>0</v>
      </c>
      <c r="G8" s="7">
        <f t="shared" si="0"/>
        <v>1600000</v>
      </c>
      <c r="I8" s="5">
        <v>202303</v>
      </c>
      <c r="J8" s="6">
        <v>0</v>
      </c>
      <c r="K8" s="6">
        <v>0</v>
      </c>
      <c r="L8" s="8">
        <v>0</v>
      </c>
      <c r="M8" s="7">
        <f t="shared" si="1"/>
        <v>0</v>
      </c>
      <c r="O8" s="5">
        <v>202303</v>
      </c>
      <c r="P8" s="6">
        <v>0</v>
      </c>
      <c r="Q8" s="6">
        <v>0</v>
      </c>
      <c r="R8" s="8">
        <v>0</v>
      </c>
      <c r="S8" s="7">
        <f t="shared" si="2"/>
        <v>0</v>
      </c>
      <c r="U8" s="5">
        <v>202303</v>
      </c>
      <c r="V8" s="6">
        <v>0</v>
      </c>
      <c r="W8" s="6">
        <v>0</v>
      </c>
      <c r="X8" s="8">
        <v>0</v>
      </c>
      <c r="Y8" s="7">
        <f t="shared" si="3"/>
        <v>0</v>
      </c>
      <c r="AA8" s="5">
        <v>202303</v>
      </c>
      <c r="AB8" s="6">
        <v>0</v>
      </c>
      <c r="AC8" s="9">
        <v>267500</v>
      </c>
      <c r="AD8" s="8">
        <v>0</v>
      </c>
      <c r="AE8" s="7">
        <f t="shared" si="4"/>
        <v>1483500</v>
      </c>
      <c r="AG8" s="5">
        <v>202303</v>
      </c>
      <c r="AH8" s="6">
        <v>0</v>
      </c>
      <c r="AI8" s="6">
        <v>0</v>
      </c>
      <c r="AJ8" s="8">
        <v>0</v>
      </c>
      <c r="AK8" s="7">
        <f t="shared" si="5"/>
        <v>0</v>
      </c>
      <c r="AM8" s="5">
        <v>202303</v>
      </c>
      <c r="AN8" s="6">
        <v>0</v>
      </c>
      <c r="AO8" s="9">
        <v>0</v>
      </c>
      <c r="AP8" s="8">
        <v>0</v>
      </c>
      <c r="AQ8" s="7">
        <f t="shared" si="6"/>
        <v>0</v>
      </c>
      <c r="AS8" s="5">
        <v>202303</v>
      </c>
      <c r="AT8" s="6">
        <v>0</v>
      </c>
      <c r="AU8" s="9">
        <v>680000</v>
      </c>
      <c r="AV8" s="8">
        <v>0</v>
      </c>
      <c r="AW8" s="7">
        <f t="shared" si="7"/>
        <v>640000</v>
      </c>
      <c r="AY8" s="5">
        <v>202303</v>
      </c>
      <c r="AZ8" s="6">
        <v>0</v>
      </c>
      <c r="BA8" s="9">
        <v>430000</v>
      </c>
      <c r="BB8" s="8">
        <v>0</v>
      </c>
      <c r="BC8" s="7">
        <f t="shared" si="8"/>
        <v>495000</v>
      </c>
      <c r="BE8" s="5">
        <v>202303</v>
      </c>
      <c r="BF8" s="6">
        <v>0</v>
      </c>
      <c r="BG8" s="9">
        <v>0</v>
      </c>
      <c r="BH8" s="8">
        <v>0</v>
      </c>
      <c r="BI8" s="7">
        <f t="shared" si="9"/>
        <v>0</v>
      </c>
      <c r="BK8" s="5">
        <v>202303</v>
      </c>
      <c r="BL8" s="6">
        <v>0</v>
      </c>
      <c r="BM8" s="9">
        <v>0</v>
      </c>
      <c r="BN8" s="8">
        <v>0</v>
      </c>
      <c r="BO8" s="7">
        <f t="shared" si="10"/>
        <v>0</v>
      </c>
      <c r="BQ8" s="5">
        <v>202303</v>
      </c>
      <c r="BR8" s="6">
        <v>0</v>
      </c>
      <c r="BS8" s="9">
        <v>428000</v>
      </c>
      <c r="BT8" s="8">
        <v>0</v>
      </c>
      <c r="BU8" s="7">
        <f t="shared" si="11"/>
        <v>448500</v>
      </c>
      <c r="BW8" s="5">
        <v>202303</v>
      </c>
      <c r="BX8" s="6">
        <v>0</v>
      </c>
      <c r="BY8" s="6">
        <v>320000</v>
      </c>
      <c r="BZ8" s="8">
        <v>0</v>
      </c>
      <c r="CA8" s="7">
        <f t="shared" si="12"/>
        <v>430000</v>
      </c>
      <c r="CC8" s="5">
        <v>202303</v>
      </c>
      <c r="CD8" s="6">
        <v>0</v>
      </c>
      <c r="CE8" s="6">
        <v>0</v>
      </c>
      <c r="CF8" s="8">
        <v>0</v>
      </c>
      <c r="CG8" s="7">
        <f t="shared" si="13"/>
        <v>3000000</v>
      </c>
      <c r="CI8" s="5">
        <v>202303</v>
      </c>
      <c r="CJ8" s="6">
        <v>2500000</v>
      </c>
      <c r="CK8" s="6">
        <v>0</v>
      </c>
      <c r="CL8" s="8">
        <v>0</v>
      </c>
      <c r="CM8" s="7">
        <f t="shared" si="14"/>
        <v>2500000</v>
      </c>
      <c r="CO8" s="5">
        <v>202303</v>
      </c>
      <c r="CP8" s="6">
        <v>0</v>
      </c>
      <c r="CQ8" s="6">
        <v>0</v>
      </c>
      <c r="CR8" s="8">
        <v>0</v>
      </c>
      <c r="CS8" s="7">
        <f t="shared" si="15"/>
        <v>0</v>
      </c>
      <c r="CU8" s="5">
        <v>202303</v>
      </c>
      <c r="CV8" s="6">
        <v>0</v>
      </c>
      <c r="CW8" s="6">
        <v>0</v>
      </c>
      <c r="CX8" s="8">
        <v>0</v>
      </c>
      <c r="CY8" s="7">
        <f t="shared" si="16"/>
        <v>0</v>
      </c>
      <c r="DA8" s="5">
        <v>202303</v>
      </c>
      <c r="DB8" s="6">
        <v>0</v>
      </c>
      <c r="DC8" s="6">
        <v>0</v>
      </c>
      <c r="DD8" s="8">
        <v>0</v>
      </c>
      <c r="DE8" s="7">
        <f t="shared" si="17"/>
        <v>0</v>
      </c>
      <c r="DG8" s="5">
        <v>202303</v>
      </c>
      <c r="DH8" s="6">
        <v>0</v>
      </c>
      <c r="DI8" s="6">
        <v>0</v>
      </c>
      <c r="DJ8" s="8">
        <v>0</v>
      </c>
      <c r="DK8" s="7">
        <f t="shared" si="18"/>
        <v>0</v>
      </c>
      <c r="DM8" s="5">
        <v>202303</v>
      </c>
      <c r="DN8" s="6">
        <v>0</v>
      </c>
      <c r="DO8" s="6">
        <v>0</v>
      </c>
      <c r="DP8" s="8">
        <v>0</v>
      </c>
      <c r="DQ8" s="7">
        <f t="shared" si="19"/>
        <v>561000</v>
      </c>
      <c r="DS8" s="5">
        <v>202303</v>
      </c>
      <c r="DT8" s="6">
        <v>0</v>
      </c>
      <c r="DU8" s="6">
        <v>0</v>
      </c>
      <c r="DV8" s="8">
        <v>0</v>
      </c>
      <c r="DW8" s="7">
        <f t="shared" si="20"/>
        <v>2458000</v>
      </c>
      <c r="DY8" s="5">
        <v>202303</v>
      </c>
      <c r="DZ8" s="6">
        <v>0</v>
      </c>
      <c r="EA8" s="6">
        <v>250000</v>
      </c>
      <c r="EB8" s="8">
        <v>0</v>
      </c>
      <c r="EC8" s="7">
        <f t="shared" si="21"/>
        <v>1500000</v>
      </c>
      <c r="EE8" s="5">
        <v>202303</v>
      </c>
      <c r="EF8" s="6">
        <v>0</v>
      </c>
      <c r="EG8" s="6">
        <v>0</v>
      </c>
      <c r="EH8" s="8">
        <v>0</v>
      </c>
      <c r="EI8" s="7">
        <f t="shared" si="22"/>
        <v>0</v>
      </c>
      <c r="EK8" s="5">
        <v>202303</v>
      </c>
      <c r="EL8" s="6">
        <v>0</v>
      </c>
      <c r="EM8" s="6">
        <v>0</v>
      </c>
      <c r="EN8" s="8">
        <v>0</v>
      </c>
      <c r="EO8" s="7">
        <f t="shared" si="23"/>
        <v>1200000</v>
      </c>
      <c r="EQ8" s="5">
        <v>202303</v>
      </c>
      <c r="ER8" s="6">
        <v>0</v>
      </c>
      <c r="ES8" s="6">
        <v>0</v>
      </c>
      <c r="ET8" s="8">
        <v>0</v>
      </c>
      <c r="EU8" s="7">
        <f t="shared" si="24"/>
        <v>0</v>
      </c>
      <c r="EW8" s="5">
        <v>202303</v>
      </c>
      <c r="EX8" s="6">
        <v>0</v>
      </c>
      <c r="EY8" s="6">
        <v>570000</v>
      </c>
      <c r="EZ8" s="8">
        <v>0</v>
      </c>
      <c r="FA8" s="7">
        <f t="shared" si="25"/>
        <v>1930000</v>
      </c>
      <c r="FC8" s="5">
        <v>202303</v>
      </c>
      <c r="FD8" s="6">
        <v>0</v>
      </c>
      <c r="FE8" s="6">
        <v>0</v>
      </c>
      <c r="FF8" s="8">
        <v>0</v>
      </c>
      <c r="FG8" s="7">
        <f t="shared" si="26"/>
        <v>1807000</v>
      </c>
      <c r="FI8" s="5">
        <v>202303</v>
      </c>
      <c r="FJ8" s="6">
        <v>0</v>
      </c>
      <c r="FK8" s="6">
        <v>0</v>
      </c>
      <c r="FL8" s="8">
        <v>0</v>
      </c>
      <c r="FM8" s="7">
        <f t="shared" si="27"/>
        <v>1600000</v>
      </c>
      <c r="FO8" s="5">
        <v>202303</v>
      </c>
      <c r="FP8" s="6">
        <v>0</v>
      </c>
      <c r="FQ8" s="6">
        <v>0</v>
      </c>
      <c r="FR8" s="8">
        <v>0</v>
      </c>
      <c r="FS8" s="7">
        <f t="shared" si="28"/>
        <v>0</v>
      </c>
      <c r="FU8" s="5">
        <v>202303</v>
      </c>
      <c r="FV8" s="6">
        <v>0</v>
      </c>
      <c r="FW8" s="6">
        <v>0</v>
      </c>
      <c r="FX8" s="8">
        <v>0</v>
      </c>
      <c r="FY8" s="7">
        <f t="shared" si="29"/>
        <v>0</v>
      </c>
      <c r="GA8" s="5">
        <v>202303</v>
      </c>
      <c r="GB8" s="6">
        <v>0</v>
      </c>
      <c r="GC8" s="6">
        <v>214000</v>
      </c>
      <c r="GD8" s="8">
        <v>0</v>
      </c>
      <c r="GE8" s="7">
        <f t="shared" si="30"/>
        <v>1572000</v>
      </c>
      <c r="GG8" s="5">
        <v>202303</v>
      </c>
      <c r="GH8" s="6">
        <v>0</v>
      </c>
      <c r="GI8" s="6">
        <v>0</v>
      </c>
      <c r="GJ8" s="8">
        <v>0</v>
      </c>
      <c r="GK8" s="7">
        <f t="shared" si="31"/>
        <v>1550000</v>
      </c>
      <c r="GM8" s="5">
        <v>202303</v>
      </c>
      <c r="GN8" s="6">
        <v>0</v>
      </c>
      <c r="GO8" s="6">
        <v>0</v>
      </c>
      <c r="GP8" s="8">
        <v>0</v>
      </c>
      <c r="GQ8" s="7">
        <f t="shared" si="32"/>
        <v>1600000</v>
      </c>
      <c r="GS8" s="5">
        <v>202303</v>
      </c>
      <c r="GT8" s="6">
        <v>0</v>
      </c>
      <c r="GU8" s="6">
        <v>0</v>
      </c>
      <c r="GV8" s="8">
        <v>0</v>
      </c>
      <c r="GW8" s="7">
        <f t="shared" si="33"/>
        <v>0</v>
      </c>
      <c r="GY8" s="5">
        <v>202303</v>
      </c>
      <c r="GZ8" s="6">
        <v>0</v>
      </c>
      <c r="HA8" s="6">
        <v>0</v>
      </c>
      <c r="HB8" s="8">
        <v>0</v>
      </c>
      <c r="HC8" s="7">
        <f t="shared" si="34"/>
        <v>-24399.999999992549</v>
      </c>
    </row>
    <row r="9" spans="2:211" hidden="1" outlineLevel="1" x14ac:dyDescent="0.2">
      <c r="C9" s="5">
        <v>202304</v>
      </c>
      <c r="D9" s="6">
        <v>0</v>
      </c>
      <c r="E9" s="6">
        <v>0</v>
      </c>
      <c r="F9" s="8">
        <v>0</v>
      </c>
      <c r="G9" s="7">
        <f t="shared" si="0"/>
        <v>1600000</v>
      </c>
      <c r="I9" s="5">
        <v>202304</v>
      </c>
      <c r="J9" s="6">
        <v>0</v>
      </c>
      <c r="K9" s="6">
        <v>0</v>
      </c>
      <c r="L9" s="8">
        <v>0</v>
      </c>
      <c r="M9" s="7">
        <f t="shared" si="1"/>
        <v>0</v>
      </c>
      <c r="O9" s="5">
        <v>202304</v>
      </c>
      <c r="P9" s="6">
        <v>0</v>
      </c>
      <c r="Q9" s="6">
        <v>0</v>
      </c>
      <c r="R9" s="8">
        <v>0</v>
      </c>
      <c r="S9" s="7">
        <f t="shared" si="2"/>
        <v>0</v>
      </c>
      <c r="U9" s="5">
        <v>202304</v>
      </c>
      <c r="V9" s="6">
        <v>0</v>
      </c>
      <c r="W9" s="6">
        <v>0</v>
      </c>
      <c r="X9" s="8">
        <v>0</v>
      </c>
      <c r="Y9" s="7">
        <f t="shared" si="3"/>
        <v>0</v>
      </c>
      <c r="AA9" s="5">
        <v>202304</v>
      </c>
      <c r="AB9" s="6">
        <v>0</v>
      </c>
      <c r="AC9" s="9">
        <v>267500</v>
      </c>
      <c r="AD9" s="8">
        <v>0</v>
      </c>
      <c r="AE9" s="7">
        <f t="shared" si="4"/>
        <v>1216000</v>
      </c>
      <c r="AG9" s="5">
        <v>202304</v>
      </c>
      <c r="AH9" s="6">
        <v>0</v>
      </c>
      <c r="AI9" s="6">
        <v>0</v>
      </c>
      <c r="AJ9" s="8">
        <v>0</v>
      </c>
      <c r="AK9" s="7">
        <f t="shared" si="5"/>
        <v>0</v>
      </c>
      <c r="AM9" s="5">
        <v>202304</v>
      </c>
      <c r="AN9" s="6">
        <v>0</v>
      </c>
      <c r="AO9" s="9">
        <v>0</v>
      </c>
      <c r="AP9" s="8">
        <v>0</v>
      </c>
      <c r="AQ9" s="7">
        <f t="shared" si="6"/>
        <v>0</v>
      </c>
      <c r="AS9" s="5">
        <v>202304</v>
      </c>
      <c r="AT9" s="6">
        <v>0</v>
      </c>
      <c r="AU9" s="9">
        <v>640000</v>
      </c>
      <c r="AV9" s="8">
        <v>42000</v>
      </c>
      <c r="AW9" s="7">
        <f t="shared" si="7"/>
        <v>0</v>
      </c>
      <c r="AY9" s="5">
        <v>202304</v>
      </c>
      <c r="AZ9" s="6">
        <v>0</v>
      </c>
      <c r="BA9" s="9">
        <v>0</v>
      </c>
      <c r="BB9" s="8">
        <v>0</v>
      </c>
      <c r="BC9" s="7">
        <f t="shared" si="8"/>
        <v>495000</v>
      </c>
      <c r="BE9" s="5">
        <v>202304</v>
      </c>
      <c r="BF9" s="6">
        <v>0</v>
      </c>
      <c r="BG9" s="9">
        <v>0</v>
      </c>
      <c r="BH9" s="8">
        <v>0</v>
      </c>
      <c r="BI9" s="7">
        <f t="shared" si="9"/>
        <v>0</v>
      </c>
      <c r="BK9" s="5">
        <v>202304</v>
      </c>
      <c r="BL9" s="6">
        <v>0</v>
      </c>
      <c r="BM9" s="9">
        <v>0</v>
      </c>
      <c r="BN9" s="8">
        <v>0</v>
      </c>
      <c r="BO9" s="7">
        <f t="shared" si="10"/>
        <v>0</v>
      </c>
      <c r="BQ9" s="5">
        <v>202304</v>
      </c>
      <c r="BR9" s="6">
        <v>0</v>
      </c>
      <c r="BS9" s="9">
        <v>214000</v>
      </c>
      <c r="BT9" s="8">
        <v>0</v>
      </c>
      <c r="BU9" s="7">
        <f t="shared" si="11"/>
        <v>234500</v>
      </c>
      <c r="BW9" s="5">
        <v>202304</v>
      </c>
      <c r="BX9" s="6">
        <v>0</v>
      </c>
      <c r="BY9" s="6">
        <v>320000</v>
      </c>
      <c r="BZ9" s="8">
        <v>0</v>
      </c>
      <c r="CA9" s="7">
        <f t="shared" si="12"/>
        <v>110000</v>
      </c>
      <c r="CC9" s="5">
        <v>202304</v>
      </c>
      <c r="CD9" s="6">
        <v>0</v>
      </c>
      <c r="CE9" s="6">
        <v>267500</v>
      </c>
      <c r="CF9" s="8">
        <v>0</v>
      </c>
      <c r="CG9" s="7">
        <f t="shared" si="13"/>
        <v>2732500</v>
      </c>
      <c r="CI9" s="5">
        <v>202304</v>
      </c>
      <c r="CJ9" s="6">
        <v>0</v>
      </c>
      <c r="CK9" s="6">
        <v>300000</v>
      </c>
      <c r="CL9" s="8">
        <v>0</v>
      </c>
      <c r="CM9" s="7">
        <f t="shared" si="14"/>
        <v>2200000</v>
      </c>
      <c r="CO9" s="5">
        <v>202304</v>
      </c>
      <c r="CP9" s="6">
        <v>0</v>
      </c>
      <c r="CQ9" s="6">
        <v>0</v>
      </c>
      <c r="CR9" s="8">
        <v>0</v>
      </c>
      <c r="CS9" s="7">
        <f t="shared" si="15"/>
        <v>0</v>
      </c>
      <c r="CU9" s="5">
        <v>202304</v>
      </c>
      <c r="CV9" s="6">
        <v>0</v>
      </c>
      <c r="CW9" s="6">
        <v>0</v>
      </c>
      <c r="CX9" s="8">
        <v>0</v>
      </c>
      <c r="CY9" s="7">
        <f t="shared" si="16"/>
        <v>0</v>
      </c>
      <c r="DA9" s="5">
        <v>202304</v>
      </c>
      <c r="DB9" s="6">
        <v>0</v>
      </c>
      <c r="DC9" s="6">
        <v>0</v>
      </c>
      <c r="DD9" s="8">
        <v>0</v>
      </c>
      <c r="DE9" s="7">
        <f t="shared" si="17"/>
        <v>0</v>
      </c>
      <c r="DG9" s="5">
        <v>202304</v>
      </c>
      <c r="DH9" s="6">
        <v>0</v>
      </c>
      <c r="DI9" s="6">
        <v>0</v>
      </c>
      <c r="DJ9" s="8">
        <v>0</v>
      </c>
      <c r="DK9" s="7">
        <f t="shared" si="18"/>
        <v>0</v>
      </c>
      <c r="DM9" s="5">
        <v>202304</v>
      </c>
      <c r="DN9" s="6">
        <v>0</v>
      </c>
      <c r="DO9" s="6">
        <v>271000</v>
      </c>
      <c r="DP9" s="8">
        <v>0</v>
      </c>
      <c r="DQ9" s="7">
        <f t="shared" si="19"/>
        <v>290000</v>
      </c>
      <c r="DS9" s="5">
        <v>202304</v>
      </c>
      <c r="DT9" s="6">
        <v>0</v>
      </c>
      <c r="DU9" s="6">
        <v>0</v>
      </c>
      <c r="DV9" s="8">
        <v>0</v>
      </c>
      <c r="DW9" s="7">
        <f t="shared" si="20"/>
        <v>2458000</v>
      </c>
      <c r="DY9" s="5">
        <v>202304</v>
      </c>
      <c r="DZ9" s="6">
        <v>0</v>
      </c>
      <c r="EA9" s="6">
        <v>250000</v>
      </c>
      <c r="EB9" s="8">
        <v>0</v>
      </c>
      <c r="EC9" s="7">
        <f t="shared" si="21"/>
        <v>1250000</v>
      </c>
      <c r="EE9" s="5">
        <v>202304</v>
      </c>
      <c r="EF9" s="6">
        <v>0</v>
      </c>
      <c r="EG9" s="6">
        <v>0</v>
      </c>
      <c r="EH9" s="8">
        <v>0</v>
      </c>
      <c r="EI9" s="7">
        <f t="shared" si="22"/>
        <v>0</v>
      </c>
      <c r="EK9" s="5">
        <v>202304</v>
      </c>
      <c r="EL9" s="6">
        <v>0</v>
      </c>
      <c r="EM9" s="6">
        <v>0</v>
      </c>
      <c r="EN9" s="8">
        <v>0</v>
      </c>
      <c r="EO9" s="7">
        <f t="shared" si="23"/>
        <v>1200000</v>
      </c>
      <c r="EQ9" s="5">
        <v>202304</v>
      </c>
      <c r="ER9" s="6">
        <v>0</v>
      </c>
      <c r="ES9" s="6">
        <v>0</v>
      </c>
      <c r="ET9" s="8">
        <v>0</v>
      </c>
      <c r="EU9" s="7">
        <f t="shared" si="24"/>
        <v>0</v>
      </c>
      <c r="EW9" s="5">
        <v>202304</v>
      </c>
      <c r="EX9" s="6">
        <v>0</v>
      </c>
      <c r="EY9" s="6">
        <v>0</v>
      </c>
      <c r="EZ9" s="8">
        <v>0</v>
      </c>
      <c r="FA9" s="7">
        <f t="shared" si="25"/>
        <v>1930000</v>
      </c>
      <c r="FC9" s="5">
        <v>202304</v>
      </c>
      <c r="FD9" s="6">
        <v>0</v>
      </c>
      <c r="FE9" s="6">
        <v>231000</v>
      </c>
      <c r="FF9" s="8">
        <v>0</v>
      </c>
      <c r="FG9" s="7">
        <f t="shared" si="26"/>
        <v>1576000</v>
      </c>
      <c r="FI9" s="5">
        <v>202304</v>
      </c>
      <c r="FJ9" s="6">
        <v>0</v>
      </c>
      <c r="FK9" s="6">
        <v>250000</v>
      </c>
      <c r="FL9" s="8">
        <v>0</v>
      </c>
      <c r="FM9" s="7">
        <f t="shared" si="27"/>
        <v>1350000</v>
      </c>
      <c r="FO9" s="5">
        <v>202304</v>
      </c>
      <c r="FP9" s="6">
        <v>0</v>
      </c>
      <c r="FQ9" s="6">
        <v>0</v>
      </c>
      <c r="FR9" s="8">
        <v>0</v>
      </c>
      <c r="FS9" s="7">
        <f t="shared" si="28"/>
        <v>0</v>
      </c>
      <c r="FU9" s="5">
        <v>202304</v>
      </c>
      <c r="FV9" s="6">
        <v>0</v>
      </c>
      <c r="FW9" s="6">
        <v>0</v>
      </c>
      <c r="FX9" s="8">
        <v>0</v>
      </c>
      <c r="FY9" s="7">
        <f t="shared" si="29"/>
        <v>0</v>
      </c>
      <c r="GA9" s="5">
        <v>202304</v>
      </c>
      <c r="GB9" s="6">
        <v>0</v>
      </c>
      <c r="GC9" s="6">
        <v>214000</v>
      </c>
      <c r="GD9" s="8">
        <v>0</v>
      </c>
      <c r="GE9" s="7">
        <f t="shared" si="30"/>
        <v>1358000</v>
      </c>
      <c r="GG9" s="5">
        <v>202304</v>
      </c>
      <c r="GH9" s="6">
        <v>0</v>
      </c>
      <c r="GI9" s="6">
        <v>0</v>
      </c>
      <c r="GJ9" s="8">
        <v>0</v>
      </c>
      <c r="GK9" s="7">
        <f t="shared" si="31"/>
        <v>1550000</v>
      </c>
      <c r="GM9" s="5">
        <v>202304</v>
      </c>
      <c r="GN9" s="6">
        <v>0</v>
      </c>
      <c r="GO9" s="6">
        <v>200000</v>
      </c>
      <c r="GP9" s="8">
        <v>0</v>
      </c>
      <c r="GQ9" s="7">
        <f t="shared" si="32"/>
        <v>1400000</v>
      </c>
      <c r="GS9" s="5">
        <v>202304</v>
      </c>
      <c r="GT9" s="6">
        <v>0</v>
      </c>
      <c r="GU9" s="6">
        <v>0</v>
      </c>
      <c r="GV9" s="8">
        <v>0</v>
      </c>
      <c r="GW9" s="7">
        <f t="shared" si="33"/>
        <v>0</v>
      </c>
      <c r="GY9" s="5">
        <v>202304</v>
      </c>
      <c r="GZ9" s="6">
        <v>0</v>
      </c>
      <c r="HA9" s="6">
        <v>671717.68864598824</v>
      </c>
      <c r="HB9" s="8">
        <v>0</v>
      </c>
      <c r="HC9" s="7">
        <f t="shared" si="34"/>
        <v>-696117.68864598079</v>
      </c>
    </row>
    <row r="10" spans="2:211" hidden="1" outlineLevel="1" x14ac:dyDescent="0.2">
      <c r="C10" s="5">
        <v>202305</v>
      </c>
      <c r="D10" s="6">
        <v>0</v>
      </c>
      <c r="E10" s="9">
        <v>225000</v>
      </c>
      <c r="F10" s="8">
        <v>0</v>
      </c>
      <c r="G10" s="7">
        <f t="shared" si="0"/>
        <v>1375000</v>
      </c>
      <c r="I10" s="5">
        <v>202305</v>
      </c>
      <c r="J10" s="6">
        <v>0</v>
      </c>
      <c r="K10" s="9">
        <v>0</v>
      </c>
      <c r="L10" s="8">
        <v>0</v>
      </c>
      <c r="M10" s="7">
        <f t="shared" si="1"/>
        <v>0</v>
      </c>
      <c r="O10" s="5">
        <v>202305</v>
      </c>
      <c r="P10" s="6">
        <v>0</v>
      </c>
      <c r="Q10" s="9">
        <v>0</v>
      </c>
      <c r="R10" s="8">
        <v>0</v>
      </c>
      <c r="S10" s="7">
        <f t="shared" si="2"/>
        <v>0</v>
      </c>
      <c r="U10" s="5">
        <v>202305</v>
      </c>
      <c r="V10" s="6">
        <v>0</v>
      </c>
      <c r="W10" s="6">
        <v>0</v>
      </c>
      <c r="X10" s="8">
        <v>0</v>
      </c>
      <c r="Y10" s="7">
        <f t="shared" si="3"/>
        <v>0</v>
      </c>
      <c r="AA10" s="5">
        <v>202305</v>
      </c>
      <c r="AB10" s="6">
        <v>0</v>
      </c>
      <c r="AC10" s="9">
        <v>267500</v>
      </c>
      <c r="AD10" s="8">
        <v>0</v>
      </c>
      <c r="AE10" s="7">
        <f t="shared" si="4"/>
        <v>948500</v>
      </c>
      <c r="AG10" s="5">
        <v>202305</v>
      </c>
      <c r="AH10" s="6">
        <v>0</v>
      </c>
      <c r="AI10" s="6">
        <v>0</v>
      </c>
      <c r="AJ10" s="8">
        <v>0</v>
      </c>
      <c r="AK10" s="7">
        <f t="shared" si="5"/>
        <v>0</v>
      </c>
      <c r="AM10" s="5">
        <v>202305</v>
      </c>
      <c r="AN10" s="6">
        <v>2000000</v>
      </c>
      <c r="AO10" s="9">
        <v>0</v>
      </c>
      <c r="AP10" s="8">
        <v>0</v>
      </c>
      <c r="AQ10" s="7">
        <f t="shared" si="6"/>
        <v>2000000</v>
      </c>
      <c r="AS10" s="5">
        <v>202305</v>
      </c>
      <c r="AT10" s="6">
        <v>0</v>
      </c>
      <c r="AU10" s="9">
        <v>0</v>
      </c>
      <c r="AV10" s="8">
        <v>0</v>
      </c>
      <c r="AW10" s="7">
        <f t="shared" si="7"/>
        <v>0</v>
      </c>
      <c r="AY10" s="5">
        <v>202305</v>
      </c>
      <c r="AZ10" s="6">
        <v>0</v>
      </c>
      <c r="BA10" s="9">
        <v>215000</v>
      </c>
      <c r="BB10" s="8">
        <v>0</v>
      </c>
      <c r="BC10" s="7">
        <f t="shared" si="8"/>
        <v>280000</v>
      </c>
      <c r="BE10" s="5">
        <v>202305</v>
      </c>
      <c r="BF10" s="6">
        <v>0</v>
      </c>
      <c r="BG10" s="9">
        <v>0</v>
      </c>
      <c r="BH10" s="8">
        <v>0</v>
      </c>
      <c r="BI10" s="7">
        <f t="shared" si="9"/>
        <v>0</v>
      </c>
      <c r="BK10" s="5">
        <v>202305</v>
      </c>
      <c r="BL10" s="6">
        <v>0</v>
      </c>
      <c r="BM10" s="9">
        <v>0</v>
      </c>
      <c r="BN10" s="8">
        <v>0</v>
      </c>
      <c r="BO10" s="7">
        <f t="shared" si="10"/>
        <v>0</v>
      </c>
      <c r="BQ10" s="5">
        <v>202305</v>
      </c>
      <c r="BR10" s="6">
        <v>0</v>
      </c>
      <c r="BS10" s="9">
        <v>214000</v>
      </c>
      <c r="BT10" s="8">
        <v>0</v>
      </c>
      <c r="BU10" s="7">
        <f t="shared" si="11"/>
        <v>20500</v>
      </c>
      <c r="BW10" s="5">
        <v>202305</v>
      </c>
      <c r="BX10" s="6">
        <v>3000000</v>
      </c>
      <c r="BY10" s="6">
        <v>110000</v>
      </c>
      <c r="BZ10" s="8">
        <v>210000</v>
      </c>
      <c r="CA10" s="7">
        <f t="shared" si="12"/>
        <v>3000000</v>
      </c>
      <c r="CC10" s="5">
        <v>202305</v>
      </c>
      <c r="CD10" s="6">
        <v>0</v>
      </c>
      <c r="CE10" s="6">
        <v>267500</v>
      </c>
      <c r="CF10" s="8">
        <v>0</v>
      </c>
      <c r="CG10" s="7">
        <f t="shared" si="13"/>
        <v>2465000</v>
      </c>
      <c r="CI10" s="5">
        <v>202305</v>
      </c>
      <c r="CJ10" s="6">
        <v>0</v>
      </c>
      <c r="CK10" s="6">
        <v>300000</v>
      </c>
      <c r="CL10" s="8">
        <v>0</v>
      </c>
      <c r="CM10" s="7">
        <f t="shared" si="14"/>
        <v>1900000</v>
      </c>
      <c r="CO10" s="5">
        <v>202305</v>
      </c>
      <c r="CP10" s="6">
        <v>0</v>
      </c>
      <c r="CQ10" s="6">
        <v>0</v>
      </c>
      <c r="CR10" s="8">
        <v>0</v>
      </c>
      <c r="CS10" s="7">
        <f t="shared" si="15"/>
        <v>0</v>
      </c>
      <c r="CU10" s="5">
        <v>202305</v>
      </c>
      <c r="CV10" s="6">
        <v>2000000</v>
      </c>
      <c r="CW10" s="6">
        <v>0</v>
      </c>
      <c r="CX10" s="8">
        <v>0</v>
      </c>
      <c r="CY10" s="7">
        <f t="shared" si="16"/>
        <v>2000000</v>
      </c>
      <c r="DA10" s="5">
        <v>202305</v>
      </c>
      <c r="DB10" s="6">
        <v>0</v>
      </c>
      <c r="DC10" s="6">
        <v>0</v>
      </c>
      <c r="DD10" s="8">
        <v>0</v>
      </c>
      <c r="DE10" s="7">
        <f t="shared" si="17"/>
        <v>0</v>
      </c>
      <c r="DG10" s="5">
        <v>202305</v>
      </c>
      <c r="DH10" s="6">
        <v>0</v>
      </c>
      <c r="DI10" s="6">
        <v>0</v>
      </c>
      <c r="DJ10" s="8">
        <v>0</v>
      </c>
      <c r="DK10" s="7">
        <f t="shared" si="18"/>
        <v>0</v>
      </c>
      <c r="DM10" s="5">
        <v>202305</v>
      </c>
      <c r="DN10" s="6">
        <v>0</v>
      </c>
      <c r="DO10" s="6">
        <v>0</v>
      </c>
      <c r="DP10" s="8">
        <v>0</v>
      </c>
      <c r="DQ10" s="7">
        <f t="shared" si="19"/>
        <v>290000</v>
      </c>
      <c r="DS10" s="5">
        <v>202305</v>
      </c>
      <c r="DT10" s="6">
        <v>0</v>
      </c>
      <c r="DU10" s="6">
        <v>900000</v>
      </c>
      <c r="DV10" s="8">
        <v>0</v>
      </c>
      <c r="DW10" s="7">
        <f t="shared" si="20"/>
        <v>1558000</v>
      </c>
      <c r="DY10" s="5">
        <v>202305</v>
      </c>
      <c r="DZ10" s="6">
        <v>0</v>
      </c>
      <c r="EA10" s="6">
        <v>250000</v>
      </c>
      <c r="EB10" s="8">
        <v>0</v>
      </c>
      <c r="EC10" s="7">
        <f t="shared" si="21"/>
        <v>1000000</v>
      </c>
      <c r="EE10" s="5">
        <v>202305</v>
      </c>
      <c r="EF10" s="6">
        <v>0</v>
      </c>
      <c r="EG10" s="6">
        <v>0</v>
      </c>
      <c r="EH10" s="8">
        <v>0</v>
      </c>
      <c r="EI10" s="7">
        <f t="shared" si="22"/>
        <v>0</v>
      </c>
      <c r="EK10" s="5">
        <v>202305</v>
      </c>
      <c r="EL10" s="6">
        <v>0</v>
      </c>
      <c r="EM10" s="6">
        <v>0</v>
      </c>
      <c r="EN10" s="8">
        <v>0</v>
      </c>
      <c r="EO10" s="7">
        <f t="shared" si="23"/>
        <v>1200000</v>
      </c>
      <c r="EQ10" s="5">
        <v>202305</v>
      </c>
      <c r="ER10" s="6">
        <v>0</v>
      </c>
      <c r="ES10" s="6">
        <v>0</v>
      </c>
      <c r="ET10" s="8">
        <v>0</v>
      </c>
      <c r="EU10" s="7">
        <f t="shared" si="24"/>
        <v>0</v>
      </c>
      <c r="EW10" s="5">
        <v>202305</v>
      </c>
      <c r="EX10" s="6">
        <v>0</v>
      </c>
      <c r="EY10" s="6">
        <v>250000</v>
      </c>
      <c r="EZ10" s="8">
        <v>0</v>
      </c>
      <c r="FA10" s="7">
        <f t="shared" si="25"/>
        <v>1680000</v>
      </c>
      <c r="FC10" s="5">
        <v>202305</v>
      </c>
      <c r="FD10" s="6">
        <v>0</v>
      </c>
      <c r="FE10" s="6">
        <v>231000</v>
      </c>
      <c r="FF10" s="8">
        <v>0</v>
      </c>
      <c r="FG10" s="7">
        <f t="shared" si="26"/>
        <v>1345000</v>
      </c>
      <c r="FI10" s="5">
        <v>202305</v>
      </c>
      <c r="FJ10" s="6">
        <v>0</v>
      </c>
      <c r="FK10" s="6">
        <v>200000</v>
      </c>
      <c r="FL10" s="8">
        <v>0</v>
      </c>
      <c r="FM10" s="7">
        <f t="shared" si="27"/>
        <v>1150000</v>
      </c>
      <c r="FO10" s="5">
        <v>202305</v>
      </c>
      <c r="FP10" s="6">
        <v>1300000</v>
      </c>
      <c r="FQ10" s="6">
        <v>0</v>
      </c>
      <c r="FR10" s="8">
        <v>0</v>
      </c>
      <c r="FS10" s="7">
        <f t="shared" si="28"/>
        <v>1300000</v>
      </c>
      <c r="FU10" s="5">
        <v>202305</v>
      </c>
      <c r="FV10" s="6">
        <v>0</v>
      </c>
      <c r="FW10" s="6">
        <v>0</v>
      </c>
      <c r="FX10" s="8">
        <v>0</v>
      </c>
      <c r="FY10" s="7">
        <f t="shared" si="29"/>
        <v>0</v>
      </c>
      <c r="GA10" s="5">
        <v>202305</v>
      </c>
      <c r="GB10" s="6">
        <v>0</v>
      </c>
      <c r="GC10" s="6">
        <v>214000</v>
      </c>
      <c r="GD10" s="8">
        <v>0</v>
      </c>
      <c r="GE10" s="7">
        <f t="shared" si="30"/>
        <v>1144000</v>
      </c>
      <c r="GG10" s="5">
        <v>202305</v>
      </c>
      <c r="GH10" s="6">
        <v>0</v>
      </c>
      <c r="GI10" s="6">
        <v>800000</v>
      </c>
      <c r="GJ10" s="8">
        <v>0</v>
      </c>
      <c r="GK10" s="7">
        <f t="shared" si="31"/>
        <v>750000</v>
      </c>
      <c r="GM10" s="5">
        <v>202305</v>
      </c>
      <c r="GN10" s="6">
        <v>0</v>
      </c>
      <c r="GO10" s="6">
        <v>200000</v>
      </c>
      <c r="GP10" s="8">
        <v>0</v>
      </c>
      <c r="GQ10" s="7">
        <f t="shared" si="32"/>
        <v>1200000</v>
      </c>
      <c r="GS10" s="5">
        <v>202305</v>
      </c>
      <c r="GT10" s="6">
        <v>0</v>
      </c>
      <c r="GU10" s="9">
        <v>0</v>
      </c>
      <c r="GV10" s="8">
        <v>0</v>
      </c>
      <c r="GW10" s="7">
        <f t="shared" si="33"/>
        <v>0</v>
      </c>
      <c r="GY10" s="5">
        <v>202305</v>
      </c>
      <c r="GZ10" s="6">
        <v>0</v>
      </c>
      <c r="HA10" s="9">
        <v>0</v>
      </c>
      <c r="HB10" s="8">
        <v>0</v>
      </c>
      <c r="HC10" s="7">
        <f t="shared" si="34"/>
        <v>-696117.68864598079</v>
      </c>
    </row>
    <row r="11" spans="2:211" hidden="1" outlineLevel="1" x14ac:dyDescent="0.2">
      <c r="C11" s="5">
        <v>202306</v>
      </c>
      <c r="D11" s="6">
        <v>0</v>
      </c>
      <c r="E11" s="6">
        <v>0</v>
      </c>
      <c r="F11" s="8">
        <v>0</v>
      </c>
      <c r="G11" s="7">
        <f t="shared" si="0"/>
        <v>1375000</v>
      </c>
      <c r="I11" s="5">
        <v>202306</v>
      </c>
      <c r="J11" s="6">
        <v>0</v>
      </c>
      <c r="K11" s="6">
        <v>0</v>
      </c>
      <c r="L11" s="8">
        <v>0</v>
      </c>
      <c r="M11" s="7">
        <f t="shared" si="1"/>
        <v>0</v>
      </c>
      <c r="O11" s="5">
        <v>202306</v>
      </c>
      <c r="P11" s="6">
        <v>0</v>
      </c>
      <c r="Q11" s="6">
        <v>0</v>
      </c>
      <c r="R11" s="8">
        <v>0</v>
      </c>
      <c r="S11" s="7">
        <f t="shared" si="2"/>
        <v>0</v>
      </c>
      <c r="U11" s="5">
        <v>202306</v>
      </c>
      <c r="V11" s="6">
        <v>0</v>
      </c>
      <c r="W11" s="6">
        <v>0</v>
      </c>
      <c r="X11" s="8">
        <v>0</v>
      </c>
      <c r="Y11" s="7">
        <f t="shared" si="3"/>
        <v>0</v>
      </c>
      <c r="AA11" s="5">
        <v>202306</v>
      </c>
      <c r="AB11" s="6">
        <v>0</v>
      </c>
      <c r="AC11" s="9">
        <v>267500</v>
      </c>
      <c r="AD11" s="8">
        <v>0</v>
      </c>
      <c r="AE11" s="7">
        <f t="shared" si="4"/>
        <v>681000</v>
      </c>
      <c r="AG11" s="5">
        <v>202306</v>
      </c>
      <c r="AH11" s="6">
        <v>0</v>
      </c>
      <c r="AI11" s="6">
        <v>0</v>
      </c>
      <c r="AJ11" s="8">
        <v>0</v>
      </c>
      <c r="AK11" s="7">
        <f t="shared" si="5"/>
        <v>0</v>
      </c>
      <c r="AM11" s="5">
        <v>202306</v>
      </c>
      <c r="AN11" s="6">
        <v>0</v>
      </c>
      <c r="AO11" s="9">
        <v>500000</v>
      </c>
      <c r="AP11" s="8">
        <v>0</v>
      </c>
      <c r="AQ11" s="7">
        <f t="shared" si="6"/>
        <v>1500000</v>
      </c>
      <c r="AS11" s="5">
        <v>202306</v>
      </c>
      <c r="AT11" s="6">
        <v>0</v>
      </c>
      <c r="AU11" s="9">
        <v>0</v>
      </c>
      <c r="AV11" s="8">
        <v>0</v>
      </c>
      <c r="AW11" s="7">
        <f t="shared" si="7"/>
        <v>0</v>
      </c>
      <c r="AY11" s="5">
        <v>202306</v>
      </c>
      <c r="AZ11" s="6">
        <v>0</v>
      </c>
      <c r="BA11" s="9">
        <v>205000</v>
      </c>
      <c r="BB11" s="8">
        <v>0</v>
      </c>
      <c r="BC11" s="7">
        <f t="shared" si="8"/>
        <v>75000</v>
      </c>
      <c r="BE11" s="5">
        <v>202306</v>
      </c>
      <c r="BF11" s="6">
        <v>0</v>
      </c>
      <c r="BG11" s="9">
        <v>0</v>
      </c>
      <c r="BH11" s="8">
        <v>0</v>
      </c>
      <c r="BI11" s="7">
        <f t="shared" si="9"/>
        <v>0</v>
      </c>
      <c r="BK11" s="5">
        <v>202306</v>
      </c>
      <c r="BL11" s="6">
        <v>0</v>
      </c>
      <c r="BM11" s="9">
        <v>0</v>
      </c>
      <c r="BN11" s="8">
        <v>0</v>
      </c>
      <c r="BO11" s="7">
        <f t="shared" si="10"/>
        <v>0</v>
      </c>
      <c r="BQ11" s="5">
        <v>202306</v>
      </c>
      <c r="BR11" s="6">
        <v>0</v>
      </c>
      <c r="BS11" s="9">
        <v>20500</v>
      </c>
      <c r="BT11" s="8">
        <v>193500</v>
      </c>
      <c r="BU11" s="7">
        <f t="shared" si="11"/>
        <v>0</v>
      </c>
      <c r="BW11" s="5">
        <v>202306</v>
      </c>
      <c r="BX11" s="6">
        <v>0</v>
      </c>
      <c r="BY11" s="9">
        <v>0</v>
      </c>
      <c r="BZ11" s="8">
        <v>0</v>
      </c>
      <c r="CA11" s="7">
        <f t="shared" si="12"/>
        <v>3000000</v>
      </c>
      <c r="CC11" s="5">
        <v>202306</v>
      </c>
      <c r="CD11" s="6">
        <v>0</v>
      </c>
      <c r="CE11" s="6">
        <v>267500</v>
      </c>
      <c r="CF11" s="8">
        <v>0</v>
      </c>
      <c r="CG11" s="7">
        <f t="shared" si="13"/>
        <v>2197500</v>
      </c>
      <c r="CI11" s="5">
        <v>202306</v>
      </c>
      <c r="CJ11" s="6">
        <v>0</v>
      </c>
      <c r="CK11" s="6">
        <v>0</v>
      </c>
      <c r="CL11" s="8">
        <v>0</v>
      </c>
      <c r="CM11" s="7">
        <f t="shared" si="14"/>
        <v>1900000</v>
      </c>
      <c r="CO11" s="5">
        <v>202306</v>
      </c>
      <c r="CP11" s="6">
        <v>0</v>
      </c>
      <c r="CQ11" s="6">
        <v>0</v>
      </c>
      <c r="CR11" s="8">
        <v>0</v>
      </c>
      <c r="CS11" s="7">
        <f t="shared" si="15"/>
        <v>0</v>
      </c>
      <c r="CU11" s="5">
        <v>202306</v>
      </c>
      <c r="CV11" s="6">
        <v>0</v>
      </c>
      <c r="CW11" s="6">
        <v>0</v>
      </c>
      <c r="CX11" s="8">
        <v>0</v>
      </c>
      <c r="CY11" s="7">
        <f t="shared" si="16"/>
        <v>2000000</v>
      </c>
      <c r="DA11" s="5">
        <v>202306</v>
      </c>
      <c r="DB11" s="6">
        <v>0</v>
      </c>
      <c r="DC11" s="6">
        <v>0</v>
      </c>
      <c r="DD11" s="8">
        <v>0</v>
      </c>
      <c r="DE11" s="7">
        <f t="shared" si="17"/>
        <v>0</v>
      </c>
      <c r="DG11" s="5">
        <v>202306</v>
      </c>
      <c r="DH11" s="6">
        <v>0</v>
      </c>
      <c r="DI11" s="6">
        <v>0</v>
      </c>
      <c r="DJ11" s="8">
        <v>0</v>
      </c>
      <c r="DK11" s="7">
        <f t="shared" si="18"/>
        <v>0</v>
      </c>
      <c r="DM11" s="5">
        <v>202306</v>
      </c>
      <c r="DN11" s="6">
        <v>0</v>
      </c>
      <c r="DO11" s="6">
        <v>0</v>
      </c>
      <c r="DP11" s="8">
        <v>0</v>
      </c>
      <c r="DQ11" s="7">
        <f t="shared" si="19"/>
        <v>290000</v>
      </c>
      <c r="DS11" s="5">
        <v>202306</v>
      </c>
      <c r="DT11" s="6">
        <v>0</v>
      </c>
      <c r="DU11" s="6">
        <v>0</v>
      </c>
      <c r="DV11" s="8">
        <v>0</v>
      </c>
      <c r="DW11" s="7">
        <f t="shared" si="20"/>
        <v>1558000</v>
      </c>
      <c r="DY11" s="5">
        <v>202306</v>
      </c>
      <c r="DZ11" s="6">
        <v>0</v>
      </c>
      <c r="EA11" s="6">
        <v>250000</v>
      </c>
      <c r="EB11" s="8">
        <v>0</v>
      </c>
      <c r="EC11" s="7">
        <f t="shared" si="21"/>
        <v>750000</v>
      </c>
      <c r="EE11" s="5">
        <v>202306</v>
      </c>
      <c r="EF11" s="6">
        <v>0</v>
      </c>
      <c r="EG11" s="6">
        <v>0</v>
      </c>
      <c r="EH11" s="8">
        <v>0</v>
      </c>
      <c r="EI11" s="7">
        <f t="shared" si="22"/>
        <v>0</v>
      </c>
      <c r="EK11" s="5">
        <v>202306</v>
      </c>
      <c r="EL11" s="6">
        <v>0</v>
      </c>
      <c r="EM11" s="6">
        <v>0</v>
      </c>
      <c r="EN11" s="8">
        <v>0</v>
      </c>
      <c r="EO11" s="7">
        <f t="shared" si="23"/>
        <v>1200000</v>
      </c>
      <c r="EQ11" s="5">
        <v>202306</v>
      </c>
      <c r="ER11" s="6">
        <v>0</v>
      </c>
      <c r="ES11" s="6">
        <v>0</v>
      </c>
      <c r="ET11" s="8">
        <v>0</v>
      </c>
      <c r="EU11" s="7">
        <f t="shared" si="24"/>
        <v>0</v>
      </c>
      <c r="EW11" s="5">
        <v>202306</v>
      </c>
      <c r="EX11" s="6">
        <v>0</v>
      </c>
      <c r="EY11" s="6">
        <v>270000</v>
      </c>
      <c r="EZ11" s="8">
        <v>0</v>
      </c>
      <c r="FA11" s="7">
        <f t="shared" si="25"/>
        <v>1410000</v>
      </c>
      <c r="FC11" s="5">
        <v>202306</v>
      </c>
      <c r="FD11" s="6">
        <v>0</v>
      </c>
      <c r="FE11" s="6">
        <v>231000</v>
      </c>
      <c r="FF11" s="8">
        <v>0</v>
      </c>
      <c r="FG11" s="7">
        <f t="shared" si="26"/>
        <v>1114000</v>
      </c>
      <c r="FI11" s="5">
        <v>202306</v>
      </c>
      <c r="FJ11" s="6">
        <v>0</v>
      </c>
      <c r="FK11" s="6">
        <v>0</v>
      </c>
      <c r="FL11" s="8">
        <v>0</v>
      </c>
      <c r="FM11" s="7">
        <f t="shared" si="27"/>
        <v>1150000</v>
      </c>
      <c r="FO11" s="5">
        <v>202306</v>
      </c>
      <c r="FP11" s="6">
        <v>0</v>
      </c>
      <c r="FQ11" s="6">
        <v>200000</v>
      </c>
      <c r="FR11" s="8">
        <v>0</v>
      </c>
      <c r="FS11" s="7">
        <f t="shared" si="28"/>
        <v>1100000</v>
      </c>
      <c r="FU11" s="5">
        <v>202306</v>
      </c>
      <c r="FV11" s="6">
        <v>0</v>
      </c>
      <c r="FW11" s="6">
        <v>0</v>
      </c>
      <c r="FX11" s="8">
        <v>0</v>
      </c>
      <c r="FY11" s="7">
        <f t="shared" si="29"/>
        <v>0</v>
      </c>
      <c r="GA11" s="5">
        <v>202306</v>
      </c>
      <c r="GB11" s="6">
        <v>0</v>
      </c>
      <c r="GC11" s="6">
        <v>214000</v>
      </c>
      <c r="GD11" s="8">
        <v>0</v>
      </c>
      <c r="GE11" s="7">
        <f t="shared" si="30"/>
        <v>930000</v>
      </c>
      <c r="GG11" s="5">
        <v>202306</v>
      </c>
      <c r="GH11" s="6">
        <v>0</v>
      </c>
      <c r="GI11" s="6">
        <v>0</v>
      </c>
      <c r="GJ11" s="8">
        <v>0</v>
      </c>
      <c r="GK11" s="7">
        <f t="shared" si="31"/>
        <v>750000</v>
      </c>
      <c r="GM11" s="5">
        <v>202306</v>
      </c>
      <c r="GN11" s="6">
        <v>0</v>
      </c>
      <c r="GO11" s="6">
        <v>200000</v>
      </c>
      <c r="GP11" s="8">
        <v>0</v>
      </c>
      <c r="GQ11" s="7">
        <f t="shared" si="32"/>
        <v>1000000</v>
      </c>
      <c r="GS11" s="5">
        <v>202306</v>
      </c>
      <c r="GT11" s="6">
        <v>0</v>
      </c>
      <c r="GU11" s="6">
        <v>0</v>
      </c>
      <c r="GV11" s="8">
        <v>0</v>
      </c>
      <c r="GW11" s="7">
        <f t="shared" si="33"/>
        <v>0</v>
      </c>
      <c r="GY11" s="5">
        <v>202306</v>
      </c>
      <c r="GZ11" s="6">
        <v>0</v>
      </c>
      <c r="HA11" s="6">
        <v>0</v>
      </c>
      <c r="HB11" s="8">
        <v>0</v>
      </c>
      <c r="HC11" s="7">
        <f t="shared" si="34"/>
        <v>-696117.68864598079</v>
      </c>
    </row>
    <row r="12" spans="2:211" hidden="1" outlineLevel="1" x14ac:dyDescent="0.2">
      <c r="C12" s="5">
        <v>202307</v>
      </c>
      <c r="D12" s="6">
        <v>0</v>
      </c>
      <c r="E12" s="9">
        <v>250000</v>
      </c>
      <c r="F12" s="8">
        <v>0</v>
      </c>
      <c r="G12" s="7">
        <f t="shared" si="0"/>
        <v>1125000</v>
      </c>
      <c r="I12" s="5">
        <v>202307</v>
      </c>
      <c r="J12" s="6">
        <v>0</v>
      </c>
      <c r="K12" s="9">
        <v>0</v>
      </c>
      <c r="L12" s="8">
        <v>0</v>
      </c>
      <c r="M12" s="7">
        <f t="shared" si="1"/>
        <v>0</v>
      </c>
      <c r="O12" s="5">
        <v>202307</v>
      </c>
      <c r="P12" s="6">
        <v>0</v>
      </c>
      <c r="Q12" s="9">
        <v>0</v>
      </c>
      <c r="R12" s="8">
        <v>0</v>
      </c>
      <c r="S12" s="7">
        <f t="shared" si="2"/>
        <v>0</v>
      </c>
      <c r="U12" s="5">
        <v>202307</v>
      </c>
      <c r="V12" s="6">
        <v>0</v>
      </c>
      <c r="W12" s="6">
        <v>0</v>
      </c>
      <c r="X12" s="8">
        <v>0</v>
      </c>
      <c r="Y12" s="7">
        <f t="shared" si="3"/>
        <v>0</v>
      </c>
      <c r="AA12" s="5">
        <v>202307</v>
      </c>
      <c r="AB12" s="6">
        <v>0</v>
      </c>
      <c r="AC12" s="9">
        <v>267500</v>
      </c>
      <c r="AD12" s="8">
        <v>0</v>
      </c>
      <c r="AE12" s="7">
        <f t="shared" si="4"/>
        <v>413500</v>
      </c>
      <c r="AG12" s="5">
        <v>202307</v>
      </c>
      <c r="AH12" s="6">
        <v>0</v>
      </c>
      <c r="AI12" s="6">
        <v>0</v>
      </c>
      <c r="AJ12" s="8">
        <v>0</v>
      </c>
      <c r="AK12" s="7">
        <f t="shared" si="5"/>
        <v>0</v>
      </c>
      <c r="AM12" s="5">
        <v>202307</v>
      </c>
      <c r="AN12" s="6">
        <v>0</v>
      </c>
      <c r="AO12" s="9">
        <v>500000</v>
      </c>
      <c r="AP12" s="8">
        <v>0</v>
      </c>
      <c r="AQ12" s="7">
        <f t="shared" si="6"/>
        <v>1000000</v>
      </c>
      <c r="AS12" s="5">
        <v>202307</v>
      </c>
      <c r="AT12" s="6">
        <v>0</v>
      </c>
      <c r="AU12" s="9">
        <v>0</v>
      </c>
      <c r="AV12" s="8">
        <v>0</v>
      </c>
      <c r="AW12" s="7">
        <f t="shared" si="7"/>
        <v>0</v>
      </c>
      <c r="AY12" s="5">
        <v>202307</v>
      </c>
      <c r="AZ12" s="6">
        <v>3000000</v>
      </c>
      <c r="BA12" s="9">
        <v>0</v>
      </c>
      <c r="BB12" s="8">
        <v>0</v>
      </c>
      <c r="BC12" s="7">
        <f t="shared" si="8"/>
        <v>3075000</v>
      </c>
      <c r="BE12" s="5">
        <v>202307</v>
      </c>
      <c r="BF12" s="6">
        <v>0</v>
      </c>
      <c r="BG12" s="9">
        <v>0</v>
      </c>
      <c r="BH12" s="8">
        <v>0</v>
      </c>
      <c r="BI12" s="7">
        <f t="shared" si="9"/>
        <v>0</v>
      </c>
      <c r="BK12" s="5">
        <v>202307</v>
      </c>
      <c r="BL12" s="6">
        <v>3000000</v>
      </c>
      <c r="BM12" s="9">
        <v>0</v>
      </c>
      <c r="BN12" s="8">
        <v>0</v>
      </c>
      <c r="BO12" s="7">
        <f t="shared" si="10"/>
        <v>3000000</v>
      </c>
      <c r="BQ12" s="5">
        <v>202307</v>
      </c>
      <c r="BR12" s="6">
        <v>1500000</v>
      </c>
      <c r="BS12" s="9">
        <v>0</v>
      </c>
      <c r="BT12" s="8">
        <v>0</v>
      </c>
      <c r="BU12" s="7">
        <f t="shared" si="11"/>
        <v>1500000</v>
      </c>
      <c r="BW12" s="5">
        <v>202307</v>
      </c>
      <c r="BX12" s="6">
        <v>0</v>
      </c>
      <c r="BY12" s="9">
        <v>650000</v>
      </c>
      <c r="BZ12" s="8">
        <v>0</v>
      </c>
      <c r="CA12" s="7">
        <f t="shared" si="12"/>
        <v>2350000</v>
      </c>
      <c r="CC12" s="5">
        <v>202307</v>
      </c>
      <c r="CD12" s="6">
        <v>0</v>
      </c>
      <c r="CE12" s="6">
        <v>267500</v>
      </c>
      <c r="CF12" s="8">
        <v>0</v>
      </c>
      <c r="CG12" s="7">
        <f t="shared" si="13"/>
        <v>1930000</v>
      </c>
      <c r="CI12" s="5">
        <v>202307</v>
      </c>
      <c r="CJ12" s="6">
        <v>0</v>
      </c>
      <c r="CK12" s="6">
        <v>600000</v>
      </c>
      <c r="CL12" s="8">
        <v>0</v>
      </c>
      <c r="CM12" s="7">
        <f t="shared" si="14"/>
        <v>1300000</v>
      </c>
      <c r="CO12" s="5">
        <v>202307</v>
      </c>
      <c r="CP12" s="6">
        <v>0</v>
      </c>
      <c r="CQ12" s="6">
        <v>0</v>
      </c>
      <c r="CR12" s="8">
        <v>0</v>
      </c>
      <c r="CS12" s="7">
        <f t="shared" si="15"/>
        <v>0</v>
      </c>
      <c r="CU12" s="5">
        <v>202307</v>
      </c>
      <c r="CV12" s="6">
        <v>0</v>
      </c>
      <c r="CW12" s="6">
        <v>214000</v>
      </c>
      <c r="CX12" s="8">
        <v>0</v>
      </c>
      <c r="CY12" s="7">
        <f t="shared" si="16"/>
        <v>1786000</v>
      </c>
      <c r="DA12" s="5">
        <v>202307</v>
      </c>
      <c r="DB12" s="6">
        <v>0</v>
      </c>
      <c r="DC12" s="6">
        <v>0</v>
      </c>
      <c r="DD12" s="8">
        <v>0</v>
      </c>
      <c r="DE12" s="7">
        <f t="shared" si="17"/>
        <v>0</v>
      </c>
      <c r="DG12" s="5">
        <v>202307</v>
      </c>
      <c r="DH12" s="6">
        <v>0</v>
      </c>
      <c r="DI12" s="6">
        <v>0</v>
      </c>
      <c r="DJ12" s="8">
        <v>0</v>
      </c>
      <c r="DK12" s="7">
        <f t="shared" si="18"/>
        <v>0</v>
      </c>
      <c r="DM12" s="5">
        <v>202307</v>
      </c>
      <c r="DN12" s="6">
        <v>0</v>
      </c>
      <c r="DO12" s="6">
        <v>0</v>
      </c>
      <c r="DP12" s="8">
        <v>0</v>
      </c>
      <c r="DQ12" s="7">
        <f t="shared" si="19"/>
        <v>290000</v>
      </c>
      <c r="DS12" s="5">
        <v>202307</v>
      </c>
      <c r="DT12" s="6">
        <v>0</v>
      </c>
      <c r="DU12" s="6">
        <v>0</v>
      </c>
      <c r="DV12" s="8">
        <v>0</v>
      </c>
      <c r="DW12" s="7">
        <f t="shared" si="20"/>
        <v>1558000</v>
      </c>
      <c r="DY12" s="5">
        <v>202307</v>
      </c>
      <c r="DZ12" s="6">
        <v>0</v>
      </c>
      <c r="EA12" s="6">
        <v>250000</v>
      </c>
      <c r="EB12" s="8">
        <v>0</v>
      </c>
      <c r="EC12" s="7">
        <f t="shared" si="21"/>
        <v>500000</v>
      </c>
      <c r="EE12" s="5">
        <v>202307</v>
      </c>
      <c r="EF12" s="6">
        <v>0</v>
      </c>
      <c r="EG12" s="6">
        <v>0</v>
      </c>
      <c r="EH12" s="8">
        <v>0</v>
      </c>
      <c r="EI12" s="7">
        <f t="shared" si="22"/>
        <v>0</v>
      </c>
      <c r="EK12" s="5">
        <v>202307</v>
      </c>
      <c r="EL12" s="6">
        <v>0</v>
      </c>
      <c r="EM12" s="6">
        <v>500000</v>
      </c>
      <c r="EN12" s="8">
        <v>0</v>
      </c>
      <c r="EO12" s="7">
        <f t="shared" si="23"/>
        <v>700000</v>
      </c>
      <c r="EQ12" s="5">
        <v>202307</v>
      </c>
      <c r="ER12" s="6">
        <v>0</v>
      </c>
      <c r="ES12" s="6">
        <v>0</v>
      </c>
      <c r="ET12" s="8">
        <v>0</v>
      </c>
      <c r="EU12" s="7">
        <f t="shared" si="24"/>
        <v>0</v>
      </c>
      <c r="EW12" s="5">
        <v>202307</v>
      </c>
      <c r="EX12" s="6">
        <v>0</v>
      </c>
      <c r="EY12" s="6">
        <v>0</v>
      </c>
      <c r="EZ12" s="8">
        <v>0</v>
      </c>
      <c r="FA12" s="7">
        <f t="shared" si="25"/>
        <v>1410000</v>
      </c>
      <c r="FC12" s="5">
        <v>202307</v>
      </c>
      <c r="FD12" s="6">
        <v>0</v>
      </c>
      <c r="FE12" s="6">
        <v>0</v>
      </c>
      <c r="FF12" s="8">
        <v>0</v>
      </c>
      <c r="FG12" s="7">
        <f t="shared" si="26"/>
        <v>1114000</v>
      </c>
      <c r="FI12" s="5">
        <v>202307</v>
      </c>
      <c r="FJ12" s="6">
        <v>0</v>
      </c>
      <c r="FK12" s="6">
        <v>200000</v>
      </c>
      <c r="FL12" s="8">
        <v>0</v>
      </c>
      <c r="FM12" s="7">
        <f t="shared" si="27"/>
        <v>950000</v>
      </c>
      <c r="FO12" s="5">
        <v>202307</v>
      </c>
      <c r="FP12" s="6">
        <v>0</v>
      </c>
      <c r="FQ12" s="6">
        <v>400000</v>
      </c>
      <c r="FR12" s="8">
        <v>0</v>
      </c>
      <c r="FS12" s="7">
        <f t="shared" si="28"/>
        <v>700000</v>
      </c>
      <c r="FU12" s="5">
        <v>202307</v>
      </c>
      <c r="FV12" s="6">
        <v>0</v>
      </c>
      <c r="FW12" s="6">
        <v>0</v>
      </c>
      <c r="FX12" s="8">
        <v>0</v>
      </c>
      <c r="FY12" s="7">
        <f t="shared" si="29"/>
        <v>0</v>
      </c>
      <c r="GA12" s="5">
        <v>202307</v>
      </c>
      <c r="GB12" s="6">
        <v>0</v>
      </c>
      <c r="GC12" s="6">
        <v>214000</v>
      </c>
      <c r="GD12" s="8">
        <v>0</v>
      </c>
      <c r="GE12" s="7">
        <f t="shared" si="30"/>
        <v>716000</v>
      </c>
      <c r="GG12" s="5">
        <v>202307</v>
      </c>
      <c r="GH12" s="6">
        <v>0</v>
      </c>
      <c r="GI12" s="6">
        <v>300000</v>
      </c>
      <c r="GJ12" s="8">
        <v>0</v>
      </c>
      <c r="GK12" s="7">
        <f t="shared" si="31"/>
        <v>450000</v>
      </c>
      <c r="GM12" s="5">
        <v>202307</v>
      </c>
      <c r="GN12" s="6">
        <v>0</v>
      </c>
      <c r="GO12" s="6">
        <v>0</v>
      </c>
      <c r="GP12" s="8">
        <v>0</v>
      </c>
      <c r="GQ12" s="7">
        <f t="shared" si="32"/>
        <v>1000000</v>
      </c>
      <c r="GS12" s="5">
        <v>202307</v>
      </c>
      <c r="GT12" s="6">
        <v>0</v>
      </c>
      <c r="GU12" s="9">
        <v>0</v>
      </c>
      <c r="GV12" s="8">
        <v>0</v>
      </c>
      <c r="GW12" s="7">
        <f t="shared" si="33"/>
        <v>0</v>
      </c>
      <c r="GY12" s="5">
        <v>202307</v>
      </c>
      <c r="GZ12" s="6">
        <v>0</v>
      </c>
      <c r="HA12" s="9">
        <v>0</v>
      </c>
      <c r="HB12" s="8">
        <v>0</v>
      </c>
      <c r="HC12" s="7">
        <f t="shared" si="34"/>
        <v>-696117.68864598079</v>
      </c>
    </row>
    <row r="13" spans="2:211" hidden="1" outlineLevel="1" x14ac:dyDescent="0.2">
      <c r="C13" s="5">
        <v>202308</v>
      </c>
      <c r="D13" s="6">
        <v>0</v>
      </c>
      <c r="E13" s="6">
        <v>0</v>
      </c>
      <c r="F13" s="8">
        <v>0</v>
      </c>
      <c r="G13" s="7">
        <f t="shared" si="0"/>
        <v>1125000</v>
      </c>
      <c r="I13" s="5">
        <v>202308</v>
      </c>
      <c r="J13" s="27">
        <v>0</v>
      </c>
      <c r="K13" s="6">
        <v>0</v>
      </c>
      <c r="L13" s="8">
        <v>0</v>
      </c>
      <c r="M13" s="7">
        <f t="shared" si="1"/>
        <v>0</v>
      </c>
      <c r="O13" s="5">
        <v>202308</v>
      </c>
      <c r="P13" s="27">
        <v>2000000</v>
      </c>
      <c r="Q13" s="6">
        <v>0</v>
      </c>
      <c r="R13" s="8">
        <v>0</v>
      </c>
      <c r="S13" s="7">
        <f t="shared" si="2"/>
        <v>2000000</v>
      </c>
      <c r="U13" s="5">
        <v>202308</v>
      </c>
      <c r="V13" s="6">
        <v>0</v>
      </c>
      <c r="W13" s="6">
        <v>0</v>
      </c>
      <c r="X13" s="8">
        <v>0</v>
      </c>
      <c r="Y13" s="7">
        <f t="shared" si="3"/>
        <v>0</v>
      </c>
      <c r="AA13" s="5">
        <v>202308</v>
      </c>
      <c r="AB13" s="27">
        <v>3000000</v>
      </c>
      <c r="AC13" s="6">
        <f>413500+325000</f>
        <v>738500</v>
      </c>
      <c r="AD13" s="8">
        <v>121500</v>
      </c>
      <c r="AE13" s="7">
        <f t="shared" si="4"/>
        <v>2675000</v>
      </c>
      <c r="AG13" s="5">
        <v>202308</v>
      </c>
      <c r="AH13" s="6">
        <v>4500000</v>
      </c>
      <c r="AI13" s="6">
        <v>4500000</v>
      </c>
      <c r="AJ13" s="8">
        <v>0</v>
      </c>
      <c r="AK13" s="7">
        <f t="shared" si="5"/>
        <v>0</v>
      </c>
      <c r="AM13" s="5">
        <v>202308</v>
      </c>
      <c r="AN13" s="27">
        <v>15000000</v>
      </c>
      <c r="AO13" s="6">
        <v>1000000</v>
      </c>
      <c r="AP13" s="8">
        <v>0</v>
      </c>
      <c r="AQ13" s="7">
        <f t="shared" si="6"/>
        <v>15000000</v>
      </c>
      <c r="AS13" s="5">
        <v>202308</v>
      </c>
      <c r="AT13" s="27">
        <v>0</v>
      </c>
      <c r="AU13" s="6">
        <v>0</v>
      </c>
      <c r="AV13" s="8">
        <v>0</v>
      </c>
      <c r="AW13" s="7">
        <f t="shared" si="7"/>
        <v>0</v>
      </c>
      <c r="AY13" s="5">
        <v>202308</v>
      </c>
      <c r="AZ13" s="27">
        <v>0</v>
      </c>
      <c r="BA13" s="6">
        <v>0</v>
      </c>
      <c r="BB13" s="8">
        <v>0</v>
      </c>
      <c r="BC13" s="7">
        <f t="shared" si="8"/>
        <v>3075000</v>
      </c>
      <c r="BE13" s="5">
        <v>202308</v>
      </c>
      <c r="BF13" s="27">
        <v>0</v>
      </c>
      <c r="BG13" s="6">
        <v>0</v>
      </c>
      <c r="BH13" s="8">
        <v>0</v>
      </c>
      <c r="BI13" s="7">
        <f t="shared" si="9"/>
        <v>0</v>
      </c>
      <c r="BK13" s="5">
        <v>202308</v>
      </c>
      <c r="BL13" s="27">
        <v>0</v>
      </c>
      <c r="BM13" s="6">
        <v>321000</v>
      </c>
      <c r="BN13" s="8">
        <v>0</v>
      </c>
      <c r="BO13" s="7">
        <f t="shared" si="10"/>
        <v>2679000</v>
      </c>
      <c r="BQ13" s="5">
        <v>202308</v>
      </c>
      <c r="BR13" s="27">
        <v>0</v>
      </c>
      <c r="BS13" s="6">
        <v>521000</v>
      </c>
      <c r="BT13" s="8">
        <v>0</v>
      </c>
      <c r="BU13" s="7">
        <f t="shared" si="11"/>
        <v>979000</v>
      </c>
      <c r="BW13" s="5">
        <v>202308</v>
      </c>
      <c r="BX13" s="27">
        <v>0</v>
      </c>
      <c r="BY13" s="6">
        <v>320000</v>
      </c>
      <c r="BZ13" s="8">
        <v>0</v>
      </c>
      <c r="CA13" s="7">
        <f t="shared" si="12"/>
        <v>2030000</v>
      </c>
      <c r="CC13" s="5">
        <v>202308</v>
      </c>
      <c r="CD13" s="27">
        <v>0</v>
      </c>
      <c r="CE13" s="6">
        <v>267500</v>
      </c>
      <c r="CF13" s="8">
        <v>0</v>
      </c>
      <c r="CG13" s="7">
        <f t="shared" si="13"/>
        <v>1662500</v>
      </c>
      <c r="CI13" s="5">
        <v>202308</v>
      </c>
      <c r="CJ13" s="27">
        <v>0</v>
      </c>
      <c r="CK13" s="6">
        <v>300000</v>
      </c>
      <c r="CL13" s="8">
        <v>0</v>
      </c>
      <c r="CM13" s="7">
        <f t="shared" si="14"/>
        <v>1000000</v>
      </c>
      <c r="CO13" s="5">
        <v>202308</v>
      </c>
      <c r="CP13" s="27">
        <v>0</v>
      </c>
      <c r="CQ13" s="6">
        <v>0</v>
      </c>
      <c r="CR13" s="8">
        <v>0</v>
      </c>
      <c r="CS13" s="7">
        <f t="shared" si="15"/>
        <v>0</v>
      </c>
      <c r="CU13" s="5">
        <v>202308</v>
      </c>
      <c r="CV13" s="27">
        <v>0</v>
      </c>
      <c r="CW13" s="6">
        <v>428000</v>
      </c>
      <c r="CX13" s="8">
        <v>0</v>
      </c>
      <c r="CY13" s="7">
        <f t="shared" si="16"/>
        <v>1358000</v>
      </c>
      <c r="DA13" s="5">
        <v>202308</v>
      </c>
      <c r="DB13" s="27">
        <v>0</v>
      </c>
      <c r="DC13" s="6">
        <v>0</v>
      </c>
      <c r="DD13" s="8">
        <v>0</v>
      </c>
      <c r="DE13" s="7">
        <f t="shared" si="17"/>
        <v>0</v>
      </c>
      <c r="DG13" s="5">
        <v>202308</v>
      </c>
      <c r="DH13" s="27">
        <v>0</v>
      </c>
      <c r="DI13" s="6">
        <v>0</v>
      </c>
      <c r="DJ13" s="8">
        <v>0</v>
      </c>
      <c r="DK13" s="7">
        <f t="shared" si="18"/>
        <v>0</v>
      </c>
      <c r="DM13" s="5">
        <v>202308</v>
      </c>
      <c r="DN13" s="27">
        <v>0</v>
      </c>
      <c r="DO13" s="6">
        <v>0</v>
      </c>
      <c r="DP13" s="8">
        <v>0</v>
      </c>
      <c r="DQ13" s="7">
        <f t="shared" si="19"/>
        <v>290000</v>
      </c>
      <c r="DS13" s="5">
        <v>202308</v>
      </c>
      <c r="DT13" s="27">
        <v>0</v>
      </c>
      <c r="DU13" s="6">
        <v>500000</v>
      </c>
      <c r="DV13" s="8">
        <v>0</v>
      </c>
      <c r="DW13" s="7">
        <f t="shared" si="20"/>
        <v>1058000</v>
      </c>
      <c r="DY13" s="5">
        <v>202308</v>
      </c>
      <c r="DZ13" s="6">
        <v>0</v>
      </c>
      <c r="EA13" s="6">
        <v>250000</v>
      </c>
      <c r="EB13" s="8">
        <v>0</v>
      </c>
      <c r="EC13" s="7">
        <f t="shared" si="21"/>
        <v>250000</v>
      </c>
      <c r="EE13" s="5">
        <v>202308</v>
      </c>
      <c r="EF13" s="6">
        <v>0</v>
      </c>
      <c r="EG13" s="6">
        <v>0</v>
      </c>
      <c r="EH13" s="8">
        <v>0</v>
      </c>
      <c r="EI13" s="7">
        <f t="shared" si="22"/>
        <v>0</v>
      </c>
      <c r="EK13" s="5">
        <v>202308</v>
      </c>
      <c r="EL13" s="6">
        <v>0</v>
      </c>
      <c r="EM13" s="6">
        <v>305000</v>
      </c>
      <c r="EN13" s="8">
        <v>0</v>
      </c>
      <c r="EO13" s="7">
        <f t="shared" si="23"/>
        <v>395000</v>
      </c>
      <c r="EQ13" s="5">
        <v>202308</v>
      </c>
      <c r="ER13" s="6">
        <v>0</v>
      </c>
      <c r="ES13" s="6">
        <v>0</v>
      </c>
      <c r="ET13" s="8">
        <v>0</v>
      </c>
      <c r="EU13" s="7">
        <f t="shared" si="24"/>
        <v>0</v>
      </c>
      <c r="EW13" s="5">
        <v>202308</v>
      </c>
      <c r="EX13" s="6">
        <v>0</v>
      </c>
      <c r="EY13" s="6">
        <v>550000</v>
      </c>
      <c r="EZ13" s="8">
        <v>0</v>
      </c>
      <c r="FA13" s="7">
        <f t="shared" si="25"/>
        <v>860000</v>
      </c>
      <c r="FC13" s="5">
        <v>202308</v>
      </c>
      <c r="FD13" s="6">
        <v>0</v>
      </c>
      <c r="FE13" s="6">
        <v>231000</v>
      </c>
      <c r="FF13" s="8">
        <v>0</v>
      </c>
      <c r="FG13" s="7">
        <f t="shared" si="26"/>
        <v>883000</v>
      </c>
      <c r="FI13" s="5">
        <v>202308</v>
      </c>
      <c r="FJ13" s="6">
        <v>0</v>
      </c>
      <c r="FK13" s="6">
        <v>400000</v>
      </c>
      <c r="FL13" s="8">
        <v>0</v>
      </c>
      <c r="FM13" s="7">
        <f t="shared" si="27"/>
        <v>550000</v>
      </c>
      <c r="FO13" s="5">
        <v>202308</v>
      </c>
      <c r="FP13" s="6">
        <v>0</v>
      </c>
      <c r="FQ13" s="6">
        <v>0</v>
      </c>
      <c r="FR13" s="8">
        <v>0</v>
      </c>
      <c r="FS13" s="7">
        <f t="shared" si="28"/>
        <v>700000</v>
      </c>
      <c r="FU13" s="5">
        <v>202308</v>
      </c>
      <c r="FV13" s="6">
        <v>0</v>
      </c>
      <c r="FW13" s="6">
        <v>0</v>
      </c>
      <c r="FX13" s="8">
        <v>0</v>
      </c>
      <c r="FY13" s="7">
        <f t="shared" si="29"/>
        <v>0</v>
      </c>
      <c r="GA13" s="5">
        <v>202308</v>
      </c>
      <c r="GB13" s="6">
        <v>0</v>
      </c>
      <c r="GC13" s="6">
        <v>0</v>
      </c>
      <c r="GD13" s="8">
        <v>0</v>
      </c>
      <c r="GE13" s="7">
        <f t="shared" si="30"/>
        <v>716000</v>
      </c>
      <c r="GG13" s="5">
        <v>202308</v>
      </c>
      <c r="GH13" s="6">
        <v>0</v>
      </c>
      <c r="GI13" s="6">
        <v>300000</v>
      </c>
      <c r="GJ13" s="8">
        <v>0</v>
      </c>
      <c r="GK13" s="7">
        <f t="shared" si="31"/>
        <v>150000</v>
      </c>
      <c r="GM13" s="5">
        <v>202308</v>
      </c>
      <c r="GN13" s="6">
        <v>0</v>
      </c>
      <c r="GO13" s="6">
        <v>0</v>
      </c>
      <c r="GP13" s="8">
        <v>0</v>
      </c>
      <c r="GQ13" s="7">
        <f t="shared" si="32"/>
        <v>1000000</v>
      </c>
      <c r="GS13" s="5">
        <v>202308</v>
      </c>
      <c r="GT13" s="1">
        <v>0</v>
      </c>
      <c r="GU13" s="6">
        <v>0</v>
      </c>
      <c r="GV13" s="8">
        <v>0</v>
      </c>
      <c r="GW13" s="7">
        <f t="shared" si="33"/>
        <v>0</v>
      </c>
      <c r="GY13" s="5">
        <v>202308</v>
      </c>
      <c r="GZ13" s="1">
        <v>0</v>
      </c>
      <c r="HA13" s="6">
        <v>0</v>
      </c>
      <c r="HB13" s="8">
        <v>0</v>
      </c>
      <c r="HC13" s="7">
        <f t="shared" si="34"/>
        <v>-696117.68864598079</v>
      </c>
    </row>
    <row r="14" spans="2:211" hidden="1" outlineLevel="1" x14ac:dyDescent="0.2">
      <c r="C14" s="5">
        <v>202309</v>
      </c>
      <c r="D14" s="6">
        <v>0</v>
      </c>
      <c r="E14" s="9">
        <f>335000+500000</f>
        <v>835000</v>
      </c>
      <c r="F14" s="8">
        <v>0</v>
      </c>
      <c r="G14" s="7">
        <f t="shared" si="0"/>
        <v>290000</v>
      </c>
      <c r="I14" s="5">
        <v>202309</v>
      </c>
      <c r="J14" s="6">
        <v>0</v>
      </c>
      <c r="K14" s="28">
        <v>0</v>
      </c>
      <c r="L14" s="8">
        <v>0</v>
      </c>
      <c r="M14" s="7">
        <f t="shared" si="1"/>
        <v>0</v>
      </c>
      <c r="O14" s="5">
        <v>202309</v>
      </c>
      <c r="P14" s="6">
        <v>0</v>
      </c>
      <c r="Q14" s="28">
        <v>214000</v>
      </c>
      <c r="R14" s="8">
        <v>0</v>
      </c>
      <c r="S14" s="7">
        <f t="shared" si="2"/>
        <v>1786000</v>
      </c>
      <c r="U14" s="5">
        <v>202309</v>
      </c>
      <c r="V14" s="6">
        <v>0</v>
      </c>
      <c r="W14" s="6">
        <v>0</v>
      </c>
      <c r="X14" s="8">
        <v>0</v>
      </c>
      <c r="Y14" s="7">
        <f t="shared" si="3"/>
        <v>0</v>
      </c>
      <c r="AA14" s="5">
        <v>202309</v>
      </c>
      <c r="AB14" s="6">
        <v>0</v>
      </c>
      <c r="AC14" s="28">
        <f>650000-325000</f>
        <v>325000</v>
      </c>
      <c r="AD14" s="8">
        <v>0</v>
      </c>
      <c r="AE14" s="7">
        <f t="shared" si="4"/>
        <v>2350000</v>
      </c>
      <c r="AG14" s="5">
        <v>202309</v>
      </c>
      <c r="AH14" s="6">
        <v>0</v>
      </c>
      <c r="AI14" s="6">
        <v>0</v>
      </c>
      <c r="AJ14" s="8">
        <v>0</v>
      </c>
      <c r="AK14" s="7">
        <f t="shared" si="5"/>
        <v>0</v>
      </c>
      <c r="AM14" s="5">
        <v>202309</v>
      </c>
      <c r="AN14" s="6">
        <v>0</v>
      </c>
      <c r="AO14" s="28">
        <v>0</v>
      </c>
      <c r="AP14" s="8">
        <v>0</v>
      </c>
      <c r="AQ14" s="7">
        <f t="shared" si="6"/>
        <v>15000000</v>
      </c>
      <c r="AS14" s="5">
        <v>202309</v>
      </c>
      <c r="AT14" s="6">
        <v>0</v>
      </c>
      <c r="AU14" s="28">
        <v>0</v>
      </c>
      <c r="AV14" s="8">
        <v>0</v>
      </c>
      <c r="AW14" s="7">
        <f t="shared" si="7"/>
        <v>0</v>
      </c>
      <c r="AY14" s="5">
        <v>202309</v>
      </c>
      <c r="AZ14" s="6">
        <v>0</v>
      </c>
      <c r="BA14" s="28">
        <v>644000</v>
      </c>
      <c r="BB14" s="8">
        <v>0</v>
      </c>
      <c r="BC14" s="7">
        <f t="shared" si="8"/>
        <v>2431000</v>
      </c>
      <c r="BE14" s="5">
        <v>202309</v>
      </c>
      <c r="BF14" s="6">
        <v>0</v>
      </c>
      <c r="BG14" s="28">
        <v>0</v>
      </c>
      <c r="BH14" s="8">
        <v>0</v>
      </c>
      <c r="BI14" s="7">
        <f t="shared" si="9"/>
        <v>0</v>
      </c>
      <c r="BK14" s="5">
        <v>202309</v>
      </c>
      <c r="BL14" s="6">
        <v>0</v>
      </c>
      <c r="BM14" s="6">
        <v>321000</v>
      </c>
      <c r="BN14" s="8">
        <v>0</v>
      </c>
      <c r="BO14" s="7">
        <f t="shared" si="10"/>
        <v>2358000</v>
      </c>
      <c r="BQ14" s="5">
        <v>202309</v>
      </c>
      <c r="BR14" s="6">
        <v>0</v>
      </c>
      <c r="BS14" s="6">
        <v>260500</v>
      </c>
      <c r="BT14" s="8">
        <v>0</v>
      </c>
      <c r="BU14" s="7">
        <f t="shared" si="11"/>
        <v>718500</v>
      </c>
      <c r="BW14" s="5">
        <v>202309</v>
      </c>
      <c r="BX14" s="6">
        <v>0</v>
      </c>
      <c r="BY14" s="6">
        <v>320000</v>
      </c>
      <c r="BZ14" s="8">
        <v>0</v>
      </c>
      <c r="CA14" s="7">
        <f t="shared" si="12"/>
        <v>1710000</v>
      </c>
      <c r="CC14" s="5">
        <v>202309</v>
      </c>
      <c r="CD14" s="6">
        <v>0</v>
      </c>
      <c r="CE14" s="6">
        <v>267500</v>
      </c>
      <c r="CF14" s="8">
        <v>0</v>
      </c>
      <c r="CG14" s="7">
        <f t="shared" si="13"/>
        <v>1395000</v>
      </c>
      <c r="CI14" s="5">
        <v>202309</v>
      </c>
      <c r="CJ14" s="6">
        <v>0</v>
      </c>
      <c r="CK14" s="6">
        <v>0</v>
      </c>
      <c r="CL14" s="8">
        <v>0</v>
      </c>
      <c r="CM14" s="7">
        <f t="shared" si="14"/>
        <v>1000000</v>
      </c>
      <c r="CO14" s="5">
        <v>202309</v>
      </c>
      <c r="CP14" s="6">
        <v>0</v>
      </c>
      <c r="CQ14" s="6">
        <v>0</v>
      </c>
      <c r="CR14" s="8">
        <v>0</v>
      </c>
      <c r="CS14" s="7">
        <f t="shared" si="15"/>
        <v>0</v>
      </c>
      <c r="CU14" s="5">
        <v>202309</v>
      </c>
      <c r="CV14" s="6">
        <v>0</v>
      </c>
      <c r="CW14" s="6">
        <v>0</v>
      </c>
      <c r="CX14" s="8">
        <v>0</v>
      </c>
      <c r="CY14" s="7">
        <f t="shared" si="16"/>
        <v>1358000</v>
      </c>
      <c r="DA14" s="5">
        <v>202309</v>
      </c>
      <c r="DB14" s="6">
        <v>0</v>
      </c>
      <c r="DC14" s="6">
        <v>0</v>
      </c>
      <c r="DD14" s="8">
        <v>0</v>
      </c>
      <c r="DE14" s="7">
        <f t="shared" si="17"/>
        <v>0</v>
      </c>
      <c r="DG14" s="5">
        <v>202309</v>
      </c>
      <c r="DH14" s="6">
        <v>0</v>
      </c>
      <c r="DI14" s="6">
        <v>0</v>
      </c>
      <c r="DJ14" s="8">
        <v>0</v>
      </c>
      <c r="DK14" s="7">
        <f t="shared" si="18"/>
        <v>0</v>
      </c>
      <c r="DM14" s="5">
        <v>202309</v>
      </c>
      <c r="DN14" s="6">
        <v>0</v>
      </c>
      <c r="DO14" s="6">
        <v>0</v>
      </c>
      <c r="DP14" s="8">
        <v>0</v>
      </c>
      <c r="DQ14" s="7">
        <f t="shared" si="19"/>
        <v>290000</v>
      </c>
      <c r="DS14" s="5">
        <v>202309</v>
      </c>
      <c r="DT14" s="6">
        <v>0</v>
      </c>
      <c r="DU14" s="6">
        <v>1058000</v>
      </c>
      <c r="DV14" s="8">
        <v>252000</v>
      </c>
      <c r="DW14" s="7">
        <f t="shared" si="20"/>
        <v>0</v>
      </c>
      <c r="DY14" s="5">
        <v>202309</v>
      </c>
      <c r="DZ14" s="6">
        <v>0</v>
      </c>
      <c r="EA14" s="6">
        <v>250000</v>
      </c>
      <c r="EB14" s="8">
        <v>140000</v>
      </c>
      <c r="EC14" s="7">
        <f t="shared" si="21"/>
        <v>0</v>
      </c>
      <c r="EE14" s="5">
        <v>202309</v>
      </c>
      <c r="EF14" s="6">
        <v>0</v>
      </c>
      <c r="EG14" s="6">
        <v>0</v>
      </c>
      <c r="EH14" s="8">
        <v>0</v>
      </c>
      <c r="EI14" s="7">
        <f t="shared" si="22"/>
        <v>0</v>
      </c>
      <c r="EK14" s="5">
        <v>202309</v>
      </c>
      <c r="EL14" s="6">
        <v>2000000</v>
      </c>
      <c r="EM14" s="6">
        <v>250000</v>
      </c>
      <c r="EN14" s="8">
        <v>0</v>
      </c>
      <c r="EO14" s="7">
        <f t="shared" si="23"/>
        <v>2145000</v>
      </c>
      <c r="EQ14" s="5">
        <v>202309</v>
      </c>
      <c r="ER14" s="6">
        <v>0</v>
      </c>
      <c r="ES14" s="6">
        <v>0</v>
      </c>
      <c r="ET14" s="8">
        <v>0</v>
      </c>
      <c r="EU14" s="7">
        <f t="shared" si="24"/>
        <v>0</v>
      </c>
      <c r="EW14" s="5">
        <v>202309</v>
      </c>
      <c r="EX14" s="6">
        <v>0</v>
      </c>
      <c r="EY14" s="6">
        <v>0</v>
      </c>
      <c r="EZ14" s="8">
        <v>0</v>
      </c>
      <c r="FA14" s="7">
        <f t="shared" si="25"/>
        <v>860000</v>
      </c>
      <c r="FC14" s="5">
        <v>202309</v>
      </c>
      <c r="FD14" s="6">
        <v>0</v>
      </c>
      <c r="FE14" s="6">
        <v>231000</v>
      </c>
      <c r="FF14" s="8">
        <v>0</v>
      </c>
      <c r="FG14" s="7">
        <f t="shared" si="26"/>
        <v>652000</v>
      </c>
      <c r="FI14" s="5">
        <v>202309</v>
      </c>
      <c r="FJ14" s="6">
        <v>3000000</v>
      </c>
      <c r="FK14" s="6">
        <f>550000+330000</f>
        <v>880000</v>
      </c>
      <c r="FL14" s="8">
        <v>168000</v>
      </c>
      <c r="FM14" s="7">
        <f t="shared" si="27"/>
        <v>2670000</v>
      </c>
      <c r="FO14" s="5">
        <v>202309</v>
      </c>
      <c r="FP14" s="6">
        <v>0</v>
      </c>
      <c r="FQ14" s="6">
        <v>400000</v>
      </c>
      <c r="FR14" s="8">
        <v>0</v>
      </c>
      <c r="FS14" s="7">
        <f t="shared" si="28"/>
        <v>300000</v>
      </c>
      <c r="FU14" s="5">
        <v>202309</v>
      </c>
      <c r="FV14" s="6">
        <v>0</v>
      </c>
      <c r="FW14" s="6">
        <v>0</v>
      </c>
      <c r="FX14" s="8">
        <v>0</v>
      </c>
      <c r="FY14" s="7">
        <f t="shared" si="29"/>
        <v>0</v>
      </c>
      <c r="GA14" s="5">
        <v>202309</v>
      </c>
      <c r="GB14" s="6">
        <v>2000000</v>
      </c>
      <c r="GC14" s="6">
        <v>716000</v>
      </c>
      <c r="GD14" s="8">
        <v>140000</v>
      </c>
      <c r="GE14" s="7">
        <f t="shared" si="30"/>
        <v>2000000</v>
      </c>
      <c r="GG14" s="5">
        <v>202309</v>
      </c>
      <c r="GH14" s="6">
        <v>0</v>
      </c>
      <c r="GI14" s="6">
        <v>0</v>
      </c>
      <c r="GJ14" s="8">
        <v>0</v>
      </c>
      <c r="GK14" s="7">
        <f t="shared" si="31"/>
        <v>150000</v>
      </c>
      <c r="GM14" s="5">
        <v>202309</v>
      </c>
      <c r="GN14" s="6">
        <v>0</v>
      </c>
      <c r="GO14" s="6">
        <v>0</v>
      </c>
      <c r="GP14" s="8">
        <v>0</v>
      </c>
      <c r="GQ14" s="7">
        <f t="shared" si="32"/>
        <v>1000000</v>
      </c>
      <c r="GS14" s="5">
        <v>202309</v>
      </c>
      <c r="GT14" s="6">
        <v>0</v>
      </c>
      <c r="GU14" s="9">
        <v>0</v>
      </c>
      <c r="GV14" s="8">
        <v>0</v>
      </c>
      <c r="GW14" s="7">
        <f t="shared" si="33"/>
        <v>0</v>
      </c>
      <c r="GY14" s="5">
        <v>202309</v>
      </c>
      <c r="GZ14" s="6">
        <v>0</v>
      </c>
      <c r="HA14" s="9">
        <v>0</v>
      </c>
      <c r="HB14" s="8">
        <v>0</v>
      </c>
      <c r="HC14" s="7">
        <f t="shared" si="34"/>
        <v>-696117.68864598079</v>
      </c>
    </row>
    <row r="15" spans="2:211" hidden="1" outlineLevel="1" x14ac:dyDescent="0.2">
      <c r="B15" s="38"/>
      <c r="C15" s="5">
        <v>202310</v>
      </c>
      <c r="D15" s="6">
        <v>0</v>
      </c>
      <c r="E15" s="6">
        <v>290000</v>
      </c>
      <c r="F15" s="8">
        <f>500000-E15</f>
        <v>210000</v>
      </c>
      <c r="G15" s="7">
        <f t="shared" si="0"/>
        <v>0</v>
      </c>
      <c r="I15" s="5">
        <v>202310</v>
      </c>
      <c r="J15" s="6">
        <v>0</v>
      </c>
      <c r="K15" s="28">
        <v>0</v>
      </c>
      <c r="L15" s="8">
        <v>0</v>
      </c>
      <c r="M15" s="7">
        <f t="shared" si="1"/>
        <v>0</v>
      </c>
      <c r="O15" s="5">
        <v>202310</v>
      </c>
      <c r="P15" s="6">
        <v>0</v>
      </c>
      <c r="Q15" s="28">
        <v>214000</v>
      </c>
      <c r="R15" s="8">
        <v>0</v>
      </c>
      <c r="S15" s="7">
        <f t="shared" si="2"/>
        <v>1572000</v>
      </c>
      <c r="U15" s="5">
        <v>202310</v>
      </c>
      <c r="V15" s="6">
        <v>0</v>
      </c>
      <c r="W15" s="6">
        <v>0</v>
      </c>
      <c r="X15" s="8">
        <v>0</v>
      </c>
      <c r="Y15" s="7">
        <f t="shared" si="3"/>
        <v>0</v>
      </c>
      <c r="AA15" s="5">
        <v>202310</v>
      </c>
      <c r="AB15" s="6">
        <v>0</v>
      </c>
      <c r="AC15" s="28">
        <v>325000</v>
      </c>
      <c r="AD15" s="8">
        <v>0</v>
      </c>
      <c r="AE15" s="7">
        <f t="shared" si="4"/>
        <v>2025000</v>
      </c>
      <c r="AG15" s="5">
        <v>202310</v>
      </c>
      <c r="AH15" s="6">
        <v>0</v>
      </c>
      <c r="AI15" s="6">
        <v>0</v>
      </c>
      <c r="AJ15" s="8">
        <v>0</v>
      </c>
      <c r="AK15" s="7">
        <f t="shared" si="5"/>
        <v>0</v>
      </c>
      <c r="AM15" s="5">
        <v>202310</v>
      </c>
      <c r="AN15" s="6">
        <v>5000000</v>
      </c>
      <c r="AO15" s="27">
        <v>15000000</v>
      </c>
      <c r="AP15" s="8">
        <v>87500</v>
      </c>
      <c r="AQ15" s="7">
        <f t="shared" si="6"/>
        <v>5000000</v>
      </c>
      <c r="AS15" s="5">
        <v>202310</v>
      </c>
      <c r="AT15" s="6">
        <v>1000000</v>
      </c>
      <c r="AU15" s="27">
        <v>700000</v>
      </c>
      <c r="AV15" s="8">
        <v>0</v>
      </c>
      <c r="AW15" s="7">
        <f t="shared" si="7"/>
        <v>300000</v>
      </c>
      <c r="AY15" s="5">
        <v>202310</v>
      </c>
      <c r="AZ15" s="6">
        <v>0</v>
      </c>
      <c r="BA15" s="27">
        <v>0</v>
      </c>
      <c r="BB15" s="8">
        <v>0</v>
      </c>
      <c r="BC15" s="7">
        <f t="shared" si="8"/>
        <v>2431000</v>
      </c>
      <c r="BE15" s="5">
        <v>202310</v>
      </c>
      <c r="BF15" s="6">
        <v>0</v>
      </c>
      <c r="BG15" s="27">
        <v>0</v>
      </c>
      <c r="BH15" s="8">
        <v>0</v>
      </c>
      <c r="BI15" s="7">
        <f t="shared" si="9"/>
        <v>0</v>
      </c>
      <c r="BK15" s="5">
        <v>202310</v>
      </c>
      <c r="BL15" s="6">
        <v>0</v>
      </c>
      <c r="BM15" s="27">
        <v>2284000</v>
      </c>
      <c r="BN15" s="8">
        <v>0</v>
      </c>
      <c r="BO15" s="7">
        <f t="shared" si="10"/>
        <v>74000</v>
      </c>
      <c r="BQ15" s="5">
        <v>202310</v>
      </c>
      <c r="BR15" s="6">
        <v>0</v>
      </c>
      <c r="BS15" s="27">
        <v>0</v>
      </c>
      <c r="BT15" s="8">
        <v>0</v>
      </c>
      <c r="BU15" s="7">
        <f t="shared" si="11"/>
        <v>718500</v>
      </c>
      <c r="BW15" s="5">
        <v>202310</v>
      </c>
      <c r="BX15" s="6">
        <v>0</v>
      </c>
      <c r="BY15" s="6">
        <v>320000</v>
      </c>
      <c r="BZ15" s="8">
        <v>0</v>
      </c>
      <c r="CA15" s="7">
        <f t="shared" si="12"/>
        <v>1390000</v>
      </c>
      <c r="CC15" s="5">
        <v>202310</v>
      </c>
      <c r="CD15" s="6">
        <v>0</v>
      </c>
      <c r="CE15" s="6">
        <v>267500</v>
      </c>
      <c r="CF15" s="8">
        <v>0</v>
      </c>
      <c r="CG15" s="7">
        <f t="shared" si="13"/>
        <v>1127500</v>
      </c>
      <c r="CI15" s="5">
        <v>202310</v>
      </c>
      <c r="CJ15" s="6">
        <v>0</v>
      </c>
      <c r="CK15" s="6">
        <v>600000</v>
      </c>
      <c r="CL15" s="8">
        <v>0</v>
      </c>
      <c r="CM15" s="7">
        <f t="shared" si="14"/>
        <v>400000</v>
      </c>
      <c r="CO15" s="5">
        <v>202310</v>
      </c>
      <c r="CP15" s="6">
        <v>0</v>
      </c>
      <c r="CQ15" s="6">
        <v>0</v>
      </c>
      <c r="CR15" s="8">
        <v>0</v>
      </c>
      <c r="CS15" s="7">
        <f t="shared" si="15"/>
        <v>0</v>
      </c>
      <c r="CU15" s="5">
        <v>202310</v>
      </c>
      <c r="CV15" s="6">
        <v>0</v>
      </c>
      <c r="CW15" s="6">
        <v>214000</v>
      </c>
      <c r="CX15" s="8">
        <v>0</v>
      </c>
      <c r="CY15" s="7">
        <f t="shared" si="16"/>
        <v>1144000</v>
      </c>
      <c r="DA15" s="5">
        <v>202310</v>
      </c>
      <c r="DB15" s="6">
        <v>0</v>
      </c>
      <c r="DC15" s="6">
        <v>0</v>
      </c>
      <c r="DD15" s="8">
        <v>0</v>
      </c>
      <c r="DE15" s="7">
        <f t="shared" si="17"/>
        <v>0</v>
      </c>
      <c r="DG15" s="5">
        <v>202310</v>
      </c>
      <c r="DH15" s="6">
        <v>0</v>
      </c>
      <c r="DI15" s="6">
        <v>0</v>
      </c>
      <c r="DJ15" s="8">
        <v>0</v>
      </c>
      <c r="DK15" s="7">
        <f t="shared" si="18"/>
        <v>0</v>
      </c>
      <c r="DM15" s="5">
        <v>202310</v>
      </c>
      <c r="DN15" s="6">
        <v>0</v>
      </c>
      <c r="DO15" s="6">
        <v>271000</v>
      </c>
      <c r="DP15" s="8">
        <v>0</v>
      </c>
      <c r="DQ15" s="7">
        <f t="shared" si="19"/>
        <v>19000</v>
      </c>
      <c r="DS15" s="5">
        <v>202310</v>
      </c>
      <c r="DT15" s="6">
        <v>3000000</v>
      </c>
      <c r="DU15" s="6">
        <v>0</v>
      </c>
      <c r="DV15" s="8">
        <v>0</v>
      </c>
      <c r="DW15" s="7">
        <f t="shared" si="20"/>
        <v>3000000</v>
      </c>
      <c r="DY15" s="5">
        <v>202310</v>
      </c>
      <c r="DZ15" s="6">
        <v>2000000</v>
      </c>
      <c r="EA15" s="6">
        <v>0</v>
      </c>
      <c r="EB15" s="8">
        <v>0</v>
      </c>
      <c r="EC15" s="7">
        <f t="shared" si="21"/>
        <v>2000000</v>
      </c>
      <c r="EE15" s="5">
        <v>202310</v>
      </c>
      <c r="EF15" s="6">
        <v>0</v>
      </c>
      <c r="EG15" s="6">
        <v>0</v>
      </c>
      <c r="EH15" s="8">
        <v>0</v>
      </c>
      <c r="EI15" s="7">
        <f t="shared" si="22"/>
        <v>0</v>
      </c>
      <c r="EK15" s="5">
        <v>202310</v>
      </c>
      <c r="EL15" s="6">
        <v>0</v>
      </c>
      <c r="EM15" s="6">
        <v>0</v>
      </c>
      <c r="EN15" s="8">
        <v>0</v>
      </c>
      <c r="EO15" s="7">
        <f t="shared" si="23"/>
        <v>2145000</v>
      </c>
      <c r="EQ15" s="5">
        <v>202310</v>
      </c>
      <c r="ER15" s="6">
        <v>0</v>
      </c>
      <c r="ES15" s="6">
        <v>0</v>
      </c>
      <c r="ET15" s="8">
        <v>0</v>
      </c>
      <c r="EU15" s="7">
        <f t="shared" si="24"/>
        <v>0</v>
      </c>
      <c r="EW15" s="5">
        <v>202310</v>
      </c>
      <c r="EX15" s="6">
        <v>0</v>
      </c>
      <c r="EY15" s="6">
        <v>0</v>
      </c>
      <c r="EZ15" s="8">
        <v>0</v>
      </c>
      <c r="FA15" s="7">
        <f t="shared" si="25"/>
        <v>860000</v>
      </c>
      <c r="FC15" s="5">
        <v>202310</v>
      </c>
      <c r="FD15" s="6">
        <v>0</v>
      </c>
      <c r="FE15" s="6">
        <v>231000</v>
      </c>
      <c r="FF15" s="8">
        <v>0</v>
      </c>
      <c r="FG15" s="7">
        <f t="shared" si="26"/>
        <v>421000</v>
      </c>
      <c r="FI15" s="5">
        <v>202310</v>
      </c>
      <c r="FJ15" s="6">
        <v>0</v>
      </c>
      <c r="FK15" s="6">
        <f>650000-330000</f>
        <v>320000</v>
      </c>
      <c r="FL15" s="8">
        <v>0</v>
      </c>
      <c r="FM15" s="7">
        <f t="shared" si="27"/>
        <v>2350000</v>
      </c>
      <c r="FO15" s="5">
        <v>202310</v>
      </c>
      <c r="FP15" s="6">
        <v>0</v>
      </c>
      <c r="FQ15" s="6">
        <v>0</v>
      </c>
      <c r="FR15" s="8">
        <v>0</v>
      </c>
      <c r="FS15" s="7">
        <f t="shared" si="28"/>
        <v>300000</v>
      </c>
      <c r="FU15" s="5">
        <v>202310</v>
      </c>
      <c r="FV15" s="6">
        <v>0</v>
      </c>
      <c r="FW15" s="6">
        <v>0</v>
      </c>
      <c r="FX15" s="8">
        <v>0</v>
      </c>
      <c r="FY15" s="7">
        <f t="shared" si="29"/>
        <v>0</v>
      </c>
      <c r="GA15" s="5">
        <v>202310</v>
      </c>
      <c r="GB15" s="6">
        <v>0</v>
      </c>
      <c r="GC15" s="6">
        <v>214000</v>
      </c>
      <c r="GD15" s="8">
        <v>0</v>
      </c>
      <c r="GE15" s="7">
        <f t="shared" si="30"/>
        <v>1786000</v>
      </c>
      <c r="GG15" s="5">
        <v>202310</v>
      </c>
      <c r="GH15" s="6">
        <v>0</v>
      </c>
      <c r="GI15" s="6">
        <v>0</v>
      </c>
      <c r="GJ15" s="8">
        <v>0</v>
      </c>
      <c r="GK15" s="7">
        <f t="shared" si="31"/>
        <v>150000</v>
      </c>
      <c r="GM15" s="5">
        <v>202310</v>
      </c>
      <c r="GN15" s="6">
        <v>0</v>
      </c>
      <c r="GO15" s="6">
        <v>600000</v>
      </c>
      <c r="GP15" s="8">
        <v>0</v>
      </c>
      <c r="GQ15" s="7">
        <f t="shared" si="32"/>
        <v>400000</v>
      </c>
      <c r="GS15" s="5">
        <v>202310</v>
      </c>
      <c r="GT15" s="6">
        <v>0</v>
      </c>
      <c r="GU15" s="9">
        <v>0</v>
      </c>
      <c r="GV15" s="8">
        <v>0</v>
      </c>
      <c r="GW15" s="7">
        <f t="shared" si="33"/>
        <v>0</v>
      </c>
      <c r="GY15" s="5">
        <v>202310</v>
      </c>
      <c r="GZ15" s="6">
        <v>0</v>
      </c>
      <c r="HA15" s="9">
        <v>0</v>
      </c>
      <c r="HB15" s="8">
        <v>0</v>
      </c>
      <c r="HC15" s="7">
        <f t="shared" si="34"/>
        <v>-696117.68864598079</v>
      </c>
    </row>
    <row r="16" spans="2:211" hidden="1" outlineLevel="1" x14ac:dyDescent="0.2">
      <c r="C16" s="5">
        <v>202311</v>
      </c>
      <c r="D16" s="6">
        <v>0</v>
      </c>
      <c r="E16" s="6">
        <v>0</v>
      </c>
      <c r="F16" s="8">
        <v>0</v>
      </c>
      <c r="G16" s="7">
        <f t="shared" si="0"/>
        <v>0</v>
      </c>
      <c r="I16" s="5">
        <v>202311</v>
      </c>
      <c r="J16" s="6">
        <v>0</v>
      </c>
      <c r="K16" s="28">
        <v>0</v>
      </c>
      <c r="L16" s="8">
        <v>0</v>
      </c>
      <c r="M16" s="7">
        <f t="shared" si="1"/>
        <v>0</v>
      </c>
      <c r="O16" s="5">
        <v>202311</v>
      </c>
      <c r="P16" s="6">
        <v>0</v>
      </c>
      <c r="Q16" s="28">
        <v>214000</v>
      </c>
      <c r="R16" s="8">
        <v>0</v>
      </c>
      <c r="S16" s="7">
        <f t="shared" si="2"/>
        <v>1358000</v>
      </c>
      <c r="U16" s="5">
        <v>202311</v>
      </c>
      <c r="V16" s="6">
        <v>0</v>
      </c>
      <c r="W16" s="6">
        <v>0</v>
      </c>
      <c r="X16" s="8">
        <v>0</v>
      </c>
      <c r="Y16" s="7">
        <f t="shared" si="3"/>
        <v>0</v>
      </c>
      <c r="AA16" s="5">
        <v>202311</v>
      </c>
      <c r="AB16" s="6">
        <v>0</v>
      </c>
      <c r="AC16" s="28">
        <v>0</v>
      </c>
      <c r="AD16" s="8">
        <v>0</v>
      </c>
      <c r="AE16" s="7">
        <f t="shared" si="4"/>
        <v>2025000</v>
      </c>
      <c r="AG16" s="5">
        <v>202311</v>
      </c>
      <c r="AH16" s="6">
        <v>0</v>
      </c>
      <c r="AI16" s="6">
        <v>0</v>
      </c>
      <c r="AJ16" s="8">
        <v>0</v>
      </c>
      <c r="AK16" s="7">
        <f t="shared" si="5"/>
        <v>0</v>
      </c>
      <c r="AM16" s="5">
        <v>202311</v>
      </c>
      <c r="AN16" s="6">
        <v>0</v>
      </c>
      <c r="AO16" s="28">
        <v>446500</v>
      </c>
      <c r="AP16" s="8">
        <v>0</v>
      </c>
      <c r="AQ16" s="7">
        <f t="shared" si="6"/>
        <v>4553500</v>
      </c>
      <c r="AS16" s="5">
        <v>202311</v>
      </c>
      <c r="AT16" s="6">
        <v>0</v>
      </c>
      <c r="AU16" s="28">
        <v>300000</v>
      </c>
      <c r="AV16" s="8">
        <v>21000</v>
      </c>
      <c r="AW16" s="7">
        <f t="shared" si="7"/>
        <v>0</v>
      </c>
      <c r="AY16" s="5">
        <v>202311</v>
      </c>
      <c r="AZ16" s="6">
        <v>0</v>
      </c>
      <c r="BA16" s="28">
        <v>644000</v>
      </c>
      <c r="BB16" s="8">
        <v>0</v>
      </c>
      <c r="BC16" s="7">
        <f t="shared" si="8"/>
        <v>1787000</v>
      </c>
      <c r="BE16" s="5">
        <v>202311</v>
      </c>
      <c r="BF16" s="6">
        <v>0</v>
      </c>
      <c r="BG16" s="28">
        <v>0</v>
      </c>
      <c r="BH16" s="8">
        <v>0</v>
      </c>
      <c r="BI16" s="7">
        <f t="shared" si="9"/>
        <v>0</v>
      </c>
      <c r="BK16" s="5">
        <v>202311</v>
      </c>
      <c r="BL16" s="6">
        <v>0</v>
      </c>
      <c r="BM16" s="28">
        <v>74000</v>
      </c>
      <c r="BN16" s="8">
        <v>210000</v>
      </c>
      <c r="BO16" s="7">
        <f t="shared" si="10"/>
        <v>0</v>
      </c>
      <c r="BQ16" s="5">
        <v>202311</v>
      </c>
      <c r="BR16" s="6">
        <v>2500000</v>
      </c>
      <c r="BS16" s="28">
        <v>718500</v>
      </c>
      <c r="BT16" s="8">
        <v>63000</v>
      </c>
      <c r="BU16" s="7">
        <f t="shared" si="11"/>
        <v>2500000</v>
      </c>
      <c r="BW16" s="5">
        <v>202311</v>
      </c>
      <c r="BX16" s="6">
        <v>0</v>
      </c>
      <c r="BY16" s="6">
        <v>320000</v>
      </c>
      <c r="BZ16" s="8">
        <v>0</v>
      </c>
      <c r="CA16" s="7">
        <f t="shared" si="12"/>
        <v>1070000</v>
      </c>
      <c r="CC16" s="5">
        <v>202311</v>
      </c>
      <c r="CD16" s="6">
        <v>0</v>
      </c>
      <c r="CE16" s="6">
        <v>267500</v>
      </c>
      <c r="CF16" s="8">
        <v>0</v>
      </c>
      <c r="CG16" s="7">
        <f t="shared" si="13"/>
        <v>860000</v>
      </c>
      <c r="CI16" s="5">
        <v>202311</v>
      </c>
      <c r="CJ16" s="6">
        <v>0</v>
      </c>
      <c r="CK16" s="6">
        <v>0</v>
      </c>
      <c r="CL16" s="8">
        <v>0</v>
      </c>
      <c r="CM16" s="7">
        <f t="shared" si="14"/>
        <v>400000</v>
      </c>
      <c r="CO16" s="5">
        <v>202311</v>
      </c>
      <c r="CP16" s="6">
        <v>0</v>
      </c>
      <c r="CQ16" s="6">
        <v>0</v>
      </c>
      <c r="CR16" s="8">
        <v>0</v>
      </c>
      <c r="CS16" s="7">
        <f t="shared" si="15"/>
        <v>0</v>
      </c>
      <c r="CU16" s="5">
        <v>202311</v>
      </c>
      <c r="CV16" s="6">
        <v>0</v>
      </c>
      <c r="CW16" s="6">
        <v>0</v>
      </c>
      <c r="CX16" s="8">
        <v>0</v>
      </c>
      <c r="CY16" s="7">
        <f t="shared" si="16"/>
        <v>1144000</v>
      </c>
      <c r="DA16" s="5">
        <v>202311</v>
      </c>
      <c r="DB16" s="6">
        <v>0</v>
      </c>
      <c r="DC16" s="6">
        <v>0</v>
      </c>
      <c r="DD16" s="8">
        <v>0</v>
      </c>
      <c r="DE16" s="7">
        <f t="shared" si="17"/>
        <v>0</v>
      </c>
      <c r="DG16" s="5">
        <v>202311</v>
      </c>
      <c r="DH16" s="6">
        <v>0</v>
      </c>
      <c r="DI16" s="6">
        <v>0</v>
      </c>
      <c r="DJ16" s="8">
        <v>0</v>
      </c>
      <c r="DK16" s="7">
        <f t="shared" si="18"/>
        <v>0</v>
      </c>
      <c r="DM16" s="5">
        <v>202311</v>
      </c>
      <c r="DN16" s="6">
        <v>0</v>
      </c>
      <c r="DO16" s="6">
        <v>19000</v>
      </c>
      <c r="DP16" s="8">
        <v>252000</v>
      </c>
      <c r="DQ16" s="7">
        <f t="shared" si="19"/>
        <v>0</v>
      </c>
      <c r="DS16" s="5">
        <v>202311</v>
      </c>
      <c r="DT16" s="6">
        <v>0</v>
      </c>
      <c r="DU16" s="6">
        <v>0</v>
      </c>
      <c r="DV16" s="8">
        <v>0</v>
      </c>
      <c r="DW16" s="7">
        <f t="shared" si="20"/>
        <v>3000000</v>
      </c>
      <c r="DY16" s="5">
        <v>202311</v>
      </c>
      <c r="DZ16" s="6">
        <v>0</v>
      </c>
      <c r="EA16" s="6">
        <v>250000</v>
      </c>
      <c r="EB16" s="8">
        <v>0</v>
      </c>
      <c r="EC16" s="7">
        <f t="shared" si="21"/>
        <v>1750000</v>
      </c>
      <c r="EE16" s="5">
        <v>202311</v>
      </c>
      <c r="EF16" s="6">
        <v>0</v>
      </c>
      <c r="EG16" s="6">
        <v>0</v>
      </c>
      <c r="EH16" s="8">
        <v>0</v>
      </c>
      <c r="EI16" s="7">
        <f t="shared" si="22"/>
        <v>0</v>
      </c>
      <c r="EK16" s="5">
        <v>202311</v>
      </c>
      <c r="EL16" s="6">
        <v>0</v>
      </c>
      <c r="EM16" s="6">
        <v>0</v>
      </c>
      <c r="EN16" s="8">
        <v>0</v>
      </c>
      <c r="EO16" s="7">
        <f t="shared" si="23"/>
        <v>2145000</v>
      </c>
      <c r="EQ16" s="5">
        <v>202311</v>
      </c>
      <c r="ER16" s="6">
        <v>0</v>
      </c>
      <c r="ES16" s="6">
        <v>0</v>
      </c>
      <c r="ET16" s="8">
        <v>0</v>
      </c>
      <c r="EU16" s="7">
        <f t="shared" si="24"/>
        <v>0</v>
      </c>
      <c r="EW16" s="5">
        <v>202311</v>
      </c>
      <c r="EX16" s="6">
        <v>0</v>
      </c>
      <c r="EY16" s="6">
        <v>0</v>
      </c>
      <c r="EZ16" s="8">
        <v>0</v>
      </c>
      <c r="FA16" s="7">
        <f t="shared" si="25"/>
        <v>860000</v>
      </c>
      <c r="FC16" s="5">
        <v>202311</v>
      </c>
      <c r="FD16" s="6">
        <v>0</v>
      </c>
      <c r="FE16" s="6">
        <v>231000</v>
      </c>
      <c r="FF16" s="8">
        <v>0</v>
      </c>
      <c r="FG16" s="7">
        <f t="shared" si="26"/>
        <v>190000</v>
      </c>
      <c r="FI16" s="5">
        <v>202311</v>
      </c>
      <c r="FJ16" s="6">
        <v>0</v>
      </c>
      <c r="FK16" s="6">
        <v>0</v>
      </c>
      <c r="FL16" s="8">
        <v>0</v>
      </c>
      <c r="FM16" s="7">
        <f t="shared" si="27"/>
        <v>2350000</v>
      </c>
      <c r="FO16" s="5">
        <v>202311</v>
      </c>
      <c r="FP16" s="6">
        <v>0</v>
      </c>
      <c r="FQ16" s="6">
        <v>300000</v>
      </c>
      <c r="FR16" s="8">
        <v>118000</v>
      </c>
      <c r="FS16" s="7">
        <f t="shared" si="28"/>
        <v>0</v>
      </c>
      <c r="FU16" s="5">
        <v>202311</v>
      </c>
      <c r="FV16" s="6">
        <v>0</v>
      </c>
      <c r="FW16" s="6">
        <v>0</v>
      </c>
      <c r="FX16" s="8">
        <v>0</v>
      </c>
      <c r="FY16" s="7">
        <f t="shared" si="29"/>
        <v>0</v>
      </c>
      <c r="GA16" s="5">
        <v>202311</v>
      </c>
      <c r="GB16" s="6">
        <v>0</v>
      </c>
      <c r="GC16" s="6">
        <v>214000</v>
      </c>
      <c r="GD16" s="8">
        <v>0</v>
      </c>
      <c r="GE16" s="7">
        <f t="shared" si="30"/>
        <v>1572000</v>
      </c>
      <c r="GG16" s="5">
        <v>202311</v>
      </c>
      <c r="GH16" s="6">
        <v>3000000</v>
      </c>
      <c r="GI16" s="6">
        <v>150000</v>
      </c>
      <c r="GJ16" s="8">
        <v>175000</v>
      </c>
      <c r="GK16" s="7">
        <f t="shared" si="31"/>
        <v>3000000</v>
      </c>
      <c r="GM16" s="5">
        <v>202311</v>
      </c>
      <c r="GN16" s="6">
        <v>0</v>
      </c>
      <c r="GO16" s="6">
        <v>0</v>
      </c>
      <c r="GP16" s="8">
        <v>0</v>
      </c>
      <c r="GQ16" s="7">
        <f t="shared" si="32"/>
        <v>400000</v>
      </c>
      <c r="GS16" s="5">
        <v>202311</v>
      </c>
      <c r="GT16" s="6">
        <v>0</v>
      </c>
      <c r="GU16" s="9">
        <v>0</v>
      </c>
      <c r="GV16" s="8">
        <v>0</v>
      </c>
      <c r="GW16" s="7">
        <f t="shared" si="33"/>
        <v>0</v>
      </c>
      <c r="GY16" s="5">
        <v>202311</v>
      </c>
      <c r="GZ16" s="6">
        <v>0</v>
      </c>
      <c r="HA16" s="9">
        <v>0</v>
      </c>
      <c r="HB16" s="8">
        <v>0</v>
      </c>
      <c r="HC16" s="7">
        <f t="shared" si="34"/>
        <v>-696117.68864598079</v>
      </c>
    </row>
    <row r="17" spans="1:211" ht="12.75" hidden="1" outlineLevel="1" thickBot="1" x14ac:dyDescent="0.25">
      <c r="C17" s="10">
        <v>202312</v>
      </c>
      <c r="D17" s="11">
        <v>2500000</v>
      </c>
      <c r="E17" s="12">
        <v>0</v>
      </c>
      <c r="F17" s="13">
        <v>0</v>
      </c>
      <c r="G17" s="14">
        <f t="shared" si="0"/>
        <v>2500000</v>
      </c>
      <c r="I17" s="10">
        <v>202312</v>
      </c>
      <c r="J17" s="11">
        <v>0</v>
      </c>
      <c r="K17" s="12">
        <v>0</v>
      </c>
      <c r="L17" s="13">
        <v>0</v>
      </c>
      <c r="M17" s="14">
        <f t="shared" si="1"/>
        <v>0</v>
      </c>
      <c r="O17" s="10">
        <v>202312</v>
      </c>
      <c r="P17" s="11">
        <v>0</v>
      </c>
      <c r="Q17" s="12">
        <v>0</v>
      </c>
      <c r="R17" s="13">
        <v>0</v>
      </c>
      <c r="S17" s="14">
        <f t="shared" si="2"/>
        <v>1358000</v>
      </c>
      <c r="U17" s="10">
        <v>202312</v>
      </c>
      <c r="V17" s="11">
        <v>0</v>
      </c>
      <c r="W17" s="6">
        <v>0</v>
      </c>
      <c r="X17" s="13">
        <v>0</v>
      </c>
      <c r="Y17" s="14">
        <f t="shared" si="3"/>
        <v>0</v>
      </c>
      <c r="AA17" s="10">
        <v>202312</v>
      </c>
      <c r="AB17" s="11">
        <v>0</v>
      </c>
      <c r="AC17" s="12">
        <v>650000</v>
      </c>
      <c r="AD17" s="13">
        <v>0</v>
      </c>
      <c r="AE17" s="14">
        <f t="shared" si="4"/>
        <v>1375000</v>
      </c>
      <c r="AG17" s="10">
        <v>202312</v>
      </c>
      <c r="AH17" s="11">
        <v>0</v>
      </c>
      <c r="AI17" s="6">
        <v>0</v>
      </c>
      <c r="AJ17" s="13">
        <v>0</v>
      </c>
      <c r="AK17" s="14">
        <f t="shared" si="5"/>
        <v>0</v>
      </c>
      <c r="AM17" s="10">
        <v>202312</v>
      </c>
      <c r="AN17" s="11">
        <v>0</v>
      </c>
      <c r="AO17" s="12">
        <v>446000</v>
      </c>
      <c r="AP17" s="13">
        <v>0</v>
      </c>
      <c r="AQ17" s="14">
        <f t="shared" si="6"/>
        <v>4107500</v>
      </c>
      <c r="AS17" s="10">
        <v>202312</v>
      </c>
      <c r="AT17" s="11">
        <v>500000</v>
      </c>
      <c r="AU17" s="12">
        <v>100000</v>
      </c>
      <c r="AV17" s="13">
        <v>0</v>
      </c>
      <c r="AW17" s="14">
        <f t="shared" si="7"/>
        <v>400000</v>
      </c>
      <c r="AY17" s="10">
        <v>202312</v>
      </c>
      <c r="AZ17" s="11">
        <v>0</v>
      </c>
      <c r="BA17" s="12">
        <v>322000</v>
      </c>
      <c r="BB17" s="13">
        <v>0</v>
      </c>
      <c r="BC17" s="14">
        <f t="shared" si="8"/>
        <v>1465000</v>
      </c>
      <c r="BE17" s="10">
        <v>202312</v>
      </c>
      <c r="BF17" s="11">
        <v>0</v>
      </c>
      <c r="BG17" s="12">
        <v>0</v>
      </c>
      <c r="BH17" s="13">
        <v>0</v>
      </c>
      <c r="BI17" s="14">
        <f t="shared" si="9"/>
        <v>0</v>
      </c>
      <c r="BK17" s="10">
        <v>202312</v>
      </c>
      <c r="BL17" s="11">
        <v>0</v>
      </c>
      <c r="BM17" s="12">
        <v>0</v>
      </c>
      <c r="BN17" s="13">
        <v>0</v>
      </c>
      <c r="BO17" s="14">
        <f t="shared" si="10"/>
        <v>0</v>
      </c>
      <c r="BQ17" s="10">
        <v>202312</v>
      </c>
      <c r="BR17" s="11">
        <v>0</v>
      </c>
      <c r="BS17" s="12">
        <v>0</v>
      </c>
      <c r="BT17" s="13">
        <v>0</v>
      </c>
      <c r="BU17" s="14">
        <f t="shared" si="11"/>
        <v>2500000</v>
      </c>
      <c r="BW17" s="10">
        <v>202312</v>
      </c>
      <c r="BX17" s="11">
        <v>0</v>
      </c>
      <c r="BY17" s="12">
        <v>340000</v>
      </c>
      <c r="BZ17" s="13">
        <v>0</v>
      </c>
      <c r="CA17" s="14">
        <f t="shared" si="12"/>
        <v>730000</v>
      </c>
      <c r="CC17" s="10">
        <v>202312</v>
      </c>
      <c r="CD17" s="11">
        <v>5000000</v>
      </c>
      <c r="CE17" s="12">
        <v>767500</v>
      </c>
      <c r="CF17" s="13">
        <v>0</v>
      </c>
      <c r="CG17" s="14">
        <f t="shared" si="13"/>
        <v>5092500</v>
      </c>
      <c r="CI17" s="10">
        <v>202312</v>
      </c>
      <c r="CJ17" s="11">
        <v>0</v>
      </c>
      <c r="CK17" s="6">
        <v>300000</v>
      </c>
      <c r="CL17" s="13">
        <v>0</v>
      </c>
      <c r="CM17" s="14">
        <f t="shared" si="14"/>
        <v>100000</v>
      </c>
      <c r="CO17" s="10">
        <v>202312</v>
      </c>
      <c r="CP17" s="11">
        <v>0</v>
      </c>
      <c r="CQ17" s="12">
        <v>0</v>
      </c>
      <c r="CR17" s="13">
        <v>0</v>
      </c>
      <c r="CS17" s="14">
        <f t="shared" si="15"/>
        <v>0</v>
      </c>
      <c r="CU17" s="10">
        <v>202312</v>
      </c>
      <c r="CV17" s="11">
        <v>0</v>
      </c>
      <c r="CW17" s="6">
        <v>214000</v>
      </c>
      <c r="CX17" s="13">
        <v>0</v>
      </c>
      <c r="CY17" s="14">
        <f t="shared" si="16"/>
        <v>930000</v>
      </c>
      <c r="DA17" s="10">
        <v>202312</v>
      </c>
      <c r="DB17" s="11">
        <v>0</v>
      </c>
      <c r="DC17" s="6">
        <v>0</v>
      </c>
      <c r="DD17" s="13">
        <v>0</v>
      </c>
      <c r="DE17" s="14">
        <f t="shared" si="17"/>
        <v>0</v>
      </c>
      <c r="DG17" s="10">
        <v>202312</v>
      </c>
      <c r="DH17" s="11">
        <v>0</v>
      </c>
      <c r="DI17" s="6">
        <v>0</v>
      </c>
      <c r="DJ17" s="13">
        <v>0</v>
      </c>
      <c r="DK17" s="14">
        <f t="shared" si="18"/>
        <v>0</v>
      </c>
      <c r="DM17" s="10">
        <v>202312</v>
      </c>
      <c r="DN17" s="11">
        <v>0</v>
      </c>
      <c r="DO17" s="6">
        <v>0</v>
      </c>
      <c r="DP17" s="13">
        <v>0</v>
      </c>
      <c r="DQ17" s="14">
        <f t="shared" si="19"/>
        <v>0</v>
      </c>
      <c r="DS17" s="10">
        <v>202312</v>
      </c>
      <c r="DT17" s="11">
        <v>0</v>
      </c>
      <c r="DU17" s="6">
        <v>0</v>
      </c>
      <c r="DV17" s="13">
        <v>0</v>
      </c>
      <c r="DW17" s="14">
        <f t="shared" si="20"/>
        <v>3000000</v>
      </c>
      <c r="DY17" s="10">
        <v>202312</v>
      </c>
      <c r="DZ17" s="11">
        <v>0</v>
      </c>
      <c r="EA17" s="6">
        <v>250000</v>
      </c>
      <c r="EB17" s="13">
        <v>0</v>
      </c>
      <c r="EC17" s="14">
        <f t="shared" si="21"/>
        <v>1500000</v>
      </c>
      <c r="EE17" s="10">
        <v>202312</v>
      </c>
      <c r="EF17" s="11">
        <v>0</v>
      </c>
      <c r="EG17" s="6">
        <v>0</v>
      </c>
      <c r="EH17" s="13">
        <v>0</v>
      </c>
      <c r="EI17" s="14">
        <f t="shared" si="22"/>
        <v>0</v>
      </c>
      <c r="EK17" s="10">
        <v>202312</v>
      </c>
      <c r="EL17" s="11">
        <v>0</v>
      </c>
      <c r="EM17" s="6">
        <v>0</v>
      </c>
      <c r="EN17" s="13">
        <v>0</v>
      </c>
      <c r="EO17" s="14">
        <f t="shared" si="23"/>
        <v>2145000</v>
      </c>
      <c r="EQ17" s="10">
        <v>202312</v>
      </c>
      <c r="ER17" s="11">
        <v>0</v>
      </c>
      <c r="ES17" s="6">
        <v>0</v>
      </c>
      <c r="ET17" s="13">
        <v>0</v>
      </c>
      <c r="EU17" s="14">
        <f t="shared" si="24"/>
        <v>0</v>
      </c>
      <c r="EW17" s="10">
        <v>202312</v>
      </c>
      <c r="EX17" s="11">
        <v>0</v>
      </c>
      <c r="EY17" s="6">
        <v>0</v>
      </c>
      <c r="EZ17" s="13">
        <v>0</v>
      </c>
      <c r="FA17" s="14">
        <f t="shared" si="25"/>
        <v>860000</v>
      </c>
      <c r="FC17" s="10">
        <v>202312</v>
      </c>
      <c r="FD17" s="11">
        <v>3000000</v>
      </c>
      <c r="FE17" s="6">
        <v>190000</v>
      </c>
      <c r="FF17" s="13">
        <v>210000</v>
      </c>
      <c r="FG17" s="14">
        <f t="shared" si="26"/>
        <v>3000000</v>
      </c>
      <c r="FI17" s="10">
        <v>202312</v>
      </c>
      <c r="FJ17" s="11">
        <v>0</v>
      </c>
      <c r="FK17" s="6">
        <v>350000</v>
      </c>
      <c r="FL17" s="13">
        <v>0</v>
      </c>
      <c r="FM17" s="14">
        <f t="shared" si="27"/>
        <v>2000000</v>
      </c>
      <c r="FO17" s="10">
        <v>202312</v>
      </c>
      <c r="FP17" s="11">
        <v>2000000</v>
      </c>
      <c r="FQ17" s="6">
        <v>0</v>
      </c>
      <c r="FR17" s="13">
        <v>0</v>
      </c>
      <c r="FS17" s="14">
        <f t="shared" si="28"/>
        <v>2000000</v>
      </c>
      <c r="FU17" s="10">
        <v>202312</v>
      </c>
      <c r="FV17" s="11">
        <v>0</v>
      </c>
      <c r="FW17" s="6">
        <v>0</v>
      </c>
      <c r="FX17" s="13">
        <v>0</v>
      </c>
      <c r="FY17" s="14">
        <f t="shared" si="29"/>
        <v>0</v>
      </c>
      <c r="GA17" s="10">
        <v>202312</v>
      </c>
      <c r="GB17" s="11">
        <v>0</v>
      </c>
      <c r="GC17" s="6">
        <v>0</v>
      </c>
      <c r="GD17" s="13">
        <v>0</v>
      </c>
      <c r="GE17" s="14">
        <f t="shared" si="30"/>
        <v>1572000</v>
      </c>
      <c r="GG17" s="10">
        <v>202312</v>
      </c>
      <c r="GH17" s="11">
        <v>0</v>
      </c>
      <c r="GI17" s="6">
        <v>2000000</v>
      </c>
      <c r="GJ17" s="13">
        <v>0</v>
      </c>
      <c r="GK17" s="14">
        <f t="shared" si="31"/>
        <v>1000000</v>
      </c>
      <c r="GM17" s="10">
        <v>202312</v>
      </c>
      <c r="GN17" s="11">
        <v>0</v>
      </c>
      <c r="GO17" s="6">
        <v>0</v>
      </c>
      <c r="GP17" s="13">
        <v>0</v>
      </c>
      <c r="GQ17" s="14">
        <f t="shared" si="32"/>
        <v>400000</v>
      </c>
      <c r="GS17" s="10">
        <v>202312</v>
      </c>
      <c r="GT17" s="11">
        <v>0</v>
      </c>
      <c r="GU17" s="12">
        <v>0</v>
      </c>
      <c r="GV17" s="13">
        <v>0</v>
      </c>
      <c r="GW17" s="14">
        <f t="shared" si="33"/>
        <v>0</v>
      </c>
      <c r="GY17" s="10">
        <v>202312</v>
      </c>
      <c r="GZ17" s="11">
        <v>0</v>
      </c>
      <c r="HA17" s="12">
        <v>0</v>
      </c>
      <c r="HB17" s="13">
        <v>0</v>
      </c>
      <c r="HC17" s="14">
        <f t="shared" si="34"/>
        <v>-696117.68864598079</v>
      </c>
    </row>
    <row r="18" spans="1:211" s="23" customFormat="1" ht="20.100000000000001" hidden="1" customHeight="1" outlineLevel="1" thickTop="1" thickBot="1" x14ac:dyDescent="0.3">
      <c r="C18" s="20"/>
      <c r="D18" s="21">
        <f>SUM(D6:D17)</f>
        <v>2500000</v>
      </c>
      <c r="E18" s="22">
        <f t="shared" ref="E18:F18" si="35">SUM(E6:E17)</f>
        <v>2275000</v>
      </c>
      <c r="F18" s="24">
        <f t="shared" si="35"/>
        <v>210000</v>
      </c>
      <c r="G18" s="25">
        <f>G5+D18-E18</f>
        <v>2500000</v>
      </c>
      <c r="I18" s="20"/>
      <c r="J18" s="21">
        <f>SUM(J6:J17)</f>
        <v>0</v>
      </c>
      <c r="K18" s="22">
        <f t="shared" ref="K18:L18" si="36">SUM(K6:K17)</f>
        <v>0</v>
      </c>
      <c r="L18" s="24">
        <f t="shared" si="36"/>
        <v>0</v>
      </c>
      <c r="M18" s="25">
        <f>M5+J18-K18</f>
        <v>0</v>
      </c>
      <c r="O18" s="20"/>
      <c r="P18" s="21">
        <f>SUM(P6:P17)</f>
        <v>2000000</v>
      </c>
      <c r="Q18" s="22">
        <f t="shared" ref="Q18" si="37">SUM(Q6:Q17)</f>
        <v>642000</v>
      </c>
      <c r="R18" s="24">
        <f t="shared" ref="R18" si="38">SUM(R6:R17)</f>
        <v>0</v>
      </c>
      <c r="S18" s="25">
        <f>S5+P18-Q18</f>
        <v>1358000</v>
      </c>
      <c r="U18" s="20"/>
      <c r="V18" s="21">
        <f>SUM(V6:V17)</f>
        <v>0</v>
      </c>
      <c r="W18" s="22">
        <f t="shared" ref="W18:X18" si="39">SUM(W6:W17)</f>
        <v>0</v>
      </c>
      <c r="X18" s="24">
        <f t="shared" si="39"/>
        <v>0</v>
      </c>
      <c r="Y18" s="25">
        <f>Y5+V18-W18</f>
        <v>0</v>
      </c>
      <c r="AA18" s="20"/>
      <c r="AB18" s="21">
        <f>SUM(AB6:AB17)</f>
        <v>3000000</v>
      </c>
      <c r="AC18" s="22">
        <f t="shared" ref="AC18" si="40">SUM(AC6:AC17)</f>
        <v>3911000</v>
      </c>
      <c r="AD18" s="24">
        <f t="shared" ref="AD18" si="41">SUM(AD6:AD17)</f>
        <v>121500</v>
      </c>
      <c r="AE18" s="25">
        <f>AE5+AB18-AC18</f>
        <v>1375000</v>
      </c>
      <c r="AG18" s="20"/>
      <c r="AH18" s="21">
        <f>SUM(AH6:AH17)</f>
        <v>4500000</v>
      </c>
      <c r="AI18" s="22">
        <f t="shared" ref="AI18" si="42">SUM(AI6:AI17)</f>
        <v>4500000</v>
      </c>
      <c r="AJ18" s="24">
        <f t="shared" ref="AJ18" si="43">SUM(AJ6:AJ17)</f>
        <v>0</v>
      </c>
      <c r="AK18" s="25">
        <f>AK5+AH18-AI18</f>
        <v>0</v>
      </c>
      <c r="AM18" s="20"/>
      <c r="AN18" s="21">
        <f>SUM(AN6:AN17)</f>
        <v>22000000</v>
      </c>
      <c r="AO18" s="22">
        <f t="shared" ref="AO18" si="44">SUM(AO6:AO17)</f>
        <v>17892500</v>
      </c>
      <c r="AP18" s="24">
        <f t="shared" ref="AP18" si="45">SUM(AP6:AP17)</f>
        <v>87500</v>
      </c>
      <c r="AQ18" s="25">
        <f>AQ5+AN18-AO18</f>
        <v>4107500</v>
      </c>
      <c r="AS18" s="20"/>
      <c r="AT18" s="21">
        <f>SUM(AT6:AT17)</f>
        <v>3500000</v>
      </c>
      <c r="AU18" s="22">
        <f t="shared" ref="AU18" si="46">SUM(AU6:AU17)</f>
        <v>3100000</v>
      </c>
      <c r="AV18" s="24">
        <f t="shared" ref="AV18" si="47">SUM(AV6:AV17)</f>
        <v>63000</v>
      </c>
      <c r="AW18" s="25">
        <f>AW5+AT18-AU18</f>
        <v>400000</v>
      </c>
      <c r="AY18" s="20"/>
      <c r="AZ18" s="21">
        <f>SUM(AZ6:AZ17)</f>
        <v>3000000</v>
      </c>
      <c r="BA18" s="22">
        <f t="shared" ref="BA18" si="48">SUM(BA6:BA17)</f>
        <v>2675000</v>
      </c>
      <c r="BB18" s="24">
        <f t="shared" ref="BB18" si="49">SUM(BB6:BB17)</f>
        <v>0</v>
      </c>
      <c r="BC18" s="25">
        <f>BC5+AZ18-BA18</f>
        <v>1465000</v>
      </c>
      <c r="BE18" s="20"/>
      <c r="BF18" s="21">
        <f>SUM(BF6:BF17)</f>
        <v>0</v>
      </c>
      <c r="BG18" s="22">
        <f t="shared" ref="BG18:BH18" si="50">SUM(BG6:BG17)</f>
        <v>0</v>
      </c>
      <c r="BH18" s="24">
        <f t="shared" si="50"/>
        <v>0</v>
      </c>
      <c r="BI18" s="25">
        <f>BI5+BF18-BG18</f>
        <v>0</v>
      </c>
      <c r="BK18" s="20"/>
      <c r="BL18" s="21">
        <f>SUM(BL6:BL17)</f>
        <v>3000000</v>
      </c>
      <c r="BM18" s="22">
        <f t="shared" ref="BM18" si="51">SUM(BM6:BM17)</f>
        <v>3000000</v>
      </c>
      <c r="BN18" s="24">
        <f t="shared" ref="BN18" si="52">SUM(BN6:BN17)</f>
        <v>210000</v>
      </c>
      <c r="BO18" s="25">
        <f>BO5+BL18-BM18</f>
        <v>0</v>
      </c>
      <c r="BQ18" s="20"/>
      <c r="BR18" s="21">
        <f>SUM(BR6:BR17)</f>
        <v>4000000</v>
      </c>
      <c r="BS18" s="22">
        <f t="shared" ref="BS18" si="53">SUM(BS6:BS17)</f>
        <v>2590500</v>
      </c>
      <c r="BT18" s="24">
        <f t="shared" ref="BT18" si="54">SUM(BT6:BT17)</f>
        <v>256500</v>
      </c>
      <c r="BU18" s="25">
        <f>BU5+BR18-BS18</f>
        <v>2500000</v>
      </c>
      <c r="BW18" s="20"/>
      <c r="BX18" s="21">
        <f>SUM(BX6:BX17)</f>
        <v>3000000</v>
      </c>
      <c r="BY18" s="22">
        <f t="shared" ref="BY18" si="55">SUM(BY6:BY17)</f>
        <v>3660000</v>
      </c>
      <c r="BZ18" s="24">
        <f t="shared" ref="BZ18" si="56">SUM(BZ6:BZ17)</f>
        <v>210000</v>
      </c>
      <c r="CA18" s="25">
        <f>CA5+BX18-BY18</f>
        <v>730000</v>
      </c>
      <c r="CC18" s="20"/>
      <c r="CD18" s="21">
        <f>SUM(CD6:CD17)</f>
        <v>5000000</v>
      </c>
      <c r="CE18" s="22">
        <f t="shared" ref="CE18" si="57">SUM(CE6:CE17)</f>
        <v>2907500</v>
      </c>
      <c r="CF18" s="24">
        <f t="shared" ref="CF18" si="58">SUM(CF6:CF17)</f>
        <v>0</v>
      </c>
      <c r="CG18" s="25">
        <f>CG5+CD18-CE18</f>
        <v>5092500</v>
      </c>
      <c r="CI18" s="20"/>
      <c r="CJ18" s="21">
        <f>SUM(CJ6:CJ17)</f>
        <v>2500000</v>
      </c>
      <c r="CK18" s="22">
        <f t="shared" ref="CK18" si="59">SUM(CK6:CK17)</f>
        <v>2400000</v>
      </c>
      <c r="CL18" s="24">
        <f t="shared" ref="CL18" si="60">SUM(CL6:CL17)</f>
        <v>0</v>
      </c>
      <c r="CM18" s="25">
        <f>CM5+CJ18-CK18</f>
        <v>100000</v>
      </c>
      <c r="CO18" s="20"/>
      <c r="CP18" s="21">
        <f>SUM(CP6:CP17)</f>
        <v>0</v>
      </c>
      <c r="CQ18" s="22">
        <f t="shared" ref="CQ18:CR18" si="61">SUM(CQ6:CQ17)</f>
        <v>0</v>
      </c>
      <c r="CR18" s="24">
        <f t="shared" si="61"/>
        <v>0</v>
      </c>
      <c r="CS18" s="25">
        <f>CS5+CP18-CQ18</f>
        <v>0</v>
      </c>
      <c r="CU18" s="20"/>
      <c r="CV18" s="21">
        <f>SUM(CV6:CV17)</f>
        <v>2000000</v>
      </c>
      <c r="CW18" s="22">
        <f t="shared" ref="CW18" si="62">SUM(CW6:CW17)</f>
        <v>1070000</v>
      </c>
      <c r="CX18" s="24">
        <f t="shared" ref="CX18" si="63">SUM(CX6:CX17)</f>
        <v>0</v>
      </c>
      <c r="CY18" s="25">
        <f>CY5+CV18-CW18</f>
        <v>930000</v>
      </c>
      <c r="DA18" s="20"/>
      <c r="DB18" s="21">
        <f>SUM(DB6:DB17)</f>
        <v>0</v>
      </c>
      <c r="DC18" s="22">
        <f t="shared" ref="DC18" si="64">SUM(DC6:DC17)</f>
        <v>288000</v>
      </c>
      <c r="DD18" s="24">
        <f t="shared" ref="DD18" si="65">SUM(DD6:DD17)</f>
        <v>140000</v>
      </c>
      <c r="DE18" s="25">
        <f>DE5+DB18-DC18</f>
        <v>0</v>
      </c>
      <c r="DG18" s="20"/>
      <c r="DH18" s="21">
        <f>SUM(DH6:DH17)</f>
        <v>0</v>
      </c>
      <c r="DI18" s="22">
        <f t="shared" ref="DI18:DJ18" si="66">SUM(DI6:DI17)</f>
        <v>0</v>
      </c>
      <c r="DJ18" s="24">
        <f t="shared" si="66"/>
        <v>0</v>
      </c>
      <c r="DK18" s="25">
        <f>DK5+DH18-DI18</f>
        <v>0</v>
      </c>
      <c r="DM18" s="20"/>
      <c r="DN18" s="21">
        <f>SUM(DN6:DN17)</f>
        <v>0</v>
      </c>
      <c r="DO18" s="22">
        <f t="shared" ref="DO18" si="67">SUM(DO6:DO17)</f>
        <v>832000</v>
      </c>
      <c r="DP18" s="24">
        <f t="shared" ref="DP18" si="68">SUM(DP6:DP17)</f>
        <v>252000</v>
      </c>
      <c r="DQ18" s="25">
        <f>DQ5+DN18-DO18</f>
        <v>0</v>
      </c>
      <c r="DS18" s="20"/>
      <c r="DT18" s="21">
        <f>SUM(DT6:DT17)</f>
        <v>3000000</v>
      </c>
      <c r="DU18" s="22">
        <f t="shared" ref="DU18" si="69">SUM(DU6:DU17)</f>
        <v>2458000</v>
      </c>
      <c r="DV18" s="24">
        <f t="shared" ref="DV18" si="70">SUM(DV6:DV17)</f>
        <v>252000</v>
      </c>
      <c r="DW18" s="25">
        <f>DW5+DT18-DU18</f>
        <v>3000000</v>
      </c>
      <c r="DY18" s="20"/>
      <c r="DZ18" s="21">
        <f>SUM(DZ6:DZ17)</f>
        <v>2000000</v>
      </c>
      <c r="EA18" s="22">
        <f t="shared" ref="EA18" si="71">SUM(EA6:EA17)</f>
        <v>2500000</v>
      </c>
      <c r="EB18" s="24">
        <f t="shared" ref="EB18" si="72">SUM(EB6:EB17)</f>
        <v>140000</v>
      </c>
      <c r="EC18" s="25">
        <f>EC5+DZ18-EA18</f>
        <v>1500000</v>
      </c>
      <c r="EE18" s="20"/>
      <c r="EF18" s="21">
        <f>SUM(EF6:EF17)</f>
        <v>100000</v>
      </c>
      <c r="EG18" s="22">
        <f t="shared" ref="EG18" si="73">SUM(EG6:EG17)</f>
        <v>0</v>
      </c>
      <c r="EH18" s="24">
        <f t="shared" ref="EH18" si="74">SUM(EH6:EH17)</f>
        <v>264200</v>
      </c>
      <c r="EI18" s="25">
        <f>EI5+EF18-EG18</f>
        <v>0</v>
      </c>
      <c r="EK18" s="20"/>
      <c r="EL18" s="21">
        <f>SUM(EL6:EL17)</f>
        <v>2000000</v>
      </c>
      <c r="EM18" s="22">
        <f t="shared" ref="EM18" si="75">SUM(EM6:EM17)</f>
        <v>1255000</v>
      </c>
      <c r="EN18" s="24">
        <f t="shared" ref="EN18" si="76">SUM(EN6:EN17)</f>
        <v>0</v>
      </c>
      <c r="EO18" s="25">
        <f>EO5+EL18-EM18</f>
        <v>2145000</v>
      </c>
      <c r="EQ18" s="20"/>
      <c r="ER18" s="21">
        <f>SUM(ER6:ER17)</f>
        <v>0</v>
      </c>
      <c r="ES18" s="22">
        <f t="shared" ref="ES18:ET18" si="77">SUM(ES6:ES17)</f>
        <v>0</v>
      </c>
      <c r="ET18" s="24">
        <f t="shared" si="77"/>
        <v>0</v>
      </c>
      <c r="EU18" s="25">
        <f>EU5+ER18-ES18</f>
        <v>0</v>
      </c>
      <c r="EW18" s="20"/>
      <c r="EX18" s="21">
        <f>SUM(EX6:EX17)</f>
        <v>2500000</v>
      </c>
      <c r="EY18" s="22">
        <f t="shared" ref="EY18" si="78">SUM(EY6:EY17)</f>
        <v>1640000</v>
      </c>
      <c r="EZ18" s="24">
        <f t="shared" ref="EZ18" si="79">SUM(EZ6:EZ17)</f>
        <v>0</v>
      </c>
      <c r="FA18" s="25">
        <f>FA5+EX18-EY18</f>
        <v>860000</v>
      </c>
      <c r="FC18" s="20"/>
      <c r="FD18" s="21">
        <f>SUM(FD6:FD17)</f>
        <v>3000000</v>
      </c>
      <c r="FE18" s="22">
        <f t="shared" ref="FE18" si="80">SUM(FE6:FE17)</f>
        <v>2269000</v>
      </c>
      <c r="FF18" s="24">
        <f t="shared" ref="FF18" si="81">SUM(FF6:FF17)</f>
        <v>210000</v>
      </c>
      <c r="FG18" s="25">
        <f>FG5+FD18-FE18</f>
        <v>3000000</v>
      </c>
      <c r="FI18" s="20"/>
      <c r="FJ18" s="21">
        <f>SUM(FJ6:FJ17)</f>
        <v>3000000</v>
      </c>
      <c r="FK18" s="22">
        <f t="shared" ref="FK18" si="82">SUM(FK6:FK17)</f>
        <v>3000000</v>
      </c>
      <c r="FL18" s="24">
        <f t="shared" ref="FL18" si="83">SUM(FL6:FL17)</f>
        <v>168000</v>
      </c>
      <c r="FM18" s="25">
        <f>FM5+FJ18-FK18</f>
        <v>2000000</v>
      </c>
      <c r="FO18" s="20"/>
      <c r="FP18" s="21">
        <f>SUM(FP6:FP17)</f>
        <v>3300000</v>
      </c>
      <c r="FQ18" s="22">
        <f t="shared" ref="FQ18" si="84">SUM(FQ6:FQ17)</f>
        <v>1400000</v>
      </c>
      <c r="FR18" s="24">
        <f t="shared" ref="FR18" si="85">SUM(FR6:FR17)</f>
        <v>418000</v>
      </c>
      <c r="FS18" s="25">
        <f>FS5+FP18-FQ18</f>
        <v>2000000</v>
      </c>
      <c r="FU18" s="20"/>
      <c r="FV18" s="21">
        <f>SUM(FV6:FV17)</f>
        <v>0</v>
      </c>
      <c r="FW18" s="22">
        <f t="shared" ref="FW18" si="86">SUM(FW6:FW17)</f>
        <v>200000</v>
      </c>
      <c r="FX18" s="24">
        <f t="shared" ref="FX18" si="87">SUM(FX6:FX17)</f>
        <v>368000</v>
      </c>
      <c r="FY18" s="25">
        <f>FY5+FV18-FW18</f>
        <v>0</v>
      </c>
      <c r="GA18" s="20"/>
      <c r="GB18" s="21">
        <f>SUM(GB6:GB17)</f>
        <v>4000000</v>
      </c>
      <c r="GC18" s="22">
        <f t="shared" ref="GC18" si="88">SUM(GC6:GC17)</f>
        <v>2428000</v>
      </c>
      <c r="GD18" s="24">
        <f t="shared" ref="GD18" si="89">SUM(GD6:GD17)</f>
        <v>140000</v>
      </c>
      <c r="GE18" s="25">
        <f>GE5+GB18-GC18</f>
        <v>1572000</v>
      </c>
      <c r="GG18" s="20"/>
      <c r="GH18" s="21">
        <f>SUM(GH6:GH17)</f>
        <v>3000000</v>
      </c>
      <c r="GI18" s="22">
        <f t="shared" ref="GI18" si="90">SUM(GI6:GI17)</f>
        <v>3850000</v>
      </c>
      <c r="GJ18" s="24">
        <f t="shared" ref="GJ18" si="91">SUM(GJ6:GJ17)</f>
        <v>175000</v>
      </c>
      <c r="GK18" s="25">
        <f>GK5+GH18-GI18</f>
        <v>1000000</v>
      </c>
      <c r="GM18" s="20"/>
      <c r="GN18" s="21">
        <f>SUM(GN6:GN17)</f>
        <v>0</v>
      </c>
      <c r="GO18" s="22">
        <f t="shared" ref="GO18" si="92">SUM(GO6:GO17)</f>
        <v>1600000</v>
      </c>
      <c r="GP18" s="24">
        <f t="shared" ref="GP18" si="93">SUM(GP6:GP17)</f>
        <v>0</v>
      </c>
      <c r="GQ18" s="25">
        <f>GQ5+GN18-GO18</f>
        <v>400000</v>
      </c>
      <c r="GS18" s="20"/>
      <c r="GT18" s="21">
        <f>SUM(GT6:GT17)</f>
        <v>0</v>
      </c>
      <c r="GU18" s="22">
        <f t="shared" ref="GU18" si="94">SUM(GU6:GU17)</f>
        <v>675000</v>
      </c>
      <c r="GV18" s="24">
        <f t="shared" ref="GV18" si="95">SUM(GV6:GV17)</f>
        <v>152500</v>
      </c>
      <c r="GW18" s="25">
        <f>GW5+GT18-GU18</f>
        <v>0</v>
      </c>
      <c r="GY18" s="20"/>
      <c r="GZ18" s="21">
        <f>SUM(GZ6:GZ17)</f>
        <v>0</v>
      </c>
      <c r="HA18" s="22">
        <f t="shared" ref="HA18:HB18" si="96">SUM(HA6:HA17)</f>
        <v>671717.68864598824</v>
      </c>
      <c r="HB18" s="24">
        <f t="shared" si="96"/>
        <v>0</v>
      </c>
      <c r="HC18" s="25">
        <f>HC5+GZ18-HA18</f>
        <v>-696117.68864598079</v>
      </c>
    </row>
    <row r="19" spans="1:211" ht="12.75" hidden="1" outlineLevel="1" thickTop="1" x14ac:dyDescent="0.2"/>
    <row r="20" spans="1:211" s="33" customFormat="1" hidden="1" outlineLevel="2" x14ac:dyDescent="0.2">
      <c r="A20" s="33" t="s">
        <v>49</v>
      </c>
      <c r="B20" s="29">
        <f t="shared" ref="B20:B31" si="97">SUM(C20:XFD20)</f>
        <v>4100000</v>
      </c>
      <c r="C20" s="34"/>
      <c r="D20" s="29">
        <f>D6</f>
        <v>0</v>
      </c>
      <c r="E20" s="29"/>
      <c r="F20" s="29"/>
      <c r="G20" s="29"/>
      <c r="I20" s="34"/>
      <c r="J20" s="29">
        <f>J6</f>
        <v>0</v>
      </c>
      <c r="K20" s="29"/>
      <c r="L20" s="29"/>
      <c r="M20" s="29"/>
      <c r="O20" s="34"/>
      <c r="P20" s="29">
        <f>P6</f>
        <v>0</v>
      </c>
      <c r="Q20" s="29"/>
      <c r="R20" s="29"/>
      <c r="S20" s="29"/>
      <c r="U20" s="34"/>
      <c r="V20" s="29">
        <f>V6</f>
        <v>0</v>
      </c>
      <c r="W20" s="29"/>
      <c r="X20" s="29"/>
      <c r="Y20" s="29"/>
      <c r="AA20" s="34"/>
      <c r="AB20" s="29">
        <f>AB6</f>
        <v>0</v>
      </c>
      <c r="AC20" s="29"/>
      <c r="AD20" s="29"/>
      <c r="AE20" s="29"/>
      <c r="AG20" s="34"/>
      <c r="AH20" s="29">
        <f>AH6</f>
        <v>0</v>
      </c>
      <c r="AI20" s="29"/>
      <c r="AJ20" s="29"/>
      <c r="AK20" s="29"/>
      <c r="AM20" s="34"/>
      <c r="AN20" s="29">
        <f>AN6</f>
        <v>0</v>
      </c>
      <c r="AO20" s="29"/>
      <c r="AP20" s="29"/>
      <c r="AQ20" s="29"/>
      <c r="AS20" s="34"/>
      <c r="AT20" s="29">
        <f>AT6</f>
        <v>2000000</v>
      </c>
      <c r="AU20" s="29"/>
      <c r="AV20" s="29"/>
      <c r="AW20" s="29"/>
      <c r="AY20" s="34"/>
      <c r="AZ20" s="29">
        <f>AZ6</f>
        <v>0</v>
      </c>
      <c r="BA20" s="29"/>
      <c r="BB20" s="29"/>
      <c r="BC20" s="29"/>
      <c r="BE20" s="34"/>
      <c r="BF20" s="29">
        <f>BF6</f>
        <v>0</v>
      </c>
      <c r="BG20" s="29"/>
      <c r="BH20" s="29"/>
      <c r="BI20" s="29"/>
      <c r="BK20" s="34"/>
      <c r="BL20" s="29">
        <f>BL6</f>
        <v>0</v>
      </c>
      <c r="BM20" s="29"/>
      <c r="BN20" s="29"/>
      <c r="BO20" s="29"/>
      <c r="BQ20" s="34"/>
      <c r="BR20" s="29">
        <f>BR6</f>
        <v>0</v>
      </c>
      <c r="BS20" s="29"/>
      <c r="BT20" s="29"/>
      <c r="BU20" s="29"/>
      <c r="BW20" s="34"/>
      <c r="BX20" s="29">
        <f>BX6</f>
        <v>0</v>
      </c>
      <c r="BY20" s="29"/>
      <c r="BZ20" s="29"/>
      <c r="CA20" s="29"/>
      <c r="CC20" s="34"/>
      <c r="CD20" s="29">
        <f>CD6</f>
        <v>0</v>
      </c>
      <c r="CE20" s="29"/>
      <c r="CF20" s="29"/>
      <c r="CG20" s="29"/>
      <c r="CI20" s="34"/>
      <c r="CJ20" s="29">
        <f>CJ6</f>
        <v>0</v>
      </c>
      <c r="CK20" s="29"/>
      <c r="CL20" s="29"/>
      <c r="CM20" s="29"/>
      <c r="CO20" s="34"/>
      <c r="CP20" s="29">
        <f>CP6</f>
        <v>0</v>
      </c>
      <c r="CQ20" s="29"/>
      <c r="CR20" s="29"/>
      <c r="CS20" s="29"/>
      <c r="CU20" s="34"/>
      <c r="CV20" s="29">
        <f>CV6</f>
        <v>0</v>
      </c>
      <c r="CW20" s="29"/>
      <c r="CX20" s="29"/>
      <c r="CY20" s="29"/>
      <c r="DA20" s="34"/>
      <c r="DB20" s="29">
        <f>DB6</f>
        <v>0</v>
      </c>
      <c r="DC20" s="29"/>
      <c r="DD20" s="29"/>
      <c r="DE20" s="29"/>
      <c r="DG20" s="34"/>
      <c r="DH20" s="29">
        <f>DH6</f>
        <v>0</v>
      </c>
      <c r="DI20" s="29"/>
      <c r="DJ20" s="29"/>
      <c r="DK20" s="29"/>
      <c r="DM20" s="34"/>
      <c r="DN20" s="29">
        <f>DN6</f>
        <v>0</v>
      </c>
      <c r="DO20" s="29"/>
      <c r="DP20" s="29"/>
      <c r="DQ20" s="29"/>
      <c r="DS20" s="34"/>
      <c r="DT20" s="29">
        <f>DT6</f>
        <v>0</v>
      </c>
      <c r="DU20" s="29"/>
      <c r="DV20" s="29"/>
      <c r="DW20" s="29"/>
      <c r="DY20" s="34"/>
      <c r="DZ20" s="29">
        <f>DZ6</f>
        <v>0</v>
      </c>
      <c r="EA20" s="29"/>
      <c r="EB20" s="29"/>
      <c r="EC20" s="29"/>
      <c r="EE20" s="34"/>
      <c r="EF20" s="29">
        <f>EF6</f>
        <v>100000</v>
      </c>
      <c r="EG20" s="29"/>
      <c r="EH20" s="29"/>
      <c r="EI20" s="29"/>
      <c r="EK20" s="34"/>
      <c r="EL20" s="29">
        <f>EL6</f>
        <v>0</v>
      </c>
      <c r="EM20" s="29"/>
      <c r="EN20" s="29"/>
      <c r="EO20" s="29"/>
      <c r="EQ20" s="34"/>
      <c r="ER20" s="29">
        <f>ER6</f>
        <v>0</v>
      </c>
      <c r="ES20" s="29"/>
      <c r="ET20" s="29"/>
      <c r="EU20" s="29"/>
      <c r="EW20" s="34"/>
      <c r="EX20" s="29">
        <f>EX6</f>
        <v>0</v>
      </c>
      <c r="EY20" s="29"/>
      <c r="EZ20" s="29"/>
      <c r="FA20" s="29"/>
      <c r="FC20" s="34"/>
      <c r="FD20" s="29">
        <f>FD6</f>
        <v>0</v>
      </c>
      <c r="FE20" s="29"/>
      <c r="FF20" s="29"/>
      <c r="FG20" s="29"/>
      <c r="FI20" s="34"/>
      <c r="FJ20" s="29">
        <f>FJ6</f>
        <v>0</v>
      </c>
      <c r="FK20" s="29"/>
      <c r="FL20" s="29"/>
      <c r="FM20" s="29"/>
      <c r="FO20" s="34"/>
      <c r="FP20" s="29">
        <f>FP6</f>
        <v>0</v>
      </c>
      <c r="FQ20" s="29"/>
      <c r="FR20" s="29"/>
      <c r="FS20" s="29"/>
      <c r="FU20" s="34"/>
      <c r="FV20" s="29">
        <f>FV6</f>
        <v>0</v>
      </c>
      <c r="FW20" s="29"/>
      <c r="FX20" s="29"/>
      <c r="FY20" s="29"/>
      <c r="GA20" s="34"/>
      <c r="GB20" s="29">
        <f>GB6</f>
        <v>2000000</v>
      </c>
      <c r="GC20" s="29"/>
      <c r="GD20" s="29"/>
      <c r="GE20" s="29"/>
      <c r="GG20" s="34"/>
      <c r="GH20" s="29">
        <f>GH6</f>
        <v>0</v>
      </c>
      <c r="GI20" s="29"/>
      <c r="GJ20" s="29"/>
      <c r="GK20" s="29"/>
      <c r="GM20" s="34"/>
      <c r="GN20" s="29">
        <f>GN6</f>
        <v>0</v>
      </c>
      <c r="GO20" s="29"/>
      <c r="GP20" s="29"/>
      <c r="GQ20" s="29"/>
      <c r="GS20" s="34"/>
      <c r="GT20" s="29">
        <f>GT6</f>
        <v>0</v>
      </c>
      <c r="GU20" s="29"/>
      <c r="GV20" s="29"/>
      <c r="GW20" s="29"/>
      <c r="GY20" s="34"/>
      <c r="GZ20" s="29">
        <f>GZ6</f>
        <v>0</v>
      </c>
      <c r="HA20" s="29"/>
      <c r="HB20" s="29"/>
      <c r="HC20" s="29"/>
    </row>
    <row r="21" spans="1:211" s="33" customFormat="1" hidden="1" outlineLevel="2" x14ac:dyDescent="0.2">
      <c r="A21" s="33" t="s">
        <v>50</v>
      </c>
      <c r="B21" s="29">
        <f t="shared" si="97"/>
        <v>2500000</v>
      </c>
      <c r="C21" s="34"/>
      <c r="D21" s="29">
        <f t="shared" ref="D21:D31" si="98">D7</f>
        <v>0</v>
      </c>
      <c r="E21" s="29"/>
      <c r="F21" s="29"/>
      <c r="G21" s="29"/>
      <c r="I21" s="34"/>
      <c r="J21" s="29">
        <f t="shared" ref="J21:J31" si="99">J7</f>
        <v>0</v>
      </c>
      <c r="K21" s="29"/>
      <c r="L21" s="29"/>
      <c r="M21" s="29"/>
      <c r="O21" s="34"/>
      <c r="P21" s="29">
        <f t="shared" ref="P21:P31" si="100">P7</f>
        <v>0</v>
      </c>
      <c r="Q21" s="29"/>
      <c r="R21" s="29"/>
      <c r="S21" s="29"/>
      <c r="U21" s="34"/>
      <c r="V21" s="29">
        <f t="shared" ref="V21:V31" si="101">V7</f>
        <v>0</v>
      </c>
      <c r="W21" s="29"/>
      <c r="X21" s="29"/>
      <c r="Y21" s="29"/>
      <c r="AA21" s="34"/>
      <c r="AB21" s="29">
        <f t="shared" ref="AB21:AB31" si="102">AB7</f>
        <v>0</v>
      </c>
      <c r="AC21" s="29"/>
      <c r="AD21" s="29"/>
      <c r="AE21" s="29"/>
      <c r="AG21" s="34"/>
      <c r="AH21" s="29">
        <f t="shared" ref="AH21:AH31" si="103">AH7</f>
        <v>0</v>
      </c>
      <c r="AI21" s="29"/>
      <c r="AJ21" s="29"/>
      <c r="AK21" s="29"/>
      <c r="AM21" s="34"/>
      <c r="AN21" s="29">
        <f t="shared" ref="AN21:AN31" si="104">AN7</f>
        <v>0</v>
      </c>
      <c r="AO21" s="29"/>
      <c r="AP21" s="29"/>
      <c r="AQ21" s="29"/>
      <c r="AS21" s="34"/>
      <c r="AT21" s="29">
        <f t="shared" ref="AT21:AT31" si="105">AT7</f>
        <v>0</v>
      </c>
      <c r="AU21" s="29"/>
      <c r="AV21" s="29"/>
      <c r="AW21" s="29"/>
      <c r="AY21" s="34"/>
      <c r="AZ21" s="29">
        <f t="shared" ref="AZ21:AZ31" si="106">AZ7</f>
        <v>0</v>
      </c>
      <c r="BA21" s="29"/>
      <c r="BB21" s="29"/>
      <c r="BC21" s="29"/>
      <c r="BE21" s="34"/>
      <c r="BF21" s="29">
        <f t="shared" ref="BF21:BF31" si="107">BF7</f>
        <v>0</v>
      </c>
      <c r="BG21" s="29"/>
      <c r="BH21" s="29"/>
      <c r="BI21" s="29"/>
      <c r="BK21" s="34"/>
      <c r="BL21" s="29">
        <f t="shared" ref="BL21:BL31" si="108">BL7</f>
        <v>0</v>
      </c>
      <c r="BM21" s="29"/>
      <c r="BN21" s="29"/>
      <c r="BO21" s="29"/>
      <c r="BQ21" s="34"/>
      <c r="BR21" s="29">
        <f t="shared" ref="BR21:BR31" si="109">BR7</f>
        <v>0</v>
      </c>
      <c r="BS21" s="29"/>
      <c r="BT21" s="29"/>
      <c r="BU21" s="29"/>
      <c r="BW21" s="34"/>
      <c r="BX21" s="29">
        <f t="shared" ref="BX21:BX31" si="110">BX7</f>
        <v>0</v>
      </c>
      <c r="BY21" s="29"/>
      <c r="BZ21" s="29"/>
      <c r="CA21" s="29"/>
      <c r="CC21" s="34"/>
      <c r="CD21" s="29">
        <f t="shared" ref="CD21:CD31" si="111">CD7</f>
        <v>0</v>
      </c>
      <c r="CE21" s="29"/>
      <c r="CF21" s="29"/>
      <c r="CG21" s="29"/>
      <c r="CI21" s="34"/>
      <c r="CJ21" s="29">
        <f t="shared" ref="CJ21:CJ31" si="112">CJ7</f>
        <v>0</v>
      </c>
      <c r="CK21" s="29"/>
      <c r="CL21" s="29"/>
      <c r="CM21" s="29"/>
      <c r="CO21" s="34"/>
      <c r="CP21" s="29">
        <f t="shared" ref="CP21:CP31" si="113">CP7</f>
        <v>0</v>
      </c>
      <c r="CQ21" s="29"/>
      <c r="CR21" s="29"/>
      <c r="CS21" s="29"/>
      <c r="CU21" s="34"/>
      <c r="CV21" s="29">
        <f t="shared" ref="CV21:CV31" si="114">CV7</f>
        <v>0</v>
      </c>
      <c r="CW21" s="29"/>
      <c r="CX21" s="29"/>
      <c r="CY21" s="29"/>
      <c r="DA21" s="34"/>
      <c r="DB21" s="29">
        <f t="shared" ref="DB21:DB31" si="115">DB7</f>
        <v>0</v>
      </c>
      <c r="DC21" s="29"/>
      <c r="DD21" s="29"/>
      <c r="DE21" s="29"/>
      <c r="DG21" s="34"/>
      <c r="DH21" s="29">
        <f t="shared" ref="DH21:DH31" si="116">DH7</f>
        <v>0</v>
      </c>
      <c r="DI21" s="29"/>
      <c r="DJ21" s="29"/>
      <c r="DK21" s="29"/>
      <c r="DM21" s="34"/>
      <c r="DN21" s="29">
        <f t="shared" ref="DN21:DN31" si="117">DN7</f>
        <v>0</v>
      </c>
      <c r="DO21" s="29"/>
      <c r="DP21" s="29"/>
      <c r="DQ21" s="29"/>
      <c r="DS21" s="34"/>
      <c r="DT21" s="29">
        <f t="shared" ref="DT21:DT31" si="118">DT7</f>
        <v>0</v>
      </c>
      <c r="DU21" s="29"/>
      <c r="DV21" s="29"/>
      <c r="DW21" s="29"/>
      <c r="DY21" s="34"/>
      <c r="DZ21" s="29">
        <f t="shared" ref="DZ21:DZ31" si="119">DZ7</f>
        <v>0</v>
      </c>
      <c r="EA21" s="29"/>
      <c r="EB21" s="29"/>
      <c r="EC21" s="29"/>
      <c r="EE21" s="34"/>
      <c r="EF21" s="29">
        <f t="shared" ref="EF21:EF31" si="120">EF7</f>
        <v>0</v>
      </c>
      <c r="EG21" s="29"/>
      <c r="EH21" s="29"/>
      <c r="EI21" s="29"/>
      <c r="EK21" s="34"/>
      <c r="EL21" s="29">
        <f t="shared" ref="EL21:EL31" si="121">EL7</f>
        <v>0</v>
      </c>
      <c r="EM21" s="29"/>
      <c r="EN21" s="29"/>
      <c r="EO21" s="29"/>
      <c r="EQ21" s="34"/>
      <c r="ER21" s="29">
        <f t="shared" ref="ER21:ER31" si="122">ER7</f>
        <v>0</v>
      </c>
      <c r="ES21" s="29"/>
      <c r="ET21" s="29"/>
      <c r="EU21" s="29"/>
      <c r="EW21" s="34"/>
      <c r="EX21" s="29">
        <f t="shared" ref="EX21:EX31" si="123">EX7</f>
        <v>2500000</v>
      </c>
      <c r="EY21" s="29"/>
      <c r="EZ21" s="29"/>
      <c r="FA21" s="29"/>
      <c r="FC21" s="34"/>
      <c r="FD21" s="29">
        <f t="shared" ref="FD21:FD31" si="124">FD7</f>
        <v>0</v>
      </c>
      <c r="FE21" s="29"/>
      <c r="FF21" s="29"/>
      <c r="FG21" s="29"/>
      <c r="FI21" s="34"/>
      <c r="FJ21" s="29">
        <f t="shared" ref="FJ21:FJ31" si="125">FJ7</f>
        <v>0</v>
      </c>
      <c r="FK21" s="29"/>
      <c r="FL21" s="29"/>
      <c r="FM21" s="29"/>
      <c r="FO21" s="34"/>
      <c r="FP21" s="29">
        <f t="shared" ref="FP21:FP31" si="126">FP7</f>
        <v>0</v>
      </c>
      <c r="FQ21" s="29"/>
      <c r="FR21" s="29"/>
      <c r="FS21" s="29"/>
      <c r="FU21" s="34"/>
      <c r="FV21" s="29">
        <f t="shared" ref="FV21:FV31" si="127">FV7</f>
        <v>0</v>
      </c>
      <c r="FW21" s="29"/>
      <c r="FX21" s="29"/>
      <c r="FY21" s="29"/>
      <c r="GA21" s="34"/>
      <c r="GB21" s="29">
        <f t="shared" ref="GB21:GB31" si="128">GB7</f>
        <v>0</v>
      </c>
      <c r="GC21" s="29"/>
      <c r="GD21" s="29"/>
      <c r="GE21" s="29"/>
      <c r="GG21" s="34"/>
      <c r="GH21" s="29">
        <f t="shared" ref="GH21:GH31" si="129">GH7</f>
        <v>0</v>
      </c>
      <c r="GI21" s="29"/>
      <c r="GJ21" s="29"/>
      <c r="GK21" s="29"/>
      <c r="GM21" s="34"/>
      <c r="GN21" s="29">
        <f t="shared" ref="GN21:GN31" si="130">GN7</f>
        <v>0</v>
      </c>
      <c r="GO21" s="29"/>
      <c r="GP21" s="29"/>
      <c r="GQ21" s="29"/>
      <c r="GS21" s="34"/>
      <c r="GT21" s="29">
        <f t="shared" ref="GT21:GT31" si="131">GT7</f>
        <v>0</v>
      </c>
      <c r="GU21" s="29"/>
      <c r="GV21" s="29"/>
      <c r="GW21" s="29"/>
      <c r="GY21" s="34"/>
      <c r="GZ21" s="29">
        <f t="shared" ref="GZ21:GZ31" si="132">GZ7</f>
        <v>0</v>
      </c>
      <c r="HA21" s="29"/>
      <c r="HB21" s="29"/>
      <c r="HC21" s="29"/>
    </row>
    <row r="22" spans="1:211" s="33" customFormat="1" hidden="1" outlineLevel="2" x14ac:dyDescent="0.2">
      <c r="A22" s="33" t="s">
        <v>51</v>
      </c>
      <c r="B22" s="29">
        <f t="shared" si="97"/>
        <v>2500000</v>
      </c>
      <c r="C22" s="34"/>
      <c r="D22" s="29">
        <f t="shared" si="98"/>
        <v>0</v>
      </c>
      <c r="E22" s="29"/>
      <c r="F22" s="29"/>
      <c r="G22" s="29"/>
      <c r="I22" s="34"/>
      <c r="J22" s="29">
        <f t="shared" si="99"/>
        <v>0</v>
      </c>
      <c r="K22" s="29"/>
      <c r="L22" s="29"/>
      <c r="M22" s="29"/>
      <c r="O22" s="34"/>
      <c r="P22" s="29">
        <f t="shared" si="100"/>
        <v>0</v>
      </c>
      <c r="Q22" s="29"/>
      <c r="R22" s="29"/>
      <c r="S22" s="29"/>
      <c r="U22" s="34"/>
      <c r="V22" s="29">
        <f t="shared" si="101"/>
        <v>0</v>
      </c>
      <c r="W22" s="29"/>
      <c r="X22" s="29"/>
      <c r="Y22" s="29"/>
      <c r="AA22" s="34"/>
      <c r="AB22" s="29">
        <f t="shared" si="102"/>
        <v>0</v>
      </c>
      <c r="AC22" s="29"/>
      <c r="AD22" s="29"/>
      <c r="AE22" s="29"/>
      <c r="AG22" s="34"/>
      <c r="AH22" s="29">
        <f t="shared" si="103"/>
        <v>0</v>
      </c>
      <c r="AI22" s="29"/>
      <c r="AJ22" s="29"/>
      <c r="AK22" s="29"/>
      <c r="AM22" s="34"/>
      <c r="AN22" s="29">
        <f t="shared" si="104"/>
        <v>0</v>
      </c>
      <c r="AO22" s="29"/>
      <c r="AP22" s="29"/>
      <c r="AQ22" s="29"/>
      <c r="AS22" s="34"/>
      <c r="AT22" s="29">
        <f t="shared" si="105"/>
        <v>0</v>
      </c>
      <c r="AU22" s="29"/>
      <c r="AV22" s="29"/>
      <c r="AW22" s="29"/>
      <c r="AY22" s="34"/>
      <c r="AZ22" s="29">
        <f t="shared" si="106"/>
        <v>0</v>
      </c>
      <c r="BA22" s="29"/>
      <c r="BB22" s="29"/>
      <c r="BC22" s="29"/>
      <c r="BE22" s="34"/>
      <c r="BF22" s="29">
        <f t="shared" si="107"/>
        <v>0</v>
      </c>
      <c r="BG22" s="29"/>
      <c r="BH22" s="29"/>
      <c r="BI22" s="29"/>
      <c r="BK22" s="34"/>
      <c r="BL22" s="29">
        <f t="shared" si="108"/>
        <v>0</v>
      </c>
      <c r="BM22" s="29"/>
      <c r="BN22" s="29"/>
      <c r="BO22" s="29"/>
      <c r="BQ22" s="34"/>
      <c r="BR22" s="29">
        <f t="shared" si="109"/>
        <v>0</v>
      </c>
      <c r="BS22" s="29"/>
      <c r="BT22" s="29"/>
      <c r="BU22" s="29"/>
      <c r="BW22" s="34"/>
      <c r="BX22" s="29">
        <f t="shared" si="110"/>
        <v>0</v>
      </c>
      <c r="BY22" s="29"/>
      <c r="BZ22" s="29"/>
      <c r="CA22" s="29"/>
      <c r="CC22" s="34"/>
      <c r="CD22" s="29">
        <f t="shared" si="111"/>
        <v>0</v>
      </c>
      <c r="CE22" s="29"/>
      <c r="CF22" s="29"/>
      <c r="CG22" s="29"/>
      <c r="CI22" s="34"/>
      <c r="CJ22" s="29">
        <f t="shared" si="112"/>
        <v>2500000</v>
      </c>
      <c r="CK22" s="29"/>
      <c r="CL22" s="29"/>
      <c r="CM22" s="29"/>
      <c r="CO22" s="34"/>
      <c r="CP22" s="29">
        <f t="shared" si="113"/>
        <v>0</v>
      </c>
      <c r="CQ22" s="29"/>
      <c r="CR22" s="29"/>
      <c r="CS22" s="29"/>
      <c r="CU22" s="34"/>
      <c r="CV22" s="29">
        <f t="shared" si="114"/>
        <v>0</v>
      </c>
      <c r="CW22" s="29"/>
      <c r="CX22" s="29"/>
      <c r="CY22" s="29"/>
      <c r="DA22" s="34"/>
      <c r="DB22" s="29">
        <f t="shared" si="115"/>
        <v>0</v>
      </c>
      <c r="DC22" s="29"/>
      <c r="DD22" s="29"/>
      <c r="DE22" s="29"/>
      <c r="DG22" s="34"/>
      <c r="DH22" s="29">
        <f t="shared" si="116"/>
        <v>0</v>
      </c>
      <c r="DI22" s="29"/>
      <c r="DJ22" s="29"/>
      <c r="DK22" s="29"/>
      <c r="DM22" s="34"/>
      <c r="DN22" s="29">
        <f t="shared" si="117"/>
        <v>0</v>
      </c>
      <c r="DO22" s="29"/>
      <c r="DP22" s="29"/>
      <c r="DQ22" s="29"/>
      <c r="DS22" s="34"/>
      <c r="DT22" s="29">
        <f t="shared" si="118"/>
        <v>0</v>
      </c>
      <c r="DU22" s="29"/>
      <c r="DV22" s="29"/>
      <c r="DW22" s="29"/>
      <c r="DY22" s="34"/>
      <c r="DZ22" s="29">
        <f t="shared" si="119"/>
        <v>0</v>
      </c>
      <c r="EA22" s="29"/>
      <c r="EB22" s="29"/>
      <c r="EC22" s="29"/>
      <c r="EE22" s="34"/>
      <c r="EF22" s="29">
        <f t="shared" si="120"/>
        <v>0</v>
      </c>
      <c r="EG22" s="29"/>
      <c r="EH22" s="29"/>
      <c r="EI22" s="29"/>
      <c r="EK22" s="34"/>
      <c r="EL22" s="29">
        <f t="shared" si="121"/>
        <v>0</v>
      </c>
      <c r="EM22" s="29"/>
      <c r="EN22" s="29"/>
      <c r="EO22" s="29"/>
      <c r="EQ22" s="34"/>
      <c r="ER22" s="29">
        <f t="shared" si="122"/>
        <v>0</v>
      </c>
      <c r="ES22" s="29"/>
      <c r="ET22" s="29"/>
      <c r="EU22" s="29"/>
      <c r="EW22" s="34"/>
      <c r="EX22" s="29">
        <f t="shared" si="123"/>
        <v>0</v>
      </c>
      <c r="EY22" s="29"/>
      <c r="EZ22" s="29"/>
      <c r="FA22" s="29"/>
      <c r="FC22" s="34"/>
      <c r="FD22" s="29">
        <f t="shared" si="124"/>
        <v>0</v>
      </c>
      <c r="FE22" s="29"/>
      <c r="FF22" s="29"/>
      <c r="FG22" s="29"/>
      <c r="FI22" s="34"/>
      <c r="FJ22" s="29">
        <f t="shared" si="125"/>
        <v>0</v>
      </c>
      <c r="FK22" s="29"/>
      <c r="FL22" s="29"/>
      <c r="FM22" s="29"/>
      <c r="FO22" s="34"/>
      <c r="FP22" s="29">
        <f t="shared" si="126"/>
        <v>0</v>
      </c>
      <c r="FQ22" s="29"/>
      <c r="FR22" s="29"/>
      <c r="FS22" s="29"/>
      <c r="FU22" s="34"/>
      <c r="FV22" s="29">
        <f t="shared" si="127"/>
        <v>0</v>
      </c>
      <c r="FW22" s="29"/>
      <c r="FX22" s="29"/>
      <c r="FY22" s="29"/>
      <c r="GA22" s="34"/>
      <c r="GB22" s="29">
        <f t="shared" si="128"/>
        <v>0</v>
      </c>
      <c r="GC22" s="29"/>
      <c r="GD22" s="29"/>
      <c r="GE22" s="29"/>
      <c r="GG22" s="34"/>
      <c r="GH22" s="29">
        <f t="shared" si="129"/>
        <v>0</v>
      </c>
      <c r="GI22" s="29"/>
      <c r="GJ22" s="29"/>
      <c r="GK22" s="29"/>
      <c r="GM22" s="34"/>
      <c r="GN22" s="29">
        <f t="shared" si="130"/>
        <v>0</v>
      </c>
      <c r="GO22" s="29"/>
      <c r="GP22" s="29"/>
      <c r="GQ22" s="29"/>
      <c r="GS22" s="34"/>
      <c r="GT22" s="29">
        <f t="shared" si="131"/>
        <v>0</v>
      </c>
      <c r="GU22" s="29"/>
      <c r="GV22" s="29"/>
      <c r="GW22" s="29"/>
      <c r="GY22" s="34"/>
      <c r="GZ22" s="29">
        <f t="shared" si="132"/>
        <v>0</v>
      </c>
      <c r="HA22" s="29"/>
      <c r="HB22" s="29"/>
      <c r="HC22" s="29"/>
    </row>
    <row r="23" spans="1:211" s="33" customFormat="1" hidden="1" outlineLevel="2" x14ac:dyDescent="0.2">
      <c r="A23" s="33" t="s">
        <v>52</v>
      </c>
      <c r="B23" s="29">
        <f t="shared" si="97"/>
        <v>0</v>
      </c>
      <c r="C23" s="34"/>
      <c r="D23" s="29">
        <f t="shared" si="98"/>
        <v>0</v>
      </c>
      <c r="E23" s="29"/>
      <c r="F23" s="29"/>
      <c r="G23" s="29"/>
      <c r="I23" s="34"/>
      <c r="J23" s="29">
        <f t="shared" si="99"/>
        <v>0</v>
      </c>
      <c r="K23" s="29"/>
      <c r="L23" s="29"/>
      <c r="M23" s="29"/>
      <c r="O23" s="34"/>
      <c r="P23" s="29">
        <f t="shared" si="100"/>
        <v>0</v>
      </c>
      <c r="Q23" s="29"/>
      <c r="R23" s="29"/>
      <c r="S23" s="29"/>
      <c r="U23" s="34"/>
      <c r="V23" s="29">
        <f t="shared" si="101"/>
        <v>0</v>
      </c>
      <c r="W23" s="29"/>
      <c r="X23" s="29"/>
      <c r="Y23" s="29"/>
      <c r="AA23" s="34"/>
      <c r="AB23" s="29">
        <f t="shared" si="102"/>
        <v>0</v>
      </c>
      <c r="AC23" s="29"/>
      <c r="AD23" s="29"/>
      <c r="AE23" s="29"/>
      <c r="AG23" s="34"/>
      <c r="AH23" s="29">
        <f t="shared" si="103"/>
        <v>0</v>
      </c>
      <c r="AI23" s="29"/>
      <c r="AJ23" s="29"/>
      <c r="AK23" s="29"/>
      <c r="AM23" s="34"/>
      <c r="AN23" s="29">
        <f t="shared" si="104"/>
        <v>0</v>
      </c>
      <c r="AO23" s="29"/>
      <c r="AP23" s="29"/>
      <c r="AQ23" s="29"/>
      <c r="AS23" s="34"/>
      <c r="AT23" s="29">
        <f t="shared" si="105"/>
        <v>0</v>
      </c>
      <c r="AU23" s="29"/>
      <c r="AV23" s="29"/>
      <c r="AW23" s="29"/>
      <c r="AY23" s="34"/>
      <c r="AZ23" s="29">
        <f t="shared" si="106"/>
        <v>0</v>
      </c>
      <c r="BA23" s="29"/>
      <c r="BB23" s="29"/>
      <c r="BC23" s="29"/>
      <c r="BE23" s="34"/>
      <c r="BF23" s="29">
        <f t="shared" si="107"/>
        <v>0</v>
      </c>
      <c r="BG23" s="29"/>
      <c r="BH23" s="29"/>
      <c r="BI23" s="29"/>
      <c r="BK23" s="34"/>
      <c r="BL23" s="29">
        <f t="shared" si="108"/>
        <v>0</v>
      </c>
      <c r="BM23" s="29"/>
      <c r="BN23" s="29"/>
      <c r="BO23" s="29"/>
      <c r="BQ23" s="34"/>
      <c r="BR23" s="29">
        <f t="shared" si="109"/>
        <v>0</v>
      </c>
      <c r="BS23" s="29"/>
      <c r="BT23" s="29"/>
      <c r="BU23" s="29"/>
      <c r="BW23" s="34"/>
      <c r="BX23" s="29">
        <f t="shared" si="110"/>
        <v>0</v>
      </c>
      <c r="BY23" s="29"/>
      <c r="BZ23" s="29"/>
      <c r="CA23" s="29"/>
      <c r="CC23" s="34"/>
      <c r="CD23" s="29">
        <f t="shared" si="111"/>
        <v>0</v>
      </c>
      <c r="CE23" s="29"/>
      <c r="CF23" s="29"/>
      <c r="CG23" s="29"/>
      <c r="CI23" s="34"/>
      <c r="CJ23" s="29">
        <f t="shared" si="112"/>
        <v>0</v>
      </c>
      <c r="CK23" s="29"/>
      <c r="CL23" s="29"/>
      <c r="CM23" s="29"/>
      <c r="CO23" s="34"/>
      <c r="CP23" s="29">
        <f t="shared" si="113"/>
        <v>0</v>
      </c>
      <c r="CQ23" s="29"/>
      <c r="CR23" s="29"/>
      <c r="CS23" s="29"/>
      <c r="CU23" s="34"/>
      <c r="CV23" s="29">
        <f t="shared" si="114"/>
        <v>0</v>
      </c>
      <c r="CW23" s="29"/>
      <c r="CX23" s="29"/>
      <c r="CY23" s="29"/>
      <c r="DA23" s="34"/>
      <c r="DB23" s="29">
        <f t="shared" si="115"/>
        <v>0</v>
      </c>
      <c r="DC23" s="29"/>
      <c r="DD23" s="29"/>
      <c r="DE23" s="29"/>
      <c r="DG23" s="34"/>
      <c r="DH23" s="29">
        <f t="shared" si="116"/>
        <v>0</v>
      </c>
      <c r="DI23" s="29"/>
      <c r="DJ23" s="29"/>
      <c r="DK23" s="29"/>
      <c r="DM23" s="34"/>
      <c r="DN23" s="29">
        <f t="shared" si="117"/>
        <v>0</v>
      </c>
      <c r="DO23" s="29"/>
      <c r="DP23" s="29"/>
      <c r="DQ23" s="29"/>
      <c r="DS23" s="34"/>
      <c r="DT23" s="29">
        <f t="shared" si="118"/>
        <v>0</v>
      </c>
      <c r="DU23" s="29"/>
      <c r="DV23" s="29"/>
      <c r="DW23" s="29"/>
      <c r="DY23" s="34"/>
      <c r="DZ23" s="29">
        <f t="shared" si="119"/>
        <v>0</v>
      </c>
      <c r="EA23" s="29"/>
      <c r="EB23" s="29"/>
      <c r="EC23" s="29"/>
      <c r="EE23" s="34"/>
      <c r="EF23" s="29">
        <f t="shared" si="120"/>
        <v>0</v>
      </c>
      <c r="EG23" s="29"/>
      <c r="EH23" s="29"/>
      <c r="EI23" s="29"/>
      <c r="EK23" s="34"/>
      <c r="EL23" s="29">
        <f t="shared" si="121"/>
        <v>0</v>
      </c>
      <c r="EM23" s="29"/>
      <c r="EN23" s="29"/>
      <c r="EO23" s="29"/>
      <c r="EQ23" s="34"/>
      <c r="ER23" s="29">
        <f t="shared" si="122"/>
        <v>0</v>
      </c>
      <c r="ES23" s="29"/>
      <c r="ET23" s="29"/>
      <c r="EU23" s="29"/>
      <c r="EW23" s="34"/>
      <c r="EX23" s="29">
        <f t="shared" si="123"/>
        <v>0</v>
      </c>
      <c r="EY23" s="29"/>
      <c r="EZ23" s="29"/>
      <c r="FA23" s="29"/>
      <c r="FC23" s="34"/>
      <c r="FD23" s="29">
        <f t="shared" si="124"/>
        <v>0</v>
      </c>
      <c r="FE23" s="29"/>
      <c r="FF23" s="29"/>
      <c r="FG23" s="29"/>
      <c r="FI23" s="34"/>
      <c r="FJ23" s="29">
        <f t="shared" si="125"/>
        <v>0</v>
      </c>
      <c r="FK23" s="29"/>
      <c r="FL23" s="29"/>
      <c r="FM23" s="29"/>
      <c r="FO23" s="34"/>
      <c r="FP23" s="29">
        <f t="shared" si="126"/>
        <v>0</v>
      </c>
      <c r="FQ23" s="29"/>
      <c r="FR23" s="29"/>
      <c r="FS23" s="29"/>
      <c r="FU23" s="34"/>
      <c r="FV23" s="29">
        <f t="shared" si="127"/>
        <v>0</v>
      </c>
      <c r="FW23" s="29"/>
      <c r="FX23" s="29"/>
      <c r="FY23" s="29"/>
      <c r="GA23" s="34"/>
      <c r="GB23" s="29">
        <f t="shared" si="128"/>
        <v>0</v>
      </c>
      <c r="GC23" s="29"/>
      <c r="GD23" s="29"/>
      <c r="GE23" s="29"/>
      <c r="GG23" s="34"/>
      <c r="GH23" s="29">
        <f t="shared" si="129"/>
        <v>0</v>
      </c>
      <c r="GI23" s="29"/>
      <c r="GJ23" s="29"/>
      <c r="GK23" s="29"/>
      <c r="GM23" s="34"/>
      <c r="GN23" s="29">
        <f t="shared" si="130"/>
        <v>0</v>
      </c>
      <c r="GO23" s="29"/>
      <c r="GP23" s="29"/>
      <c r="GQ23" s="29"/>
      <c r="GS23" s="34"/>
      <c r="GT23" s="29">
        <f t="shared" si="131"/>
        <v>0</v>
      </c>
      <c r="GU23" s="29"/>
      <c r="GV23" s="29"/>
      <c r="GW23" s="29"/>
      <c r="GY23" s="34"/>
      <c r="GZ23" s="29">
        <f t="shared" si="132"/>
        <v>0</v>
      </c>
      <c r="HA23" s="29"/>
      <c r="HB23" s="29"/>
      <c r="HC23" s="29"/>
    </row>
    <row r="24" spans="1:211" s="33" customFormat="1" hidden="1" outlineLevel="2" x14ac:dyDescent="0.2">
      <c r="A24" s="33" t="s">
        <v>53</v>
      </c>
      <c r="B24" s="29">
        <f t="shared" si="97"/>
        <v>8300000</v>
      </c>
      <c r="C24" s="34"/>
      <c r="D24" s="29">
        <f t="shared" si="98"/>
        <v>0</v>
      </c>
      <c r="E24" s="29"/>
      <c r="F24" s="29"/>
      <c r="G24" s="29"/>
      <c r="I24" s="34"/>
      <c r="J24" s="29">
        <f t="shared" si="99"/>
        <v>0</v>
      </c>
      <c r="K24" s="29"/>
      <c r="L24" s="29"/>
      <c r="M24" s="29"/>
      <c r="O24" s="34"/>
      <c r="P24" s="29">
        <f t="shared" si="100"/>
        <v>0</v>
      </c>
      <c r="Q24" s="29"/>
      <c r="R24" s="29"/>
      <c r="S24" s="29"/>
      <c r="U24" s="34"/>
      <c r="V24" s="29">
        <f t="shared" si="101"/>
        <v>0</v>
      </c>
      <c r="W24" s="29"/>
      <c r="X24" s="29"/>
      <c r="Y24" s="29"/>
      <c r="AA24" s="34"/>
      <c r="AB24" s="29">
        <f t="shared" si="102"/>
        <v>0</v>
      </c>
      <c r="AC24" s="29"/>
      <c r="AD24" s="29"/>
      <c r="AE24" s="29"/>
      <c r="AG24" s="34"/>
      <c r="AH24" s="29">
        <f t="shared" si="103"/>
        <v>0</v>
      </c>
      <c r="AI24" s="29"/>
      <c r="AJ24" s="29"/>
      <c r="AK24" s="29"/>
      <c r="AM24" s="34"/>
      <c r="AN24" s="29">
        <f t="shared" si="104"/>
        <v>2000000</v>
      </c>
      <c r="AO24" s="29"/>
      <c r="AP24" s="29"/>
      <c r="AQ24" s="29"/>
      <c r="AS24" s="34"/>
      <c r="AT24" s="29">
        <f t="shared" si="105"/>
        <v>0</v>
      </c>
      <c r="AU24" s="29"/>
      <c r="AV24" s="29"/>
      <c r="AW24" s="29"/>
      <c r="AY24" s="34"/>
      <c r="AZ24" s="29">
        <f t="shared" si="106"/>
        <v>0</v>
      </c>
      <c r="BA24" s="29"/>
      <c r="BB24" s="29"/>
      <c r="BC24" s="29"/>
      <c r="BE24" s="34"/>
      <c r="BF24" s="29">
        <f t="shared" si="107"/>
        <v>0</v>
      </c>
      <c r="BG24" s="29"/>
      <c r="BH24" s="29"/>
      <c r="BI24" s="29"/>
      <c r="BK24" s="34"/>
      <c r="BL24" s="29">
        <f t="shared" si="108"/>
        <v>0</v>
      </c>
      <c r="BM24" s="29"/>
      <c r="BN24" s="29"/>
      <c r="BO24" s="29"/>
      <c r="BQ24" s="34"/>
      <c r="BR24" s="29">
        <f t="shared" si="109"/>
        <v>0</v>
      </c>
      <c r="BS24" s="29"/>
      <c r="BT24" s="29"/>
      <c r="BU24" s="29"/>
      <c r="BW24" s="34"/>
      <c r="BX24" s="29">
        <f t="shared" si="110"/>
        <v>3000000</v>
      </c>
      <c r="BY24" s="29"/>
      <c r="BZ24" s="29"/>
      <c r="CA24" s="29"/>
      <c r="CC24" s="34"/>
      <c r="CD24" s="29">
        <f t="shared" si="111"/>
        <v>0</v>
      </c>
      <c r="CE24" s="29"/>
      <c r="CF24" s="29"/>
      <c r="CG24" s="29"/>
      <c r="CI24" s="34"/>
      <c r="CJ24" s="29">
        <f t="shared" si="112"/>
        <v>0</v>
      </c>
      <c r="CK24" s="29"/>
      <c r="CL24" s="29"/>
      <c r="CM24" s="29"/>
      <c r="CO24" s="34"/>
      <c r="CP24" s="29">
        <f t="shared" si="113"/>
        <v>0</v>
      </c>
      <c r="CQ24" s="29"/>
      <c r="CR24" s="29"/>
      <c r="CS24" s="29"/>
      <c r="CU24" s="34"/>
      <c r="CV24" s="29">
        <f t="shared" si="114"/>
        <v>2000000</v>
      </c>
      <c r="CW24" s="29"/>
      <c r="CX24" s="29"/>
      <c r="CY24" s="29"/>
      <c r="DA24" s="34"/>
      <c r="DB24" s="29">
        <f t="shared" si="115"/>
        <v>0</v>
      </c>
      <c r="DC24" s="29"/>
      <c r="DD24" s="29"/>
      <c r="DE24" s="29"/>
      <c r="DG24" s="34"/>
      <c r="DH24" s="29">
        <f t="shared" si="116"/>
        <v>0</v>
      </c>
      <c r="DI24" s="29"/>
      <c r="DJ24" s="29"/>
      <c r="DK24" s="29"/>
      <c r="DM24" s="34"/>
      <c r="DN24" s="29">
        <f t="shared" si="117"/>
        <v>0</v>
      </c>
      <c r="DO24" s="29"/>
      <c r="DP24" s="29"/>
      <c r="DQ24" s="29"/>
      <c r="DS24" s="34"/>
      <c r="DT24" s="29">
        <f t="shared" si="118"/>
        <v>0</v>
      </c>
      <c r="DU24" s="29"/>
      <c r="DV24" s="29"/>
      <c r="DW24" s="29"/>
      <c r="DY24" s="34"/>
      <c r="DZ24" s="29">
        <f t="shared" si="119"/>
        <v>0</v>
      </c>
      <c r="EA24" s="29"/>
      <c r="EB24" s="29"/>
      <c r="EC24" s="29"/>
      <c r="EE24" s="34"/>
      <c r="EF24" s="29">
        <f t="shared" si="120"/>
        <v>0</v>
      </c>
      <c r="EG24" s="29"/>
      <c r="EH24" s="29"/>
      <c r="EI24" s="29"/>
      <c r="EK24" s="34"/>
      <c r="EL24" s="29">
        <f t="shared" si="121"/>
        <v>0</v>
      </c>
      <c r="EM24" s="29"/>
      <c r="EN24" s="29"/>
      <c r="EO24" s="29"/>
      <c r="EQ24" s="34"/>
      <c r="ER24" s="29">
        <f t="shared" si="122"/>
        <v>0</v>
      </c>
      <c r="ES24" s="29"/>
      <c r="ET24" s="29"/>
      <c r="EU24" s="29"/>
      <c r="EW24" s="34"/>
      <c r="EX24" s="29">
        <f t="shared" si="123"/>
        <v>0</v>
      </c>
      <c r="EY24" s="29"/>
      <c r="EZ24" s="29"/>
      <c r="FA24" s="29"/>
      <c r="FC24" s="34"/>
      <c r="FD24" s="29">
        <f t="shared" si="124"/>
        <v>0</v>
      </c>
      <c r="FE24" s="29"/>
      <c r="FF24" s="29"/>
      <c r="FG24" s="29"/>
      <c r="FI24" s="34"/>
      <c r="FJ24" s="29">
        <f t="shared" si="125"/>
        <v>0</v>
      </c>
      <c r="FK24" s="29"/>
      <c r="FL24" s="29"/>
      <c r="FM24" s="29"/>
      <c r="FO24" s="34"/>
      <c r="FP24" s="29">
        <f t="shared" si="126"/>
        <v>1300000</v>
      </c>
      <c r="FQ24" s="29"/>
      <c r="FR24" s="29"/>
      <c r="FS24" s="29"/>
      <c r="FU24" s="34"/>
      <c r="FV24" s="29">
        <f t="shared" si="127"/>
        <v>0</v>
      </c>
      <c r="FW24" s="29"/>
      <c r="FX24" s="29"/>
      <c r="FY24" s="29"/>
      <c r="GA24" s="34"/>
      <c r="GB24" s="29">
        <f t="shared" si="128"/>
        <v>0</v>
      </c>
      <c r="GC24" s="29"/>
      <c r="GD24" s="29"/>
      <c r="GE24" s="29"/>
      <c r="GG24" s="34"/>
      <c r="GH24" s="29">
        <f t="shared" si="129"/>
        <v>0</v>
      </c>
      <c r="GI24" s="29"/>
      <c r="GJ24" s="29"/>
      <c r="GK24" s="29"/>
      <c r="GM24" s="34"/>
      <c r="GN24" s="29">
        <f t="shared" si="130"/>
        <v>0</v>
      </c>
      <c r="GO24" s="29"/>
      <c r="GP24" s="29"/>
      <c r="GQ24" s="29"/>
      <c r="GS24" s="34"/>
      <c r="GT24" s="29">
        <f t="shared" si="131"/>
        <v>0</v>
      </c>
      <c r="GU24" s="29"/>
      <c r="GV24" s="29"/>
      <c r="GW24" s="29"/>
      <c r="GY24" s="34"/>
      <c r="GZ24" s="29">
        <f t="shared" si="132"/>
        <v>0</v>
      </c>
      <c r="HA24" s="29"/>
      <c r="HB24" s="29"/>
      <c r="HC24" s="29"/>
    </row>
    <row r="25" spans="1:211" s="33" customFormat="1" hidden="1" outlineLevel="2" x14ac:dyDescent="0.2">
      <c r="A25" s="33" t="s">
        <v>54</v>
      </c>
      <c r="B25" s="29">
        <f t="shared" si="97"/>
        <v>0</v>
      </c>
      <c r="C25" s="34"/>
      <c r="D25" s="29">
        <f t="shared" si="98"/>
        <v>0</v>
      </c>
      <c r="E25" s="29"/>
      <c r="F25" s="29"/>
      <c r="G25" s="29"/>
      <c r="I25" s="34"/>
      <c r="J25" s="29">
        <f t="shared" si="99"/>
        <v>0</v>
      </c>
      <c r="K25" s="29"/>
      <c r="L25" s="29"/>
      <c r="M25" s="29"/>
      <c r="O25" s="34"/>
      <c r="P25" s="29">
        <f t="shared" si="100"/>
        <v>0</v>
      </c>
      <c r="Q25" s="29"/>
      <c r="R25" s="29"/>
      <c r="S25" s="29"/>
      <c r="U25" s="34"/>
      <c r="V25" s="29">
        <f t="shared" si="101"/>
        <v>0</v>
      </c>
      <c r="W25" s="29"/>
      <c r="X25" s="29"/>
      <c r="Y25" s="29"/>
      <c r="AA25" s="34"/>
      <c r="AB25" s="29">
        <f t="shared" si="102"/>
        <v>0</v>
      </c>
      <c r="AC25" s="29"/>
      <c r="AD25" s="29"/>
      <c r="AE25" s="29"/>
      <c r="AG25" s="34"/>
      <c r="AH25" s="29">
        <f t="shared" si="103"/>
        <v>0</v>
      </c>
      <c r="AI25" s="29"/>
      <c r="AJ25" s="29"/>
      <c r="AK25" s="29"/>
      <c r="AM25" s="34"/>
      <c r="AN25" s="29">
        <f t="shared" si="104"/>
        <v>0</v>
      </c>
      <c r="AO25" s="29"/>
      <c r="AP25" s="29"/>
      <c r="AQ25" s="29"/>
      <c r="AS25" s="34"/>
      <c r="AT25" s="29">
        <f t="shared" si="105"/>
        <v>0</v>
      </c>
      <c r="AU25" s="29"/>
      <c r="AV25" s="29"/>
      <c r="AW25" s="29"/>
      <c r="AY25" s="34"/>
      <c r="AZ25" s="29">
        <f t="shared" si="106"/>
        <v>0</v>
      </c>
      <c r="BA25" s="29"/>
      <c r="BB25" s="29"/>
      <c r="BC25" s="29"/>
      <c r="BE25" s="34"/>
      <c r="BF25" s="29">
        <f t="shared" si="107"/>
        <v>0</v>
      </c>
      <c r="BG25" s="29"/>
      <c r="BH25" s="29"/>
      <c r="BI25" s="29"/>
      <c r="BK25" s="34"/>
      <c r="BL25" s="29">
        <f t="shared" si="108"/>
        <v>0</v>
      </c>
      <c r="BM25" s="29"/>
      <c r="BN25" s="29"/>
      <c r="BO25" s="29"/>
      <c r="BQ25" s="34"/>
      <c r="BR25" s="29">
        <f t="shared" si="109"/>
        <v>0</v>
      </c>
      <c r="BS25" s="29"/>
      <c r="BT25" s="29"/>
      <c r="BU25" s="29"/>
      <c r="BW25" s="34"/>
      <c r="BX25" s="29">
        <f t="shared" si="110"/>
        <v>0</v>
      </c>
      <c r="BY25" s="29"/>
      <c r="BZ25" s="29"/>
      <c r="CA25" s="29"/>
      <c r="CC25" s="34"/>
      <c r="CD25" s="29">
        <f t="shared" si="111"/>
        <v>0</v>
      </c>
      <c r="CE25" s="29"/>
      <c r="CF25" s="29"/>
      <c r="CG25" s="29"/>
      <c r="CI25" s="34"/>
      <c r="CJ25" s="29">
        <f t="shared" si="112"/>
        <v>0</v>
      </c>
      <c r="CK25" s="29"/>
      <c r="CL25" s="29"/>
      <c r="CM25" s="29"/>
      <c r="CO25" s="34"/>
      <c r="CP25" s="29">
        <f t="shared" si="113"/>
        <v>0</v>
      </c>
      <c r="CQ25" s="29"/>
      <c r="CR25" s="29"/>
      <c r="CS25" s="29"/>
      <c r="CU25" s="34"/>
      <c r="CV25" s="29">
        <f t="shared" si="114"/>
        <v>0</v>
      </c>
      <c r="CW25" s="29"/>
      <c r="CX25" s="29"/>
      <c r="CY25" s="29"/>
      <c r="DA25" s="34"/>
      <c r="DB25" s="29">
        <f t="shared" si="115"/>
        <v>0</v>
      </c>
      <c r="DC25" s="29"/>
      <c r="DD25" s="29"/>
      <c r="DE25" s="29"/>
      <c r="DG25" s="34"/>
      <c r="DH25" s="29">
        <f t="shared" si="116"/>
        <v>0</v>
      </c>
      <c r="DI25" s="29"/>
      <c r="DJ25" s="29"/>
      <c r="DK25" s="29"/>
      <c r="DM25" s="34"/>
      <c r="DN25" s="29">
        <f t="shared" si="117"/>
        <v>0</v>
      </c>
      <c r="DO25" s="29"/>
      <c r="DP25" s="29"/>
      <c r="DQ25" s="29"/>
      <c r="DS25" s="34"/>
      <c r="DT25" s="29">
        <f t="shared" si="118"/>
        <v>0</v>
      </c>
      <c r="DU25" s="29"/>
      <c r="DV25" s="29"/>
      <c r="DW25" s="29"/>
      <c r="DY25" s="34"/>
      <c r="DZ25" s="29">
        <f t="shared" si="119"/>
        <v>0</v>
      </c>
      <c r="EA25" s="29"/>
      <c r="EB25" s="29"/>
      <c r="EC25" s="29"/>
      <c r="EE25" s="34"/>
      <c r="EF25" s="29">
        <f t="shared" si="120"/>
        <v>0</v>
      </c>
      <c r="EG25" s="29"/>
      <c r="EH25" s="29"/>
      <c r="EI25" s="29"/>
      <c r="EK25" s="34"/>
      <c r="EL25" s="29">
        <f t="shared" si="121"/>
        <v>0</v>
      </c>
      <c r="EM25" s="29"/>
      <c r="EN25" s="29"/>
      <c r="EO25" s="29"/>
      <c r="EQ25" s="34"/>
      <c r="ER25" s="29">
        <f t="shared" si="122"/>
        <v>0</v>
      </c>
      <c r="ES25" s="29"/>
      <c r="ET25" s="29"/>
      <c r="EU25" s="29"/>
      <c r="EW25" s="34"/>
      <c r="EX25" s="29">
        <f t="shared" si="123"/>
        <v>0</v>
      </c>
      <c r="EY25" s="29"/>
      <c r="EZ25" s="29"/>
      <c r="FA25" s="29"/>
      <c r="FC25" s="34"/>
      <c r="FD25" s="29">
        <f t="shared" si="124"/>
        <v>0</v>
      </c>
      <c r="FE25" s="29"/>
      <c r="FF25" s="29"/>
      <c r="FG25" s="29"/>
      <c r="FI25" s="34"/>
      <c r="FJ25" s="29">
        <f t="shared" si="125"/>
        <v>0</v>
      </c>
      <c r="FK25" s="29"/>
      <c r="FL25" s="29"/>
      <c r="FM25" s="29"/>
      <c r="FO25" s="34"/>
      <c r="FP25" s="29">
        <f t="shared" si="126"/>
        <v>0</v>
      </c>
      <c r="FQ25" s="29"/>
      <c r="FR25" s="29"/>
      <c r="FS25" s="29"/>
      <c r="FU25" s="34"/>
      <c r="FV25" s="29">
        <f t="shared" si="127"/>
        <v>0</v>
      </c>
      <c r="FW25" s="29"/>
      <c r="FX25" s="29"/>
      <c r="FY25" s="29"/>
      <c r="GA25" s="34"/>
      <c r="GB25" s="29">
        <f t="shared" si="128"/>
        <v>0</v>
      </c>
      <c r="GC25" s="29"/>
      <c r="GD25" s="29"/>
      <c r="GE25" s="29"/>
      <c r="GG25" s="34"/>
      <c r="GH25" s="29">
        <f t="shared" si="129"/>
        <v>0</v>
      </c>
      <c r="GI25" s="29"/>
      <c r="GJ25" s="29"/>
      <c r="GK25" s="29"/>
      <c r="GM25" s="34"/>
      <c r="GN25" s="29">
        <f t="shared" si="130"/>
        <v>0</v>
      </c>
      <c r="GO25" s="29"/>
      <c r="GP25" s="29"/>
      <c r="GQ25" s="29"/>
      <c r="GS25" s="34"/>
      <c r="GT25" s="29">
        <f t="shared" si="131"/>
        <v>0</v>
      </c>
      <c r="GU25" s="29"/>
      <c r="GV25" s="29"/>
      <c r="GW25" s="29"/>
      <c r="GY25" s="34"/>
      <c r="GZ25" s="29">
        <f t="shared" si="132"/>
        <v>0</v>
      </c>
      <c r="HA25" s="29"/>
      <c r="HB25" s="29"/>
      <c r="HC25" s="29"/>
    </row>
    <row r="26" spans="1:211" s="33" customFormat="1" hidden="1" outlineLevel="2" x14ac:dyDescent="0.2">
      <c r="A26" s="33" t="s">
        <v>55</v>
      </c>
      <c r="B26" s="29">
        <f t="shared" si="97"/>
        <v>7500000</v>
      </c>
      <c r="C26" s="34"/>
      <c r="D26" s="29">
        <f t="shared" si="98"/>
        <v>0</v>
      </c>
      <c r="E26" s="29"/>
      <c r="F26" s="29"/>
      <c r="G26" s="29"/>
      <c r="I26" s="34"/>
      <c r="J26" s="29">
        <f t="shared" si="99"/>
        <v>0</v>
      </c>
      <c r="K26" s="29"/>
      <c r="L26" s="29"/>
      <c r="M26" s="29"/>
      <c r="O26" s="34"/>
      <c r="P26" s="29">
        <f t="shared" si="100"/>
        <v>0</v>
      </c>
      <c r="Q26" s="29"/>
      <c r="R26" s="29"/>
      <c r="S26" s="29"/>
      <c r="U26" s="34"/>
      <c r="V26" s="29">
        <f t="shared" si="101"/>
        <v>0</v>
      </c>
      <c r="W26" s="29"/>
      <c r="X26" s="29"/>
      <c r="Y26" s="29"/>
      <c r="AA26" s="34"/>
      <c r="AB26" s="29">
        <f t="shared" si="102"/>
        <v>0</v>
      </c>
      <c r="AC26" s="29"/>
      <c r="AD26" s="29"/>
      <c r="AE26" s="29"/>
      <c r="AG26" s="34"/>
      <c r="AH26" s="29">
        <f t="shared" si="103"/>
        <v>0</v>
      </c>
      <c r="AI26" s="29"/>
      <c r="AJ26" s="29"/>
      <c r="AK26" s="29"/>
      <c r="AM26" s="34"/>
      <c r="AN26" s="29">
        <f t="shared" si="104"/>
        <v>0</v>
      </c>
      <c r="AO26" s="29"/>
      <c r="AP26" s="29"/>
      <c r="AQ26" s="29"/>
      <c r="AS26" s="34"/>
      <c r="AT26" s="29">
        <f t="shared" si="105"/>
        <v>0</v>
      </c>
      <c r="AU26" s="29"/>
      <c r="AV26" s="29"/>
      <c r="AW26" s="29"/>
      <c r="AY26" s="34"/>
      <c r="AZ26" s="29">
        <f t="shared" si="106"/>
        <v>3000000</v>
      </c>
      <c r="BA26" s="29"/>
      <c r="BB26" s="29"/>
      <c r="BC26" s="29"/>
      <c r="BE26" s="34"/>
      <c r="BF26" s="29">
        <f t="shared" si="107"/>
        <v>0</v>
      </c>
      <c r="BG26" s="29"/>
      <c r="BH26" s="29"/>
      <c r="BI26" s="29"/>
      <c r="BK26" s="34"/>
      <c r="BL26" s="29">
        <f t="shared" si="108"/>
        <v>3000000</v>
      </c>
      <c r="BM26" s="29"/>
      <c r="BN26" s="29"/>
      <c r="BO26" s="29"/>
      <c r="BQ26" s="34"/>
      <c r="BR26" s="29">
        <f t="shared" si="109"/>
        <v>1500000</v>
      </c>
      <c r="BS26" s="29"/>
      <c r="BT26" s="29"/>
      <c r="BU26" s="29"/>
      <c r="BW26" s="34"/>
      <c r="BX26" s="29">
        <f t="shared" si="110"/>
        <v>0</v>
      </c>
      <c r="BY26" s="29"/>
      <c r="BZ26" s="29"/>
      <c r="CA26" s="29"/>
      <c r="CC26" s="34"/>
      <c r="CD26" s="29">
        <f t="shared" si="111"/>
        <v>0</v>
      </c>
      <c r="CE26" s="29"/>
      <c r="CF26" s="29"/>
      <c r="CG26" s="29"/>
      <c r="CI26" s="34"/>
      <c r="CJ26" s="29">
        <f t="shared" si="112"/>
        <v>0</v>
      </c>
      <c r="CK26" s="29"/>
      <c r="CL26" s="29"/>
      <c r="CM26" s="29"/>
      <c r="CO26" s="34"/>
      <c r="CP26" s="29">
        <f t="shared" si="113"/>
        <v>0</v>
      </c>
      <c r="CQ26" s="29"/>
      <c r="CR26" s="29"/>
      <c r="CS26" s="29"/>
      <c r="CU26" s="34"/>
      <c r="CV26" s="29">
        <f t="shared" si="114"/>
        <v>0</v>
      </c>
      <c r="CW26" s="29"/>
      <c r="CX26" s="29"/>
      <c r="CY26" s="29"/>
      <c r="DA26" s="34"/>
      <c r="DB26" s="29">
        <f t="shared" si="115"/>
        <v>0</v>
      </c>
      <c r="DC26" s="29"/>
      <c r="DD26" s="29"/>
      <c r="DE26" s="29"/>
      <c r="DG26" s="34"/>
      <c r="DH26" s="29">
        <f t="shared" si="116"/>
        <v>0</v>
      </c>
      <c r="DI26" s="29"/>
      <c r="DJ26" s="29"/>
      <c r="DK26" s="29"/>
      <c r="DM26" s="34"/>
      <c r="DN26" s="29">
        <f t="shared" si="117"/>
        <v>0</v>
      </c>
      <c r="DO26" s="29"/>
      <c r="DP26" s="29"/>
      <c r="DQ26" s="29"/>
      <c r="DS26" s="34"/>
      <c r="DT26" s="29">
        <f t="shared" si="118"/>
        <v>0</v>
      </c>
      <c r="DU26" s="29"/>
      <c r="DV26" s="29"/>
      <c r="DW26" s="29"/>
      <c r="DY26" s="34"/>
      <c r="DZ26" s="29">
        <f t="shared" si="119"/>
        <v>0</v>
      </c>
      <c r="EA26" s="29"/>
      <c r="EB26" s="29"/>
      <c r="EC26" s="29"/>
      <c r="EE26" s="34"/>
      <c r="EF26" s="29">
        <f t="shared" si="120"/>
        <v>0</v>
      </c>
      <c r="EG26" s="29"/>
      <c r="EH26" s="29"/>
      <c r="EI26" s="29"/>
      <c r="EK26" s="34"/>
      <c r="EL26" s="29">
        <f t="shared" si="121"/>
        <v>0</v>
      </c>
      <c r="EM26" s="29"/>
      <c r="EN26" s="29"/>
      <c r="EO26" s="29"/>
      <c r="EQ26" s="34"/>
      <c r="ER26" s="29">
        <f t="shared" si="122"/>
        <v>0</v>
      </c>
      <c r="ES26" s="29"/>
      <c r="ET26" s="29"/>
      <c r="EU26" s="29"/>
      <c r="EW26" s="34"/>
      <c r="EX26" s="29">
        <f t="shared" si="123"/>
        <v>0</v>
      </c>
      <c r="EY26" s="29"/>
      <c r="EZ26" s="29"/>
      <c r="FA26" s="29"/>
      <c r="FC26" s="34"/>
      <c r="FD26" s="29">
        <f t="shared" si="124"/>
        <v>0</v>
      </c>
      <c r="FE26" s="29"/>
      <c r="FF26" s="29"/>
      <c r="FG26" s="29"/>
      <c r="FI26" s="34"/>
      <c r="FJ26" s="29">
        <f t="shared" si="125"/>
        <v>0</v>
      </c>
      <c r="FK26" s="29"/>
      <c r="FL26" s="29"/>
      <c r="FM26" s="29"/>
      <c r="FO26" s="34"/>
      <c r="FP26" s="29">
        <f t="shared" si="126"/>
        <v>0</v>
      </c>
      <c r="FQ26" s="29"/>
      <c r="FR26" s="29"/>
      <c r="FS26" s="29"/>
      <c r="FU26" s="34"/>
      <c r="FV26" s="29">
        <f t="shared" si="127"/>
        <v>0</v>
      </c>
      <c r="FW26" s="29"/>
      <c r="FX26" s="29"/>
      <c r="FY26" s="29"/>
      <c r="GA26" s="34"/>
      <c r="GB26" s="29">
        <f t="shared" si="128"/>
        <v>0</v>
      </c>
      <c r="GC26" s="29"/>
      <c r="GD26" s="29"/>
      <c r="GE26" s="29"/>
      <c r="GG26" s="34"/>
      <c r="GH26" s="29">
        <f t="shared" si="129"/>
        <v>0</v>
      </c>
      <c r="GI26" s="29"/>
      <c r="GJ26" s="29"/>
      <c r="GK26" s="29"/>
      <c r="GM26" s="34"/>
      <c r="GN26" s="29">
        <f t="shared" si="130"/>
        <v>0</v>
      </c>
      <c r="GO26" s="29"/>
      <c r="GP26" s="29"/>
      <c r="GQ26" s="29"/>
      <c r="GS26" s="34"/>
      <c r="GT26" s="29">
        <f t="shared" si="131"/>
        <v>0</v>
      </c>
      <c r="GU26" s="29"/>
      <c r="GV26" s="29"/>
      <c r="GW26" s="29"/>
      <c r="GY26" s="34"/>
      <c r="GZ26" s="29">
        <f t="shared" si="132"/>
        <v>0</v>
      </c>
      <c r="HA26" s="29"/>
      <c r="HB26" s="29"/>
      <c r="HC26" s="29"/>
    </row>
    <row r="27" spans="1:211" s="33" customFormat="1" hidden="1" outlineLevel="2" x14ac:dyDescent="0.2">
      <c r="A27" s="33" t="s">
        <v>56</v>
      </c>
      <c r="B27" s="29">
        <f t="shared" si="97"/>
        <v>24500000</v>
      </c>
      <c r="C27" s="34"/>
      <c r="D27" s="29">
        <f t="shared" si="98"/>
        <v>0</v>
      </c>
      <c r="E27" s="29"/>
      <c r="F27" s="29"/>
      <c r="G27" s="29"/>
      <c r="I27" s="34"/>
      <c r="J27" s="29">
        <f t="shared" si="99"/>
        <v>0</v>
      </c>
      <c r="K27" s="29"/>
      <c r="L27" s="29"/>
      <c r="M27" s="29"/>
      <c r="O27" s="34"/>
      <c r="P27" s="29">
        <f t="shared" si="100"/>
        <v>2000000</v>
      </c>
      <c r="Q27" s="29"/>
      <c r="R27" s="29"/>
      <c r="S27" s="29"/>
      <c r="U27" s="34"/>
      <c r="V27" s="29">
        <f t="shared" si="101"/>
        <v>0</v>
      </c>
      <c r="W27" s="29"/>
      <c r="X27" s="29"/>
      <c r="Y27" s="29"/>
      <c r="AA27" s="34"/>
      <c r="AB27" s="29">
        <f t="shared" si="102"/>
        <v>3000000</v>
      </c>
      <c r="AC27" s="29"/>
      <c r="AD27" s="29"/>
      <c r="AE27" s="29"/>
      <c r="AG27" s="34"/>
      <c r="AH27" s="29">
        <f t="shared" si="103"/>
        <v>4500000</v>
      </c>
      <c r="AI27" s="29"/>
      <c r="AJ27" s="29"/>
      <c r="AK27" s="29"/>
      <c r="AM27" s="34"/>
      <c r="AN27" s="29">
        <f t="shared" si="104"/>
        <v>15000000</v>
      </c>
      <c r="AO27" s="29"/>
      <c r="AP27" s="29"/>
      <c r="AQ27" s="29"/>
      <c r="AS27" s="34"/>
      <c r="AT27" s="29">
        <f t="shared" si="105"/>
        <v>0</v>
      </c>
      <c r="AU27" s="29"/>
      <c r="AV27" s="29"/>
      <c r="AW27" s="29"/>
      <c r="AY27" s="34"/>
      <c r="AZ27" s="29">
        <f t="shared" si="106"/>
        <v>0</v>
      </c>
      <c r="BA27" s="29"/>
      <c r="BB27" s="29"/>
      <c r="BC27" s="29"/>
      <c r="BE27" s="34"/>
      <c r="BF27" s="29">
        <f t="shared" si="107"/>
        <v>0</v>
      </c>
      <c r="BG27" s="29"/>
      <c r="BH27" s="29"/>
      <c r="BI27" s="29"/>
      <c r="BK27" s="34"/>
      <c r="BL27" s="29">
        <f t="shared" si="108"/>
        <v>0</v>
      </c>
      <c r="BM27" s="29"/>
      <c r="BN27" s="29"/>
      <c r="BO27" s="29"/>
      <c r="BQ27" s="34"/>
      <c r="BR27" s="29">
        <f t="shared" si="109"/>
        <v>0</v>
      </c>
      <c r="BS27" s="29"/>
      <c r="BT27" s="29"/>
      <c r="BU27" s="29"/>
      <c r="BW27" s="34"/>
      <c r="BX27" s="29">
        <f t="shared" si="110"/>
        <v>0</v>
      </c>
      <c r="BY27" s="29"/>
      <c r="BZ27" s="29"/>
      <c r="CA27" s="29"/>
      <c r="CC27" s="34"/>
      <c r="CD27" s="29">
        <f t="shared" si="111"/>
        <v>0</v>
      </c>
      <c r="CE27" s="29"/>
      <c r="CF27" s="29"/>
      <c r="CG27" s="29"/>
      <c r="CI27" s="34"/>
      <c r="CJ27" s="29">
        <f t="shared" si="112"/>
        <v>0</v>
      </c>
      <c r="CK27" s="29"/>
      <c r="CL27" s="29"/>
      <c r="CM27" s="29"/>
      <c r="CO27" s="34"/>
      <c r="CP27" s="29">
        <f t="shared" si="113"/>
        <v>0</v>
      </c>
      <c r="CQ27" s="29"/>
      <c r="CR27" s="29"/>
      <c r="CS27" s="29"/>
      <c r="CU27" s="34"/>
      <c r="CV27" s="29">
        <f t="shared" si="114"/>
        <v>0</v>
      </c>
      <c r="CW27" s="29"/>
      <c r="CX27" s="29"/>
      <c r="CY27" s="29"/>
      <c r="DA27" s="34"/>
      <c r="DB27" s="29">
        <f t="shared" si="115"/>
        <v>0</v>
      </c>
      <c r="DC27" s="29"/>
      <c r="DD27" s="29"/>
      <c r="DE27" s="29"/>
      <c r="DG27" s="34"/>
      <c r="DH27" s="29">
        <f t="shared" si="116"/>
        <v>0</v>
      </c>
      <c r="DI27" s="29"/>
      <c r="DJ27" s="29"/>
      <c r="DK27" s="29"/>
      <c r="DM27" s="34"/>
      <c r="DN27" s="29">
        <f t="shared" si="117"/>
        <v>0</v>
      </c>
      <c r="DO27" s="29"/>
      <c r="DP27" s="29"/>
      <c r="DQ27" s="29"/>
      <c r="DS27" s="34"/>
      <c r="DT27" s="29">
        <f t="shared" si="118"/>
        <v>0</v>
      </c>
      <c r="DU27" s="29"/>
      <c r="DV27" s="29"/>
      <c r="DW27" s="29"/>
      <c r="DY27" s="34"/>
      <c r="DZ27" s="29">
        <f t="shared" si="119"/>
        <v>0</v>
      </c>
      <c r="EA27" s="29"/>
      <c r="EB27" s="29"/>
      <c r="EC27" s="29"/>
      <c r="EE27" s="34"/>
      <c r="EF27" s="29">
        <f t="shared" si="120"/>
        <v>0</v>
      </c>
      <c r="EG27" s="29"/>
      <c r="EH27" s="29"/>
      <c r="EI27" s="29"/>
      <c r="EK27" s="34"/>
      <c r="EL27" s="29">
        <f t="shared" si="121"/>
        <v>0</v>
      </c>
      <c r="EM27" s="29"/>
      <c r="EN27" s="29"/>
      <c r="EO27" s="29"/>
      <c r="EQ27" s="34"/>
      <c r="ER27" s="29">
        <f t="shared" si="122"/>
        <v>0</v>
      </c>
      <c r="ES27" s="29"/>
      <c r="ET27" s="29"/>
      <c r="EU27" s="29"/>
      <c r="EW27" s="34"/>
      <c r="EX27" s="29">
        <f t="shared" si="123"/>
        <v>0</v>
      </c>
      <c r="EY27" s="29"/>
      <c r="EZ27" s="29"/>
      <c r="FA27" s="29"/>
      <c r="FC27" s="34"/>
      <c r="FD27" s="29">
        <f t="shared" si="124"/>
        <v>0</v>
      </c>
      <c r="FE27" s="29"/>
      <c r="FF27" s="29"/>
      <c r="FG27" s="29"/>
      <c r="FI27" s="34"/>
      <c r="FJ27" s="29">
        <f t="shared" si="125"/>
        <v>0</v>
      </c>
      <c r="FK27" s="29"/>
      <c r="FL27" s="29"/>
      <c r="FM27" s="29"/>
      <c r="FO27" s="34"/>
      <c r="FP27" s="29">
        <f t="shared" si="126"/>
        <v>0</v>
      </c>
      <c r="FQ27" s="29"/>
      <c r="FR27" s="29"/>
      <c r="FS27" s="29"/>
      <c r="FU27" s="34"/>
      <c r="FV27" s="29">
        <f t="shared" si="127"/>
        <v>0</v>
      </c>
      <c r="FW27" s="29"/>
      <c r="FX27" s="29"/>
      <c r="FY27" s="29"/>
      <c r="GA27" s="34"/>
      <c r="GB27" s="29">
        <f t="shared" si="128"/>
        <v>0</v>
      </c>
      <c r="GC27" s="29"/>
      <c r="GD27" s="29"/>
      <c r="GE27" s="29"/>
      <c r="GG27" s="34"/>
      <c r="GH27" s="29">
        <f t="shared" si="129"/>
        <v>0</v>
      </c>
      <c r="GI27" s="29"/>
      <c r="GJ27" s="29"/>
      <c r="GK27" s="29"/>
      <c r="GM27" s="34"/>
      <c r="GN27" s="29">
        <f t="shared" si="130"/>
        <v>0</v>
      </c>
      <c r="GO27" s="29"/>
      <c r="GP27" s="29"/>
      <c r="GQ27" s="29"/>
      <c r="GS27" s="34"/>
      <c r="GT27" s="29">
        <f t="shared" si="131"/>
        <v>0</v>
      </c>
      <c r="GU27" s="29"/>
      <c r="GV27" s="29"/>
      <c r="GW27" s="29"/>
      <c r="GY27" s="34"/>
      <c r="GZ27" s="29">
        <f t="shared" si="132"/>
        <v>0</v>
      </c>
      <c r="HA27" s="29"/>
      <c r="HB27" s="29"/>
      <c r="HC27" s="29"/>
    </row>
    <row r="28" spans="1:211" s="33" customFormat="1" hidden="1" outlineLevel="2" x14ac:dyDescent="0.2">
      <c r="A28" s="33" t="s">
        <v>57</v>
      </c>
      <c r="B28" s="29">
        <f t="shared" si="97"/>
        <v>7000000</v>
      </c>
      <c r="C28" s="34"/>
      <c r="D28" s="29">
        <f t="shared" si="98"/>
        <v>0</v>
      </c>
      <c r="E28" s="29"/>
      <c r="F28" s="29"/>
      <c r="G28" s="29"/>
      <c r="I28" s="34"/>
      <c r="J28" s="29">
        <f t="shared" si="99"/>
        <v>0</v>
      </c>
      <c r="K28" s="29"/>
      <c r="L28" s="29"/>
      <c r="M28" s="29"/>
      <c r="O28" s="34"/>
      <c r="P28" s="29">
        <f t="shared" si="100"/>
        <v>0</v>
      </c>
      <c r="Q28" s="29"/>
      <c r="R28" s="29"/>
      <c r="S28" s="29"/>
      <c r="U28" s="34"/>
      <c r="V28" s="29">
        <f t="shared" si="101"/>
        <v>0</v>
      </c>
      <c r="W28" s="29"/>
      <c r="X28" s="29"/>
      <c r="Y28" s="29"/>
      <c r="AA28" s="34"/>
      <c r="AB28" s="29">
        <f t="shared" si="102"/>
        <v>0</v>
      </c>
      <c r="AC28" s="29"/>
      <c r="AD28" s="29"/>
      <c r="AE28" s="29"/>
      <c r="AG28" s="34"/>
      <c r="AH28" s="29">
        <f t="shared" si="103"/>
        <v>0</v>
      </c>
      <c r="AI28" s="29"/>
      <c r="AJ28" s="29"/>
      <c r="AK28" s="29"/>
      <c r="AM28" s="34"/>
      <c r="AN28" s="29">
        <f t="shared" si="104"/>
        <v>0</v>
      </c>
      <c r="AO28" s="29"/>
      <c r="AP28" s="29"/>
      <c r="AQ28" s="29"/>
      <c r="AS28" s="34"/>
      <c r="AT28" s="29">
        <f t="shared" si="105"/>
        <v>0</v>
      </c>
      <c r="AU28" s="29"/>
      <c r="AV28" s="29"/>
      <c r="AW28" s="29"/>
      <c r="AY28" s="34"/>
      <c r="AZ28" s="29">
        <f t="shared" si="106"/>
        <v>0</v>
      </c>
      <c r="BA28" s="29"/>
      <c r="BB28" s="29"/>
      <c r="BC28" s="29"/>
      <c r="BE28" s="34"/>
      <c r="BF28" s="29">
        <f t="shared" si="107"/>
        <v>0</v>
      </c>
      <c r="BG28" s="29"/>
      <c r="BH28" s="29"/>
      <c r="BI28" s="29"/>
      <c r="BK28" s="34"/>
      <c r="BL28" s="29">
        <f t="shared" si="108"/>
        <v>0</v>
      </c>
      <c r="BM28" s="29"/>
      <c r="BN28" s="29"/>
      <c r="BO28" s="29"/>
      <c r="BQ28" s="34"/>
      <c r="BR28" s="29">
        <f t="shared" si="109"/>
        <v>0</v>
      </c>
      <c r="BS28" s="29"/>
      <c r="BT28" s="29"/>
      <c r="BU28" s="29"/>
      <c r="BW28" s="34"/>
      <c r="BX28" s="29">
        <f t="shared" si="110"/>
        <v>0</v>
      </c>
      <c r="BY28" s="29"/>
      <c r="BZ28" s="29"/>
      <c r="CA28" s="29"/>
      <c r="CC28" s="34"/>
      <c r="CD28" s="29">
        <f t="shared" si="111"/>
        <v>0</v>
      </c>
      <c r="CE28" s="29"/>
      <c r="CF28" s="29"/>
      <c r="CG28" s="29"/>
      <c r="CI28" s="34"/>
      <c r="CJ28" s="29">
        <f t="shared" si="112"/>
        <v>0</v>
      </c>
      <c r="CK28" s="29"/>
      <c r="CL28" s="29"/>
      <c r="CM28" s="29"/>
      <c r="CO28" s="34"/>
      <c r="CP28" s="29">
        <f t="shared" si="113"/>
        <v>0</v>
      </c>
      <c r="CQ28" s="29"/>
      <c r="CR28" s="29"/>
      <c r="CS28" s="29"/>
      <c r="CU28" s="34"/>
      <c r="CV28" s="29">
        <f t="shared" si="114"/>
        <v>0</v>
      </c>
      <c r="CW28" s="29"/>
      <c r="CX28" s="29"/>
      <c r="CY28" s="29"/>
      <c r="DA28" s="34"/>
      <c r="DB28" s="29">
        <f t="shared" si="115"/>
        <v>0</v>
      </c>
      <c r="DC28" s="29"/>
      <c r="DD28" s="29"/>
      <c r="DE28" s="29"/>
      <c r="DG28" s="34"/>
      <c r="DH28" s="29">
        <f t="shared" si="116"/>
        <v>0</v>
      </c>
      <c r="DI28" s="29"/>
      <c r="DJ28" s="29"/>
      <c r="DK28" s="29"/>
      <c r="DM28" s="34"/>
      <c r="DN28" s="29">
        <f t="shared" si="117"/>
        <v>0</v>
      </c>
      <c r="DO28" s="29"/>
      <c r="DP28" s="29"/>
      <c r="DQ28" s="29"/>
      <c r="DS28" s="34"/>
      <c r="DT28" s="29">
        <f t="shared" si="118"/>
        <v>0</v>
      </c>
      <c r="DU28" s="29"/>
      <c r="DV28" s="29"/>
      <c r="DW28" s="29"/>
      <c r="DY28" s="34"/>
      <c r="DZ28" s="29">
        <f t="shared" si="119"/>
        <v>0</v>
      </c>
      <c r="EA28" s="29"/>
      <c r="EB28" s="29"/>
      <c r="EC28" s="29"/>
      <c r="EE28" s="34"/>
      <c r="EF28" s="29">
        <f t="shared" si="120"/>
        <v>0</v>
      </c>
      <c r="EG28" s="29"/>
      <c r="EH28" s="29"/>
      <c r="EI28" s="29"/>
      <c r="EK28" s="34"/>
      <c r="EL28" s="29">
        <f t="shared" si="121"/>
        <v>2000000</v>
      </c>
      <c r="EM28" s="29"/>
      <c r="EN28" s="29"/>
      <c r="EO28" s="29"/>
      <c r="EQ28" s="34"/>
      <c r="ER28" s="29">
        <f t="shared" si="122"/>
        <v>0</v>
      </c>
      <c r="ES28" s="29"/>
      <c r="ET28" s="29"/>
      <c r="EU28" s="29"/>
      <c r="EW28" s="34"/>
      <c r="EX28" s="29">
        <f t="shared" si="123"/>
        <v>0</v>
      </c>
      <c r="EY28" s="29"/>
      <c r="EZ28" s="29"/>
      <c r="FA28" s="29"/>
      <c r="FC28" s="34"/>
      <c r="FD28" s="29">
        <f t="shared" si="124"/>
        <v>0</v>
      </c>
      <c r="FE28" s="29"/>
      <c r="FF28" s="29"/>
      <c r="FG28" s="29"/>
      <c r="FI28" s="34"/>
      <c r="FJ28" s="29">
        <f t="shared" si="125"/>
        <v>3000000</v>
      </c>
      <c r="FK28" s="29"/>
      <c r="FL28" s="29"/>
      <c r="FM28" s="29"/>
      <c r="FO28" s="34"/>
      <c r="FP28" s="29">
        <f t="shared" si="126"/>
        <v>0</v>
      </c>
      <c r="FQ28" s="29"/>
      <c r="FR28" s="29"/>
      <c r="FS28" s="29"/>
      <c r="FU28" s="34"/>
      <c r="FV28" s="29">
        <f t="shared" si="127"/>
        <v>0</v>
      </c>
      <c r="FW28" s="29"/>
      <c r="FX28" s="29"/>
      <c r="FY28" s="29"/>
      <c r="GA28" s="34"/>
      <c r="GB28" s="29">
        <f t="shared" si="128"/>
        <v>2000000</v>
      </c>
      <c r="GC28" s="29"/>
      <c r="GD28" s="29"/>
      <c r="GE28" s="29"/>
      <c r="GG28" s="34"/>
      <c r="GH28" s="29">
        <f t="shared" si="129"/>
        <v>0</v>
      </c>
      <c r="GI28" s="29"/>
      <c r="GJ28" s="29"/>
      <c r="GK28" s="29"/>
      <c r="GM28" s="34"/>
      <c r="GN28" s="29">
        <f t="shared" si="130"/>
        <v>0</v>
      </c>
      <c r="GO28" s="29"/>
      <c r="GP28" s="29"/>
      <c r="GQ28" s="29"/>
      <c r="GS28" s="34"/>
      <c r="GT28" s="29">
        <f t="shared" si="131"/>
        <v>0</v>
      </c>
      <c r="GU28" s="29"/>
      <c r="GV28" s="29"/>
      <c r="GW28" s="29"/>
      <c r="GY28" s="34"/>
      <c r="GZ28" s="29">
        <f t="shared" si="132"/>
        <v>0</v>
      </c>
      <c r="HA28" s="29"/>
      <c r="HB28" s="29"/>
      <c r="HC28" s="29"/>
    </row>
    <row r="29" spans="1:211" s="33" customFormat="1" hidden="1" outlineLevel="2" x14ac:dyDescent="0.2">
      <c r="A29" s="33" t="s">
        <v>58</v>
      </c>
      <c r="B29" s="29">
        <f t="shared" si="97"/>
        <v>11000000</v>
      </c>
      <c r="C29" s="34"/>
      <c r="D29" s="29">
        <f t="shared" si="98"/>
        <v>0</v>
      </c>
      <c r="E29" s="29"/>
      <c r="F29" s="29"/>
      <c r="G29" s="29"/>
      <c r="I29" s="34"/>
      <c r="J29" s="29">
        <f t="shared" si="99"/>
        <v>0</v>
      </c>
      <c r="K29" s="29"/>
      <c r="L29" s="29"/>
      <c r="M29" s="29"/>
      <c r="O29" s="34"/>
      <c r="P29" s="29">
        <f t="shared" si="100"/>
        <v>0</v>
      </c>
      <c r="Q29" s="29"/>
      <c r="R29" s="29"/>
      <c r="S29" s="29"/>
      <c r="U29" s="34"/>
      <c r="V29" s="29">
        <f t="shared" si="101"/>
        <v>0</v>
      </c>
      <c r="W29" s="29"/>
      <c r="X29" s="29"/>
      <c r="Y29" s="29"/>
      <c r="AA29" s="34"/>
      <c r="AB29" s="29">
        <f t="shared" si="102"/>
        <v>0</v>
      </c>
      <c r="AC29" s="29"/>
      <c r="AD29" s="29"/>
      <c r="AE29" s="29"/>
      <c r="AG29" s="34"/>
      <c r="AH29" s="29">
        <f t="shared" si="103"/>
        <v>0</v>
      </c>
      <c r="AI29" s="29"/>
      <c r="AJ29" s="29"/>
      <c r="AK29" s="29"/>
      <c r="AM29" s="34"/>
      <c r="AN29" s="29">
        <f t="shared" si="104"/>
        <v>5000000</v>
      </c>
      <c r="AO29" s="29"/>
      <c r="AP29" s="29"/>
      <c r="AQ29" s="29"/>
      <c r="AS29" s="34"/>
      <c r="AT29" s="29">
        <f t="shared" si="105"/>
        <v>1000000</v>
      </c>
      <c r="AU29" s="29"/>
      <c r="AV29" s="29"/>
      <c r="AW29" s="29"/>
      <c r="AY29" s="34"/>
      <c r="AZ29" s="29">
        <f t="shared" si="106"/>
        <v>0</v>
      </c>
      <c r="BA29" s="29"/>
      <c r="BB29" s="29"/>
      <c r="BC29" s="29"/>
      <c r="BE29" s="34"/>
      <c r="BF29" s="29">
        <f t="shared" si="107"/>
        <v>0</v>
      </c>
      <c r="BG29" s="29"/>
      <c r="BH29" s="29"/>
      <c r="BI29" s="29"/>
      <c r="BK29" s="34"/>
      <c r="BL29" s="29">
        <f t="shared" si="108"/>
        <v>0</v>
      </c>
      <c r="BM29" s="29"/>
      <c r="BN29" s="29"/>
      <c r="BO29" s="29"/>
      <c r="BQ29" s="34"/>
      <c r="BR29" s="29">
        <f t="shared" si="109"/>
        <v>0</v>
      </c>
      <c r="BS29" s="29"/>
      <c r="BT29" s="29"/>
      <c r="BU29" s="29"/>
      <c r="BW29" s="34"/>
      <c r="BX29" s="29">
        <f t="shared" si="110"/>
        <v>0</v>
      </c>
      <c r="BY29" s="29"/>
      <c r="BZ29" s="29"/>
      <c r="CA29" s="29"/>
      <c r="CC29" s="34"/>
      <c r="CD29" s="29">
        <f t="shared" si="111"/>
        <v>0</v>
      </c>
      <c r="CE29" s="29"/>
      <c r="CF29" s="29"/>
      <c r="CG29" s="29"/>
      <c r="CI29" s="34"/>
      <c r="CJ29" s="29">
        <f t="shared" si="112"/>
        <v>0</v>
      </c>
      <c r="CK29" s="29"/>
      <c r="CL29" s="29"/>
      <c r="CM29" s="29"/>
      <c r="CO29" s="34"/>
      <c r="CP29" s="29">
        <f t="shared" si="113"/>
        <v>0</v>
      </c>
      <c r="CQ29" s="29"/>
      <c r="CR29" s="29"/>
      <c r="CS29" s="29"/>
      <c r="CU29" s="34"/>
      <c r="CV29" s="29">
        <f t="shared" si="114"/>
        <v>0</v>
      </c>
      <c r="CW29" s="29"/>
      <c r="CX29" s="29"/>
      <c r="CY29" s="29"/>
      <c r="DA29" s="34"/>
      <c r="DB29" s="29">
        <f t="shared" si="115"/>
        <v>0</v>
      </c>
      <c r="DC29" s="29"/>
      <c r="DD29" s="29"/>
      <c r="DE29" s="29"/>
      <c r="DG29" s="34"/>
      <c r="DH29" s="29">
        <f t="shared" si="116"/>
        <v>0</v>
      </c>
      <c r="DI29" s="29"/>
      <c r="DJ29" s="29"/>
      <c r="DK29" s="29"/>
      <c r="DM29" s="34"/>
      <c r="DN29" s="29">
        <f t="shared" si="117"/>
        <v>0</v>
      </c>
      <c r="DO29" s="29"/>
      <c r="DP29" s="29"/>
      <c r="DQ29" s="29"/>
      <c r="DS29" s="34"/>
      <c r="DT29" s="29">
        <f t="shared" si="118"/>
        <v>3000000</v>
      </c>
      <c r="DU29" s="29"/>
      <c r="DV29" s="29"/>
      <c r="DW29" s="29"/>
      <c r="DY29" s="34"/>
      <c r="DZ29" s="29">
        <f t="shared" si="119"/>
        <v>2000000</v>
      </c>
      <c r="EA29" s="29"/>
      <c r="EB29" s="29"/>
      <c r="EC29" s="29"/>
      <c r="EE29" s="34"/>
      <c r="EF29" s="29">
        <f t="shared" si="120"/>
        <v>0</v>
      </c>
      <c r="EG29" s="29"/>
      <c r="EH29" s="29"/>
      <c r="EI29" s="29"/>
      <c r="EK29" s="34"/>
      <c r="EL29" s="29">
        <f t="shared" si="121"/>
        <v>0</v>
      </c>
      <c r="EM29" s="29"/>
      <c r="EN29" s="29"/>
      <c r="EO29" s="29"/>
      <c r="EQ29" s="34"/>
      <c r="ER29" s="29">
        <f t="shared" si="122"/>
        <v>0</v>
      </c>
      <c r="ES29" s="29"/>
      <c r="ET29" s="29"/>
      <c r="EU29" s="29"/>
      <c r="EW29" s="34"/>
      <c r="EX29" s="29">
        <f t="shared" si="123"/>
        <v>0</v>
      </c>
      <c r="EY29" s="29"/>
      <c r="EZ29" s="29"/>
      <c r="FA29" s="29"/>
      <c r="FC29" s="34"/>
      <c r="FD29" s="29">
        <f t="shared" si="124"/>
        <v>0</v>
      </c>
      <c r="FE29" s="29"/>
      <c r="FF29" s="29"/>
      <c r="FG29" s="29"/>
      <c r="FI29" s="34"/>
      <c r="FJ29" s="29">
        <f t="shared" si="125"/>
        <v>0</v>
      </c>
      <c r="FK29" s="29"/>
      <c r="FL29" s="29"/>
      <c r="FM29" s="29"/>
      <c r="FO29" s="34"/>
      <c r="FP29" s="29">
        <f t="shared" si="126"/>
        <v>0</v>
      </c>
      <c r="FQ29" s="29"/>
      <c r="FR29" s="29"/>
      <c r="FS29" s="29"/>
      <c r="FU29" s="34"/>
      <c r="FV29" s="29">
        <f t="shared" si="127"/>
        <v>0</v>
      </c>
      <c r="FW29" s="29"/>
      <c r="FX29" s="29"/>
      <c r="FY29" s="29"/>
      <c r="GA29" s="34"/>
      <c r="GB29" s="29">
        <f t="shared" si="128"/>
        <v>0</v>
      </c>
      <c r="GC29" s="29"/>
      <c r="GD29" s="29"/>
      <c r="GE29" s="29"/>
      <c r="GG29" s="34"/>
      <c r="GH29" s="29">
        <f t="shared" si="129"/>
        <v>0</v>
      </c>
      <c r="GI29" s="29"/>
      <c r="GJ29" s="29"/>
      <c r="GK29" s="29"/>
      <c r="GM29" s="34"/>
      <c r="GN29" s="29">
        <f t="shared" si="130"/>
        <v>0</v>
      </c>
      <c r="GO29" s="29"/>
      <c r="GP29" s="29"/>
      <c r="GQ29" s="29"/>
      <c r="GS29" s="34"/>
      <c r="GT29" s="29">
        <f t="shared" si="131"/>
        <v>0</v>
      </c>
      <c r="GU29" s="29"/>
      <c r="GV29" s="29"/>
      <c r="GW29" s="29"/>
      <c r="GY29" s="34"/>
      <c r="GZ29" s="29">
        <f t="shared" si="132"/>
        <v>0</v>
      </c>
      <c r="HA29" s="29"/>
      <c r="HB29" s="29"/>
      <c r="HC29" s="29"/>
    </row>
    <row r="30" spans="1:211" s="33" customFormat="1" hidden="1" outlineLevel="2" x14ac:dyDescent="0.2">
      <c r="A30" s="33" t="s">
        <v>59</v>
      </c>
      <c r="B30" s="29">
        <f t="shared" si="97"/>
        <v>5500000</v>
      </c>
      <c r="C30" s="34"/>
      <c r="D30" s="29">
        <f t="shared" si="98"/>
        <v>0</v>
      </c>
      <c r="E30" s="29"/>
      <c r="F30" s="29"/>
      <c r="G30" s="29"/>
      <c r="I30" s="34"/>
      <c r="J30" s="29">
        <f t="shared" si="99"/>
        <v>0</v>
      </c>
      <c r="K30" s="29"/>
      <c r="L30" s="29"/>
      <c r="M30" s="29"/>
      <c r="O30" s="34"/>
      <c r="P30" s="29">
        <f t="shared" si="100"/>
        <v>0</v>
      </c>
      <c r="Q30" s="29"/>
      <c r="R30" s="29"/>
      <c r="S30" s="29"/>
      <c r="U30" s="34"/>
      <c r="V30" s="29">
        <f t="shared" si="101"/>
        <v>0</v>
      </c>
      <c r="W30" s="29"/>
      <c r="X30" s="29"/>
      <c r="Y30" s="29"/>
      <c r="AA30" s="34"/>
      <c r="AB30" s="29">
        <f t="shared" si="102"/>
        <v>0</v>
      </c>
      <c r="AC30" s="29"/>
      <c r="AD30" s="29"/>
      <c r="AE30" s="29"/>
      <c r="AG30" s="34"/>
      <c r="AH30" s="29">
        <f t="shared" si="103"/>
        <v>0</v>
      </c>
      <c r="AI30" s="29"/>
      <c r="AJ30" s="29"/>
      <c r="AK30" s="29"/>
      <c r="AM30" s="34"/>
      <c r="AN30" s="29">
        <f t="shared" si="104"/>
        <v>0</v>
      </c>
      <c r="AO30" s="29"/>
      <c r="AP30" s="29"/>
      <c r="AQ30" s="29"/>
      <c r="AS30" s="34"/>
      <c r="AT30" s="29">
        <f t="shared" si="105"/>
        <v>0</v>
      </c>
      <c r="AU30" s="29"/>
      <c r="AV30" s="29"/>
      <c r="AW30" s="29"/>
      <c r="AY30" s="34"/>
      <c r="AZ30" s="29">
        <f t="shared" si="106"/>
        <v>0</v>
      </c>
      <c r="BA30" s="29"/>
      <c r="BB30" s="29"/>
      <c r="BC30" s="29"/>
      <c r="BE30" s="34"/>
      <c r="BF30" s="29">
        <f t="shared" si="107"/>
        <v>0</v>
      </c>
      <c r="BG30" s="29"/>
      <c r="BH30" s="29"/>
      <c r="BI30" s="29"/>
      <c r="BK30" s="34"/>
      <c r="BL30" s="29">
        <f t="shared" si="108"/>
        <v>0</v>
      </c>
      <c r="BM30" s="29"/>
      <c r="BN30" s="29"/>
      <c r="BO30" s="29"/>
      <c r="BQ30" s="34"/>
      <c r="BR30" s="29">
        <f t="shared" si="109"/>
        <v>2500000</v>
      </c>
      <c r="BS30" s="29"/>
      <c r="BT30" s="29"/>
      <c r="BU30" s="29"/>
      <c r="BW30" s="34"/>
      <c r="BX30" s="29">
        <f t="shared" si="110"/>
        <v>0</v>
      </c>
      <c r="BY30" s="29"/>
      <c r="BZ30" s="29"/>
      <c r="CA30" s="29"/>
      <c r="CC30" s="34"/>
      <c r="CD30" s="29">
        <f t="shared" si="111"/>
        <v>0</v>
      </c>
      <c r="CE30" s="29"/>
      <c r="CF30" s="29"/>
      <c r="CG30" s="29"/>
      <c r="CI30" s="34"/>
      <c r="CJ30" s="29">
        <f t="shared" si="112"/>
        <v>0</v>
      </c>
      <c r="CK30" s="29"/>
      <c r="CL30" s="29"/>
      <c r="CM30" s="29"/>
      <c r="CO30" s="34"/>
      <c r="CP30" s="29">
        <f t="shared" si="113"/>
        <v>0</v>
      </c>
      <c r="CQ30" s="29"/>
      <c r="CR30" s="29"/>
      <c r="CS30" s="29"/>
      <c r="CU30" s="34"/>
      <c r="CV30" s="29">
        <f t="shared" si="114"/>
        <v>0</v>
      </c>
      <c r="CW30" s="29"/>
      <c r="CX30" s="29"/>
      <c r="CY30" s="29"/>
      <c r="DA30" s="34"/>
      <c r="DB30" s="29">
        <f t="shared" si="115"/>
        <v>0</v>
      </c>
      <c r="DC30" s="29"/>
      <c r="DD30" s="29"/>
      <c r="DE30" s="29"/>
      <c r="DG30" s="34"/>
      <c r="DH30" s="29">
        <f t="shared" si="116"/>
        <v>0</v>
      </c>
      <c r="DI30" s="29"/>
      <c r="DJ30" s="29"/>
      <c r="DK30" s="29"/>
      <c r="DM30" s="34"/>
      <c r="DN30" s="29">
        <f t="shared" si="117"/>
        <v>0</v>
      </c>
      <c r="DO30" s="29"/>
      <c r="DP30" s="29"/>
      <c r="DQ30" s="29"/>
      <c r="DS30" s="34"/>
      <c r="DT30" s="29">
        <f t="shared" si="118"/>
        <v>0</v>
      </c>
      <c r="DU30" s="29"/>
      <c r="DV30" s="29"/>
      <c r="DW30" s="29"/>
      <c r="DY30" s="34"/>
      <c r="DZ30" s="29">
        <f t="shared" si="119"/>
        <v>0</v>
      </c>
      <c r="EA30" s="29"/>
      <c r="EB30" s="29"/>
      <c r="EC30" s="29"/>
      <c r="EE30" s="34"/>
      <c r="EF30" s="29">
        <f t="shared" si="120"/>
        <v>0</v>
      </c>
      <c r="EG30" s="29"/>
      <c r="EH30" s="29"/>
      <c r="EI30" s="29"/>
      <c r="EK30" s="34"/>
      <c r="EL30" s="29">
        <f t="shared" si="121"/>
        <v>0</v>
      </c>
      <c r="EM30" s="29"/>
      <c r="EN30" s="29"/>
      <c r="EO30" s="29"/>
      <c r="EQ30" s="34"/>
      <c r="ER30" s="29">
        <f t="shared" si="122"/>
        <v>0</v>
      </c>
      <c r="ES30" s="29"/>
      <c r="ET30" s="29"/>
      <c r="EU30" s="29"/>
      <c r="EW30" s="34"/>
      <c r="EX30" s="29">
        <f t="shared" si="123"/>
        <v>0</v>
      </c>
      <c r="EY30" s="29"/>
      <c r="EZ30" s="29"/>
      <c r="FA30" s="29"/>
      <c r="FC30" s="34"/>
      <c r="FD30" s="29">
        <f t="shared" si="124"/>
        <v>0</v>
      </c>
      <c r="FE30" s="29"/>
      <c r="FF30" s="29"/>
      <c r="FG30" s="29"/>
      <c r="FI30" s="34"/>
      <c r="FJ30" s="29">
        <f t="shared" si="125"/>
        <v>0</v>
      </c>
      <c r="FK30" s="29"/>
      <c r="FL30" s="29"/>
      <c r="FM30" s="29"/>
      <c r="FO30" s="34"/>
      <c r="FP30" s="29">
        <f t="shared" si="126"/>
        <v>0</v>
      </c>
      <c r="FQ30" s="29"/>
      <c r="FR30" s="29"/>
      <c r="FS30" s="29"/>
      <c r="FU30" s="34"/>
      <c r="FV30" s="29">
        <f t="shared" si="127"/>
        <v>0</v>
      </c>
      <c r="FW30" s="29"/>
      <c r="FX30" s="29"/>
      <c r="FY30" s="29"/>
      <c r="GA30" s="34"/>
      <c r="GB30" s="29">
        <f t="shared" si="128"/>
        <v>0</v>
      </c>
      <c r="GC30" s="29"/>
      <c r="GD30" s="29"/>
      <c r="GE30" s="29"/>
      <c r="GG30" s="34"/>
      <c r="GH30" s="29">
        <f t="shared" si="129"/>
        <v>3000000</v>
      </c>
      <c r="GI30" s="29"/>
      <c r="GJ30" s="29"/>
      <c r="GK30" s="29"/>
      <c r="GM30" s="34"/>
      <c r="GN30" s="29">
        <f t="shared" si="130"/>
        <v>0</v>
      </c>
      <c r="GO30" s="29"/>
      <c r="GP30" s="29"/>
      <c r="GQ30" s="29"/>
      <c r="GS30" s="34"/>
      <c r="GT30" s="29">
        <f t="shared" si="131"/>
        <v>0</v>
      </c>
      <c r="GU30" s="29"/>
      <c r="GV30" s="29"/>
      <c r="GW30" s="29"/>
      <c r="GY30" s="34"/>
      <c r="GZ30" s="29">
        <f t="shared" si="132"/>
        <v>0</v>
      </c>
      <c r="HA30" s="29"/>
      <c r="HB30" s="29"/>
      <c r="HC30" s="29"/>
    </row>
    <row r="31" spans="1:211" s="33" customFormat="1" hidden="1" outlineLevel="2" x14ac:dyDescent="0.2">
      <c r="A31" s="33" t="s">
        <v>60</v>
      </c>
      <c r="B31" s="29">
        <f t="shared" si="97"/>
        <v>13000000</v>
      </c>
      <c r="C31" s="34"/>
      <c r="D31" s="29">
        <f t="shared" si="98"/>
        <v>2500000</v>
      </c>
      <c r="E31" s="29"/>
      <c r="F31" s="29"/>
      <c r="G31" s="29"/>
      <c r="I31" s="34"/>
      <c r="J31" s="29">
        <f t="shared" si="99"/>
        <v>0</v>
      </c>
      <c r="K31" s="29"/>
      <c r="L31" s="29"/>
      <c r="M31" s="29"/>
      <c r="O31" s="34"/>
      <c r="P31" s="29">
        <f t="shared" si="100"/>
        <v>0</v>
      </c>
      <c r="Q31" s="29"/>
      <c r="R31" s="29"/>
      <c r="S31" s="29"/>
      <c r="U31" s="34"/>
      <c r="V31" s="29">
        <f t="shared" si="101"/>
        <v>0</v>
      </c>
      <c r="W31" s="29"/>
      <c r="X31" s="29"/>
      <c r="Y31" s="29"/>
      <c r="AA31" s="34"/>
      <c r="AB31" s="29">
        <f t="shared" si="102"/>
        <v>0</v>
      </c>
      <c r="AC31" s="29"/>
      <c r="AD31" s="29"/>
      <c r="AE31" s="29"/>
      <c r="AG31" s="34"/>
      <c r="AH31" s="29">
        <f t="shared" si="103"/>
        <v>0</v>
      </c>
      <c r="AI31" s="29"/>
      <c r="AJ31" s="29"/>
      <c r="AK31" s="29"/>
      <c r="AM31" s="34"/>
      <c r="AN31" s="29">
        <f t="shared" si="104"/>
        <v>0</v>
      </c>
      <c r="AO31" s="29"/>
      <c r="AP31" s="29"/>
      <c r="AQ31" s="29"/>
      <c r="AS31" s="34"/>
      <c r="AT31" s="29">
        <f t="shared" si="105"/>
        <v>500000</v>
      </c>
      <c r="AU31" s="29"/>
      <c r="AV31" s="29"/>
      <c r="AW31" s="29"/>
      <c r="AY31" s="34"/>
      <c r="AZ31" s="29">
        <f t="shared" si="106"/>
        <v>0</v>
      </c>
      <c r="BA31" s="29"/>
      <c r="BB31" s="29"/>
      <c r="BC31" s="29"/>
      <c r="BE31" s="34"/>
      <c r="BF31" s="29">
        <f t="shared" si="107"/>
        <v>0</v>
      </c>
      <c r="BG31" s="29"/>
      <c r="BH31" s="29"/>
      <c r="BI31" s="29"/>
      <c r="BK31" s="34"/>
      <c r="BL31" s="29">
        <f t="shared" si="108"/>
        <v>0</v>
      </c>
      <c r="BM31" s="29"/>
      <c r="BN31" s="29"/>
      <c r="BO31" s="29"/>
      <c r="BQ31" s="34"/>
      <c r="BR31" s="29">
        <f t="shared" si="109"/>
        <v>0</v>
      </c>
      <c r="BS31" s="29"/>
      <c r="BT31" s="29"/>
      <c r="BU31" s="29"/>
      <c r="BW31" s="34"/>
      <c r="BX31" s="29">
        <f t="shared" si="110"/>
        <v>0</v>
      </c>
      <c r="BY31" s="29"/>
      <c r="BZ31" s="29"/>
      <c r="CA31" s="29"/>
      <c r="CC31" s="34"/>
      <c r="CD31" s="29">
        <f t="shared" si="111"/>
        <v>5000000</v>
      </c>
      <c r="CE31" s="29"/>
      <c r="CF31" s="29"/>
      <c r="CG31" s="29"/>
      <c r="CI31" s="34"/>
      <c r="CJ31" s="29">
        <f t="shared" si="112"/>
        <v>0</v>
      </c>
      <c r="CK31" s="29"/>
      <c r="CL31" s="29"/>
      <c r="CM31" s="29"/>
      <c r="CO31" s="34"/>
      <c r="CP31" s="29">
        <f t="shared" si="113"/>
        <v>0</v>
      </c>
      <c r="CQ31" s="29"/>
      <c r="CR31" s="29"/>
      <c r="CS31" s="29"/>
      <c r="CU31" s="34"/>
      <c r="CV31" s="29">
        <f t="shared" si="114"/>
        <v>0</v>
      </c>
      <c r="CW31" s="29"/>
      <c r="CX31" s="29"/>
      <c r="CY31" s="29"/>
      <c r="DA31" s="34"/>
      <c r="DB31" s="29">
        <f t="shared" si="115"/>
        <v>0</v>
      </c>
      <c r="DC31" s="29"/>
      <c r="DD31" s="29"/>
      <c r="DE31" s="29"/>
      <c r="DG31" s="34"/>
      <c r="DH31" s="29">
        <f t="shared" si="116"/>
        <v>0</v>
      </c>
      <c r="DI31" s="29"/>
      <c r="DJ31" s="29"/>
      <c r="DK31" s="29"/>
      <c r="DM31" s="34"/>
      <c r="DN31" s="29">
        <f t="shared" si="117"/>
        <v>0</v>
      </c>
      <c r="DO31" s="29"/>
      <c r="DP31" s="29"/>
      <c r="DQ31" s="29"/>
      <c r="DS31" s="34"/>
      <c r="DT31" s="29">
        <f t="shared" si="118"/>
        <v>0</v>
      </c>
      <c r="DU31" s="29"/>
      <c r="DV31" s="29"/>
      <c r="DW31" s="29"/>
      <c r="DY31" s="34"/>
      <c r="DZ31" s="29">
        <f t="shared" si="119"/>
        <v>0</v>
      </c>
      <c r="EA31" s="29"/>
      <c r="EB31" s="29"/>
      <c r="EC31" s="29"/>
      <c r="EE31" s="34"/>
      <c r="EF31" s="29">
        <f t="shared" si="120"/>
        <v>0</v>
      </c>
      <c r="EG31" s="29"/>
      <c r="EH31" s="29"/>
      <c r="EI31" s="29"/>
      <c r="EK31" s="34"/>
      <c r="EL31" s="29">
        <f t="shared" si="121"/>
        <v>0</v>
      </c>
      <c r="EM31" s="29"/>
      <c r="EN31" s="29"/>
      <c r="EO31" s="29"/>
      <c r="EQ31" s="34"/>
      <c r="ER31" s="29">
        <f t="shared" si="122"/>
        <v>0</v>
      </c>
      <c r="ES31" s="29"/>
      <c r="ET31" s="29"/>
      <c r="EU31" s="29"/>
      <c r="EW31" s="34"/>
      <c r="EX31" s="29">
        <f t="shared" si="123"/>
        <v>0</v>
      </c>
      <c r="EY31" s="29"/>
      <c r="EZ31" s="29"/>
      <c r="FA31" s="29"/>
      <c r="FC31" s="34"/>
      <c r="FD31" s="29">
        <f t="shared" si="124"/>
        <v>3000000</v>
      </c>
      <c r="FE31" s="29"/>
      <c r="FF31" s="29"/>
      <c r="FG31" s="29"/>
      <c r="FI31" s="34"/>
      <c r="FJ31" s="29">
        <f t="shared" si="125"/>
        <v>0</v>
      </c>
      <c r="FK31" s="29"/>
      <c r="FL31" s="29"/>
      <c r="FM31" s="29"/>
      <c r="FO31" s="34"/>
      <c r="FP31" s="29">
        <f t="shared" si="126"/>
        <v>2000000</v>
      </c>
      <c r="FQ31" s="29"/>
      <c r="FR31" s="29"/>
      <c r="FS31" s="29"/>
      <c r="FU31" s="34"/>
      <c r="FV31" s="29">
        <f t="shared" si="127"/>
        <v>0</v>
      </c>
      <c r="FW31" s="29"/>
      <c r="FX31" s="29"/>
      <c r="FY31" s="29"/>
      <c r="GA31" s="34"/>
      <c r="GB31" s="29">
        <f t="shared" si="128"/>
        <v>0</v>
      </c>
      <c r="GC31" s="29"/>
      <c r="GD31" s="29"/>
      <c r="GE31" s="29"/>
      <c r="GG31" s="34"/>
      <c r="GH31" s="29">
        <f t="shared" si="129"/>
        <v>0</v>
      </c>
      <c r="GI31" s="29"/>
      <c r="GJ31" s="29"/>
      <c r="GK31" s="29"/>
      <c r="GM31" s="34"/>
      <c r="GN31" s="29">
        <f t="shared" si="130"/>
        <v>0</v>
      </c>
      <c r="GO31" s="29"/>
      <c r="GP31" s="29"/>
      <c r="GQ31" s="29"/>
      <c r="GS31" s="34"/>
      <c r="GT31" s="29">
        <f t="shared" si="131"/>
        <v>0</v>
      </c>
      <c r="GU31" s="29"/>
      <c r="GV31" s="29"/>
      <c r="GW31" s="29"/>
      <c r="GY31" s="34"/>
      <c r="GZ31" s="29">
        <f t="shared" si="132"/>
        <v>0</v>
      </c>
      <c r="HA31" s="29"/>
      <c r="HB31" s="29"/>
      <c r="HC31" s="29"/>
    </row>
    <row r="32" spans="1:211" hidden="1" outlineLevel="2" x14ac:dyDescent="0.2"/>
    <row r="33" spans="1:211" s="36" customFormat="1" hidden="1" outlineLevel="2" x14ac:dyDescent="0.2">
      <c r="A33" s="36" t="s">
        <v>37</v>
      </c>
      <c r="B33" s="35">
        <f t="shared" ref="B33:B44" si="133">SUM(C33:XFD33)</f>
        <v>2827500</v>
      </c>
      <c r="C33" s="37"/>
      <c r="D33" s="35"/>
      <c r="E33" s="35">
        <f>E6</f>
        <v>0</v>
      </c>
      <c r="F33" s="35"/>
      <c r="G33" s="35"/>
      <c r="I33" s="37"/>
      <c r="J33" s="35"/>
      <c r="K33" s="35">
        <f>K6</f>
        <v>0</v>
      </c>
      <c r="L33" s="35"/>
      <c r="M33" s="35"/>
      <c r="O33" s="37"/>
      <c r="P33" s="35"/>
      <c r="Q33" s="35">
        <f>Q6</f>
        <v>0</v>
      </c>
      <c r="R33" s="35"/>
      <c r="S33" s="35"/>
      <c r="U33" s="37"/>
      <c r="V33" s="35"/>
      <c r="W33" s="35">
        <f>W6</f>
        <v>0</v>
      </c>
      <c r="X33" s="35"/>
      <c r="Y33" s="35"/>
      <c r="AA33" s="37"/>
      <c r="AB33" s="35"/>
      <c r="AC33" s="35">
        <f>AC6</f>
        <v>267500</v>
      </c>
      <c r="AD33" s="35"/>
      <c r="AE33" s="35"/>
      <c r="AG33" s="37"/>
      <c r="AH33" s="35"/>
      <c r="AI33" s="35">
        <f>AI6</f>
        <v>0</v>
      </c>
      <c r="AJ33" s="35"/>
      <c r="AK33" s="35"/>
      <c r="AM33" s="37"/>
      <c r="AN33" s="35"/>
      <c r="AO33" s="35">
        <f>AO6</f>
        <v>0</v>
      </c>
      <c r="AP33" s="35"/>
      <c r="AQ33" s="35"/>
      <c r="AS33" s="37"/>
      <c r="AT33" s="35"/>
      <c r="AU33" s="35">
        <f>AU6</f>
        <v>0</v>
      </c>
      <c r="AV33" s="35"/>
      <c r="AW33" s="35"/>
      <c r="AY33" s="37"/>
      <c r="AZ33" s="35"/>
      <c r="BA33" s="35">
        <f>BA6</f>
        <v>215000</v>
      </c>
      <c r="BB33" s="35"/>
      <c r="BC33" s="35"/>
      <c r="BE33" s="37"/>
      <c r="BF33" s="35"/>
      <c r="BG33" s="35">
        <f>BG6</f>
        <v>0</v>
      </c>
      <c r="BH33" s="35"/>
      <c r="BI33" s="35"/>
      <c r="BK33" s="37"/>
      <c r="BL33" s="35"/>
      <c r="BM33" s="35">
        <f>BM6</f>
        <v>0</v>
      </c>
      <c r="BN33" s="35"/>
      <c r="BO33" s="35"/>
      <c r="BQ33" s="37"/>
      <c r="BR33" s="35"/>
      <c r="BS33" s="35">
        <f>BS6</f>
        <v>0</v>
      </c>
      <c r="BT33" s="35"/>
      <c r="BU33" s="35"/>
      <c r="BW33" s="37"/>
      <c r="BX33" s="35"/>
      <c r="BY33" s="35">
        <f>BY6</f>
        <v>320000</v>
      </c>
      <c r="BZ33" s="35"/>
      <c r="CA33" s="35"/>
      <c r="CC33" s="37"/>
      <c r="CD33" s="35"/>
      <c r="CE33" s="35">
        <f>CE6</f>
        <v>0</v>
      </c>
      <c r="CF33" s="35"/>
      <c r="CG33" s="35"/>
      <c r="CI33" s="37"/>
      <c r="CJ33" s="35"/>
      <c r="CK33" s="35">
        <f>CK6</f>
        <v>0</v>
      </c>
      <c r="CL33" s="35"/>
      <c r="CM33" s="35"/>
      <c r="CO33" s="37"/>
      <c r="CP33" s="35"/>
      <c r="CQ33" s="35">
        <f>CQ6</f>
        <v>0</v>
      </c>
      <c r="CR33" s="35"/>
      <c r="CS33" s="35"/>
      <c r="CU33" s="37"/>
      <c r="CV33" s="35"/>
      <c r="CW33" s="35">
        <f>CW6</f>
        <v>0</v>
      </c>
      <c r="CX33" s="35"/>
      <c r="CY33" s="35"/>
      <c r="DA33" s="37"/>
      <c r="DB33" s="35"/>
      <c r="DC33" s="35">
        <f>DC6</f>
        <v>0</v>
      </c>
      <c r="DD33" s="35"/>
      <c r="DE33" s="35"/>
      <c r="DG33" s="37"/>
      <c r="DH33" s="35"/>
      <c r="DI33" s="35">
        <f>DI6</f>
        <v>0</v>
      </c>
      <c r="DJ33" s="35"/>
      <c r="DK33" s="35"/>
      <c r="DM33" s="37"/>
      <c r="DN33" s="35"/>
      <c r="DO33" s="35">
        <f>DO6</f>
        <v>0</v>
      </c>
      <c r="DP33" s="35"/>
      <c r="DQ33" s="35"/>
      <c r="DS33" s="37"/>
      <c r="DT33" s="35"/>
      <c r="DU33" s="35">
        <f>DU6</f>
        <v>0</v>
      </c>
      <c r="DV33" s="35"/>
      <c r="DW33" s="35"/>
      <c r="DY33" s="37"/>
      <c r="DZ33" s="35"/>
      <c r="EA33" s="35">
        <f>EA6</f>
        <v>250000</v>
      </c>
      <c r="EB33" s="35"/>
      <c r="EC33" s="35"/>
      <c r="EE33" s="37"/>
      <c r="EF33" s="35"/>
      <c r="EG33" s="35">
        <f>EG6</f>
        <v>0</v>
      </c>
      <c r="EH33" s="35"/>
      <c r="EI33" s="35"/>
      <c r="EK33" s="37"/>
      <c r="EL33" s="35"/>
      <c r="EM33" s="35">
        <f>EM6</f>
        <v>200000</v>
      </c>
      <c r="EN33" s="35"/>
      <c r="EO33" s="35"/>
      <c r="EQ33" s="37"/>
      <c r="ER33" s="35"/>
      <c r="ES33" s="35">
        <f>ES6</f>
        <v>0</v>
      </c>
      <c r="ET33" s="35"/>
      <c r="EU33" s="35"/>
      <c r="EW33" s="37"/>
      <c r="EX33" s="35"/>
      <c r="EY33" s="35">
        <f>EY6</f>
        <v>0</v>
      </c>
      <c r="EZ33" s="35"/>
      <c r="FA33" s="35"/>
      <c r="FC33" s="37"/>
      <c r="FD33" s="35"/>
      <c r="FE33" s="35">
        <f>FE6</f>
        <v>0</v>
      </c>
      <c r="FF33" s="35"/>
      <c r="FG33" s="35"/>
      <c r="FI33" s="37"/>
      <c r="FJ33" s="35"/>
      <c r="FK33" s="35">
        <f>FK6</f>
        <v>400000</v>
      </c>
      <c r="FL33" s="35"/>
      <c r="FM33" s="35"/>
      <c r="FO33" s="37"/>
      <c r="FP33" s="35"/>
      <c r="FQ33" s="35">
        <f>FQ6</f>
        <v>100000</v>
      </c>
      <c r="FR33" s="35"/>
      <c r="FS33" s="35"/>
      <c r="FU33" s="37"/>
      <c r="FV33" s="35"/>
      <c r="FW33" s="35">
        <f>FW6</f>
        <v>200000</v>
      </c>
      <c r="FX33" s="35"/>
      <c r="FY33" s="35"/>
      <c r="GA33" s="37"/>
      <c r="GB33" s="35"/>
      <c r="GC33" s="35">
        <f>GC6</f>
        <v>0</v>
      </c>
      <c r="GD33" s="35"/>
      <c r="GE33" s="35"/>
      <c r="GG33" s="37"/>
      <c r="GH33" s="35"/>
      <c r="GI33" s="35">
        <f>GI6</f>
        <v>0</v>
      </c>
      <c r="GJ33" s="35"/>
      <c r="GK33" s="35"/>
      <c r="GM33" s="37"/>
      <c r="GN33" s="35"/>
      <c r="GO33" s="35">
        <f>GO6</f>
        <v>200000</v>
      </c>
      <c r="GP33" s="35"/>
      <c r="GQ33" s="35"/>
      <c r="GS33" s="37"/>
      <c r="GT33" s="35"/>
      <c r="GU33" s="35">
        <f>GU6</f>
        <v>675000</v>
      </c>
      <c r="GV33" s="35"/>
      <c r="GW33" s="35"/>
      <c r="GY33" s="37"/>
      <c r="GZ33" s="35"/>
      <c r="HA33" s="35">
        <f>HA6</f>
        <v>0</v>
      </c>
      <c r="HB33" s="35"/>
      <c r="HC33" s="35"/>
    </row>
    <row r="34" spans="1:211" s="36" customFormat="1" hidden="1" outlineLevel="2" x14ac:dyDescent="0.2">
      <c r="A34" s="36" t="s">
        <v>38</v>
      </c>
      <c r="B34" s="35">
        <f t="shared" si="133"/>
        <v>3441500</v>
      </c>
      <c r="C34" s="37"/>
      <c r="D34" s="35"/>
      <c r="E34" s="35">
        <f t="shared" ref="E34:E44" si="134">E7</f>
        <v>225000</v>
      </c>
      <c r="F34" s="35"/>
      <c r="G34" s="35"/>
      <c r="I34" s="37"/>
      <c r="J34" s="35"/>
      <c r="K34" s="35">
        <f t="shared" ref="K34:K44" si="135">K7</f>
        <v>0</v>
      </c>
      <c r="L34" s="35"/>
      <c r="M34" s="35"/>
      <c r="O34" s="37"/>
      <c r="P34" s="35"/>
      <c r="Q34" s="35">
        <f t="shared" ref="Q34:Q44" si="136">Q7</f>
        <v>0</v>
      </c>
      <c r="R34" s="35"/>
      <c r="S34" s="35"/>
      <c r="U34" s="37"/>
      <c r="V34" s="35"/>
      <c r="W34" s="35">
        <f t="shared" ref="W34:W44" si="137">W7</f>
        <v>0</v>
      </c>
      <c r="X34" s="35"/>
      <c r="Y34" s="35"/>
      <c r="AA34" s="37"/>
      <c r="AB34" s="35"/>
      <c r="AC34" s="35">
        <f t="shared" ref="AC34:AC44" si="138">AC7</f>
        <v>267500</v>
      </c>
      <c r="AD34" s="35"/>
      <c r="AE34" s="35"/>
      <c r="AG34" s="37"/>
      <c r="AH34" s="35"/>
      <c r="AI34" s="35">
        <f t="shared" ref="AI34:AI44" si="139">AI7</f>
        <v>0</v>
      </c>
      <c r="AJ34" s="35"/>
      <c r="AK34" s="35"/>
      <c r="AM34" s="37"/>
      <c r="AN34" s="35"/>
      <c r="AO34" s="35">
        <f t="shared" ref="AO34:AO44" si="140">AO7</f>
        <v>0</v>
      </c>
      <c r="AP34" s="35"/>
      <c r="AQ34" s="35"/>
      <c r="AS34" s="37"/>
      <c r="AT34" s="35"/>
      <c r="AU34" s="35">
        <f t="shared" ref="AU34:AU44" si="141">AU7</f>
        <v>680000</v>
      </c>
      <c r="AV34" s="35"/>
      <c r="AW34" s="35"/>
      <c r="AY34" s="37"/>
      <c r="AZ34" s="35"/>
      <c r="BA34" s="35">
        <f t="shared" ref="BA34:BA44" si="142">BA7</f>
        <v>0</v>
      </c>
      <c r="BB34" s="35"/>
      <c r="BC34" s="35"/>
      <c r="BE34" s="37"/>
      <c r="BF34" s="35"/>
      <c r="BG34" s="35">
        <f t="shared" ref="BG34:BG44" si="143">BG7</f>
        <v>0</v>
      </c>
      <c r="BH34" s="35"/>
      <c r="BI34" s="35"/>
      <c r="BK34" s="37"/>
      <c r="BL34" s="35"/>
      <c r="BM34" s="35">
        <f t="shared" ref="BM34:BM44" si="144">BM7</f>
        <v>0</v>
      </c>
      <c r="BN34" s="35"/>
      <c r="BO34" s="35"/>
      <c r="BQ34" s="37"/>
      <c r="BR34" s="35"/>
      <c r="BS34" s="35">
        <f t="shared" ref="BS34:BS44" si="145">BS7</f>
        <v>214000</v>
      </c>
      <c r="BT34" s="35"/>
      <c r="BU34" s="35"/>
      <c r="BW34" s="37"/>
      <c r="BX34" s="35"/>
      <c r="BY34" s="35">
        <f t="shared" ref="BY34:BY44" si="146">BY7</f>
        <v>320000</v>
      </c>
      <c r="BZ34" s="35"/>
      <c r="CA34" s="35"/>
      <c r="CC34" s="37"/>
      <c r="CD34" s="35"/>
      <c r="CE34" s="35">
        <f t="shared" ref="CE34:CE44" si="147">CE7</f>
        <v>0</v>
      </c>
      <c r="CF34" s="35"/>
      <c r="CG34" s="35"/>
      <c r="CI34" s="37"/>
      <c r="CJ34" s="35"/>
      <c r="CK34" s="35">
        <f t="shared" ref="CK34:CK44" si="148">CK7</f>
        <v>0</v>
      </c>
      <c r="CL34" s="35"/>
      <c r="CM34" s="35"/>
      <c r="CO34" s="37"/>
      <c r="CP34" s="35"/>
      <c r="CQ34" s="35">
        <f t="shared" ref="CQ34:CQ44" si="149">CQ7</f>
        <v>0</v>
      </c>
      <c r="CR34" s="35"/>
      <c r="CS34" s="35"/>
      <c r="CU34" s="37"/>
      <c r="CV34" s="35"/>
      <c r="CW34" s="35">
        <f t="shared" ref="CW34:CW44" si="150">CW7</f>
        <v>0</v>
      </c>
      <c r="CX34" s="35"/>
      <c r="CY34" s="35"/>
      <c r="DA34" s="37"/>
      <c r="DB34" s="35"/>
      <c r="DC34" s="35">
        <f t="shared" ref="DC34:DC44" si="151">DC7</f>
        <v>288000</v>
      </c>
      <c r="DD34" s="35"/>
      <c r="DE34" s="35"/>
      <c r="DG34" s="37"/>
      <c r="DH34" s="35"/>
      <c r="DI34" s="35">
        <f t="shared" ref="DI34:DI44" si="152">DI7</f>
        <v>0</v>
      </c>
      <c r="DJ34" s="35"/>
      <c r="DK34" s="35"/>
      <c r="DM34" s="37"/>
      <c r="DN34" s="35"/>
      <c r="DO34" s="35">
        <f t="shared" ref="DO34:DO44" si="153">DO7</f>
        <v>271000</v>
      </c>
      <c r="DP34" s="35"/>
      <c r="DQ34" s="35"/>
      <c r="DS34" s="37"/>
      <c r="DT34" s="35"/>
      <c r="DU34" s="35">
        <f t="shared" ref="DU34:DU44" si="154">DU7</f>
        <v>0</v>
      </c>
      <c r="DV34" s="35"/>
      <c r="DW34" s="35"/>
      <c r="DY34" s="37"/>
      <c r="DZ34" s="35"/>
      <c r="EA34" s="35">
        <f t="shared" ref="EA34:EA44" si="155">EA7</f>
        <v>0</v>
      </c>
      <c r="EB34" s="35"/>
      <c r="EC34" s="35"/>
      <c r="EE34" s="37"/>
      <c r="EF34" s="35"/>
      <c r="EG34" s="35">
        <f t="shared" ref="EG34:EG44" si="156">EG7</f>
        <v>0</v>
      </c>
      <c r="EH34" s="35"/>
      <c r="EI34" s="35"/>
      <c r="EK34" s="37"/>
      <c r="EL34" s="35"/>
      <c r="EM34" s="35">
        <f t="shared" ref="EM34:EM44" si="157">EM7</f>
        <v>0</v>
      </c>
      <c r="EN34" s="35"/>
      <c r="EO34" s="35"/>
      <c r="EQ34" s="37"/>
      <c r="ER34" s="35"/>
      <c r="ES34" s="35">
        <f t="shared" ref="ES34:ES44" si="158">ES7</f>
        <v>0</v>
      </c>
      <c r="ET34" s="35"/>
      <c r="EU34" s="35"/>
      <c r="EW34" s="37"/>
      <c r="EX34" s="35"/>
      <c r="EY34" s="35">
        <f t="shared" ref="EY34:EY44" si="159">EY7</f>
        <v>0</v>
      </c>
      <c r="EZ34" s="35"/>
      <c r="FA34" s="35"/>
      <c r="FC34" s="37"/>
      <c r="FD34" s="35"/>
      <c r="FE34" s="35">
        <f t="shared" ref="FE34:FE44" si="160">FE7</f>
        <v>462000</v>
      </c>
      <c r="FF34" s="35"/>
      <c r="FG34" s="35"/>
      <c r="FI34" s="37"/>
      <c r="FJ34" s="35"/>
      <c r="FK34" s="35">
        <f t="shared" ref="FK34:FK44" si="161">FK7</f>
        <v>0</v>
      </c>
      <c r="FL34" s="35"/>
      <c r="FM34" s="35"/>
      <c r="FO34" s="37"/>
      <c r="FP34" s="35"/>
      <c r="FQ34" s="35">
        <f t="shared" ref="FQ34:FQ44" si="162">FQ7</f>
        <v>0</v>
      </c>
      <c r="FR34" s="35"/>
      <c r="FS34" s="35"/>
      <c r="FU34" s="37"/>
      <c r="FV34" s="35"/>
      <c r="FW34" s="35">
        <f t="shared" ref="FW34:FW44" si="163">FW7</f>
        <v>0</v>
      </c>
      <c r="FX34" s="35"/>
      <c r="FY34" s="35"/>
      <c r="GA34" s="37"/>
      <c r="GB34" s="35"/>
      <c r="GC34" s="35">
        <f t="shared" ref="GC34:GC44" si="164">GC7</f>
        <v>214000</v>
      </c>
      <c r="GD34" s="35"/>
      <c r="GE34" s="35"/>
      <c r="GG34" s="37"/>
      <c r="GH34" s="35"/>
      <c r="GI34" s="35">
        <f t="shared" ref="GI34:GI44" si="165">GI7</f>
        <v>300000</v>
      </c>
      <c r="GJ34" s="35"/>
      <c r="GK34" s="35"/>
      <c r="GM34" s="37"/>
      <c r="GN34" s="35"/>
      <c r="GO34" s="35">
        <f t="shared" ref="GO34:GO44" si="166">GO7</f>
        <v>200000</v>
      </c>
      <c r="GP34" s="35"/>
      <c r="GQ34" s="35"/>
      <c r="GS34" s="37"/>
      <c r="GT34" s="35"/>
      <c r="GU34" s="35">
        <f t="shared" ref="GU34:GU44" si="167">GU7</f>
        <v>0</v>
      </c>
      <c r="GV34" s="35"/>
      <c r="GW34" s="35"/>
      <c r="GY34" s="37"/>
      <c r="GZ34" s="35"/>
      <c r="HA34" s="35">
        <f t="shared" ref="HA34:HA44" si="168">HA7</f>
        <v>0</v>
      </c>
      <c r="HB34" s="35"/>
      <c r="HC34" s="35"/>
    </row>
    <row r="35" spans="1:211" s="36" customFormat="1" hidden="1" outlineLevel="2" x14ac:dyDescent="0.2">
      <c r="A35" s="36" t="s">
        <v>39</v>
      </c>
      <c r="B35" s="35">
        <f t="shared" si="133"/>
        <v>3609500</v>
      </c>
      <c r="C35" s="37"/>
      <c r="D35" s="35"/>
      <c r="E35" s="35">
        <f t="shared" si="134"/>
        <v>450000</v>
      </c>
      <c r="F35" s="35"/>
      <c r="G35" s="35"/>
      <c r="I35" s="37"/>
      <c r="J35" s="35"/>
      <c r="K35" s="35">
        <f t="shared" si="135"/>
        <v>0</v>
      </c>
      <c r="L35" s="35"/>
      <c r="M35" s="35"/>
      <c r="O35" s="37"/>
      <c r="P35" s="35"/>
      <c r="Q35" s="35">
        <f t="shared" si="136"/>
        <v>0</v>
      </c>
      <c r="R35" s="35"/>
      <c r="S35" s="35"/>
      <c r="U35" s="37"/>
      <c r="V35" s="35"/>
      <c r="W35" s="35">
        <f t="shared" si="137"/>
        <v>0</v>
      </c>
      <c r="X35" s="35"/>
      <c r="Y35" s="35"/>
      <c r="AA35" s="37"/>
      <c r="AB35" s="35"/>
      <c r="AC35" s="35">
        <f t="shared" si="138"/>
        <v>267500</v>
      </c>
      <c r="AD35" s="35"/>
      <c r="AE35" s="35"/>
      <c r="AG35" s="37"/>
      <c r="AH35" s="35"/>
      <c r="AI35" s="35">
        <f t="shared" si="139"/>
        <v>0</v>
      </c>
      <c r="AJ35" s="35"/>
      <c r="AK35" s="35"/>
      <c r="AM35" s="37"/>
      <c r="AN35" s="35"/>
      <c r="AO35" s="35">
        <f t="shared" si="140"/>
        <v>0</v>
      </c>
      <c r="AP35" s="35"/>
      <c r="AQ35" s="35"/>
      <c r="AS35" s="37"/>
      <c r="AT35" s="35"/>
      <c r="AU35" s="35">
        <f t="shared" si="141"/>
        <v>680000</v>
      </c>
      <c r="AV35" s="35"/>
      <c r="AW35" s="35"/>
      <c r="AY35" s="37"/>
      <c r="AZ35" s="35"/>
      <c r="BA35" s="35">
        <f t="shared" si="142"/>
        <v>430000</v>
      </c>
      <c r="BB35" s="35"/>
      <c r="BC35" s="35"/>
      <c r="BE35" s="37"/>
      <c r="BF35" s="35"/>
      <c r="BG35" s="35">
        <f t="shared" si="143"/>
        <v>0</v>
      </c>
      <c r="BH35" s="35"/>
      <c r="BI35" s="35"/>
      <c r="BK35" s="37"/>
      <c r="BL35" s="35"/>
      <c r="BM35" s="35">
        <f t="shared" si="144"/>
        <v>0</v>
      </c>
      <c r="BN35" s="35"/>
      <c r="BO35" s="35"/>
      <c r="BQ35" s="37"/>
      <c r="BR35" s="35"/>
      <c r="BS35" s="35">
        <f t="shared" si="145"/>
        <v>428000</v>
      </c>
      <c r="BT35" s="35"/>
      <c r="BU35" s="35"/>
      <c r="BW35" s="37"/>
      <c r="BX35" s="35"/>
      <c r="BY35" s="35">
        <f t="shared" si="146"/>
        <v>320000</v>
      </c>
      <c r="BZ35" s="35"/>
      <c r="CA35" s="35"/>
      <c r="CC35" s="37"/>
      <c r="CD35" s="35"/>
      <c r="CE35" s="35">
        <f t="shared" si="147"/>
        <v>0</v>
      </c>
      <c r="CF35" s="35"/>
      <c r="CG35" s="35"/>
      <c r="CI35" s="37"/>
      <c r="CJ35" s="35"/>
      <c r="CK35" s="35">
        <f t="shared" si="148"/>
        <v>0</v>
      </c>
      <c r="CL35" s="35"/>
      <c r="CM35" s="35"/>
      <c r="CO35" s="37"/>
      <c r="CP35" s="35"/>
      <c r="CQ35" s="35">
        <f t="shared" si="149"/>
        <v>0</v>
      </c>
      <c r="CR35" s="35"/>
      <c r="CS35" s="35"/>
      <c r="CU35" s="37"/>
      <c r="CV35" s="35"/>
      <c r="CW35" s="35">
        <f t="shared" si="150"/>
        <v>0</v>
      </c>
      <c r="CX35" s="35"/>
      <c r="CY35" s="35"/>
      <c r="DA35" s="37"/>
      <c r="DB35" s="35"/>
      <c r="DC35" s="35">
        <f t="shared" si="151"/>
        <v>0</v>
      </c>
      <c r="DD35" s="35"/>
      <c r="DE35" s="35"/>
      <c r="DG35" s="37"/>
      <c r="DH35" s="35"/>
      <c r="DI35" s="35">
        <f t="shared" si="152"/>
        <v>0</v>
      </c>
      <c r="DJ35" s="35"/>
      <c r="DK35" s="35"/>
      <c r="DM35" s="37"/>
      <c r="DN35" s="35"/>
      <c r="DO35" s="35">
        <f t="shared" si="153"/>
        <v>0</v>
      </c>
      <c r="DP35" s="35"/>
      <c r="DQ35" s="35"/>
      <c r="DS35" s="37"/>
      <c r="DT35" s="35"/>
      <c r="DU35" s="35">
        <f t="shared" si="154"/>
        <v>0</v>
      </c>
      <c r="DV35" s="35"/>
      <c r="DW35" s="35"/>
      <c r="DY35" s="37"/>
      <c r="DZ35" s="35"/>
      <c r="EA35" s="35">
        <f t="shared" si="155"/>
        <v>250000</v>
      </c>
      <c r="EB35" s="35"/>
      <c r="EC35" s="35"/>
      <c r="EE35" s="37"/>
      <c r="EF35" s="35"/>
      <c r="EG35" s="35">
        <f t="shared" si="156"/>
        <v>0</v>
      </c>
      <c r="EH35" s="35"/>
      <c r="EI35" s="35"/>
      <c r="EK35" s="37"/>
      <c r="EL35" s="35"/>
      <c r="EM35" s="35">
        <f t="shared" si="157"/>
        <v>0</v>
      </c>
      <c r="EN35" s="35"/>
      <c r="EO35" s="35"/>
      <c r="EQ35" s="37"/>
      <c r="ER35" s="35"/>
      <c r="ES35" s="35">
        <f t="shared" si="158"/>
        <v>0</v>
      </c>
      <c r="ET35" s="35"/>
      <c r="EU35" s="35"/>
      <c r="EW35" s="37"/>
      <c r="EX35" s="35"/>
      <c r="EY35" s="35">
        <f t="shared" si="159"/>
        <v>570000</v>
      </c>
      <c r="EZ35" s="35"/>
      <c r="FA35" s="35"/>
      <c r="FC35" s="37"/>
      <c r="FD35" s="35"/>
      <c r="FE35" s="35">
        <f t="shared" si="160"/>
        <v>0</v>
      </c>
      <c r="FF35" s="35"/>
      <c r="FG35" s="35"/>
      <c r="FI35" s="37"/>
      <c r="FJ35" s="35"/>
      <c r="FK35" s="35">
        <f t="shared" si="161"/>
        <v>0</v>
      </c>
      <c r="FL35" s="35"/>
      <c r="FM35" s="35"/>
      <c r="FO35" s="37"/>
      <c r="FP35" s="35"/>
      <c r="FQ35" s="35">
        <f t="shared" si="162"/>
        <v>0</v>
      </c>
      <c r="FR35" s="35"/>
      <c r="FS35" s="35"/>
      <c r="FU35" s="37"/>
      <c r="FV35" s="35"/>
      <c r="FW35" s="35">
        <f t="shared" si="163"/>
        <v>0</v>
      </c>
      <c r="FX35" s="35"/>
      <c r="FY35" s="35"/>
      <c r="GA35" s="37"/>
      <c r="GB35" s="35"/>
      <c r="GC35" s="35">
        <f t="shared" si="164"/>
        <v>214000</v>
      </c>
      <c r="GD35" s="35"/>
      <c r="GE35" s="35"/>
      <c r="GG35" s="37"/>
      <c r="GH35" s="35"/>
      <c r="GI35" s="35">
        <f t="shared" si="165"/>
        <v>0</v>
      </c>
      <c r="GJ35" s="35"/>
      <c r="GK35" s="35"/>
      <c r="GM35" s="37"/>
      <c r="GN35" s="35"/>
      <c r="GO35" s="35">
        <f t="shared" si="166"/>
        <v>0</v>
      </c>
      <c r="GP35" s="35"/>
      <c r="GQ35" s="35"/>
      <c r="GS35" s="37"/>
      <c r="GT35" s="35"/>
      <c r="GU35" s="35">
        <f t="shared" si="167"/>
        <v>0</v>
      </c>
      <c r="GV35" s="35"/>
      <c r="GW35" s="35"/>
      <c r="GY35" s="37"/>
      <c r="GZ35" s="35"/>
      <c r="HA35" s="35">
        <f t="shared" si="168"/>
        <v>0</v>
      </c>
      <c r="HB35" s="35"/>
      <c r="HC35" s="35"/>
    </row>
    <row r="36" spans="1:211" s="36" customFormat="1" hidden="1" outlineLevel="2" x14ac:dyDescent="0.2">
      <c r="A36" s="36" t="s">
        <v>40</v>
      </c>
      <c r="B36" s="35">
        <f t="shared" si="133"/>
        <v>4096717.6886459882</v>
      </c>
      <c r="C36" s="37"/>
      <c r="D36" s="35"/>
      <c r="E36" s="35">
        <f t="shared" si="134"/>
        <v>0</v>
      </c>
      <c r="F36" s="35"/>
      <c r="G36" s="35"/>
      <c r="I36" s="37"/>
      <c r="J36" s="35"/>
      <c r="K36" s="35">
        <f t="shared" si="135"/>
        <v>0</v>
      </c>
      <c r="L36" s="35"/>
      <c r="M36" s="35"/>
      <c r="O36" s="37"/>
      <c r="P36" s="35"/>
      <c r="Q36" s="35">
        <f t="shared" si="136"/>
        <v>0</v>
      </c>
      <c r="R36" s="35"/>
      <c r="S36" s="35"/>
      <c r="U36" s="37"/>
      <c r="V36" s="35"/>
      <c r="W36" s="35">
        <f t="shared" si="137"/>
        <v>0</v>
      </c>
      <c r="X36" s="35"/>
      <c r="Y36" s="35"/>
      <c r="AA36" s="37"/>
      <c r="AB36" s="35"/>
      <c r="AC36" s="35">
        <f t="shared" si="138"/>
        <v>267500</v>
      </c>
      <c r="AD36" s="35"/>
      <c r="AE36" s="35"/>
      <c r="AG36" s="37"/>
      <c r="AH36" s="35"/>
      <c r="AI36" s="35">
        <f t="shared" si="139"/>
        <v>0</v>
      </c>
      <c r="AJ36" s="35"/>
      <c r="AK36" s="35"/>
      <c r="AM36" s="37"/>
      <c r="AN36" s="35"/>
      <c r="AO36" s="35">
        <f t="shared" si="140"/>
        <v>0</v>
      </c>
      <c r="AP36" s="35"/>
      <c r="AQ36" s="35"/>
      <c r="AS36" s="37"/>
      <c r="AT36" s="35"/>
      <c r="AU36" s="35">
        <f t="shared" si="141"/>
        <v>640000</v>
      </c>
      <c r="AV36" s="35"/>
      <c r="AW36" s="35"/>
      <c r="AY36" s="37"/>
      <c r="AZ36" s="35"/>
      <c r="BA36" s="35">
        <f t="shared" si="142"/>
        <v>0</v>
      </c>
      <c r="BB36" s="35"/>
      <c r="BC36" s="35"/>
      <c r="BE36" s="37"/>
      <c r="BF36" s="35"/>
      <c r="BG36" s="35">
        <f t="shared" si="143"/>
        <v>0</v>
      </c>
      <c r="BH36" s="35"/>
      <c r="BI36" s="35"/>
      <c r="BK36" s="37"/>
      <c r="BL36" s="35"/>
      <c r="BM36" s="35">
        <f t="shared" si="144"/>
        <v>0</v>
      </c>
      <c r="BN36" s="35"/>
      <c r="BO36" s="35"/>
      <c r="BQ36" s="37"/>
      <c r="BR36" s="35"/>
      <c r="BS36" s="35">
        <f t="shared" si="145"/>
        <v>214000</v>
      </c>
      <c r="BT36" s="35"/>
      <c r="BU36" s="35"/>
      <c r="BW36" s="37"/>
      <c r="BX36" s="35"/>
      <c r="BY36" s="35">
        <f t="shared" si="146"/>
        <v>320000</v>
      </c>
      <c r="BZ36" s="35"/>
      <c r="CA36" s="35"/>
      <c r="CC36" s="37"/>
      <c r="CD36" s="35"/>
      <c r="CE36" s="35">
        <f t="shared" si="147"/>
        <v>267500</v>
      </c>
      <c r="CF36" s="35"/>
      <c r="CG36" s="35"/>
      <c r="CI36" s="37"/>
      <c r="CJ36" s="35"/>
      <c r="CK36" s="35">
        <f t="shared" si="148"/>
        <v>300000</v>
      </c>
      <c r="CL36" s="35"/>
      <c r="CM36" s="35"/>
      <c r="CO36" s="37"/>
      <c r="CP36" s="35"/>
      <c r="CQ36" s="35">
        <f t="shared" si="149"/>
        <v>0</v>
      </c>
      <c r="CR36" s="35"/>
      <c r="CS36" s="35"/>
      <c r="CU36" s="37"/>
      <c r="CV36" s="35"/>
      <c r="CW36" s="35">
        <f t="shared" si="150"/>
        <v>0</v>
      </c>
      <c r="CX36" s="35"/>
      <c r="CY36" s="35"/>
      <c r="DA36" s="37"/>
      <c r="DB36" s="35"/>
      <c r="DC36" s="35">
        <f t="shared" si="151"/>
        <v>0</v>
      </c>
      <c r="DD36" s="35"/>
      <c r="DE36" s="35"/>
      <c r="DG36" s="37"/>
      <c r="DH36" s="35"/>
      <c r="DI36" s="35">
        <f t="shared" si="152"/>
        <v>0</v>
      </c>
      <c r="DJ36" s="35"/>
      <c r="DK36" s="35"/>
      <c r="DM36" s="37"/>
      <c r="DN36" s="35"/>
      <c r="DO36" s="35">
        <f t="shared" si="153"/>
        <v>271000</v>
      </c>
      <c r="DP36" s="35"/>
      <c r="DQ36" s="35"/>
      <c r="DS36" s="37"/>
      <c r="DT36" s="35"/>
      <c r="DU36" s="35">
        <f t="shared" si="154"/>
        <v>0</v>
      </c>
      <c r="DV36" s="35"/>
      <c r="DW36" s="35"/>
      <c r="DY36" s="37"/>
      <c r="DZ36" s="35"/>
      <c r="EA36" s="35">
        <f t="shared" si="155"/>
        <v>250000</v>
      </c>
      <c r="EB36" s="35"/>
      <c r="EC36" s="35"/>
      <c r="EE36" s="37"/>
      <c r="EF36" s="35"/>
      <c r="EG36" s="35">
        <f t="shared" si="156"/>
        <v>0</v>
      </c>
      <c r="EH36" s="35"/>
      <c r="EI36" s="35"/>
      <c r="EK36" s="37"/>
      <c r="EL36" s="35"/>
      <c r="EM36" s="35">
        <f t="shared" si="157"/>
        <v>0</v>
      </c>
      <c r="EN36" s="35"/>
      <c r="EO36" s="35"/>
      <c r="EQ36" s="37"/>
      <c r="ER36" s="35"/>
      <c r="ES36" s="35">
        <f t="shared" si="158"/>
        <v>0</v>
      </c>
      <c r="ET36" s="35"/>
      <c r="EU36" s="35"/>
      <c r="EW36" s="37"/>
      <c r="EX36" s="35"/>
      <c r="EY36" s="35">
        <f t="shared" si="159"/>
        <v>0</v>
      </c>
      <c r="EZ36" s="35"/>
      <c r="FA36" s="35"/>
      <c r="FC36" s="37"/>
      <c r="FD36" s="35"/>
      <c r="FE36" s="35">
        <f t="shared" si="160"/>
        <v>231000</v>
      </c>
      <c r="FF36" s="35"/>
      <c r="FG36" s="35"/>
      <c r="FI36" s="37"/>
      <c r="FJ36" s="35"/>
      <c r="FK36" s="35">
        <f t="shared" si="161"/>
        <v>250000</v>
      </c>
      <c r="FL36" s="35"/>
      <c r="FM36" s="35"/>
      <c r="FO36" s="37"/>
      <c r="FP36" s="35"/>
      <c r="FQ36" s="35">
        <f t="shared" si="162"/>
        <v>0</v>
      </c>
      <c r="FR36" s="35"/>
      <c r="FS36" s="35"/>
      <c r="FU36" s="37"/>
      <c r="FV36" s="35"/>
      <c r="FW36" s="35">
        <f t="shared" si="163"/>
        <v>0</v>
      </c>
      <c r="FX36" s="35"/>
      <c r="FY36" s="35"/>
      <c r="GA36" s="37"/>
      <c r="GB36" s="35"/>
      <c r="GC36" s="35">
        <f t="shared" si="164"/>
        <v>214000</v>
      </c>
      <c r="GD36" s="35"/>
      <c r="GE36" s="35"/>
      <c r="GG36" s="37"/>
      <c r="GH36" s="35"/>
      <c r="GI36" s="35">
        <f t="shared" si="165"/>
        <v>0</v>
      </c>
      <c r="GJ36" s="35"/>
      <c r="GK36" s="35"/>
      <c r="GM36" s="37"/>
      <c r="GN36" s="35"/>
      <c r="GO36" s="35">
        <f t="shared" si="166"/>
        <v>200000</v>
      </c>
      <c r="GP36" s="35"/>
      <c r="GQ36" s="35"/>
      <c r="GS36" s="37"/>
      <c r="GT36" s="35"/>
      <c r="GU36" s="35">
        <f t="shared" si="167"/>
        <v>0</v>
      </c>
      <c r="GV36" s="35"/>
      <c r="GW36" s="35"/>
      <c r="GY36" s="37"/>
      <c r="GZ36" s="35"/>
      <c r="HA36" s="35">
        <f t="shared" si="168"/>
        <v>671717.68864598824</v>
      </c>
      <c r="HB36" s="35"/>
      <c r="HC36" s="35"/>
    </row>
    <row r="37" spans="1:211" s="36" customFormat="1" hidden="1" outlineLevel="2" x14ac:dyDescent="0.2">
      <c r="A37" s="36" t="s">
        <v>41</v>
      </c>
      <c r="B37" s="35">
        <f t="shared" si="133"/>
        <v>4644000</v>
      </c>
      <c r="C37" s="37"/>
      <c r="D37" s="35"/>
      <c r="E37" s="35">
        <f t="shared" si="134"/>
        <v>225000</v>
      </c>
      <c r="F37" s="35"/>
      <c r="G37" s="35"/>
      <c r="I37" s="37"/>
      <c r="J37" s="35"/>
      <c r="K37" s="35">
        <f t="shared" si="135"/>
        <v>0</v>
      </c>
      <c r="L37" s="35"/>
      <c r="M37" s="35"/>
      <c r="O37" s="37"/>
      <c r="P37" s="35"/>
      <c r="Q37" s="35">
        <f t="shared" si="136"/>
        <v>0</v>
      </c>
      <c r="R37" s="35"/>
      <c r="S37" s="35"/>
      <c r="U37" s="37"/>
      <c r="V37" s="35"/>
      <c r="W37" s="35">
        <f t="shared" si="137"/>
        <v>0</v>
      </c>
      <c r="X37" s="35"/>
      <c r="Y37" s="35"/>
      <c r="AA37" s="37"/>
      <c r="AB37" s="35"/>
      <c r="AC37" s="35">
        <f t="shared" si="138"/>
        <v>267500</v>
      </c>
      <c r="AD37" s="35"/>
      <c r="AE37" s="35"/>
      <c r="AG37" s="37"/>
      <c r="AH37" s="35"/>
      <c r="AI37" s="35">
        <f t="shared" si="139"/>
        <v>0</v>
      </c>
      <c r="AJ37" s="35"/>
      <c r="AK37" s="35"/>
      <c r="AM37" s="37"/>
      <c r="AN37" s="35"/>
      <c r="AO37" s="35">
        <f t="shared" si="140"/>
        <v>0</v>
      </c>
      <c r="AP37" s="35"/>
      <c r="AQ37" s="35"/>
      <c r="AS37" s="37"/>
      <c r="AT37" s="35"/>
      <c r="AU37" s="35">
        <f t="shared" si="141"/>
        <v>0</v>
      </c>
      <c r="AV37" s="35"/>
      <c r="AW37" s="35"/>
      <c r="AY37" s="37"/>
      <c r="AZ37" s="35"/>
      <c r="BA37" s="35">
        <f t="shared" si="142"/>
        <v>215000</v>
      </c>
      <c r="BB37" s="35"/>
      <c r="BC37" s="35"/>
      <c r="BE37" s="37"/>
      <c r="BF37" s="35"/>
      <c r="BG37" s="35">
        <f t="shared" si="143"/>
        <v>0</v>
      </c>
      <c r="BH37" s="35"/>
      <c r="BI37" s="35"/>
      <c r="BK37" s="37"/>
      <c r="BL37" s="35"/>
      <c r="BM37" s="35">
        <f t="shared" si="144"/>
        <v>0</v>
      </c>
      <c r="BN37" s="35"/>
      <c r="BO37" s="35"/>
      <c r="BQ37" s="37"/>
      <c r="BR37" s="35"/>
      <c r="BS37" s="35">
        <f t="shared" si="145"/>
        <v>214000</v>
      </c>
      <c r="BT37" s="35"/>
      <c r="BU37" s="35"/>
      <c r="BW37" s="37"/>
      <c r="BX37" s="35"/>
      <c r="BY37" s="35">
        <f t="shared" si="146"/>
        <v>110000</v>
      </c>
      <c r="BZ37" s="35"/>
      <c r="CA37" s="35"/>
      <c r="CC37" s="37"/>
      <c r="CD37" s="35"/>
      <c r="CE37" s="35">
        <f t="shared" si="147"/>
        <v>267500</v>
      </c>
      <c r="CF37" s="35"/>
      <c r="CG37" s="35"/>
      <c r="CI37" s="37"/>
      <c r="CJ37" s="35"/>
      <c r="CK37" s="35">
        <f t="shared" si="148"/>
        <v>300000</v>
      </c>
      <c r="CL37" s="35"/>
      <c r="CM37" s="35"/>
      <c r="CO37" s="37"/>
      <c r="CP37" s="35"/>
      <c r="CQ37" s="35">
        <f t="shared" si="149"/>
        <v>0</v>
      </c>
      <c r="CR37" s="35"/>
      <c r="CS37" s="35"/>
      <c r="CU37" s="37"/>
      <c r="CV37" s="35"/>
      <c r="CW37" s="35">
        <f t="shared" si="150"/>
        <v>0</v>
      </c>
      <c r="CX37" s="35"/>
      <c r="CY37" s="35"/>
      <c r="DA37" s="37"/>
      <c r="DB37" s="35"/>
      <c r="DC37" s="35">
        <f t="shared" si="151"/>
        <v>0</v>
      </c>
      <c r="DD37" s="35"/>
      <c r="DE37" s="35"/>
      <c r="DG37" s="37"/>
      <c r="DH37" s="35"/>
      <c r="DI37" s="35">
        <f t="shared" si="152"/>
        <v>0</v>
      </c>
      <c r="DJ37" s="35"/>
      <c r="DK37" s="35"/>
      <c r="DM37" s="37"/>
      <c r="DN37" s="35"/>
      <c r="DO37" s="35">
        <f t="shared" si="153"/>
        <v>0</v>
      </c>
      <c r="DP37" s="35"/>
      <c r="DQ37" s="35"/>
      <c r="DS37" s="37"/>
      <c r="DT37" s="35"/>
      <c r="DU37" s="35">
        <f t="shared" si="154"/>
        <v>900000</v>
      </c>
      <c r="DV37" s="35"/>
      <c r="DW37" s="35"/>
      <c r="DY37" s="37"/>
      <c r="DZ37" s="35"/>
      <c r="EA37" s="35">
        <f t="shared" si="155"/>
        <v>250000</v>
      </c>
      <c r="EB37" s="35"/>
      <c r="EC37" s="35"/>
      <c r="EE37" s="37"/>
      <c r="EF37" s="35"/>
      <c r="EG37" s="35">
        <f t="shared" si="156"/>
        <v>0</v>
      </c>
      <c r="EH37" s="35"/>
      <c r="EI37" s="35"/>
      <c r="EK37" s="37"/>
      <c r="EL37" s="35"/>
      <c r="EM37" s="35">
        <f t="shared" si="157"/>
        <v>0</v>
      </c>
      <c r="EN37" s="35"/>
      <c r="EO37" s="35"/>
      <c r="EQ37" s="37"/>
      <c r="ER37" s="35"/>
      <c r="ES37" s="35">
        <f t="shared" si="158"/>
        <v>0</v>
      </c>
      <c r="ET37" s="35"/>
      <c r="EU37" s="35"/>
      <c r="EW37" s="37"/>
      <c r="EX37" s="35"/>
      <c r="EY37" s="35">
        <f t="shared" si="159"/>
        <v>250000</v>
      </c>
      <c r="EZ37" s="35"/>
      <c r="FA37" s="35"/>
      <c r="FC37" s="37"/>
      <c r="FD37" s="35"/>
      <c r="FE37" s="35">
        <f t="shared" si="160"/>
        <v>231000</v>
      </c>
      <c r="FF37" s="35"/>
      <c r="FG37" s="35"/>
      <c r="FI37" s="37"/>
      <c r="FJ37" s="35"/>
      <c r="FK37" s="35">
        <f t="shared" si="161"/>
        <v>200000</v>
      </c>
      <c r="FL37" s="35"/>
      <c r="FM37" s="35"/>
      <c r="FO37" s="37"/>
      <c r="FP37" s="35"/>
      <c r="FQ37" s="35">
        <f t="shared" si="162"/>
        <v>0</v>
      </c>
      <c r="FR37" s="35"/>
      <c r="FS37" s="35"/>
      <c r="FU37" s="37"/>
      <c r="FV37" s="35"/>
      <c r="FW37" s="35">
        <f t="shared" si="163"/>
        <v>0</v>
      </c>
      <c r="FX37" s="35"/>
      <c r="FY37" s="35"/>
      <c r="GA37" s="37"/>
      <c r="GB37" s="35"/>
      <c r="GC37" s="35">
        <f t="shared" si="164"/>
        <v>214000</v>
      </c>
      <c r="GD37" s="35"/>
      <c r="GE37" s="35"/>
      <c r="GG37" s="37"/>
      <c r="GH37" s="35"/>
      <c r="GI37" s="35">
        <f t="shared" si="165"/>
        <v>800000</v>
      </c>
      <c r="GJ37" s="35"/>
      <c r="GK37" s="35"/>
      <c r="GM37" s="37"/>
      <c r="GN37" s="35"/>
      <c r="GO37" s="35">
        <f t="shared" si="166"/>
        <v>200000</v>
      </c>
      <c r="GP37" s="35"/>
      <c r="GQ37" s="35"/>
      <c r="GS37" s="37"/>
      <c r="GT37" s="35"/>
      <c r="GU37" s="35">
        <f t="shared" si="167"/>
        <v>0</v>
      </c>
      <c r="GV37" s="35"/>
      <c r="GW37" s="35"/>
      <c r="GY37" s="37"/>
      <c r="GZ37" s="35"/>
      <c r="HA37" s="35">
        <f t="shared" si="168"/>
        <v>0</v>
      </c>
      <c r="HB37" s="35"/>
      <c r="HC37" s="35"/>
    </row>
    <row r="38" spans="1:211" s="36" customFormat="1" hidden="1" outlineLevel="2" x14ac:dyDescent="0.2">
      <c r="A38" s="36" t="s">
        <v>42</v>
      </c>
      <c r="B38" s="35">
        <f t="shared" si="133"/>
        <v>2625500</v>
      </c>
      <c r="C38" s="37"/>
      <c r="D38" s="35"/>
      <c r="E38" s="35">
        <f t="shared" si="134"/>
        <v>0</v>
      </c>
      <c r="F38" s="35"/>
      <c r="G38" s="35"/>
      <c r="I38" s="37"/>
      <c r="J38" s="35"/>
      <c r="K38" s="35">
        <f t="shared" si="135"/>
        <v>0</v>
      </c>
      <c r="L38" s="35"/>
      <c r="M38" s="35"/>
      <c r="O38" s="37"/>
      <c r="P38" s="35"/>
      <c r="Q38" s="35">
        <f t="shared" si="136"/>
        <v>0</v>
      </c>
      <c r="R38" s="35"/>
      <c r="S38" s="35"/>
      <c r="U38" s="37"/>
      <c r="V38" s="35"/>
      <c r="W38" s="35">
        <f t="shared" si="137"/>
        <v>0</v>
      </c>
      <c r="X38" s="35"/>
      <c r="Y38" s="35"/>
      <c r="AA38" s="37"/>
      <c r="AB38" s="35"/>
      <c r="AC38" s="35">
        <f t="shared" si="138"/>
        <v>267500</v>
      </c>
      <c r="AD38" s="35"/>
      <c r="AE38" s="35"/>
      <c r="AG38" s="37"/>
      <c r="AH38" s="35"/>
      <c r="AI38" s="35">
        <f t="shared" si="139"/>
        <v>0</v>
      </c>
      <c r="AJ38" s="35"/>
      <c r="AK38" s="35"/>
      <c r="AM38" s="37"/>
      <c r="AN38" s="35"/>
      <c r="AO38" s="35">
        <f t="shared" si="140"/>
        <v>500000</v>
      </c>
      <c r="AP38" s="35"/>
      <c r="AQ38" s="35"/>
      <c r="AS38" s="37"/>
      <c r="AT38" s="35"/>
      <c r="AU38" s="35">
        <f t="shared" si="141"/>
        <v>0</v>
      </c>
      <c r="AV38" s="35"/>
      <c r="AW38" s="35"/>
      <c r="AY38" s="37"/>
      <c r="AZ38" s="35"/>
      <c r="BA38" s="35">
        <f t="shared" si="142"/>
        <v>205000</v>
      </c>
      <c r="BB38" s="35"/>
      <c r="BC38" s="35"/>
      <c r="BE38" s="37"/>
      <c r="BF38" s="35"/>
      <c r="BG38" s="35">
        <f t="shared" si="143"/>
        <v>0</v>
      </c>
      <c r="BH38" s="35"/>
      <c r="BI38" s="35"/>
      <c r="BK38" s="37"/>
      <c r="BL38" s="35"/>
      <c r="BM38" s="35">
        <f t="shared" si="144"/>
        <v>0</v>
      </c>
      <c r="BN38" s="35"/>
      <c r="BO38" s="35"/>
      <c r="BQ38" s="37"/>
      <c r="BR38" s="35"/>
      <c r="BS38" s="35">
        <f t="shared" si="145"/>
        <v>20500</v>
      </c>
      <c r="BT38" s="35"/>
      <c r="BU38" s="35"/>
      <c r="BW38" s="37"/>
      <c r="BX38" s="35"/>
      <c r="BY38" s="35">
        <f t="shared" si="146"/>
        <v>0</v>
      </c>
      <c r="BZ38" s="35"/>
      <c r="CA38" s="35"/>
      <c r="CC38" s="37"/>
      <c r="CD38" s="35"/>
      <c r="CE38" s="35">
        <f t="shared" si="147"/>
        <v>267500</v>
      </c>
      <c r="CF38" s="35"/>
      <c r="CG38" s="35"/>
      <c r="CI38" s="37"/>
      <c r="CJ38" s="35"/>
      <c r="CK38" s="35">
        <f t="shared" si="148"/>
        <v>0</v>
      </c>
      <c r="CL38" s="35"/>
      <c r="CM38" s="35"/>
      <c r="CO38" s="37"/>
      <c r="CP38" s="35"/>
      <c r="CQ38" s="35">
        <f t="shared" si="149"/>
        <v>0</v>
      </c>
      <c r="CR38" s="35"/>
      <c r="CS38" s="35"/>
      <c r="CU38" s="37"/>
      <c r="CV38" s="35"/>
      <c r="CW38" s="35">
        <f t="shared" si="150"/>
        <v>0</v>
      </c>
      <c r="CX38" s="35"/>
      <c r="CY38" s="35"/>
      <c r="DA38" s="37"/>
      <c r="DB38" s="35"/>
      <c r="DC38" s="35">
        <f t="shared" si="151"/>
        <v>0</v>
      </c>
      <c r="DD38" s="35"/>
      <c r="DE38" s="35"/>
      <c r="DG38" s="37"/>
      <c r="DH38" s="35"/>
      <c r="DI38" s="35">
        <f t="shared" si="152"/>
        <v>0</v>
      </c>
      <c r="DJ38" s="35"/>
      <c r="DK38" s="35"/>
      <c r="DM38" s="37"/>
      <c r="DN38" s="35"/>
      <c r="DO38" s="35">
        <f t="shared" si="153"/>
        <v>0</v>
      </c>
      <c r="DP38" s="35"/>
      <c r="DQ38" s="35"/>
      <c r="DS38" s="37"/>
      <c r="DT38" s="35"/>
      <c r="DU38" s="35">
        <f t="shared" si="154"/>
        <v>0</v>
      </c>
      <c r="DV38" s="35"/>
      <c r="DW38" s="35"/>
      <c r="DY38" s="37"/>
      <c r="DZ38" s="35"/>
      <c r="EA38" s="35">
        <f t="shared" si="155"/>
        <v>250000</v>
      </c>
      <c r="EB38" s="35"/>
      <c r="EC38" s="35"/>
      <c r="EE38" s="37"/>
      <c r="EF38" s="35"/>
      <c r="EG38" s="35">
        <f t="shared" si="156"/>
        <v>0</v>
      </c>
      <c r="EH38" s="35"/>
      <c r="EI38" s="35"/>
      <c r="EK38" s="37"/>
      <c r="EL38" s="35"/>
      <c r="EM38" s="35">
        <f t="shared" si="157"/>
        <v>0</v>
      </c>
      <c r="EN38" s="35"/>
      <c r="EO38" s="35"/>
      <c r="EQ38" s="37"/>
      <c r="ER38" s="35"/>
      <c r="ES38" s="35">
        <f t="shared" si="158"/>
        <v>0</v>
      </c>
      <c r="ET38" s="35"/>
      <c r="EU38" s="35"/>
      <c r="EW38" s="37"/>
      <c r="EX38" s="35"/>
      <c r="EY38" s="35">
        <f t="shared" si="159"/>
        <v>270000</v>
      </c>
      <c r="EZ38" s="35"/>
      <c r="FA38" s="35"/>
      <c r="FC38" s="37"/>
      <c r="FD38" s="35"/>
      <c r="FE38" s="35">
        <f t="shared" si="160"/>
        <v>231000</v>
      </c>
      <c r="FF38" s="35"/>
      <c r="FG38" s="35"/>
      <c r="FI38" s="37"/>
      <c r="FJ38" s="35"/>
      <c r="FK38" s="35">
        <f t="shared" si="161"/>
        <v>0</v>
      </c>
      <c r="FL38" s="35"/>
      <c r="FM38" s="35"/>
      <c r="FO38" s="37"/>
      <c r="FP38" s="35"/>
      <c r="FQ38" s="35">
        <f t="shared" si="162"/>
        <v>200000</v>
      </c>
      <c r="FR38" s="35"/>
      <c r="FS38" s="35"/>
      <c r="FU38" s="37"/>
      <c r="FV38" s="35"/>
      <c r="FW38" s="35">
        <f t="shared" si="163"/>
        <v>0</v>
      </c>
      <c r="FX38" s="35"/>
      <c r="FY38" s="35"/>
      <c r="GA38" s="37"/>
      <c r="GB38" s="35"/>
      <c r="GC38" s="35">
        <f t="shared" si="164"/>
        <v>214000</v>
      </c>
      <c r="GD38" s="35"/>
      <c r="GE38" s="35"/>
      <c r="GG38" s="37"/>
      <c r="GH38" s="35"/>
      <c r="GI38" s="35">
        <f t="shared" si="165"/>
        <v>0</v>
      </c>
      <c r="GJ38" s="35"/>
      <c r="GK38" s="35"/>
      <c r="GM38" s="37"/>
      <c r="GN38" s="35"/>
      <c r="GO38" s="35">
        <f t="shared" si="166"/>
        <v>200000</v>
      </c>
      <c r="GP38" s="35"/>
      <c r="GQ38" s="35"/>
      <c r="GS38" s="37"/>
      <c r="GT38" s="35"/>
      <c r="GU38" s="35">
        <f t="shared" si="167"/>
        <v>0</v>
      </c>
      <c r="GV38" s="35"/>
      <c r="GW38" s="35"/>
      <c r="GY38" s="37"/>
      <c r="GZ38" s="35"/>
      <c r="HA38" s="35">
        <f t="shared" si="168"/>
        <v>0</v>
      </c>
      <c r="HB38" s="35"/>
      <c r="HC38" s="35"/>
    </row>
    <row r="39" spans="1:211" s="36" customFormat="1" hidden="1" outlineLevel="2" x14ac:dyDescent="0.2">
      <c r="A39" s="36" t="s">
        <v>43</v>
      </c>
      <c r="B39" s="35">
        <f t="shared" si="133"/>
        <v>4613000</v>
      </c>
      <c r="C39" s="37"/>
      <c r="D39" s="35"/>
      <c r="E39" s="35">
        <f t="shared" si="134"/>
        <v>250000</v>
      </c>
      <c r="F39" s="35"/>
      <c r="G39" s="35"/>
      <c r="I39" s="37"/>
      <c r="J39" s="35"/>
      <c r="K39" s="35">
        <f t="shared" si="135"/>
        <v>0</v>
      </c>
      <c r="L39" s="35"/>
      <c r="M39" s="35"/>
      <c r="O39" s="37"/>
      <c r="P39" s="35"/>
      <c r="Q39" s="35">
        <f t="shared" si="136"/>
        <v>0</v>
      </c>
      <c r="R39" s="35"/>
      <c r="S39" s="35"/>
      <c r="U39" s="37"/>
      <c r="V39" s="35"/>
      <c r="W39" s="35">
        <f t="shared" si="137"/>
        <v>0</v>
      </c>
      <c r="X39" s="35"/>
      <c r="Y39" s="35"/>
      <c r="AA39" s="37"/>
      <c r="AB39" s="35"/>
      <c r="AC39" s="35">
        <f t="shared" si="138"/>
        <v>267500</v>
      </c>
      <c r="AD39" s="35"/>
      <c r="AE39" s="35"/>
      <c r="AG39" s="37"/>
      <c r="AH39" s="35"/>
      <c r="AI39" s="35">
        <f t="shared" si="139"/>
        <v>0</v>
      </c>
      <c r="AJ39" s="35"/>
      <c r="AK39" s="35"/>
      <c r="AM39" s="37"/>
      <c r="AN39" s="35"/>
      <c r="AO39" s="35">
        <f t="shared" si="140"/>
        <v>500000</v>
      </c>
      <c r="AP39" s="35"/>
      <c r="AQ39" s="35"/>
      <c r="AS39" s="37"/>
      <c r="AT39" s="35"/>
      <c r="AU39" s="35">
        <f t="shared" si="141"/>
        <v>0</v>
      </c>
      <c r="AV39" s="35"/>
      <c r="AW39" s="35"/>
      <c r="AY39" s="37"/>
      <c r="AZ39" s="35"/>
      <c r="BA39" s="35">
        <f t="shared" si="142"/>
        <v>0</v>
      </c>
      <c r="BB39" s="35"/>
      <c r="BC39" s="35"/>
      <c r="BE39" s="37"/>
      <c r="BF39" s="35"/>
      <c r="BG39" s="35">
        <f t="shared" si="143"/>
        <v>0</v>
      </c>
      <c r="BH39" s="35"/>
      <c r="BI39" s="35"/>
      <c r="BK39" s="37"/>
      <c r="BL39" s="35"/>
      <c r="BM39" s="35">
        <f t="shared" si="144"/>
        <v>0</v>
      </c>
      <c r="BN39" s="35"/>
      <c r="BO39" s="35"/>
      <c r="BQ39" s="37"/>
      <c r="BR39" s="35"/>
      <c r="BS39" s="35">
        <f t="shared" si="145"/>
        <v>0</v>
      </c>
      <c r="BT39" s="35"/>
      <c r="BU39" s="35"/>
      <c r="BW39" s="37"/>
      <c r="BX39" s="35"/>
      <c r="BY39" s="35">
        <f t="shared" si="146"/>
        <v>650000</v>
      </c>
      <c r="BZ39" s="35"/>
      <c r="CA39" s="35"/>
      <c r="CC39" s="37"/>
      <c r="CD39" s="35"/>
      <c r="CE39" s="35">
        <f t="shared" si="147"/>
        <v>267500</v>
      </c>
      <c r="CF39" s="35"/>
      <c r="CG39" s="35"/>
      <c r="CI39" s="37"/>
      <c r="CJ39" s="35"/>
      <c r="CK39" s="35">
        <f t="shared" si="148"/>
        <v>600000</v>
      </c>
      <c r="CL39" s="35"/>
      <c r="CM39" s="35"/>
      <c r="CO39" s="37"/>
      <c r="CP39" s="35"/>
      <c r="CQ39" s="35">
        <f t="shared" si="149"/>
        <v>0</v>
      </c>
      <c r="CR39" s="35"/>
      <c r="CS39" s="35"/>
      <c r="CU39" s="37"/>
      <c r="CV39" s="35"/>
      <c r="CW39" s="35">
        <f t="shared" si="150"/>
        <v>214000</v>
      </c>
      <c r="CX39" s="35"/>
      <c r="CY39" s="35"/>
      <c r="DA39" s="37"/>
      <c r="DB39" s="35"/>
      <c r="DC39" s="35">
        <f t="shared" si="151"/>
        <v>0</v>
      </c>
      <c r="DD39" s="35"/>
      <c r="DE39" s="35"/>
      <c r="DG39" s="37"/>
      <c r="DH39" s="35"/>
      <c r="DI39" s="35">
        <f t="shared" si="152"/>
        <v>0</v>
      </c>
      <c r="DJ39" s="35"/>
      <c r="DK39" s="35"/>
      <c r="DM39" s="37"/>
      <c r="DN39" s="35"/>
      <c r="DO39" s="35">
        <f t="shared" si="153"/>
        <v>0</v>
      </c>
      <c r="DP39" s="35"/>
      <c r="DQ39" s="35"/>
      <c r="DS39" s="37"/>
      <c r="DT39" s="35"/>
      <c r="DU39" s="35">
        <f t="shared" si="154"/>
        <v>0</v>
      </c>
      <c r="DV39" s="35"/>
      <c r="DW39" s="35"/>
      <c r="DY39" s="37"/>
      <c r="DZ39" s="35"/>
      <c r="EA39" s="35">
        <f t="shared" si="155"/>
        <v>250000</v>
      </c>
      <c r="EB39" s="35"/>
      <c r="EC39" s="35"/>
      <c r="EE39" s="37"/>
      <c r="EF39" s="35"/>
      <c r="EG39" s="35">
        <f t="shared" si="156"/>
        <v>0</v>
      </c>
      <c r="EH39" s="35"/>
      <c r="EI39" s="35"/>
      <c r="EK39" s="37"/>
      <c r="EL39" s="35"/>
      <c r="EM39" s="35">
        <f t="shared" si="157"/>
        <v>500000</v>
      </c>
      <c r="EN39" s="35"/>
      <c r="EO39" s="35"/>
      <c r="EQ39" s="37"/>
      <c r="ER39" s="35"/>
      <c r="ES39" s="35">
        <f t="shared" si="158"/>
        <v>0</v>
      </c>
      <c r="ET39" s="35"/>
      <c r="EU39" s="35"/>
      <c r="EW39" s="37"/>
      <c r="EX39" s="35"/>
      <c r="EY39" s="35">
        <f t="shared" si="159"/>
        <v>0</v>
      </c>
      <c r="EZ39" s="35"/>
      <c r="FA39" s="35"/>
      <c r="FC39" s="37"/>
      <c r="FD39" s="35"/>
      <c r="FE39" s="35">
        <f t="shared" si="160"/>
        <v>0</v>
      </c>
      <c r="FF39" s="35"/>
      <c r="FG39" s="35"/>
      <c r="FI39" s="37"/>
      <c r="FJ39" s="35"/>
      <c r="FK39" s="35">
        <f t="shared" si="161"/>
        <v>200000</v>
      </c>
      <c r="FL39" s="35"/>
      <c r="FM39" s="35"/>
      <c r="FO39" s="37"/>
      <c r="FP39" s="35"/>
      <c r="FQ39" s="35">
        <f t="shared" si="162"/>
        <v>400000</v>
      </c>
      <c r="FR39" s="35"/>
      <c r="FS39" s="35"/>
      <c r="FU39" s="37"/>
      <c r="FV39" s="35"/>
      <c r="FW39" s="35">
        <f t="shared" si="163"/>
        <v>0</v>
      </c>
      <c r="FX39" s="35"/>
      <c r="FY39" s="35"/>
      <c r="GA39" s="37"/>
      <c r="GB39" s="35"/>
      <c r="GC39" s="35">
        <f t="shared" si="164"/>
        <v>214000</v>
      </c>
      <c r="GD39" s="35"/>
      <c r="GE39" s="35"/>
      <c r="GG39" s="37"/>
      <c r="GH39" s="35"/>
      <c r="GI39" s="35">
        <f t="shared" si="165"/>
        <v>300000</v>
      </c>
      <c r="GJ39" s="35"/>
      <c r="GK39" s="35"/>
      <c r="GM39" s="37"/>
      <c r="GN39" s="35"/>
      <c r="GO39" s="35">
        <f t="shared" si="166"/>
        <v>0</v>
      </c>
      <c r="GP39" s="35"/>
      <c r="GQ39" s="35"/>
      <c r="GS39" s="37"/>
      <c r="GT39" s="35"/>
      <c r="GU39" s="35">
        <f t="shared" si="167"/>
        <v>0</v>
      </c>
      <c r="GV39" s="35"/>
      <c r="GW39" s="35"/>
      <c r="GY39" s="37"/>
      <c r="GZ39" s="35"/>
      <c r="HA39" s="35">
        <f t="shared" si="168"/>
        <v>0</v>
      </c>
      <c r="HB39" s="35"/>
      <c r="HC39" s="35"/>
    </row>
    <row r="40" spans="1:211" s="36" customFormat="1" hidden="1" outlineLevel="2" x14ac:dyDescent="0.2">
      <c r="A40" s="36" t="s">
        <v>44</v>
      </c>
      <c r="B40" s="35">
        <f t="shared" si="133"/>
        <v>10932000</v>
      </c>
      <c r="C40" s="37"/>
      <c r="D40" s="35"/>
      <c r="E40" s="35">
        <f t="shared" si="134"/>
        <v>0</v>
      </c>
      <c r="F40" s="35"/>
      <c r="G40" s="35"/>
      <c r="I40" s="37"/>
      <c r="J40" s="35"/>
      <c r="K40" s="35">
        <f t="shared" si="135"/>
        <v>0</v>
      </c>
      <c r="L40" s="35"/>
      <c r="M40" s="35"/>
      <c r="O40" s="37"/>
      <c r="P40" s="35"/>
      <c r="Q40" s="35">
        <f t="shared" si="136"/>
        <v>0</v>
      </c>
      <c r="R40" s="35"/>
      <c r="S40" s="35"/>
      <c r="U40" s="37"/>
      <c r="V40" s="35"/>
      <c r="W40" s="35">
        <f t="shared" si="137"/>
        <v>0</v>
      </c>
      <c r="X40" s="35"/>
      <c r="Y40" s="35"/>
      <c r="AA40" s="37"/>
      <c r="AB40" s="35"/>
      <c r="AC40" s="35">
        <f t="shared" si="138"/>
        <v>738500</v>
      </c>
      <c r="AD40" s="35"/>
      <c r="AE40" s="35"/>
      <c r="AG40" s="37"/>
      <c r="AH40" s="35"/>
      <c r="AI40" s="35">
        <f t="shared" si="139"/>
        <v>4500000</v>
      </c>
      <c r="AJ40" s="35"/>
      <c r="AK40" s="35"/>
      <c r="AM40" s="37"/>
      <c r="AN40" s="35"/>
      <c r="AO40" s="35">
        <f t="shared" si="140"/>
        <v>1000000</v>
      </c>
      <c r="AP40" s="35"/>
      <c r="AQ40" s="35"/>
      <c r="AS40" s="37"/>
      <c r="AT40" s="35"/>
      <c r="AU40" s="35">
        <f t="shared" si="141"/>
        <v>0</v>
      </c>
      <c r="AV40" s="35"/>
      <c r="AW40" s="35"/>
      <c r="AY40" s="37"/>
      <c r="AZ40" s="35"/>
      <c r="BA40" s="35">
        <f t="shared" si="142"/>
        <v>0</v>
      </c>
      <c r="BB40" s="35"/>
      <c r="BC40" s="35"/>
      <c r="BE40" s="37"/>
      <c r="BF40" s="35"/>
      <c r="BG40" s="35">
        <f t="shared" si="143"/>
        <v>0</v>
      </c>
      <c r="BH40" s="35"/>
      <c r="BI40" s="35"/>
      <c r="BK40" s="37"/>
      <c r="BL40" s="35"/>
      <c r="BM40" s="35">
        <f t="shared" si="144"/>
        <v>321000</v>
      </c>
      <c r="BN40" s="35"/>
      <c r="BO40" s="35"/>
      <c r="BQ40" s="37"/>
      <c r="BR40" s="35"/>
      <c r="BS40" s="35">
        <f t="shared" si="145"/>
        <v>521000</v>
      </c>
      <c r="BT40" s="35"/>
      <c r="BU40" s="35"/>
      <c r="BW40" s="37"/>
      <c r="BX40" s="35"/>
      <c r="BY40" s="35">
        <f t="shared" si="146"/>
        <v>320000</v>
      </c>
      <c r="BZ40" s="35"/>
      <c r="CA40" s="35"/>
      <c r="CC40" s="37"/>
      <c r="CD40" s="35"/>
      <c r="CE40" s="35">
        <f t="shared" si="147"/>
        <v>267500</v>
      </c>
      <c r="CF40" s="35"/>
      <c r="CG40" s="35"/>
      <c r="CI40" s="37"/>
      <c r="CJ40" s="35"/>
      <c r="CK40" s="35">
        <f t="shared" si="148"/>
        <v>300000</v>
      </c>
      <c r="CL40" s="35"/>
      <c r="CM40" s="35"/>
      <c r="CO40" s="37"/>
      <c r="CP40" s="35"/>
      <c r="CQ40" s="35">
        <f t="shared" si="149"/>
        <v>0</v>
      </c>
      <c r="CR40" s="35"/>
      <c r="CS40" s="35"/>
      <c r="CU40" s="37"/>
      <c r="CV40" s="35"/>
      <c r="CW40" s="35">
        <f t="shared" si="150"/>
        <v>428000</v>
      </c>
      <c r="CX40" s="35"/>
      <c r="CY40" s="35"/>
      <c r="DA40" s="37"/>
      <c r="DB40" s="35"/>
      <c r="DC40" s="35">
        <f t="shared" si="151"/>
        <v>0</v>
      </c>
      <c r="DD40" s="35"/>
      <c r="DE40" s="35"/>
      <c r="DG40" s="37"/>
      <c r="DH40" s="35"/>
      <c r="DI40" s="35">
        <f t="shared" si="152"/>
        <v>0</v>
      </c>
      <c r="DJ40" s="35"/>
      <c r="DK40" s="35"/>
      <c r="DM40" s="37"/>
      <c r="DN40" s="35"/>
      <c r="DO40" s="35">
        <f t="shared" si="153"/>
        <v>0</v>
      </c>
      <c r="DP40" s="35"/>
      <c r="DQ40" s="35"/>
      <c r="DS40" s="37"/>
      <c r="DT40" s="35"/>
      <c r="DU40" s="35">
        <f t="shared" si="154"/>
        <v>500000</v>
      </c>
      <c r="DV40" s="35"/>
      <c r="DW40" s="35"/>
      <c r="DY40" s="37"/>
      <c r="DZ40" s="35"/>
      <c r="EA40" s="35">
        <f t="shared" si="155"/>
        <v>250000</v>
      </c>
      <c r="EB40" s="35"/>
      <c r="EC40" s="35"/>
      <c r="EE40" s="37"/>
      <c r="EF40" s="35"/>
      <c r="EG40" s="35">
        <f t="shared" si="156"/>
        <v>0</v>
      </c>
      <c r="EH40" s="35"/>
      <c r="EI40" s="35"/>
      <c r="EK40" s="37"/>
      <c r="EL40" s="35"/>
      <c r="EM40" s="35">
        <f t="shared" si="157"/>
        <v>305000</v>
      </c>
      <c r="EN40" s="35"/>
      <c r="EO40" s="35"/>
      <c r="EQ40" s="37"/>
      <c r="ER40" s="35"/>
      <c r="ES40" s="35">
        <f t="shared" si="158"/>
        <v>0</v>
      </c>
      <c r="ET40" s="35"/>
      <c r="EU40" s="35"/>
      <c r="EW40" s="37"/>
      <c r="EX40" s="35"/>
      <c r="EY40" s="35">
        <f t="shared" si="159"/>
        <v>550000</v>
      </c>
      <c r="EZ40" s="35"/>
      <c r="FA40" s="35"/>
      <c r="FC40" s="37"/>
      <c r="FD40" s="35"/>
      <c r="FE40" s="35">
        <f t="shared" si="160"/>
        <v>231000</v>
      </c>
      <c r="FF40" s="35"/>
      <c r="FG40" s="35"/>
      <c r="FI40" s="37"/>
      <c r="FJ40" s="35"/>
      <c r="FK40" s="35">
        <f t="shared" si="161"/>
        <v>400000</v>
      </c>
      <c r="FL40" s="35"/>
      <c r="FM40" s="35"/>
      <c r="FO40" s="37"/>
      <c r="FP40" s="35"/>
      <c r="FQ40" s="35">
        <f t="shared" si="162"/>
        <v>0</v>
      </c>
      <c r="FR40" s="35"/>
      <c r="FS40" s="35"/>
      <c r="FU40" s="37"/>
      <c r="FV40" s="35"/>
      <c r="FW40" s="35">
        <f t="shared" si="163"/>
        <v>0</v>
      </c>
      <c r="FX40" s="35"/>
      <c r="FY40" s="35"/>
      <c r="GA40" s="37"/>
      <c r="GB40" s="35"/>
      <c r="GC40" s="35">
        <f t="shared" si="164"/>
        <v>0</v>
      </c>
      <c r="GD40" s="35"/>
      <c r="GE40" s="35"/>
      <c r="GG40" s="37"/>
      <c r="GH40" s="35"/>
      <c r="GI40" s="35">
        <f t="shared" si="165"/>
        <v>300000</v>
      </c>
      <c r="GJ40" s="35"/>
      <c r="GK40" s="35"/>
      <c r="GM40" s="37"/>
      <c r="GN40" s="35"/>
      <c r="GO40" s="35">
        <f t="shared" si="166"/>
        <v>0</v>
      </c>
      <c r="GP40" s="35"/>
      <c r="GQ40" s="35"/>
      <c r="GS40" s="37"/>
      <c r="GT40" s="35"/>
      <c r="GU40" s="35">
        <f t="shared" si="167"/>
        <v>0</v>
      </c>
      <c r="GV40" s="35"/>
      <c r="GW40" s="35"/>
      <c r="GY40" s="37"/>
      <c r="GZ40" s="35"/>
      <c r="HA40" s="35">
        <f t="shared" si="168"/>
        <v>0</v>
      </c>
      <c r="HB40" s="35"/>
      <c r="HC40" s="35"/>
    </row>
    <row r="41" spans="1:211" s="36" customFormat="1" hidden="1" outlineLevel="2" x14ac:dyDescent="0.2">
      <c r="A41" s="36" t="s">
        <v>45</v>
      </c>
      <c r="B41" s="35">
        <f t="shared" si="133"/>
        <v>6972000</v>
      </c>
      <c r="C41" s="37"/>
      <c r="D41" s="35"/>
      <c r="E41" s="35">
        <f t="shared" si="134"/>
        <v>835000</v>
      </c>
      <c r="F41" s="35"/>
      <c r="G41" s="35"/>
      <c r="I41" s="37"/>
      <c r="J41" s="35"/>
      <c r="K41" s="35">
        <f t="shared" si="135"/>
        <v>0</v>
      </c>
      <c r="L41" s="35"/>
      <c r="M41" s="35"/>
      <c r="O41" s="37"/>
      <c r="P41" s="35"/>
      <c r="Q41" s="35">
        <f t="shared" si="136"/>
        <v>214000</v>
      </c>
      <c r="R41" s="35"/>
      <c r="S41" s="35"/>
      <c r="U41" s="37"/>
      <c r="V41" s="35"/>
      <c r="W41" s="35">
        <f t="shared" si="137"/>
        <v>0</v>
      </c>
      <c r="X41" s="35"/>
      <c r="Y41" s="35"/>
      <c r="AA41" s="37"/>
      <c r="AB41" s="35"/>
      <c r="AC41" s="35">
        <f t="shared" si="138"/>
        <v>325000</v>
      </c>
      <c r="AD41" s="35"/>
      <c r="AE41" s="35"/>
      <c r="AG41" s="37"/>
      <c r="AH41" s="35"/>
      <c r="AI41" s="35">
        <f t="shared" si="139"/>
        <v>0</v>
      </c>
      <c r="AJ41" s="35"/>
      <c r="AK41" s="35"/>
      <c r="AM41" s="37"/>
      <c r="AN41" s="35"/>
      <c r="AO41" s="35">
        <f t="shared" si="140"/>
        <v>0</v>
      </c>
      <c r="AP41" s="35"/>
      <c r="AQ41" s="35"/>
      <c r="AS41" s="37"/>
      <c r="AT41" s="35"/>
      <c r="AU41" s="35">
        <f t="shared" si="141"/>
        <v>0</v>
      </c>
      <c r="AV41" s="35"/>
      <c r="AW41" s="35"/>
      <c r="AY41" s="37"/>
      <c r="AZ41" s="35"/>
      <c r="BA41" s="35">
        <f t="shared" si="142"/>
        <v>644000</v>
      </c>
      <c r="BB41" s="35"/>
      <c r="BC41" s="35"/>
      <c r="BE41" s="37"/>
      <c r="BF41" s="35"/>
      <c r="BG41" s="35">
        <f t="shared" si="143"/>
        <v>0</v>
      </c>
      <c r="BH41" s="35"/>
      <c r="BI41" s="35"/>
      <c r="BK41" s="37"/>
      <c r="BL41" s="35"/>
      <c r="BM41" s="35">
        <f t="shared" si="144"/>
        <v>321000</v>
      </c>
      <c r="BN41" s="35"/>
      <c r="BO41" s="35"/>
      <c r="BQ41" s="37"/>
      <c r="BR41" s="35"/>
      <c r="BS41" s="35">
        <f t="shared" si="145"/>
        <v>260500</v>
      </c>
      <c r="BT41" s="35"/>
      <c r="BU41" s="35"/>
      <c r="BW41" s="37"/>
      <c r="BX41" s="35"/>
      <c r="BY41" s="35">
        <f t="shared" si="146"/>
        <v>320000</v>
      </c>
      <c r="BZ41" s="35"/>
      <c r="CA41" s="35"/>
      <c r="CC41" s="37"/>
      <c r="CD41" s="35"/>
      <c r="CE41" s="35">
        <f t="shared" si="147"/>
        <v>267500</v>
      </c>
      <c r="CF41" s="35"/>
      <c r="CG41" s="35"/>
      <c r="CI41" s="37"/>
      <c r="CJ41" s="35"/>
      <c r="CK41" s="35">
        <f t="shared" si="148"/>
        <v>0</v>
      </c>
      <c r="CL41" s="35"/>
      <c r="CM41" s="35"/>
      <c r="CO41" s="37"/>
      <c r="CP41" s="35"/>
      <c r="CQ41" s="35">
        <f t="shared" si="149"/>
        <v>0</v>
      </c>
      <c r="CR41" s="35"/>
      <c r="CS41" s="35"/>
      <c r="CU41" s="37"/>
      <c r="CV41" s="35"/>
      <c r="CW41" s="35">
        <f t="shared" si="150"/>
        <v>0</v>
      </c>
      <c r="CX41" s="35"/>
      <c r="CY41" s="35"/>
      <c r="DA41" s="37"/>
      <c r="DB41" s="35"/>
      <c r="DC41" s="35">
        <f t="shared" si="151"/>
        <v>0</v>
      </c>
      <c r="DD41" s="35"/>
      <c r="DE41" s="35"/>
      <c r="DG41" s="37"/>
      <c r="DH41" s="35"/>
      <c r="DI41" s="35">
        <f t="shared" si="152"/>
        <v>0</v>
      </c>
      <c r="DJ41" s="35"/>
      <c r="DK41" s="35"/>
      <c r="DM41" s="37"/>
      <c r="DN41" s="35"/>
      <c r="DO41" s="35">
        <f t="shared" si="153"/>
        <v>0</v>
      </c>
      <c r="DP41" s="35"/>
      <c r="DQ41" s="35"/>
      <c r="DS41" s="37"/>
      <c r="DT41" s="35"/>
      <c r="DU41" s="35">
        <f t="shared" si="154"/>
        <v>1058000</v>
      </c>
      <c r="DV41" s="35"/>
      <c r="DW41" s="35"/>
      <c r="DY41" s="37"/>
      <c r="DZ41" s="35"/>
      <c r="EA41" s="35">
        <f t="shared" si="155"/>
        <v>250000</v>
      </c>
      <c r="EB41" s="35"/>
      <c r="EC41" s="35"/>
      <c r="EE41" s="37"/>
      <c r="EF41" s="35"/>
      <c r="EG41" s="35">
        <f t="shared" si="156"/>
        <v>0</v>
      </c>
      <c r="EH41" s="35"/>
      <c r="EI41" s="35"/>
      <c r="EK41" s="37"/>
      <c r="EL41" s="35"/>
      <c r="EM41" s="35">
        <f t="shared" si="157"/>
        <v>250000</v>
      </c>
      <c r="EN41" s="35"/>
      <c r="EO41" s="35"/>
      <c r="EQ41" s="37"/>
      <c r="ER41" s="35"/>
      <c r="ES41" s="35">
        <f t="shared" si="158"/>
        <v>0</v>
      </c>
      <c r="ET41" s="35"/>
      <c r="EU41" s="35"/>
      <c r="EW41" s="37"/>
      <c r="EX41" s="35"/>
      <c r="EY41" s="35">
        <f t="shared" si="159"/>
        <v>0</v>
      </c>
      <c r="EZ41" s="35"/>
      <c r="FA41" s="35"/>
      <c r="FC41" s="37"/>
      <c r="FD41" s="35"/>
      <c r="FE41" s="35">
        <f t="shared" si="160"/>
        <v>231000</v>
      </c>
      <c r="FF41" s="35"/>
      <c r="FG41" s="35"/>
      <c r="FI41" s="37"/>
      <c r="FJ41" s="35"/>
      <c r="FK41" s="35">
        <f t="shared" si="161"/>
        <v>880000</v>
      </c>
      <c r="FL41" s="35"/>
      <c r="FM41" s="35"/>
      <c r="FO41" s="37"/>
      <c r="FP41" s="35"/>
      <c r="FQ41" s="35">
        <f t="shared" si="162"/>
        <v>400000</v>
      </c>
      <c r="FR41" s="35"/>
      <c r="FS41" s="35"/>
      <c r="FU41" s="37"/>
      <c r="FV41" s="35"/>
      <c r="FW41" s="35">
        <f t="shared" si="163"/>
        <v>0</v>
      </c>
      <c r="FX41" s="35"/>
      <c r="FY41" s="35"/>
      <c r="GA41" s="37"/>
      <c r="GB41" s="35"/>
      <c r="GC41" s="35">
        <f t="shared" si="164"/>
        <v>716000</v>
      </c>
      <c r="GD41" s="35"/>
      <c r="GE41" s="35"/>
      <c r="GG41" s="37"/>
      <c r="GH41" s="35"/>
      <c r="GI41" s="35">
        <f t="shared" si="165"/>
        <v>0</v>
      </c>
      <c r="GJ41" s="35"/>
      <c r="GK41" s="35"/>
      <c r="GM41" s="37"/>
      <c r="GN41" s="35"/>
      <c r="GO41" s="35">
        <f t="shared" si="166"/>
        <v>0</v>
      </c>
      <c r="GP41" s="35"/>
      <c r="GQ41" s="35"/>
      <c r="GS41" s="37"/>
      <c r="GT41" s="35"/>
      <c r="GU41" s="35">
        <f t="shared" si="167"/>
        <v>0</v>
      </c>
      <c r="GV41" s="35"/>
      <c r="GW41" s="35"/>
      <c r="GY41" s="37"/>
      <c r="GZ41" s="35"/>
      <c r="HA41" s="35">
        <f t="shared" si="168"/>
        <v>0</v>
      </c>
      <c r="HB41" s="35"/>
      <c r="HC41" s="35"/>
    </row>
    <row r="42" spans="1:211" s="36" customFormat="1" hidden="1" outlineLevel="2" x14ac:dyDescent="0.2">
      <c r="A42" s="36" t="s">
        <v>46</v>
      </c>
      <c r="B42" s="35">
        <f t="shared" si="133"/>
        <v>21850500</v>
      </c>
      <c r="C42" s="37"/>
      <c r="D42" s="35"/>
      <c r="E42" s="35">
        <f t="shared" si="134"/>
        <v>290000</v>
      </c>
      <c r="F42" s="35"/>
      <c r="G42" s="35"/>
      <c r="I42" s="37"/>
      <c r="J42" s="35"/>
      <c r="K42" s="35">
        <f t="shared" si="135"/>
        <v>0</v>
      </c>
      <c r="L42" s="35"/>
      <c r="M42" s="35"/>
      <c r="O42" s="37"/>
      <c r="P42" s="35"/>
      <c r="Q42" s="35">
        <f t="shared" si="136"/>
        <v>214000</v>
      </c>
      <c r="R42" s="35"/>
      <c r="S42" s="35"/>
      <c r="U42" s="37"/>
      <c r="V42" s="35"/>
      <c r="W42" s="35">
        <f t="shared" si="137"/>
        <v>0</v>
      </c>
      <c r="X42" s="35"/>
      <c r="Y42" s="35"/>
      <c r="AA42" s="37"/>
      <c r="AB42" s="35"/>
      <c r="AC42" s="35">
        <f t="shared" si="138"/>
        <v>325000</v>
      </c>
      <c r="AD42" s="35"/>
      <c r="AE42" s="35"/>
      <c r="AG42" s="37"/>
      <c r="AH42" s="35"/>
      <c r="AI42" s="35">
        <f t="shared" si="139"/>
        <v>0</v>
      </c>
      <c r="AJ42" s="35"/>
      <c r="AK42" s="35"/>
      <c r="AM42" s="37"/>
      <c r="AN42" s="35"/>
      <c r="AO42" s="35">
        <f t="shared" si="140"/>
        <v>15000000</v>
      </c>
      <c r="AP42" s="35"/>
      <c r="AQ42" s="35"/>
      <c r="AS42" s="37"/>
      <c r="AT42" s="35"/>
      <c r="AU42" s="35">
        <f t="shared" si="141"/>
        <v>700000</v>
      </c>
      <c r="AV42" s="35"/>
      <c r="AW42" s="35"/>
      <c r="AY42" s="37"/>
      <c r="AZ42" s="35"/>
      <c r="BA42" s="35">
        <f t="shared" si="142"/>
        <v>0</v>
      </c>
      <c r="BB42" s="35"/>
      <c r="BC42" s="35"/>
      <c r="BE42" s="37"/>
      <c r="BF42" s="35"/>
      <c r="BG42" s="35">
        <f t="shared" si="143"/>
        <v>0</v>
      </c>
      <c r="BH42" s="35"/>
      <c r="BI42" s="35"/>
      <c r="BK42" s="37"/>
      <c r="BL42" s="35"/>
      <c r="BM42" s="35">
        <f t="shared" si="144"/>
        <v>2284000</v>
      </c>
      <c r="BN42" s="35"/>
      <c r="BO42" s="35"/>
      <c r="BQ42" s="37"/>
      <c r="BR42" s="35"/>
      <c r="BS42" s="35">
        <f t="shared" si="145"/>
        <v>0</v>
      </c>
      <c r="BT42" s="35"/>
      <c r="BU42" s="35"/>
      <c r="BW42" s="37"/>
      <c r="BX42" s="35"/>
      <c r="BY42" s="35">
        <f t="shared" si="146"/>
        <v>320000</v>
      </c>
      <c r="BZ42" s="35"/>
      <c r="CA42" s="35"/>
      <c r="CC42" s="37"/>
      <c r="CD42" s="35"/>
      <c r="CE42" s="35">
        <f t="shared" si="147"/>
        <v>267500</v>
      </c>
      <c r="CF42" s="35"/>
      <c r="CG42" s="35"/>
      <c r="CI42" s="37"/>
      <c r="CJ42" s="35"/>
      <c r="CK42" s="35">
        <f t="shared" si="148"/>
        <v>600000</v>
      </c>
      <c r="CL42" s="35"/>
      <c r="CM42" s="35"/>
      <c r="CO42" s="37"/>
      <c r="CP42" s="35"/>
      <c r="CQ42" s="35">
        <f t="shared" si="149"/>
        <v>0</v>
      </c>
      <c r="CR42" s="35"/>
      <c r="CS42" s="35"/>
      <c r="CU42" s="37"/>
      <c r="CV42" s="35"/>
      <c r="CW42" s="35">
        <f t="shared" si="150"/>
        <v>214000</v>
      </c>
      <c r="CX42" s="35"/>
      <c r="CY42" s="35"/>
      <c r="DA42" s="37"/>
      <c r="DB42" s="35"/>
      <c r="DC42" s="35">
        <f t="shared" si="151"/>
        <v>0</v>
      </c>
      <c r="DD42" s="35"/>
      <c r="DE42" s="35"/>
      <c r="DG42" s="37"/>
      <c r="DH42" s="35"/>
      <c r="DI42" s="35">
        <f t="shared" si="152"/>
        <v>0</v>
      </c>
      <c r="DJ42" s="35"/>
      <c r="DK42" s="35"/>
      <c r="DM42" s="37"/>
      <c r="DN42" s="35"/>
      <c r="DO42" s="35">
        <f t="shared" si="153"/>
        <v>271000</v>
      </c>
      <c r="DP42" s="35"/>
      <c r="DQ42" s="35"/>
      <c r="DS42" s="37"/>
      <c r="DT42" s="35"/>
      <c r="DU42" s="35">
        <f t="shared" si="154"/>
        <v>0</v>
      </c>
      <c r="DV42" s="35"/>
      <c r="DW42" s="35"/>
      <c r="DY42" s="37"/>
      <c r="DZ42" s="35"/>
      <c r="EA42" s="35">
        <f t="shared" si="155"/>
        <v>0</v>
      </c>
      <c r="EB42" s="35"/>
      <c r="EC42" s="35"/>
      <c r="EE42" s="37"/>
      <c r="EF42" s="35"/>
      <c r="EG42" s="35">
        <f t="shared" si="156"/>
        <v>0</v>
      </c>
      <c r="EH42" s="35"/>
      <c r="EI42" s="35"/>
      <c r="EK42" s="37"/>
      <c r="EL42" s="35"/>
      <c r="EM42" s="35">
        <f t="shared" si="157"/>
        <v>0</v>
      </c>
      <c r="EN42" s="35"/>
      <c r="EO42" s="35"/>
      <c r="EQ42" s="37"/>
      <c r="ER42" s="35"/>
      <c r="ES42" s="35">
        <f t="shared" si="158"/>
        <v>0</v>
      </c>
      <c r="ET42" s="35"/>
      <c r="EU42" s="35"/>
      <c r="EW42" s="37"/>
      <c r="EX42" s="35"/>
      <c r="EY42" s="35">
        <f t="shared" si="159"/>
        <v>0</v>
      </c>
      <c r="EZ42" s="35"/>
      <c r="FA42" s="35"/>
      <c r="FC42" s="37"/>
      <c r="FD42" s="35"/>
      <c r="FE42" s="35">
        <f t="shared" si="160"/>
        <v>231000</v>
      </c>
      <c r="FF42" s="35"/>
      <c r="FG42" s="35"/>
      <c r="FI42" s="37"/>
      <c r="FJ42" s="35"/>
      <c r="FK42" s="35">
        <f t="shared" si="161"/>
        <v>320000</v>
      </c>
      <c r="FL42" s="35"/>
      <c r="FM42" s="35"/>
      <c r="FO42" s="37"/>
      <c r="FP42" s="35"/>
      <c r="FQ42" s="35">
        <f t="shared" si="162"/>
        <v>0</v>
      </c>
      <c r="FR42" s="35"/>
      <c r="FS42" s="35"/>
      <c r="FU42" s="37"/>
      <c r="FV42" s="35"/>
      <c r="FW42" s="35">
        <f t="shared" si="163"/>
        <v>0</v>
      </c>
      <c r="FX42" s="35"/>
      <c r="FY42" s="35"/>
      <c r="GA42" s="37"/>
      <c r="GB42" s="35"/>
      <c r="GC42" s="35">
        <f t="shared" si="164"/>
        <v>214000</v>
      </c>
      <c r="GD42" s="35"/>
      <c r="GE42" s="35"/>
      <c r="GG42" s="37"/>
      <c r="GH42" s="35"/>
      <c r="GI42" s="35">
        <f t="shared" si="165"/>
        <v>0</v>
      </c>
      <c r="GJ42" s="35"/>
      <c r="GK42" s="35"/>
      <c r="GM42" s="37"/>
      <c r="GN42" s="35"/>
      <c r="GO42" s="35">
        <f t="shared" si="166"/>
        <v>600000</v>
      </c>
      <c r="GP42" s="35"/>
      <c r="GQ42" s="35"/>
      <c r="GS42" s="37"/>
      <c r="GT42" s="35"/>
      <c r="GU42" s="35">
        <f t="shared" si="167"/>
        <v>0</v>
      </c>
      <c r="GV42" s="35"/>
      <c r="GW42" s="35"/>
      <c r="GY42" s="37"/>
      <c r="GZ42" s="35"/>
      <c r="HA42" s="35">
        <f t="shared" si="168"/>
        <v>0</v>
      </c>
      <c r="HB42" s="35"/>
      <c r="HC42" s="35"/>
    </row>
    <row r="43" spans="1:211" s="36" customFormat="1" hidden="1" outlineLevel="2" x14ac:dyDescent="0.2">
      <c r="A43" s="36" t="s">
        <v>47</v>
      </c>
      <c r="B43" s="35">
        <f t="shared" si="133"/>
        <v>4148500</v>
      </c>
      <c r="C43" s="37"/>
      <c r="D43" s="35"/>
      <c r="E43" s="35">
        <f t="shared" si="134"/>
        <v>0</v>
      </c>
      <c r="F43" s="35"/>
      <c r="G43" s="35"/>
      <c r="I43" s="37"/>
      <c r="J43" s="35"/>
      <c r="K43" s="35">
        <f t="shared" si="135"/>
        <v>0</v>
      </c>
      <c r="L43" s="35"/>
      <c r="M43" s="35"/>
      <c r="O43" s="37"/>
      <c r="P43" s="35"/>
      <c r="Q43" s="35">
        <f t="shared" si="136"/>
        <v>214000</v>
      </c>
      <c r="R43" s="35"/>
      <c r="S43" s="35"/>
      <c r="U43" s="37"/>
      <c r="V43" s="35"/>
      <c r="W43" s="35">
        <f t="shared" si="137"/>
        <v>0</v>
      </c>
      <c r="X43" s="35"/>
      <c r="Y43" s="35"/>
      <c r="AA43" s="37"/>
      <c r="AB43" s="35"/>
      <c r="AC43" s="35">
        <f t="shared" si="138"/>
        <v>0</v>
      </c>
      <c r="AD43" s="35"/>
      <c r="AE43" s="35"/>
      <c r="AG43" s="37"/>
      <c r="AH43" s="35"/>
      <c r="AI43" s="35">
        <f t="shared" si="139"/>
        <v>0</v>
      </c>
      <c r="AJ43" s="35"/>
      <c r="AK43" s="35"/>
      <c r="AM43" s="37"/>
      <c r="AN43" s="35"/>
      <c r="AO43" s="35">
        <f t="shared" si="140"/>
        <v>446500</v>
      </c>
      <c r="AP43" s="35"/>
      <c r="AQ43" s="35"/>
      <c r="AS43" s="37"/>
      <c r="AT43" s="35"/>
      <c r="AU43" s="35">
        <f t="shared" si="141"/>
        <v>300000</v>
      </c>
      <c r="AV43" s="35"/>
      <c r="AW43" s="35"/>
      <c r="AY43" s="37"/>
      <c r="AZ43" s="35"/>
      <c r="BA43" s="35">
        <f t="shared" si="142"/>
        <v>644000</v>
      </c>
      <c r="BB43" s="35"/>
      <c r="BC43" s="35"/>
      <c r="BE43" s="37"/>
      <c r="BF43" s="35"/>
      <c r="BG43" s="35">
        <f t="shared" si="143"/>
        <v>0</v>
      </c>
      <c r="BH43" s="35"/>
      <c r="BI43" s="35"/>
      <c r="BK43" s="37"/>
      <c r="BL43" s="35"/>
      <c r="BM43" s="35">
        <f t="shared" si="144"/>
        <v>74000</v>
      </c>
      <c r="BN43" s="35"/>
      <c r="BO43" s="35"/>
      <c r="BQ43" s="37"/>
      <c r="BR43" s="35"/>
      <c r="BS43" s="35">
        <f t="shared" si="145"/>
        <v>718500</v>
      </c>
      <c r="BT43" s="35"/>
      <c r="BU43" s="35"/>
      <c r="BW43" s="37"/>
      <c r="BX43" s="35"/>
      <c r="BY43" s="35">
        <f t="shared" si="146"/>
        <v>320000</v>
      </c>
      <c r="BZ43" s="35"/>
      <c r="CA43" s="35"/>
      <c r="CC43" s="37"/>
      <c r="CD43" s="35"/>
      <c r="CE43" s="35">
        <f t="shared" si="147"/>
        <v>267500</v>
      </c>
      <c r="CF43" s="35"/>
      <c r="CG43" s="35"/>
      <c r="CI43" s="37"/>
      <c r="CJ43" s="35"/>
      <c r="CK43" s="35">
        <f t="shared" si="148"/>
        <v>0</v>
      </c>
      <c r="CL43" s="35"/>
      <c r="CM43" s="35"/>
      <c r="CO43" s="37"/>
      <c r="CP43" s="35"/>
      <c r="CQ43" s="35">
        <f t="shared" si="149"/>
        <v>0</v>
      </c>
      <c r="CR43" s="35"/>
      <c r="CS43" s="35"/>
      <c r="CU43" s="37"/>
      <c r="CV43" s="35"/>
      <c r="CW43" s="35">
        <f t="shared" si="150"/>
        <v>0</v>
      </c>
      <c r="CX43" s="35"/>
      <c r="CY43" s="35"/>
      <c r="DA43" s="37"/>
      <c r="DB43" s="35"/>
      <c r="DC43" s="35">
        <f t="shared" si="151"/>
        <v>0</v>
      </c>
      <c r="DD43" s="35"/>
      <c r="DE43" s="35"/>
      <c r="DG43" s="37"/>
      <c r="DH43" s="35"/>
      <c r="DI43" s="35">
        <f t="shared" si="152"/>
        <v>0</v>
      </c>
      <c r="DJ43" s="35"/>
      <c r="DK43" s="35"/>
      <c r="DM43" s="37"/>
      <c r="DN43" s="35"/>
      <c r="DO43" s="35">
        <f t="shared" si="153"/>
        <v>19000</v>
      </c>
      <c r="DP43" s="35"/>
      <c r="DQ43" s="35"/>
      <c r="DS43" s="37"/>
      <c r="DT43" s="35"/>
      <c r="DU43" s="35">
        <f t="shared" si="154"/>
        <v>0</v>
      </c>
      <c r="DV43" s="35"/>
      <c r="DW43" s="35"/>
      <c r="DY43" s="37"/>
      <c r="DZ43" s="35"/>
      <c r="EA43" s="35">
        <f t="shared" si="155"/>
        <v>250000</v>
      </c>
      <c r="EB43" s="35"/>
      <c r="EC43" s="35"/>
      <c r="EE43" s="37"/>
      <c r="EF43" s="35"/>
      <c r="EG43" s="35">
        <f t="shared" si="156"/>
        <v>0</v>
      </c>
      <c r="EH43" s="35"/>
      <c r="EI43" s="35"/>
      <c r="EK43" s="37"/>
      <c r="EL43" s="35"/>
      <c r="EM43" s="35">
        <f t="shared" si="157"/>
        <v>0</v>
      </c>
      <c r="EN43" s="35"/>
      <c r="EO43" s="35"/>
      <c r="EQ43" s="37"/>
      <c r="ER43" s="35"/>
      <c r="ES43" s="35">
        <f t="shared" si="158"/>
        <v>0</v>
      </c>
      <c r="ET43" s="35"/>
      <c r="EU43" s="35"/>
      <c r="EW43" s="37"/>
      <c r="EX43" s="35"/>
      <c r="EY43" s="35">
        <f t="shared" si="159"/>
        <v>0</v>
      </c>
      <c r="EZ43" s="35"/>
      <c r="FA43" s="35"/>
      <c r="FC43" s="37"/>
      <c r="FD43" s="35"/>
      <c r="FE43" s="35">
        <f t="shared" si="160"/>
        <v>231000</v>
      </c>
      <c r="FF43" s="35"/>
      <c r="FG43" s="35"/>
      <c r="FI43" s="37"/>
      <c r="FJ43" s="35"/>
      <c r="FK43" s="35">
        <f t="shared" si="161"/>
        <v>0</v>
      </c>
      <c r="FL43" s="35"/>
      <c r="FM43" s="35"/>
      <c r="FO43" s="37"/>
      <c r="FP43" s="35"/>
      <c r="FQ43" s="35">
        <f t="shared" si="162"/>
        <v>300000</v>
      </c>
      <c r="FR43" s="35"/>
      <c r="FS43" s="35"/>
      <c r="FU43" s="37"/>
      <c r="FV43" s="35"/>
      <c r="FW43" s="35">
        <f t="shared" si="163"/>
        <v>0</v>
      </c>
      <c r="FX43" s="35"/>
      <c r="FY43" s="35"/>
      <c r="GA43" s="37"/>
      <c r="GB43" s="35"/>
      <c r="GC43" s="35">
        <f t="shared" si="164"/>
        <v>214000</v>
      </c>
      <c r="GD43" s="35"/>
      <c r="GE43" s="35"/>
      <c r="GG43" s="37"/>
      <c r="GH43" s="35"/>
      <c r="GI43" s="35">
        <f t="shared" si="165"/>
        <v>150000</v>
      </c>
      <c r="GJ43" s="35"/>
      <c r="GK43" s="35"/>
      <c r="GM43" s="37"/>
      <c r="GN43" s="35"/>
      <c r="GO43" s="35">
        <f t="shared" si="166"/>
        <v>0</v>
      </c>
      <c r="GP43" s="35"/>
      <c r="GQ43" s="35"/>
      <c r="GS43" s="37"/>
      <c r="GT43" s="35"/>
      <c r="GU43" s="35">
        <f t="shared" si="167"/>
        <v>0</v>
      </c>
      <c r="GV43" s="35"/>
      <c r="GW43" s="35"/>
      <c r="GY43" s="37"/>
      <c r="GZ43" s="35"/>
      <c r="HA43" s="35">
        <f t="shared" si="168"/>
        <v>0</v>
      </c>
      <c r="HB43" s="35"/>
      <c r="HC43" s="35"/>
    </row>
    <row r="44" spans="1:211" s="36" customFormat="1" hidden="1" outlineLevel="2" x14ac:dyDescent="0.2">
      <c r="A44" s="36" t="s">
        <v>48</v>
      </c>
      <c r="B44" s="35">
        <f t="shared" si="133"/>
        <v>5929500</v>
      </c>
      <c r="C44" s="37"/>
      <c r="D44" s="35"/>
      <c r="E44" s="35">
        <f t="shared" si="134"/>
        <v>0</v>
      </c>
      <c r="F44" s="35"/>
      <c r="G44" s="35"/>
      <c r="I44" s="37"/>
      <c r="J44" s="35"/>
      <c r="K44" s="35">
        <f t="shared" si="135"/>
        <v>0</v>
      </c>
      <c r="L44" s="35"/>
      <c r="M44" s="35"/>
      <c r="O44" s="37"/>
      <c r="P44" s="35"/>
      <c r="Q44" s="35">
        <f t="shared" si="136"/>
        <v>0</v>
      </c>
      <c r="R44" s="35"/>
      <c r="S44" s="35"/>
      <c r="U44" s="37"/>
      <c r="V44" s="35"/>
      <c r="W44" s="35">
        <f t="shared" si="137"/>
        <v>0</v>
      </c>
      <c r="X44" s="35"/>
      <c r="Y44" s="35"/>
      <c r="AA44" s="37"/>
      <c r="AB44" s="35"/>
      <c r="AC44" s="35">
        <f t="shared" si="138"/>
        <v>650000</v>
      </c>
      <c r="AD44" s="35"/>
      <c r="AE44" s="35"/>
      <c r="AG44" s="37"/>
      <c r="AH44" s="35"/>
      <c r="AI44" s="35">
        <f t="shared" si="139"/>
        <v>0</v>
      </c>
      <c r="AJ44" s="35"/>
      <c r="AK44" s="35"/>
      <c r="AM44" s="37"/>
      <c r="AN44" s="35"/>
      <c r="AO44" s="35">
        <f t="shared" si="140"/>
        <v>446000</v>
      </c>
      <c r="AP44" s="35"/>
      <c r="AQ44" s="35"/>
      <c r="AS44" s="37"/>
      <c r="AT44" s="35"/>
      <c r="AU44" s="35">
        <f t="shared" si="141"/>
        <v>100000</v>
      </c>
      <c r="AV44" s="35"/>
      <c r="AW44" s="35"/>
      <c r="AY44" s="37"/>
      <c r="AZ44" s="35"/>
      <c r="BA44" s="35">
        <f t="shared" si="142"/>
        <v>322000</v>
      </c>
      <c r="BB44" s="35"/>
      <c r="BC44" s="35"/>
      <c r="BE44" s="37"/>
      <c r="BF44" s="35"/>
      <c r="BG44" s="35">
        <f t="shared" si="143"/>
        <v>0</v>
      </c>
      <c r="BH44" s="35"/>
      <c r="BI44" s="35"/>
      <c r="BK44" s="37"/>
      <c r="BL44" s="35"/>
      <c r="BM44" s="35">
        <f t="shared" si="144"/>
        <v>0</v>
      </c>
      <c r="BN44" s="35"/>
      <c r="BO44" s="35"/>
      <c r="BQ44" s="37"/>
      <c r="BR44" s="35"/>
      <c r="BS44" s="35">
        <f t="shared" si="145"/>
        <v>0</v>
      </c>
      <c r="BT44" s="35"/>
      <c r="BU44" s="35"/>
      <c r="BW44" s="37"/>
      <c r="BX44" s="35"/>
      <c r="BY44" s="35">
        <f t="shared" si="146"/>
        <v>340000</v>
      </c>
      <c r="BZ44" s="35"/>
      <c r="CA44" s="35"/>
      <c r="CC44" s="37"/>
      <c r="CD44" s="35"/>
      <c r="CE44" s="35">
        <f t="shared" si="147"/>
        <v>767500</v>
      </c>
      <c r="CF44" s="35"/>
      <c r="CG44" s="35"/>
      <c r="CI44" s="37"/>
      <c r="CJ44" s="35"/>
      <c r="CK44" s="35">
        <f t="shared" si="148"/>
        <v>300000</v>
      </c>
      <c r="CL44" s="35"/>
      <c r="CM44" s="35"/>
      <c r="CO44" s="37"/>
      <c r="CP44" s="35"/>
      <c r="CQ44" s="35">
        <f t="shared" si="149"/>
        <v>0</v>
      </c>
      <c r="CR44" s="35"/>
      <c r="CS44" s="35"/>
      <c r="CU44" s="37"/>
      <c r="CV44" s="35"/>
      <c r="CW44" s="35">
        <f t="shared" si="150"/>
        <v>214000</v>
      </c>
      <c r="CX44" s="35"/>
      <c r="CY44" s="35"/>
      <c r="DA44" s="37"/>
      <c r="DB44" s="35"/>
      <c r="DC44" s="35">
        <f t="shared" si="151"/>
        <v>0</v>
      </c>
      <c r="DD44" s="35"/>
      <c r="DE44" s="35"/>
      <c r="DG44" s="37"/>
      <c r="DH44" s="35"/>
      <c r="DI44" s="35">
        <f t="shared" si="152"/>
        <v>0</v>
      </c>
      <c r="DJ44" s="35"/>
      <c r="DK44" s="35"/>
      <c r="DM44" s="37"/>
      <c r="DN44" s="35"/>
      <c r="DO44" s="35">
        <f t="shared" si="153"/>
        <v>0</v>
      </c>
      <c r="DP44" s="35"/>
      <c r="DQ44" s="35"/>
      <c r="DS44" s="37"/>
      <c r="DT44" s="35"/>
      <c r="DU44" s="35">
        <f t="shared" si="154"/>
        <v>0</v>
      </c>
      <c r="DV44" s="35"/>
      <c r="DW44" s="35"/>
      <c r="DY44" s="37"/>
      <c r="DZ44" s="35"/>
      <c r="EA44" s="35">
        <f t="shared" si="155"/>
        <v>250000</v>
      </c>
      <c r="EB44" s="35"/>
      <c r="EC44" s="35"/>
      <c r="EE44" s="37"/>
      <c r="EF44" s="35"/>
      <c r="EG44" s="35">
        <f t="shared" si="156"/>
        <v>0</v>
      </c>
      <c r="EH44" s="35"/>
      <c r="EI44" s="35"/>
      <c r="EK44" s="37"/>
      <c r="EL44" s="35"/>
      <c r="EM44" s="35">
        <f t="shared" si="157"/>
        <v>0</v>
      </c>
      <c r="EN44" s="35"/>
      <c r="EO44" s="35"/>
      <c r="EQ44" s="37"/>
      <c r="ER44" s="35"/>
      <c r="ES44" s="35">
        <f t="shared" si="158"/>
        <v>0</v>
      </c>
      <c r="ET44" s="35"/>
      <c r="EU44" s="35"/>
      <c r="EW44" s="37"/>
      <c r="EX44" s="35"/>
      <c r="EY44" s="35">
        <f t="shared" si="159"/>
        <v>0</v>
      </c>
      <c r="EZ44" s="35"/>
      <c r="FA44" s="35"/>
      <c r="FC44" s="37"/>
      <c r="FD44" s="35"/>
      <c r="FE44" s="35">
        <f t="shared" si="160"/>
        <v>190000</v>
      </c>
      <c r="FF44" s="35"/>
      <c r="FG44" s="35"/>
      <c r="FI44" s="37"/>
      <c r="FJ44" s="35"/>
      <c r="FK44" s="35">
        <f t="shared" si="161"/>
        <v>350000</v>
      </c>
      <c r="FL44" s="35"/>
      <c r="FM44" s="35"/>
      <c r="FO44" s="37"/>
      <c r="FP44" s="35"/>
      <c r="FQ44" s="35">
        <f t="shared" si="162"/>
        <v>0</v>
      </c>
      <c r="FR44" s="35"/>
      <c r="FS44" s="35"/>
      <c r="FU44" s="37"/>
      <c r="FV44" s="35"/>
      <c r="FW44" s="35">
        <f t="shared" si="163"/>
        <v>0</v>
      </c>
      <c r="FX44" s="35"/>
      <c r="FY44" s="35"/>
      <c r="GA44" s="37"/>
      <c r="GB44" s="35"/>
      <c r="GC44" s="35">
        <f t="shared" si="164"/>
        <v>0</v>
      </c>
      <c r="GD44" s="35"/>
      <c r="GE44" s="35"/>
      <c r="GG44" s="37"/>
      <c r="GH44" s="35"/>
      <c r="GI44" s="35">
        <f t="shared" si="165"/>
        <v>2000000</v>
      </c>
      <c r="GJ44" s="35"/>
      <c r="GK44" s="35"/>
      <c r="GM44" s="37"/>
      <c r="GN44" s="35"/>
      <c r="GO44" s="35">
        <f t="shared" si="166"/>
        <v>0</v>
      </c>
      <c r="GP44" s="35"/>
      <c r="GQ44" s="35"/>
      <c r="GS44" s="37"/>
      <c r="GT44" s="35"/>
      <c r="GU44" s="35">
        <f t="shared" si="167"/>
        <v>0</v>
      </c>
      <c r="GV44" s="35"/>
      <c r="GW44" s="35"/>
      <c r="GY44" s="37"/>
      <c r="GZ44" s="35"/>
      <c r="HA44" s="35">
        <f t="shared" si="168"/>
        <v>0</v>
      </c>
      <c r="HB44" s="35"/>
      <c r="HC44" s="35"/>
    </row>
    <row r="45" spans="1:211" hidden="1" outlineLevel="2" x14ac:dyDescent="0.2"/>
    <row r="46" spans="1:211" s="32" customFormat="1" hidden="1" outlineLevel="2" x14ac:dyDescent="0.2">
      <c r="A46" s="32" t="s">
        <v>61</v>
      </c>
      <c r="B46" s="30">
        <f t="shared" ref="B46:B57" si="169">SUM(C46:XFD46)</f>
        <v>1084700</v>
      </c>
      <c r="C46" s="31"/>
      <c r="D46" s="30"/>
      <c r="E46" s="30"/>
      <c r="F46" s="30">
        <f>F6</f>
        <v>0</v>
      </c>
      <c r="G46" s="30"/>
      <c r="I46" s="31"/>
      <c r="J46" s="30"/>
      <c r="K46" s="30"/>
      <c r="L46" s="30">
        <f>L6</f>
        <v>0</v>
      </c>
      <c r="M46" s="30"/>
      <c r="O46" s="31"/>
      <c r="P46" s="30"/>
      <c r="Q46" s="30"/>
      <c r="R46" s="30">
        <f>R6</f>
        <v>0</v>
      </c>
      <c r="S46" s="30"/>
      <c r="U46" s="31"/>
      <c r="V46" s="30"/>
      <c r="W46" s="30"/>
      <c r="X46" s="30">
        <f>X6</f>
        <v>0</v>
      </c>
      <c r="Y46" s="30"/>
      <c r="AA46" s="31"/>
      <c r="AB46" s="30"/>
      <c r="AC46" s="30"/>
      <c r="AD46" s="30">
        <f>AD6</f>
        <v>0</v>
      </c>
      <c r="AE46" s="30"/>
      <c r="AG46" s="31"/>
      <c r="AH46" s="30"/>
      <c r="AI46" s="30"/>
      <c r="AJ46" s="30">
        <f>AJ6</f>
        <v>0</v>
      </c>
      <c r="AK46" s="30"/>
      <c r="AM46" s="31"/>
      <c r="AN46" s="30"/>
      <c r="AO46" s="30"/>
      <c r="AP46" s="30">
        <f>AP6</f>
        <v>0</v>
      </c>
      <c r="AQ46" s="30"/>
      <c r="AS46" s="31"/>
      <c r="AT46" s="30"/>
      <c r="AU46" s="30"/>
      <c r="AV46" s="30">
        <f>AV6</f>
        <v>0</v>
      </c>
      <c r="AW46" s="30"/>
      <c r="AY46" s="31"/>
      <c r="AZ46" s="30"/>
      <c r="BA46" s="30"/>
      <c r="BB46" s="30">
        <f>BB6</f>
        <v>0</v>
      </c>
      <c r="BC46" s="30"/>
      <c r="BE46" s="31"/>
      <c r="BF46" s="30"/>
      <c r="BG46" s="30"/>
      <c r="BH46" s="30">
        <f>BH6</f>
        <v>0</v>
      </c>
      <c r="BI46" s="30"/>
      <c r="BK46" s="31"/>
      <c r="BL46" s="30"/>
      <c r="BM46" s="30"/>
      <c r="BN46" s="30">
        <f>BN6</f>
        <v>0</v>
      </c>
      <c r="BO46" s="30"/>
      <c r="BQ46" s="31"/>
      <c r="BR46" s="30"/>
      <c r="BS46" s="30"/>
      <c r="BT46" s="30">
        <f>BT6</f>
        <v>0</v>
      </c>
      <c r="BU46" s="30"/>
      <c r="BW46" s="31"/>
      <c r="BX46" s="30"/>
      <c r="BY46" s="30"/>
      <c r="BZ46" s="30">
        <f>BZ6</f>
        <v>0</v>
      </c>
      <c r="CA46" s="30"/>
      <c r="CC46" s="31"/>
      <c r="CD46" s="30"/>
      <c r="CE46" s="30"/>
      <c r="CF46" s="30">
        <f>CF6</f>
        <v>0</v>
      </c>
      <c r="CG46" s="30"/>
      <c r="CI46" s="31"/>
      <c r="CJ46" s="30"/>
      <c r="CK46" s="30"/>
      <c r="CL46" s="30">
        <f>CL6</f>
        <v>0</v>
      </c>
      <c r="CM46" s="30"/>
      <c r="CO46" s="31"/>
      <c r="CP46" s="30"/>
      <c r="CQ46" s="30"/>
      <c r="CR46" s="30">
        <f>CR6</f>
        <v>0</v>
      </c>
      <c r="CS46" s="30"/>
      <c r="CU46" s="31"/>
      <c r="CV46" s="30"/>
      <c r="CW46" s="30"/>
      <c r="CX46" s="30">
        <f>CX6</f>
        <v>0</v>
      </c>
      <c r="CY46" s="30"/>
      <c r="DA46" s="31"/>
      <c r="DB46" s="30"/>
      <c r="DC46" s="30"/>
      <c r="DD46" s="30">
        <f>DD6</f>
        <v>0</v>
      </c>
      <c r="DE46" s="30"/>
      <c r="DG46" s="31"/>
      <c r="DH46" s="30"/>
      <c r="DI46" s="30"/>
      <c r="DJ46" s="30">
        <f>DJ6</f>
        <v>0</v>
      </c>
      <c r="DK46" s="30"/>
      <c r="DM46" s="31"/>
      <c r="DN46" s="30"/>
      <c r="DO46" s="30"/>
      <c r="DP46" s="30">
        <f>DP6</f>
        <v>0</v>
      </c>
      <c r="DQ46" s="30"/>
      <c r="DS46" s="31"/>
      <c r="DT46" s="30"/>
      <c r="DU46" s="30"/>
      <c r="DV46" s="30">
        <f>DV6</f>
        <v>0</v>
      </c>
      <c r="DW46" s="30"/>
      <c r="DY46" s="31"/>
      <c r="DZ46" s="30"/>
      <c r="EA46" s="30"/>
      <c r="EB46" s="30">
        <f>EB6</f>
        <v>0</v>
      </c>
      <c r="EC46" s="30"/>
      <c r="EE46" s="31"/>
      <c r="EF46" s="30"/>
      <c r="EG46" s="30"/>
      <c r="EH46" s="30">
        <f>EH6</f>
        <v>264200</v>
      </c>
      <c r="EI46" s="30"/>
      <c r="EK46" s="31"/>
      <c r="EL46" s="30"/>
      <c r="EM46" s="30"/>
      <c r="EN46" s="30">
        <f>EN6</f>
        <v>0</v>
      </c>
      <c r="EO46" s="30"/>
      <c r="EQ46" s="31"/>
      <c r="ER46" s="30"/>
      <c r="ES46" s="30"/>
      <c r="ET46" s="30">
        <f>ET6</f>
        <v>0</v>
      </c>
      <c r="EU46" s="30"/>
      <c r="EW46" s="31"/>
      <c r="EX46" s="30"/>
      <c r="EY46" s="30"/>
      <c r="EZ46" s="30">
        <f>EZ6</f>
        <v>0</v>
      </c>
      <c r="FA46" s="30"/>
      <c r="FC46" s="31"/>
      <c r="FD46" s="30"/>
      <c r="FE46" s="30"/>
      <c r="FF46" s="30">
        <f>FF6</f>
        <v>0</v>
      </c>
      <c r="FG46" s="30"/>
      <c r="FI46" s="31"/>
      <c r="FJ46" s="30"/>
      <c r="FK46" s="30"/>
      <c r="FL46" s="30">
        <f>FL6</f>
        <v>0</v>
      </c>
      <c r="FM46" s="30"/>
      <c r="FO46" s="31"/>
      <c r="FP46" s="30"/>
      <c r="FQ46" s="30"/>
      <c r="FR46" s="30">
        <f>FR6</f>
        <v>300000</v>
      </c>
      <c r="FS46" s="30"/>
      <c r="FU46" s="31"/>
      <c r="FV46" s="30"/>
      <c r="FW46" s="30"/>
      <c r="FX46" s="30">
        <f>FX6</f>
        <v>368000</v>
      </c>
      <c r="FY46" s="30"/>
      <c r="GA46" s="31"/>
      <c r="GB46" s="30"/>
      <c r="GC46" s="30"/>
      <c r="GD46" s="30">
        <f>GD6</f>
        <v>0</v>
      </c>
      <c r="GE46" s="30"/>
      <c r="GG46" s="31"/>
      <c r="GH46" s="30"/>
      <c r="GI46" s="30"/>
      <c r="GJ46" s="30">
        <f>GJ6</f>
        <v>0</v>
      </c>
      <c r="GK46" s="30"/>
      <c r="GM46" s="31"/>
      <c r="GN46" s="30"/>
      <c r="GO46" s="30"/>
      <c r="GP46" s="30">
        <f>GP6</f>
        <v>0</v>
      </c>
      <c r="GQ46" s="30"/>
      <c r="GS46" s="31"/>
      <c r="GT46" s="30"/>
      <c r="GU46" s="30"/>
      <c r="GV46" s="30">
        <f>GV6</f>
        <v>152500</v>
      </c>
      <c r="GW46" s="30"/>
      <c r="GY46" s="31"/>
      <c r="GZ46" s="30"/>
      <c r="HA46" s="30"/>
      <c r="HB46" s="30">
        <f>HB6</f>
        <v>0</v>
      </c>
      <c r="HC46" s="30"/>
    </row>
    <row r="47" spans="1:211" s="32" customFormat="1" hidden="1" outlineLevel="2" x14ac:dyDescent="0.2">
      <c r="A47" s="32" t="s">
        <v>62</v>
      </c>
      <c r="B47" s="30">
        <f t="shared" si="169"/>
        <v>140000</v>
      </c>
      <c r="C47" s="31"/>
      <c r="D47" s="30"/>
      <c r="E47" s="30"/>
      <c r="F47" s="30">
        <f t="shared" ref="F47:F57" si="170">F7</f>
        <v>0</v>
      </c>
      <c r="G47" s="30"/>
      <c r="I47" s="31"/>
      <c r="J47" s="30"/>
      <c r="K47" s="30"/>
      <c r="L47" s="30">
        <f t="shared" ref="L47:L57" si="171">L7</f>
        <v>0</v>
      </c>
      <c r="M47" s="30"/>
      <c r="O47" s="31"/>
      <c r="P47" s="30"/>
      <c r="Q47" s="30"/>
      <c r="R47" s="30">
        <f t="shared" ref="R47:R57" si="172">R7</f>
        <v>0</v>
      </c>
      <c r="S47" s="30"/>
      <c r="U47" s="31"/>
      <c r="V47" s="30"/>
      <c r="W47" s="30"/>
      <c r="X47" s="30">
        <f t="shared" ref="X47:X57" si="173">X7</f>
        <v>0</v>
      </c>
      <c r="Y47" s="30"/>
      <c r="AA47" s="31"/>
      <c r="AB47" s="30"/>
      <c r="AC47" s="30"/>
      <c r="AD47" s="30">
        <f t="shared" ref="AD47:AD57" si="174">AD7</f>
        <v>0</v>
      </c>
      <c r="AE47" s="30"/>
      <c r="AG47" s="31"/>
      <c r="AH47" s="30"/>
      <c r="AI47" s="30"/>
      <c r="AJ47" s="30">
        <f t="shared" ref="AJ47:AJ57" si="175">AJ7</f>
        <v>0</v>
      </c>
      <c r="AK47" s="30"/>
      <c r="AM47" s="31"/>
      <c r="AN47" s="30"/>
      <c r="AO47" s="30"/>
      <c r="AP47" s="30">
        <f t="shared" ref="AP47:AP57" si="176">AP7</f>
        <v>0</v>
      </c>
      <c r="AQ47" s="30"/>
      <c r="AS47" s="31"/>
      <c r="AT47" s="30"/>
      <c r="AU47" s="30"/>
      <c r="AV47" s="30">
        <f t="shared" ref="AV47:AV57" si="177">AV7</f>
        <v>0</v>
      </c>
      <c r="AW47" s="30"/>
      <c r="AY47" s="31"/>
      <c r="AZ47" s="30"/>
      <c r="BA47" s="30"/>
      <c r="BB47" s="30">
        <f t="shared" ref="BB47:BB57" si="178">BB7</f>
        <v>0</v>
      </c>
      <c r="BC47" s="30"/>
      <c r="BE47" s="31"/>
      <c r="BF47" s="30"/>
      <c r="BG47" s="30"/>
      <c r="BH47" s="30">
        <f t="shared" ref="BH47:BH57" si="179">BH7</f>
        <v>0</v>
      </c>
      <c r="BI47" s="30"/>
      <c r="BK47" s="31"/>
      <c r="BL47" s="30"/>
      <c r="BM47" s="30"/>
      <c r="BN47" s="30">
        <f t="shared" ref="BN47:BN57" si="180">BN7</f>
        <v>0</v>
      </c>
      <c r="BO47" s="30"/>
      <c r="BQ47" s="31"/>
      <c r="BR47" s="30"/>
      <c r="BS47" s="30"/>
      <c r="BT47" s="30">
        <f t="shared" ref="BT47:BT57" si="181">BT7</f>
        <v>0</v>
      </c>
      <c r="BU47" s="30"/>
      <c r="BW47" s="31"/>
      <c r="BX47" s="30"/>
      <c r="BY47" s="30"/>
      <c r="BZ47" s="30">
        <f t="shared" ref="BZ47:BZ57" si="182">BZ7</f>
        <v>0</v>
      </c>
      <c r="CA47" s="30"/>
      <c r="CC47" s="31"/>
      <c r="CD47" s="30"/>
      <c r="CE47" s="30"/>
      <c r="CF47" s="30">
        <f t="shared" ref="CF47:CF57" si="183">CF7</f>
        <v>0</v>
      </c>
      <c r="CG47" s="30"/>
      <c r="CI47" s="31"/>
      <c r="CJ47" s="30"/>
      <c r="CK47" s="30"/>
      <c r="CL47" s="30">
        <f t="shared" ref="CL47:CL57" si="184">CL7</f>
        <v>0</v>
      </c>
      <c r="CM47" s="30"/>
      <c r="CO47" s="31"/>
      <c r="CP47" s="30"/>
      <c r="CQ47" s="30"/>
      <c r="CR47" s="30">
        <f t="shared" ref="CR47:CR57" si="185">CR7</f>
        <v>0</v>
      </c>
      <c r="CS47" s="30"/>
      <c r="CU47" s="31"/>
      <c r="CV47" s="30"/>
      <c r="CW47" s="30"/>
      <c r="CX47" s="30">
        <f t="shared" ref="CX47:CX57" si="186">CX7</f>
        <v>0</v>
      </c>
      <c r="CY47" s="30"/>
      <c r="DA47" s="31"/>
      <c r="DB47" s="30"/>
      <c r="DC47" s="30"/>
      <c r="DD47" s="30">
        <f t="shared" ref="DD47:DD57" si="187">DD7</f>
        <v>140000</v>
      </c>
      <c r="DE47" s="30"/>
      <c r="DG47" s="31"/>
      <c r="DH47" s="30"/>
      <c r="DI47" s="30"/>
      <c r="DJ47" s="30">
        <f t="shared" ref="DJ47:DJ57" si="188">DJ7</f>
        <v>0</v>
      </c>
      <c r="DK47" s="30"/>
      <c r="DM47" s="31"/>
      <c r="DN47" s="30"/>
      <c r="DO47" s="30"/>
      <c r="DP47" s="30">
        <f t="shared" ref="DP47:DP57" si="189">DP7</f>
        <v>0</v>
      </c>
      <c r="DQ47" s="30"/>
      <c r="DS47" s="31"/>
      <c r="DT47" s="30"/>
      <c r="DU47" s="30"/>
      <c r="DV47" s="30">
        <f t="shared" ref="DV47:DV57" si="190">DV7</f>
        <v>0</v>
      </c>
      <c r="DW47" s="30"/>
      <c r="DY47" s="31"/>
      <c r="DZ47" s="30"/>
      <c r="EA47" s="30"/>
      <c r="EB47" s="30">
        <f t="shared" ref="EB47:EB57" si="191">EB7</f>
        <v>0</v>
      </c>
      <c r="EC47" s="30"/>
      <c r="EE47" s="31"/>
      <c r="EF47" s="30"/>
      <c r="EG47" s="30"/>
      <c r="EH47" s="30">
        <f t="shared" ref="EH47:EH57" si="192">EH7</f>
        <v>0</v>
      </c>
      <c r="EI47" s="30"/>
      <c r="EK47" s="31"/>
      <c r="EL47" s="30"/>
      <c r="EM47" s="30"/>
      <c r="EN47" s="30">
        <f t="shared" ref="EN47:EN57" si="193">EN7</f>
        <v>0</v>
      </c>
      <c r="EO47" s="30"/>
      <c r="EQ47" s="31"/>
      <c r="ER47" s="30"/>
      <c r="ES47" s="30"/>
      <c r="ET47" s="30">
        <f t="shared" ref="ET47:ET57" si="194">ET7</f>
        <v>0</v>
      </c>
      <c r="EU47" s="30"/>
      <c r="EW47" s="31"/>
      <c r="EX47" s="30"/>
      <c r="EY47" s="30"/>
      <c r="EZ47" s="30">
        <f t="shared" ref="EZ47:EZ57" si="195">EZ7</f>
        <v>0</v>
      </c>
      <c r="FA47" s="30"/>
      <c r="FC47" s="31"/>
      <c r="FD47" s="30"/>
      <c r="FE47" s="30"/>
      <c r="FF47" s="30">
        <f t="shared" ref="FF47:FF57" si="196">FF7</f>
        <v>0</v>
      </c>
      <c r="FG47" s="30"/>
      <c r="FI47" s="31"/>
      <c r="FJ47" s="30"/>
      <c r="FK47" s="30"/>
      <c r="FL47" s="30">
        <f t="shared" ref="FL47:FL57" si="197">FL7</f>
        <v>0</v>
      </c>
      <c r="FM47" s="30"/>
      <c r="FO47" s="31"/>
      <c r="FP47" s="30"/>
      <c r="FQ47" s="30"/>
      <c r="FR47" s="30">
        <f t="shared" ref="FR47:FR57" si="198">FR7</f>
        <v>0</v>
      </c>
      <c r="FS47" s="30"/>
      <c r="FU47" s="31"/>
      <c r="FV47" s="30"/>
      <c r="FW47" s="30"/>
      <c r="FX47" s="30">
        <f t="shared" ref="FX47:FX57" si="199">FX7</f>
        <v>0</v>
      </c>
      <c r="FY47" s="30"/>
      <c r="GA47" s="31"/>
      <c r="GB47" s="30"/>
      <c r="GC47" s="30"/>
      <c r="GD47" s="30">
        <f t="shared" ref="GD47:GD57" si="200">GD7</f>
        <v>0</v>
      </c>
      <c r="GE47" s="30"/>
      <c r="GG47" s="31"/>
      <c r="GH47" s="30"/>
      <c r="GI47" s="30"/>
      <c r="GJ47" s="30">
        <f t="shared" ref="GJ47:GJ57" si="201">GJ7</f>
        <v>0</v>
      </c>
      <c r="GK47" s="30"/>
      <c r="GM47" s="31"/>
      <c r="GN47" s="30"/>
      <c r="GO47" s="30"/>
      <c r="GP47" s="30">
        <f t="shared" ref="GP47:GP57" si="202">GP7</f>
        <v>0</v>
      </c>
      <c r="GQ47" s="30"/>
      <c r="GS47" s="31"/>
      <c r="GT47" s="30"/>
      <c r="GU47" s="30"/>
      <c r="GV47" s="30">
        <f t="shared" ref="GV47:GV57" si="203">GV7</f>
        <v>0</v>
      </c>
      <c r="GW47" s="30"/>
      <c r="GY47" s="31"/>
      <c r="GZ47" s="30"/>
      <c r="HA47" s="30"/>
      <c r="HB47" s="30">
        <f t="shared" ref="HB47:HB57" si="204">HB7</f>
        <v>0</v>
      </c>
      <c r="HC47" s="30"/>
    </row>
    <row r="48" spans="1:211" s="32" customFormat="1" hidden="1" outlineLevel="2" x14ac:dyDescent="0.2">
      <c r="A48" s="32" t="s">
        <v>63</v>
      </c>
      <c r="B48" s="30">
        <f t="shared" si="169"/>
        <v>0</v>
      </c>
      <c r="C48" s="31"/>
      <c r="D48" s="30"/>
      <c r="E48" s="30"/>
      <c r="F48" s="30">
        <f t="shared" si="170"/>
        <v>0</v>
      </c>
      <c r="G48" s="30"/>
      <c r="I48" s="31"/>
      <c r="J48" s="30"/>
      <c r="K48" s="30"/>
      <c r="L48" s="30">
        <f t="shared" si="171"/>
        <v>0</v>
      </c>
      <c r="M48" s="30"/>
      <c r="O48" s="31"/>
      <c r="P48" s="30"/>
      <c r="Q48" s="30"/>
      <c r="R48" s="30">
        <f t="shared" si="172"/>
        <v>0</v>
      </c>
      <c r="S48" s="30"/>
      <c r="U48" s="31"/>
      <c r="V48" s="30"/>
      <c r="W48" s="30"/>
      <c r="X48" s="30">
        <f t="shared" si="173"/>
        <v>0</v>
      </c>
      <c r="Y48" s="30"/>
      <c r="AA48" s="31"/>
      <c r="AB48" s="30"/>
      <c r="AC48" s="30"/>
      <c r="AD48" s="30">
        <f t="shared" si="174"/>
        <v>0</v>
      </c>
      <c r="AE48" s="30"/>
      <c r="AG48" s="31"/>
      <c r="AH48" s="30"/>
      <c r="AI48" s="30"/>
      <c r="AJ48" s="30">
        <f t="shared" si="175"/>
        <v>0</v>
      </c>
      <c r="AK48" s="30"/>
      <c r="AM48" s="31"/>
      <c r="AN48" s="30"/>
      <c r="AO48" s="30"/>
      <c r="AP48" s="30">
        <f t="shared" si="176"/>
        <v>0</v>
      </c>
      <c r="AQ48" s="30"/>
      <c r="AS48" s="31"/>
      <c r="AT48" s="30"/>
      <c r="AU48" s="30"/>
      <c r="AV48" s="30">
        <f t="shared" si="177"/>
        <v>0</v>
      </c>
      <c r="AW48" s="30"/>
      <c r="AY48" s="31"/>
      <c r="AZ48" s="30"/>
      <c r="BA48" s="30"/>
      <c r="BB48" s="30">
        <f t="shared" si="178"/>
        <v>0</v>
      </c>
      <c r="BC48" s="30"/>
      <c r="BE48" s="31"/>
      <c r="BF48" s="30"/>
      <c r="BG48" s="30"/>
      <c r="BH48" s="30">
        <f t="shared" si="179"/>
        <v>0</v>
      </c>
      <c r="BI48" s="30"/>
      <c r="BK48" s="31"/>
      <c r="BL48" s="30"/>
      <c r="BM48" s="30"/>
      <c r="BN48" s="30">
        <f t="shared" si="180"/>
        <v>0</v>
      </c>
      <c r="BO48" s="30"/>
      <c r="BQ48" s="31"/>
      <c r="BR48" s="30"/>
      <c r="BS48" s="30"/>
      <c r="BT48" s="30">
        <f t="shared" si="181"/>
        <v>0</v>
      </c>
      <c r="BU48" s="30"/>
      <c r="BW48" s="31"/>
      <c r="BX48" s="30"/>
      <c r="BY48" s="30"/>
      <c r="BZ48" s="30">
        <f t="shared" si="182"/>
        <v>0</v>
      </c>
      <c r="CA48" s="30"/>
      <c r="CC48" s="31"/>
      <c r="CD48" s="30"/>
      <c r="CE48" s="30"/>
      <c r="CF48" s="30">
        <f t="shared" si="183"/>
        <v>0</v>
      </c>
      <c r="CG48" s="30"/>
      <c r="CI48" s="31"/>
      <c r="CJ48" s="30"/>
      <c r="CK48" s="30"/>
      <c r="CL48" s="30">
        <f t="shared" si="184"/>
        <v>0</v>
      </c>
      <c r="CM48" s="30"/>
      <c r="CO48" s="31"/>
      <c r="CP48" s="30"/>
      <c r="CQ48" s="30"/>
      <c r="CR48" s="30">
        <f t="shared" si="185"/>
        <v>0</v>
      </c>
      <c r="CS48" s="30"/>
      <c r="CU48" s="31"/>
      <c r="CV48" s="30"/>
      <c r="CW48" s="30"/>
      <c r="CX48" s="30">
        <f t="shared" si="186"/>
        <v>0</v>
      </c>
      <c r="CY48" s="30"/>
      <c r="DA48" s="31"/>
      <c r="DB48" s="30"/>
      <c r="DC48" s="30"/>
      <c r="DD48" s="30">
        <f t="shared" si="187"/>
        <v>0</v>
      </c>
      <c r="DE48" s="30"/>
      <c r="DG48" s="31"/>
      <c r="DH48" s="30"/>
      <c r="DI48" s="30"/>
      <c r="DJ48" s="30">
        <f t="shared" si="188"/>
        <v>0</v>
      </c>
      <c r="DK48" s="30"/>
      <c r="DM48" s="31"/>
      <c r="DN48" s="30"/>
      <c r="DO48" s="30"/>
      <c r="DP48" s="30">
        <f t="shared" si="189"/>
        <v>0</v>
      </c>
      <c r="DQ48" s="30"/>
      <c r="DS48" s="31"/>
      <c r="DT48" s="30"/>
      <c r="DU48" s="30"/>
      <c r="DV48" s="30">
        <f t="shared" si="190"/>
        <v>0</v>
      </c>
      <c r="DW48" s="30"/>
      <c r="DY48" s="31"/>
      <c r="DZ48" s="30"/>
      <c r="EA48" s="30"/>
      <c r="EB48" s="30">
        <f t="shared" si="191"/>
        <v>0</v>
      </c>
      <c r="EC48" s="30"/>
      <c r="EE48" s="31"/>
      <c r="EF48" s="30"/>
      <c r="EG48" s="30"/>
      <c r="EH48" s="30">
        <f t="shared" si="192"/>
        <v>0</v>
      </c>
      <c r="EI48" s="30"/>
      <c r="EK48" s="31"/>
      <c r="EL48" s="30"/>
      <c r="EM48" s="30"/>
      <c r="EN48" s="30">
        <f t="shared" si="193"/>
        <v>0</v>
      </c>
      <c r="EO48" s="30"/>
      <c r="EQ48" s="31"/>
      <c r="ER48" s="30"/>
      <c r="ES48" s="30"/>
      <c r="ET48" s="30">
        <f t="shared" si="194"/>
        <v>0</v>
      </c>
      <c r="EU48" s="30"/>
      <c r="EW48" s="31"/>
      <c r="EX48" s="30"/>
      <c r="EY48" s="30"/>
      <c r="EZ48" s="30">
        <f t="shared" si="195"/>
        <v>0</v>
      </c>
      <c r="FA48" s="30"/>
      <c r="FC48" s="31"/>
      <c r="FD48" s="30"/>
      <c r="FE48" s="30"/>
      <c r="FF48" s="30">
        <f t="shared" si="196"/>
        <v>0</v>
      </c>
      <c r="FG48" s="30"/>
      <c r="FI48" s="31"/>
      <c r="FJ48" s="30"/>
      <c r="FK48" s="30"/>
      <c r="FL48" s="30">
        <f t="shared" si="197"/>
        <v>0</v>
      </c>
      <c r="FM48" s="30"/>
      <c r="FO48" s="31"/>
      <c r="FP48" s="30"/>
      <c r="FQ48" s="30"/>
      <c r="FR48" s="30">
        <f t="shared" si="198"/>
        <v>0</v>
      </c>
      <c r="FS48" s="30"/>
      <c r="FU48" s="31"/>
      <c r="FV48" s="30"/>
      <c r="FW48" s="30"/>
      <c r="FX48" s="30">
        <f t="shared" si="199"/>
        <v>0</v>
      </c>
      <c r="FY48" s="30"/>
      <c r="GA48" s="31"/>
      <c r="GB48" s="30"/>
      <c r="GC48" s="30"/>
      <c r="GD48" s="30">
        <f t="shared" si="200"/>
        <v>0</v>
      </c>
      <c r="GE48" s="30"/>
      <c r="GG48" s="31"/>
      <c r="GH48" s="30"/>
      <c r="GI48" s="30"/>
      <c r="GJ48" s="30">
        <f t="shared" si="201"/>
        <v>0</v>
      </c>
      <c r="GK48" s="30"/>
      <c r="GM48" s="31"/>
      <c r="GN48" s="30"/>
      <c r="GO48" s="30"/>
      <c r="GP48" s="30">
        <f t="shared" si="202"/>
        <v>0</v>
      </c>
      <c r="GQ48" s="30"/>
      <c r="GS48" s="31"/>
      <c r="GT48" s="30"/>
      <c r="GU48" s="30"/>
      <c r="GV48" s="30">
        <f t="shared" si="203"/>
        <v>0</v>
      </c>
      <c r="GW48" s="30"/>
      <c r="GY48" s="31"/>
      <c r="GZ48" s="30"/>
      <c r="HA48" s="30"/>
      <c r="HB48" s="30">
        <f t="shared" si="204"/>
        <v>0</v>
      </c>
      <c r="HC48" s="30"/>
    </row>
    <row r="49" spans="1:211" s="32" customFormat="1" hidden="1" outlineLevel="2" x14ac:dyDescent="0.2">
      <c r="A49" s="32" t="s">
        <v>64</v>
      </c>
      <c r="B49" s="30">
        <f t="shared" si="169"/>
        <v>42000</v>
      </c>
      <c r="C49" s="31"/>
      <c r="D49" s="30"/>
      <c r="E49" s="30"/>
      <c r="F49" s="30">
        <f t="shared" si="170"/>
        <v>0</v>
      </c>
      <c r="G49" s="30"/>
      <c r="I49" s="31"/>
      <c r="J49" s="30"/>
      <c r="K49" s="30"/>
      <c r="L49" s="30">
        <f t="shared" si="171"/>
        <v>0</v>
      </c>
      <c r="M49" s="30"/>
      <c r="O49" s="31"/>
      <c r="P49" s="30"/>
      <c r="Q49" s="30"/>
      <c r="R49" s="30">
        <f t="shared" si="172"/>
        <v>0</v>
      </c>
      <c r="S49" s="30"/>
      <c r="U49" s="31"/>
      <c r="V49" s="30"/>
      <c r="W49" s="30"/>
      <c r="X49" s="30">
        <f t="shared" si="173"/>
        <v>0</v>
      </c>
      <c r="Y49" s="30"/>
      <c r="AA49" s="31"/>
      <c r="AB49" s="30"/>
      <c r="AC49" s="30"/>
      <c r="AD49" s="30">
        <f t="shared" si="174"/>
        <v>0</v>
      </c>
      <c r="AE49" s="30"/>
      <c r="AG49" s="31"/>
      <c r="AH49" s="30"/>
      <c r="AI49" s="30"/>
      <c r="AJ49" s="30">
        <f t="shared" si="175"/>
        <v>0</v>
      </c>
      <c r="AK49" s="30"/>
      <c r="AM49" s="31"/>
      <c r="AN49" s="30"/>
      <c r="AO49" s="30"/>
      <c r="AP49" s="30">
        <f t="shared" si="176"/>
        <v>0</v>
      </c>
      <c r="AQ49" s="30"/>
      <c r="AS49" s="31"/>
      <c r="AT49" s="30"/>
      <c r="AU49" s="30"/>
      <c r="AV49" s="30">
        <f t="shared" si="177"/>
        <v>42000</v>
      </c>
      <c r="AW49" s="30"/>
      <c r="AY49" s="31"/>
      <c r="AZ49" s="30"/>
      <c r="BA49" s="30"/>
      <c r="BB49" s="30">
        <f t="shared" si="178"/>
        <v>0</v>
      </c>
      <c r="BC49" s="30"/>
      <c r="BE49" s="31"/>
      <c r="BF49" s="30"/>
      <c r="BG49" s="30"/>
      <c r="BH49" s="30">
        <f t="shared" si="179"/>
        <v>0</v>
      </c>
      <c r="BI49" s="30"/>
      <c r="BK49" s="31"/>
      <c r="BL49" s="30"/>
      <c r="BM49" s="30"/>
      <c r="BN49" s="30">
        <f t="shared" si="180"/>
        <v>0</v>
      </c>
      <c r="BO49" s="30"/>
      <c r="BQ49" s="31"/>
      <c r="BR49" s="30"/>
      <c r="BS49" s="30"/>
      <c r="BT49" s="30">
        <f t="shared" si="181"/>
        <v>0</v>
      </c>
      <c r="BU49" s="30"/>
      <c r="BW49" s="31"/>
      <c r="BX49" s="30"/>
      <c r="BY49" s="30"/>
      <c r="BZ49" s="30">
        <f t="shared" si="182"/>
        <v>0</v>
      </c>
      <c r="CA49" s="30"/>
      <c r="CC49" s="31"/>
      <c r="CD49" s="30"/>
      <c r="CE49" s="30"/>
      <c r="CF49" s="30">
        <f t="shared" si="183"/>
        <v>0</v>
      </c>
      <c r="CG49" s="30"/>
      <c r="CI49" s="31"/>
      <c r="CJ49" s="30"/>
      <c r="CK49" s="30"/>
      <c r="CL49" s="30">
        <f t="shared" si="184"/>
        <v>0</v>
      </c>
      <c r="CM49" s="30"/>
      <c r="CO49" s="31"/>
      <c r="CP49" s="30"/>
      <c r="CQ49" s="30"/>
      <c r="CR49" s="30">
        <f t="shared" si="185"/>
        <v>0</v>
      </c>
      <c r="CS49" s="30"/>
      <c r="CU49" s="31"/>
      <c r="CV49" s="30"/>
      <c r="CW49" s="30"/>
      <c r="CX49" s="30">
        <f t="shared" si="186"/>
        <v>0</v>
      </c>
      <c r="CY49" s="30"/>
      <c r="DA49" s="31"/>
      <c r="DB49" s="30"/>
      <c r="DC49" s="30"/>
      <c r="DD49" s="30">
        <f t="shared" si="187"/>
        <v>0</v>
      </c>
      <c r="DE49" s="30"/>
      <c r="DG49" s="31"/>
      <c r="DH49" s="30"/>
      <c r="DI49" s="30"/>
      <c r="DJ49" s="30">
        <f t="shared" si="188"/>
        <v>0</v>
      </c>
      <c r="DK49" s="30"/>
      <c r="DM49" s="31"/>
      <c r="DN49" s="30"/>
      <c r="DO49" s="30"/>
      <c r="DP49" s="30">
        <f t="shared" si="189"/>
        <v>0</v>
      </c>
      <c r="DQ49" s="30"/>
      <c r="DS49" s="31"/>
      <c r="DT49" s="30"/>
      <c r="DU49" s="30"/>
      <c r="DV49" s="30">
        <f t="shared" si="190"/>
        <v>0</v>
      </c>
      <c r="DW49" s="30"/>
      <c r="DY49" s="31"/>
      <c r="DZ49" s="30"/>
      <c r="EA49" s="30"/>
      <c r="EB49" s="30">
        <f t="shared" si="191"/>
        <v>0</v>
      </c>
      <c r="EC49" s="30"/>
      <c r="EE49" s="31"/>
      <c r="EF49" s="30"/>
      <c r="EG49" s="30"/>
      <c r="EH49" s="30">
        <f t="shared" si="192"/>
        <v>0</v>
      </c>
      <c r="EI49" s="30"/>
      <c r="EK49" s="31"/>
      <c r="EL49" s="30"/>
      <c r="EM49" s="30"/>
      <c r="EN49" s="30">
        <f t="shared" si="193"/>
        <v>0</v>
      </c>
      <c r="EO49" s="30"/>
      <c r="EQ49" s="31"/>
      <c r="ER49" s="30"/>
      <c r="ES49" s="30"/>
      <c r="ET49" s="30">
        <f t="shared" si="194"/>
        <v>0</v>
      </c>
      <c r="EU49" s="30"/>
      <c r="EW49" s="31"/>
      <c r="EX49" s="30"/>
      <c r="EY49" s="30"/>
      <c r="EZ49" s="30">
        <f t="shared" si="195"/>
        <v>0</v>
      </c>
      <c r="FA49" s="30"/>
      <c r="FC49" s="31"/>
      <c r="FD49" s="30"/>
      <c r="FE49" s="30"/>
      <c r="FF49" s="30">
        <f t="shared" si="196"/>
        <v>0</v>
      </c>
      <c r="FG49" s="30"/>
      <c r="FI49" s="31"/>
      <c r="FJ49" s="30"/>
      <c r="FK49" s="30"/>
      <c r="FL49" s="30">
        <f t="shared" si="197"/>
        <v>0</v>
      </c>
      <c r="FM49" s="30"/>
      <c r="FO49" s="31"/>
      <c r="FP49" s="30"/>
      <c r="FQ49" s="30"/>
      <c r="FR49" s="30">
        <f t="shared" si="198"/>
        <v>0</v>
      </c>
      <c r="FS49" s="30"/>
      <c r="FU49" s="31"/>
      <c r="FV49" s="30"/>
      <c r="FW49" s="30"/>
      <c r="FX49" s="30">
        <f t="shared" si="199"/>
        <v>0</v>
      </c>
      <c r="FY49" s="30"/>
      <c r="GA49" s="31"/>
      <c r="GB49" s="30"/>
      <c r="GC49" s="30"/>
      <c r="GD49" s="30">
        <f t="shared" si="200"/>
        <v>0</v>
      </c>
      <c r="GE49" s="30"/>
      <c r="GG49" s="31"/>
      <c r="GH49" s="30"/>
      <c r="GI49" s="30"/>
      <c r="GJ49" s="30">
        <f t="shared" si="201"/>
        <v>0</v>
      </c>
      <c r="GK49" s="30"/>
      <c r="GM49" s="31"/>
      <c r="GN49" s="30"/>
      <c r="GO49" s="30"/>
      <c r="GP49" s="30">
        <f t="shared" si="202"/>
        <v>0</v>
      </c>
      <c r="GQ49" s="30"/>
      <c r="GS49" s="31"/>
      <c r="GT49" s="30"/>
      <c r="GU49" s="30"/>
      <c r="GV49" s="30">
        <f t="shared" si="203"/>
        <v>0</v>
      </c>
      <c r="GW49" s="30"/>
      <c r="GY49" s="31"/>
      <c r="GZ49" s="30"/>
      <c r="HA49" s="30"/>
      <c r="HB49" s="30">
        <f t="shared" si="204"/>
        <v>0</v>
      </c>
      <c r="HC49" s="30"/>
    </row>
    <row r="50" spans="1:211" s="32" customFormat="1" hidden="1" outlineLevel="2" x14ac:dyDescent="0.2">
      <c r="A50" s="32" t="s">
        <v>65</v>
      </c>
      <c r="B50" s="30">
        <f t="shared" si="169"/>
        <v>210000</v>
      </c>
      <c r="C50" s="31"/>
      <c r="D50" s="30"/>
      <c r="E50" s="30"/>
      <c r="F50" s="30">
        <f t="shared" si="170"/>
        <v>0</v>
      </c>
      <c r="G50" s="30"/>
      <c r="I50" s="31"/>
      <c r="J50" s="30"/>
      <c r="K50" s="30"/>
      <c r="L50" s="30">
        <f t="shared" si="171"/>
        <v>0</v>
      </c>
      <c r="M50" s="30"/>
      <c r="O50" s="31"/>
      <c r="P50" s="30"/>
      <c r="Q50" s="30"/>
      <c r="R50" s="30">
        <f t="shared" si="172"/>
        <v>0</v>
      </c>
      <c r="S50" s="30"/>
      <c r="U50" s="31"/>
      <c r="V50" s="30"/>
      <c r="W50" s="30"/>
      <c r="X50" s="30">
        <f t="shared" si="173"/>
        <v>0</v>
      </c>
      <c r="Y50" s="30"/>
      <c r="AA50" s="31"/>
      <c r="AB50" s="30"/>
      <c r="AC50" s="30"/>
      <c r="AD50" s="30">
        <f t="shared" si="174"/>
        <v>0</v>
      </c>
      <c r="AE50" s="30"/>
      <c r="AG50" s="31"/>
      <c r="AH50" s="30"/>
      <c r="AI50" s="30"/>
      <c r="AJ50" s="30">
        <f t="shared" si="175"/>
        <v>0</v>
      </c>
      <c r="AK50" s="30"/>
      <c r="AM50" s="31"/>
      <c r="AN50" s="30"/>
      <c r="AO50" s="30"/>
      <c r="AP50" s="30">
        <f t="shared" si="176"/>
        <v>0</v>
      </c>
      <c r="AQ50" s="30"/>
      <c r="AS50" s="31"/>
      <c r="AT50" s="30"/>
      <c r="AU50" s="30"/>
      <c r="AV50" s="30">
        <f t="shared" si="177"/>
        <v>0</v>
      </c>
      <c r="AW50" s="30"/>
      <c r="AY50" s="31"/>
      <c r="AZ50" s="30"/>
      <c r="BA50" s="30"/>
      <c r="BB50" s="30">
        <f t="shared" si="178"/>
        <v>0</v>
      </c>
      <c r="BC50" s="30"/>
      <c r="BE50" s="31"/>
      <c r="BF50" s="30"/>
      <c r="BG50" s="30"/>
      <c r="BH50" s="30">
        <f t="shared" si="179"/>
        <v>0</v>
      </c>
      <c r="BI50" s="30"/>
      <c r="BK50" s="31"/>
      <c r="BL50" s="30"/>
      <c r="BM50" s="30"/>
      <c r="BN50" s="30">
        <f t="shared" si="180"/>
        <v>0</v>
      </c>
      <c r="BO50" s="30"/>
      <c r="BQ50" s="31"/>
      <c r="BR50" s="30"/>
      <c r="BS50" s="30"/>
      <c r="BT50" s="30">
        <f t="shared" si="181"/>
        <v>0</v>
      </c>
      <c r="BU50" s="30"/>
      <c r="BW50" s="31"/>
      <c r="BX50" s="30"/>
      <c r="BY50" s="30"/>
      <c r="BZ50" s="30">
        <f t="shared" si="182"/>
        <v>210000</v>
      </c>
      <c r="CA50" s="30"/>
      <c r="CC50" s="31"/>
      <c r="CD50" s="30"/>
      <c r="CE50" s="30"/>
      <c r="CF50" s="30">
        <f t="shared" si="183"/>
        <v>0</v>
      </c>
      <c r="CG50" s="30"/>
      <c r="CI50" s="31"/>
      <c r="CJ50" s="30"/>
      <c r="CK50" s="30"/>
      <c r="CL50" s="30">
        <f t="shared" si="184"/>
        <v>0</v>
      </c>
      <c r="CM50" s="30"/>
      <c r="CO50" s="31"/>
      <c r="CP50" s="30"/>
      <c r="CQ50" s="30"/>
      <c r="CR50" s="30">
        <f t="shared" si="185"/>
        <v>0</v>
      </c>
      <c r="CS50" s="30"/>
      <c r="CU50" s="31"/>
      <c r="CV50" s="30"/>
      <c r="CW50" s="30"/>
      <c r="CX50" s="30">
        <f t="shared" si="186"/>
        <v>0</v>
      </c>
      <c r="CY50" s="30"/>
      <c r="DA50" s="31"/>
      <c r="DB50" s="30"/>
      <c r="DC50" s="30"/>
      <c r="DD50" s="30">
        <f t="shared" si="187"/>
        <v>0</v>
      </c>
      <c r="DE50" s="30"/>
      <c r="DG50" s="31"/>
      <c r="DH50" s="30"/>
      <c r="DI50" s="30"/>
      <c r="DJ50" s="30">
        <f t="shared" si="188"/>
        <v>0</v>
      </c>
      <c r="DK50" s="30"/>
      <c r="DM50" s="31"/>
      <c r="DN50" s="30"/>
      <c r="DO50" s="30"/>
      <c r="DP50" s="30">
        <f t="shared" si="189"/>
        <v>0</v>
      </c>
      <c r="DQ50" s="30"/>
      <c r="DS50" s="31"/>
      <c r="DT50" s="30"/>
      <c r="DU50" s="30"/>
      <c r="DV50" s="30">
        <f t="shared" si="190"/>
        <v>0</v>
      </c>
      <c r="DW50" s="30"/>
      <c r="DY50" s="31"/>
      <c r="DZ50" s="30"/>
      <c r="EA50" s="30"/>
      <c r="EB50" s="30">
        <f t="shared" si="191"/>
        <v>0</v>
      </c>
      <c r="EC50" s="30"/>
      <c r="EE50" s="31"/>
      <c r="EF50" s="30"/>
      <c r="EG50" s="30"/>
      <c r="EH50" s="30">
        <f t="shared" si="192"/>
        <v>0</v>
      </c>
      <c r="EI50" s="30"/>
      <c r="EK50" s="31"/>
      <c r="EL50" s="30"/>
      <c r="EM50" s="30"/>
      <c r="EN50" s="30">
        <f t="shared" si="193"/>
        <v>0</v>
      </c>
      <c r="EO50" s="30"/>
      <c r="EQ50" s="31"/>
      <c r="ER50" s="30"/>
      <c r="ES50" s="30"/>
      <c r="ET50" s="30">
        <f t="shared" si="194"/>
        <v>0</v>
      </c>
      <c r="EU50" s="30"/>
      <c r="EW50" s="31"/>
      <c r="EX50" s="30"/>
      <c r="EY50" s="30"/>
      <c r="EZ50" s="30">
        <f t="shared" si="195"/>
        <v>0</v>
      </c>
      <c r="FA50" s="30"/>
      <c r="FC50" s="31"/>
      <c r="FD50" s="30"/>
      <c r="FE50" s="30"/>
      <c r="FF50" s="30">
        <f t="shared" si="196"/>
        <v>0</v>
      </c>
      <c r="FG50" s="30"/>
      <c r="FI50" s="31"/>
      <c r="FJ50" s="30"/>
      <c r="FK50" s="30"/>
      <c r="FL50" s="30">
        <f t="shared" si="197"/>
        <v>0</v>
      </c>
      <c r="FM50" s="30"/>
      <c r="FO50" s="31"/>
      <c r="FP50" s="30"/>
      <c r="FQ50" s="30"/>
      <c r="FR50" s="30">
        <f t="shared" si="198"/>
        <v>0</v>
      </c>
      <c r="FS50" s="30"/>
      <c r="FU50" s="31"/>
      <c r="FV50" s="30"/>
      <c r="FW50" s="30"/>
      <c r="FX50" s="30">
        <f t="shared" si="199"/>
        <v>0</v>
      </c>
      <c r="FY50" s="30"/>
      <c r="GA50" s="31"/>
      <c r="GB50" s="30"/>
      <c r="GC50" s="30"/>
      <c r="GD50" s="30">
        <f t="shared" si="200"/>
        <v>0</v>
      </c>
      <c r="GE50" s="30"/>
      <c r="GG50" s="31"/>
      <c r="GH50" s="30"/>
      <c r="GI50" s="30"/>
      <c r="GJ50" s="30">
        <f t="shared" si="201"/>
        <v>0</v>
      </c>
      <c r="GK50" s="30"/>
      <c r="GM50" s="31"/>
      <c r="GN50" s="30"/>
      <c r="GO50" s="30"/>
      <c r="GP50" s="30">
        <f t="shared" si="202"/>
        <v>0</v>
      </c>
      <c r="GQ50" s="30"/>
      <c r="GS50" s="31"/>
      <c r="GT50" s="30"/>
      <c r="GU50" s="30"/>
      <c r="GV50" s="30">
        <f t="shared" si="203"/>
        <v>0</v>
      </c>
      <c r="GW50" s="30"/>
      <c r="GY50" s="31"/>
      <c r="GZ50" s="30"/>
      <c r="HA50" s="30"/>
      <c r="HB50" s="30">
        <f t="shared" si="204"/>
        <v>0</v>
      </c>
      <c r="HC50" s="30"/>
    </row>
    <row r="51" spans="1:211" s="32" customFormat="1" hidden="1" outlineLevel="2" x14ac:dyDescent="0.2">
      <c r="A51" s="32" t="s">
        <v>66</v>
      </c>
      <c r="B51" s="30">
        <f t="shared" si="169"/>
        <v>193500</v>
      </c>
      <c r="C51" s="31"/>
      <c r="D51" s="30"/>
      <c r="E51" s="30"/>
      <c r="F51" s="30">
        <f t="shared" si="170"/>
        <v>0</v>
      </c>
      <c r="G51" s="30"/>
      <c r="I51" s="31"/>
      <c r="J51" s="30"/>
      <c r="K51" s="30"/>
      <c r="L51" s="30">
        <f t="shared" si="171"/>
        <v>0</v>
      </c>
      <c r="M51" s="30"/>
      <c r="O51" s="31"/>
      <c r="P51" s="30"/>
      <c r="Q51" s="30"/>
      <c r="R51" s="30">
        <f t="shared" si="172"/>
        <v>0</v>
      </c>
      <c r="S51" s="30"/>
      <c r="U51" s="31"/>
      <c r="V51" s="30"/>
      <c r="W51" s="30"/>
      <c r="X51" s="30">
        <f t="shared" si="173"/>
        <v>0</v>
      </c>
      <c r="Y51" s="30"/>
      <c r="AA51" s="31"/>
      <c r="AB51" s="30"/>
      <c r="AC51" s="30"/>
      <c r="AD51" s="30">
        <f t="shared" si="174"/>
        <v>0</v>
      </c>
      <c r="AE51" s="30"/>
      <c r="AG51" s="31"/>
      <c r="AH51" s="30"/>
      <c r="AI51" s="30"/>
      <c r="AJ51" s="30">
        <f t="shared" si="175"/>
        <v>0</v>
      </c>
      <c r="AK51" s="30"/>
      <c r="AM51" s="31"/>
      <c r="AN51" s="30"/>
      <c r="AO51" s="30"/>
      <c r="AP51" s="30">
        <f t="shared" si="176"/>
        <v>0</v>
      </c>
      <c r="AQ51" s="30"/>
      <c r="AS51" s="31"/>
      <c r="AT51" s="30"/>
      <c r="AU51" s="30"/>
      <c r="AV51" s="30">
        <f t="shared" si="177"/>
        <v>0</v>
      </c>
      <c r="AW51" s="30"/>
      <c r="AY51" s="31"/>
      <c r="AZ51" s="30"/>
      <c r="BA51" s="30"/>
      <c r="BB51" s="30">
        <f t="shared" si="178"/>
        <v>0</v>
      </c>
      <c r="BC51" s="30"/>
      <c r="BE51" s="31"/>
      <c r="BF51" s="30"/>
      <c r="BG51" s="30"/>
      <c r="BH51" s="30">
        <f t="shared" si="179"/>
        <v>0</v>
      </c>
      <c r="BI51" s="30"/>
      <c r="BK51" s="31"/>
      <c r="BL51" s="30"/>
      <c r="BM51" s="30"/>
      <c r="BN51" s="30">
        <f t="shared" si="180"/>
        <v>0</v>
      </c>
      <c r="BO51" s="30"/>
      <c r="BQ51" s="31"/>
      <c r="BR51" s="30"/>
      <c r="BS51" s="30"/>
      <c r="BT51" s="30">
        <f t="shared" si="181"/>
        <v>193500</v>
      </c>
      <c r="BU51" s="30"/>
      <c r="BW51" s="31"/>
      <c r="BX51" s="30"/>
      <c r="BY51" s="30"/>
      <c r="BZ51" s="30">
        <f t="shared" si="182"/>
        <v>0</v>
      </c>
      <c r="CA51" s="30"/>
      <c r="CC51" s="31"/>
      <c r="CD51" s="30"/>
      <c r="CE51" s="30"/>
      <c r="CF51" s="30">
        <f t="shared" si="183"/>
        <v>0</v>
      </c>
      <c r="CG51" s="30"/>
      <c r="CI51" s="31"/>
      <c r="CJ51" s="30"/>
      <c r="CK51" s="30"/>
      <c r="CL51" s="30">
        <f t="shared" si="184"/>
        <v>0</v>
      </c>
      <c r="CM51" s="30"/>
      <c r="CO51" s="31"/>
      <c r="CP51" s="30"/>
      <c r="CQ51" s="30"/>
      <c r="CR51" s="30">
        <f t="shared" si="185"/>
        <v>0</v>
      </c>
      <c r="CS51" s="30"/>
      <c r="CU51" s="31"/>
      <c r="CV51" s="30"/>
      <c r="CW51" s="30"/>
      <c r="CX51" s="30">
        <f t="shared" si="186"/>
        <v>0</v>
      </c>
      <c r="CY51" s="30"/>
      <c r="DA51" s="31"/>
      <c r="DB51" s="30"/>
      <c r="DC51" s="30"/>
      <c r="DD51" s="30">
        <f t="shared" si="187"/>
        <v>0</v>
      </c>
      <c r="DE51" s="30"/>
      <c r="DG51" s="31"/>
      <c r="DH51" s="30"/>
      <c r="DI51" s="30"/>
      <c r="DJ51" s="30">
        <f t="shared" si="188"/>
        <v>0</v>
      </c>
      <c r="DK51" s="30"/>
      <c r="DM51" s="31"/>
      <c r="DN51" s="30"/>
      <c r="DO51" s="30"/>
      <c r="DP51" s="30">
        <f t="shared" si="189"/>
        <v>0</v>
      </c>
      <c r="DQ51" s="30"/>
      <c r="DS51" s="31"/>
      <c r="DT51" s="30"/>
      <c r="DU51" s="30"/>
      <c r="DV51" s="30">
        <f t="shared" si="190"/>
        <v>0</v>
      </c>
      <c r="DW51" s="30"/>
      <c r="DY51" s="31"/>
      <c r="DZ51" s="30"/>
      <c r="EA51" s="30"/>
      <c r="EB51" s="30">
        <f t="shared" si="191"/>
        <v>0</v>
      </c>
      <c r="EC51" s="30"/>
      <c r="EE51" s="31"/>
      <c r="EF51" s="30"/>
      <c r="EG51" s="30"/>
      <c r="EH51" s="30">
        <f t="shared" si="192"/>
        <v>0</v>
      </c>
      <c r="EI51" s="30"/>
      <c r="EK51" s="31"/>
      <c r="EL51" s="30"/>
      <c r="EM51" s="30"/>
      <c r="EN51" s="30">
        <f t="shared" si="193"/>
        <v>0</v>
      </c>
      <c r="EO51" s="30"/>
      <c r="EQ51" s="31"/>
      <c r="ER51" s="30"/>
      <c r="ES51" s="30"/>
      <c r="ET51" s="30">
        <f t="shared" si="194"/>
        <v>0</v>
      </c>
      <c r="EU51" s="30"/>
      <c r="EW51" s="31"/>
      <c r="EX51" s="30"/>
      <c r="EY51" s="30"/>
      <c r="EZ51" s="30">
        <f t="shared" si="195"/>
        <v>0</v>
      </c>
      <c r="FA51" s="30"/>
      <c r="FC51" s="31"/>
      <c r="FD51" s="30"/>
      <c r="FE51" s="30"/>
      <c r="FF51" s="30">
        <f t="shared" si="196"/>
        <v>0</v>
      </c>
      <c r="FG51" s="30"/>
      <c r="FI51" s="31"/>
      <c r="FJ51" s="30"/>
      <c r="FK51" s="30"/>
      <c r="FL51" s="30">
        <f t="shared" si="197"/>
        <v>0</v>
      </c>
      <c r="FM51" s="30"/>
      <c r="FO51" s="31"/>
      <c r="FP51" s="30"/>
      <c r="FQ51" s="30"/>
      <c r="FR51" s="30">
        <f t="shared" si="198"/>
        <v>0</v>
      </c>
      <c r="FS51" s="30"/>
      <c r="FU51" s="31"/>
      <c r="FV51" s="30"/>
      <c r="FW51" s="30"/>
      <c r="FX51" s="30">
        <f t="shared" si="199"/>
        <v>0</v>
      </c>
      <c r="FY51" s="30"/>
      <c r="GA51" s="31"/>
      <c r="GB51" s="30"/>
      <c r="GC51" s="30"/>
      <c r="GD51" s="30">
        <f t="shared" si="200"/>
        <v>0</v>
      </c>
      <c r="GE51" s="30"/>
      <c r="GG51" s="31"/>
      <c r="GH51" s="30"/>
      <c r="GI51" s="30"/>
      <c r="GJ51" s="30">
        <f t="shared" si="201"/>
        <v>0</v>
      </c>
      <c r="GK51" s="30"/>
      <c r="GM51" s="31"/>
      <c r="GN51" s="30"/>
      <c r="GO51" s="30"/>
      <c r="GP51" s="30">
        <f t="shared" si="202"/>
        <v>0</v>
      </c>
      <c r="GQ51" s="30"/>
      <c r="GS51" s="31"/>
      <c r="GT51" s="30"/>
      <c r="GU51" s="30"/>
      <c r="GV51" s="30">
        <f t="shared" si="203"/>
        <v>0</v>
      </c>
      <c r="GW51" s="30"/>
      <c r="GY51" s="31"/>
      <c r="GZ51" s="30"/>
      <c r="HA51" s="30"/>
      <c r="HB51" s="30">
        <f t="shared" si="204"/>
        <v>0</v>
      </c>
      <c r="HC51" s="30"/>
    </row>
    <row r="52" spans="1:211" s="32" customFormat="1" hidden="1" outlineLevel="2" x14ac:dyDescent="0.2">
      <c r="A52" s="32" t="s">
        <v>67</v>
      </c>
      <c r="B52" s="30">
        <f t="shared" si="169"/>
        <v>0</v>
      </c>
      <c r="C52" s="31"/>
      <c r="D52" s="30"/>
      <c r="E52" s="30"/>
      <c r="F52" s="30">
        <f t="shared" si="170"/>
        <v>0</v>
      </c>
      <c r="G52" s="30"/>
      <c r="I52" s="31"/>
      <c r="J52" s="30"/>
      <c r="K52" s="30"/>
      <c r="L52" s="30">
        <f t="shared" si="171"/>
        <v>0</v>
      </c>
      <c r="M52" s="30"/>
      <c r="O52" s="31"/>
      <c r="P52" s="30"/>
      <c r="Q52" s="30"/>
      <c r="R52" s="30">
        <f t="shared" si="172"/>
        <v>0</v>
      </c>
      <c r="S52" s="30"/>
      <c r="U52" s="31"/>
      <c r="V52" s="30"/>
      <c r="W52" s="30"/>
      <c r="X52" s="30">
        <f t="shared" si="173"/>
        <v>0</v>
      </c>
      <c r="Y52" s="30"/>
      <c r="AA52" s="31"/>
      <c r="AB52" s="30"/>
      <c r="AC52" s="30"/>
      <c r="AD52" s="30">
        <f t="shared" si="174"/>
        <v>0</v>
      </c>
      <c r="AE52" s="30"/>
      <c r="AG52" s="31"/>
      <c r="AH52" s="30"/>
      <c r="AI52" s="30"/>
      <c r="AJ52" s="30">
        <f t="shared" si="175"/>
        <v>0</v>
      </c>
      <c r="AK52" s="30"/>
      <c r="AM52" s="31"/>
      <c r="AN52" s="30"/>
      <c r="AO52" s="30"/>
      <c r="AP52" s="30">
        <f t="shared" si="176"/>
        <v>0</v>
      </c>
      <c r="AQ52" s="30"/>
      <c r="AS52" s="31"/>
      <c r="AT52" s="30"/>
      <c r="AU52" s="30"/>
      <c r="AV52" s="30">
        <f t="shared" si="177"/>
        <v>0</v>
      </c>
      <c r="AW52" s="30"/>
      <c r="AY52" s="31"/>
      <c r="AZ52" s="30"/>
      <c r="BA52" s="30"/>
      <c r="BB52" s="30">
        <f t="shared" si="178"/>
        <v>0</v>
      </c>
      <c r="BC52" s="30"/>
      <c r="BE52" s="31"/>
      <c r="BF52" s="30"/>
      <c r="BG52" s="30"/>
      <c r="BH52" s="30">
        <f t="shared" si="179"/>
        <v>0</v>
      </c>
      <c r="BI52" s="30"/>
      <c r="BK52" s="31"/>
      <c r="BL52" s="30"/>
      <c r="BM52" s="30"/>
      <c r="BN52" s="30">
        <f t="shared" si="180"/>
        <v>0</v>
      </c>
      <c r="BO52" s="30"/>
      <c r="BQ52" s="31"/>
      <c r="BR52" s="30"/>
      <c r="BS52" s="30"/>
      <c r="BT52" s="30">
        <f t="shared" si="181"/>
        <v>0</v>
      </c>
      <c r="BU52" s="30"/>
      <c r="BW52" s="31"/>
      <c r="BX52" s="30"/>
      <c r="BY52" s="30"/>
      <c r="BZ52" s="30">
        <f t="shared" si="182"/>
        <v>0</v>
      </c>
      <c r="CA52" s="30"/>
      <c r="CC52" s="31"/>
      <c r="CD52" s="30"/>
      <c r="CE52" s="30"/>
      <c r="CF52" s="30">
        <f t="shared" si="183"/>
        <v>0</v>
      </c>
      <c r="CG52" s="30"/>
      <c r="CI52" s="31"/>
      <c r="CJ52" s="30"/>
      <c r="CK52" s="30"/>
      <c r="CL52" s="30">
        <f t="shared" si="184"/>
        <v>0</v>
      </c>
      <c r="CM52" s="30"/>
      <c r="CO52" s="31"/>
      <c r="CP52" s="30"/>
      <c r="CQ52" s="30"/>
      <c r="CR52" s="30">
        <f t="shared" si="185"/>
        <v>0</v>
      </c>
      <c r="CS52" s="30"/>
      <c r="CU52" s="31"/>
      <c r="CV52" s="30"/>
      <c r="CW52" s="30"/>
      <c r="CX52" s="30">
        <f t="shared" si="186"/>
        <v>0</v>
      </c>
      <c r="CY52" s="30"/>
      <c r="DA52" s="31"/>
      <c r="DB52" s="30"/>
      <c r="DC52" s="30"/>
      <c r="DD52" s="30">
        <f t="shared" si="187"/>
        <v>0</v>
      </c>
      <c r="DE52" s="30"/>
      <c r="DG52" s="31"/>
      <c r="DH52" s="30"/>
      <c r="DI52" s="30"/>
      <c r="DJ52" s="30">
        <f t="shared" si="188"/>
        <v>0</v>
      </c>
      <c r="DK52" s="30"/>
      <c r="DM52" s="31"/>
      <c r="DN52" s="30"/>
      <c r="DO52" s="30"/>
      <c r="DP52" s="30">
        <f t="shared" si="189"/>
        <v>0</v>
      </c>
      <c r="DQ52" s="30"/>
      <c r="DS52" s="31"/>
      <c r="DT52" s="30"/>
      <c r="DU52" s="30"/>
      <c r="DV52" s="30">
        <f t="shared" si="190"/>
        <v>0</v>
      </c>
      <c r="DW52" s="30"/>
      <c r="DY52" s="31"/>
      <c r="DZ52" s="30"/>
      <c r="EA52" s="30"/>
      <c r="EB52" s="30">
        <f t="shared" si="191"/>
        <v>0</v>
      </c>
      <c r="EC52" s="30"/>
      <c r="EE52" s="31"/>
      <c r="EF52" s="30"/>
      <c r="EG52" s="30"/>
      <c r="EH52" s="30">
        <f t="shared" si="192"/>
        <v>0</v>
      </c>
      <c r="EI52" s="30"/>
      <c r="EK52" s="31"/>
      <c r="EL52" s="30"/>
      <c r="EM52" s="30"/>
      <c r="EN52" s="30">
        <f t="shared" si="193"/>
        <v>0</v>
      </c>
      <c r="EO52" s="30"/>
      <c r="EQ52" s="31"/>
      <c r="ER52" s="30"/>
      <c r="ES52" s="30"/>
      <c r="ET52" s="30">
        <f t="shared" si="194"/>
        <v>0</v>
      </c>
      <c r="EU52" s="30"/>
      <c r="EW52" s="31"/>
      <c r="EX52" s="30"/>
      <c r="EY52" s="30"/>
      <c r="EZ52" s="30">
        <f t="shared" si="195"/>
        <v>0</v>
      </c>
      <c r="FA52" s="30"/>
      <c r="FC52" s="31"/>
      <c r="FD52" s="30"/>
      <c r="FE52" s="30"/>
      <c r="FF52" s="30">
        <f t="shared" si="196"/>
        <v>0</v>
      </c>
      <c r="FG52" s="30"/>
      <c r="FI52" s="31"/>
      <c r="FJ52" s="30"/>
      <c r="FK52" s="30"/>
      <c r="FL52" s="30">
        <f t="shared" si="197"/>
        <v>0</v>
      </c>
      <c r="FM52" s="30"/>
      <c r="FO52" s="31"/>
      <c r="FP52" s="30"/>
      <c r="FQ52" s="30"/>
      <c r="FR52" s="30">
        <f t="shared" si="198"/>
        <v>0</v>
      </c>
      <c r="FS52" s="30"/>
      <c r="FU52" s="31"/>
      <c r="FV52" s="30"/>
      <c r="FW52" s="30"/>
      <c r="FX52" s="30">
        <f t="shared" si="199"/>
        <v>0</v>
      </c>
      <c r="FY52" s="30"/>
      <c r="GA52" s="31"/>
      <c r="GB52" s="30"/>
      <c r="GC52" s="30"/>
      <c r="GD52" s="30">
        <f t="shared" si="200"/>
        <v>0</v>
      </c>
      <c r="GE52" s="30"/>
      <c r="GG52" s="31"/>
      <c r="GH52" s="30"/>
      <c r="GI52" s="30"/>
      <c r="GJ52" s="30">
        <f t="shared" si="201"/>
        <v>0</v>
      </c>
      <c r="GK52" s="30"/>
      <c r="GM52" s="31"/>
      <c r="GN52" s="30"/>
      <c r="GO52" s="30"/>
      <c r="GP52" s="30">
        <f t="shared" si="202"/>
        <v>0</v>
      </c>
      <c r="GQ52" s="30"/>
      <c r="GS52" s="31"/>
      <c r="GT52" s="30"/>
      <c r="GU52" s="30"/>
      <c r="GV52" s="30">
        <f t="shared" si="203"/>
        <v>0</v>
      </c>
      <c r="GW52" s="30"/>
      <c r="GY52" s="31"/>
      <c r="GZ52" s="30"/>
      <c r="HA52" s="30"/>
      <c r="HB52" s="30">
        <f t="shared" si="204"/>
        <v>0</v>
      </c>
      <c r="HC52" s="30"/>
    </row>
    <row r="53" spans="1:211" s="32" customFormat="1" hidden="1" outlineLevel="2" x14ac:dyDescent="0.2">
      <c r="A53" s="32" t="s">
        <v>68</v>
      </c>
      <c r="B53" s="30">
        <f t="shared" si="169"/>
        <v>121500</v>
      </c>
      <c r="C53" s="31"/>
      <c r="D53" s="30"/>
      <c r="E53" s="30"/>
      <c r="F53" s="30">
        <f t="shared" si="170"/>
        <v>0</v>
      </c>
      <c r="G53" s="30"/>
      <c r="I53" s="31"/>
      <c r="J53" s="30"/>
      <c r="K53" s="30"/>
      <c r="L53" s="30">
        <f t="shared" si="171"/>
        <v>0</v>
      </c>
      <c r="M53" s="30"/>
      <c r="O53" s="31"/>
      <c r="P53" s="30"/>
      <c r="Q53" s="30"/>
      <c r="R53" s="30">
        <f t="shared" si="172"/>
        <v>0</v>
      </c>
      <c r="S53" s="30"/>
      <c r="U53" s="31"/>
      <c r="V53" s="30"/>
      <c r="W53" s="30"/>
      <c r="X53" s="30">
        <f t="shared" si="173"/>
        <v>0</v>
      </c>
      <c r="Y53" s="30"/>
      <c r="AA53" s="31"/>
      <c r="AB53" s="30"/>
      <c r="AC53" s="30"/>
      <c r="AD53" s="30">
        <f t="shared" si="174"/>
        <v>121500</v>
      </c>
      <c r="AE53" s="30"/>
      <c r="AG53" s="31"/>
      <c r="AH53" s="30"/>
      <c r="AI53" s="30"/>
      <c r="AJ53" s="30">
        <f t="shared" si="175"/>
        <v>0</v>
      </c>
      <c r="AK53" s="30"/>
      <c r="AM53" s="31"/>
      <c r="AN53" s="30"/>
      <c r="AO53" s="30"/>
      <c r="AP53" s="30">
        <f t="shared" si="176"/>
        <v>0</v>
      </c>
      <c r="AQ53" s="30"/>
      <c r="AS53" s="31"/>
      <c r="AT53" s="30"/>
      <c r="AU53" s="30"/>
      <c r="AV53" s="30">
        <f t="shared" si="177"/>
        <v>0</v>
      </c>
      <c r="AW53" s="30"/>
      <c r="AY53" s="31"/>
      <c r="AZ53" s="30"/>
      <c r="BA53" s="30"/>
      <c r="BB53" s="30">
        <f t="shared" si="178"/>
        <v>0</v>
      </c>
      <c r="BC53" s="30"/>
      <c r="BE53" s="31"/>
      <c r="BF53" s="30"/>
      <c r="BG53" s="30"/>
      <c r="BH53" s="30">
        <f t="shared" si="179"/>
        <v>0</v>
      </c>
      <c r="BI53" s="30"/>
      <c r="BK53" s="31"/>
      <c r="BL53" s="30"/>
      <c r="BM53" s="30"/>
      <c r="BN53" s="30">
        <f t="shared" si="180"/>
        <v>0</v>
      </c>
      <c r="BO53" s="30"/>
      <c r="BQ53" s="31"/>
      <c r="BR53" s="30"/>
      <c r="BS53" s="30"/>
      <c r="BT53" s="30">
        <f t="shared" si="181"/>
        <v>0</v>
      </c>
      <c r="BU53" s="30"/>
      <c r="BW53" s="31"/>
      <c r="BX53" s="30"/>
      <c r="BY53" s="30"/>
      <c r="BZ53" s="30">
        <f t="shared" si="182"/>
        <v>0</v>
      </c>
      <c r="CA53" s="30"/>
      <c r="CC53" s="31"/>
      <c r="CD53" s="30"/>
      <c r="CE53" s="30"/>
      <c r="CF53" s="30">
        <f t="shared" si="183"/>
        <v>0</v>
      </c>
      <c r="CG53" s="30"/>
      <c r="CI53" s="31"/>
      <c r="CJ53" s="30"/>
      <c r="CK53" s="30"/>
      <c r="CL53" s="30">
        <f t="shared" si="184"/>
        <v>0</v>
      </c>
      <c r="CM53" s="30"/>
      <c r="CO53" s="31"/>
      <c r="CP53" s="30"/>
      <c r="CQ53" s="30"/>
      <c r="CR53" s="30">
        <f t="shared" si="185"/>
        <v>0</v>
      </c>
      <c r="CS53" s="30"/>
      <c r="CU53" s="31"/>
      <c r="CV53" s="30"/>
      <c r="CW53" s="30"/>
      <c r="CX53" s="30">
        <f t="shared" si="186"/>
        <v>0</v>
      </c>
      <c r="CY53" s="30"/>
      <c r="DA53" s="31"/>
      <c r="DB53" s="30"/>
      <c r="DC53" s="30"/>
      <c r="DD53" s="30">
        <f t="shared" si="187"/>
        <v>0</v>
      </c>
      <c r="DE53" s="30"/>
      <c r="DG53" s="31"/>
      <c r="DH53" s="30"/>
      <c r="DI53" s="30"/>
      <c r="DJ53" s="30">
        <f t="shared" si="188"/>
        <v>0</v>
      </c>
      <c r="DK53" s="30"/>
      <c r="DM53" s="31"/>
      <c r="DN53" s="30"/>
      <c r="DO53" s="30"/>
      <c r="DP53" s="30">
        <f t="shared" si="189"/>
        <v>0</v>
      </c>
      <c r="DQ53" s="30"/>
      <c r="DS53" s="31"/>
      <c r="DT53" s="30"/>
      <c r="DU53" s="30"/>
      <c r="DV53" s="30">
        <f t="shared" si="190"/>
        <v>0</v>
      </c>
      <c r="DW53" s="30"/>
      <c r="DY53" s="31"/>
      <c r="DZ53" s="30"/>
      <c r="EA53" s="30"/>
      <c r="EB53" s="30">
        <f t="shared" si="191"/>
        <v>0</v>
      </c>
      <c r="EC53" s="30"/>
      <c r="EE53" s="31"/>
      <c r="EF53" s="30"/>
      <c r="EG53" s="30"/>
      <c r="EH53" s="30">
        <f t="shared" si="192"/>
        <v>0</v>
      </c>
      <c r="EI53" s="30"/>
      <c r="EK53" s="31"/>
      <c r="EL53" s="30"/>
      <c r="EM53" s="30"/>
      <c r="EN53" s="30">
        <f t="shared" si="193"/>
        <v>0</v>
      </c>
      <c r="EO53" s="30"/>
      <c r="EQ53" s="31"/>
      <c r="ER53" s="30"/>
      <c r="ES53" s="30"/>
      <c r="ET53" s="30">
        <f t="shared" si="194"/>
        <v>0</v>
      </c>
      <c r="EU53" s="30"/>
      <c r="EW53" s="31"/>
      <c r="EX53" s="30"/>
      <c r="EY53" s="30"/>
      <c r="EZ53" s="30">
        <f t="shared" si="195"/>
        <v>0</v>
      </c>
      <c r="FA53" s="30"/>
      <c r="FC53" s="31"/>
      <c r="FD53" s="30"/>
      <c r="FE53" s="30"/>
      <c r="FF53" s="30">
        <f t="shared" si="196"/>
        <v>0</v>
      </c>
      <c r="FG53" s="30"/>
      <c r="FI53" s="31"/>
      <c r="FJ53" s="30"/>
      <c r="FK53" s="30"/>
      <c r="FL53" s="30">
        <f t="shared" si="197"/>
        <v>0</v>
      </c>
      <c r="FM53" s="30"/>
      <c r="FO53" s="31"/>
      <c r="FP53" s="30"/>
      <c r="FQ53" s="30"/>
      <c r="FR53" s="30">
        <f t="shared" si="198"/>
        <v>0</v>
      </c>
      <c r="FS53" s="30"/>
      <c r="FU53" s="31"/>
      <c r="FV53" s="30"/>
      <c r="FW53" s="30"/>
      <c r="FX53" s="30">
        <f t="shared" si="199"/>
        <v>0</v>
      </c>
      <c r="FY53" s="30"/>
      <c r="GA53" s="31"/>
      <c r="GB53" s="30"/>
      <c r="GC53" s="30"/>
      <c r="GD53" s="30">
        <f t="shared" si="200"/>
        <v>0</v>
      </c>
      <c r="GE53" s="30"/>
      <c r="GG53" s="31"/>
      <c r="GH53" s="30"/>
      <c r="GI53" s="30"/>
      <c r="GJ53" s="30">
        <f t="shared" si="201"/>
        <v>0</v>
      </c>
      <c r="GK53" s="30"/>
      <c r="GM53" s="31"/>
      <c r="GN53" s="30"/>
      <c r="GO53" s="30"/>
      <c r="GP53" s="30">
        <f t="shared" si="202"/>
        <v>0</v>
      </c>
      <c r="GQ53" s="30"/>
      <c r="GS53" s="31"/>
      <c r="GT53" s="30"/>
      <c r="GU53" s="30"/>
      <c r="GV53" s="30">
        <f t="shared" si="203"/>
        <v>0</v>
      </c>
      <c r="GW53" s="30"/>
      <c r="GY53" s="31"/>
      <c r="GZ53" s="30"/>
      <c r="HA53" s="30"/>
      <c r="HB53" s="30">
        <f t="shared" si="204"/>
        <v>0</v>
      </c>
      <c r="HC53" s="30"/>
    </row>
    <row r="54" spans="1:211" s="32" customFormat="1" hidden="1" outlineLevel="2" x14ac:dyDescent="0.2">
      <c r="A54" s="32" t="s">
        <v>69</v>
      </c>
      <c r="B54" s="30">
        <f t="shared" si="169"/>
        <v>700000</v>
      </c>
      <c r="C54" s="31"/>
      <c r="D54" s="30"/>
      <c r="E54" s="30"/>
      <c r="F54" s="30">
        <f t="shared" si="170"/>
        <v>0</v>
      </c>
      <c r="G54" s="30"/>
      <c r="I54" s="31"/>
      <c r="J54" s="30"/>
      <c r="K54" s="30"/>
      <c r="L54" s="30">
        <f t="shared" si="171"/>
        <v>0</v>
      </c>
      <c r="M54" s="30"/>
      <c r="O54" s="31"/>
      <c r="P54" s="30"/>
      <c r="Q54" s="30"/>
      <c r="R54" s="30">
        <f t="shared" si="172"/>
        <v>0</v>
      </c>
      <c r="S54" s="30"/>
      <c r="U54" s="31"/>
      <c r="V54" s="30"/>
      <c r="W54" s="30"/>
      <c r="X54" s="30">
        <f t="shared" si="173"/>
        <v>0</v>
      </c>
      <c r="Y54" s="30"/>
      <c r="AA54" s="31"/>
      <c r="AB54" s="30"/>
      <c r="AC54" s="30"/>
      <c r="AD54" s="30">
        <f t="shared" si="174"/>
        <v>0</v>
      </c>
      <c r="AE54" s="30"/>
      <c r="AG54" s="31"/>
      <c r="AH54" s="30"/>
      <c r="AI54" s="30"/>
      <c r="AJ54" s="30">
        <f t="shared" si="175"/>
        <v>0</v>
      </c>
      <c r="AK54" s="30"/>
      <c r="AM54" s="31"/>
      <c r="AN54" s="30"/>
      <c r="AO54" s="30"/>
      <c r="AP54" s="30">
        <f t="shared" si="176"/>
        <v>0</v>
      </c>
      <c r="AQ54" s="30"/>
      <c r="AS54" s="31"/>
      <c r="AT54" s="30"/>
      <c r="AU54" s="30"/>
      <c r="AV54" s="30">
        <f t="shared" si="177"/>
        <v>0</v>
      </c>
      <c r="AW54" s="30"/>
      <c r="AY54" s="31"/>
      <c r="AZ54" s="30"/>
      <c r="BA54" s="30"/>
      <c r="BB54" s="30">
        <f t="shared" si="178"/>
        <v>0</v>
      </c>
      <c r="BC54" s="30"/>
      <c r="BE54" s="31"/>
      <c r="BF54" s="30"/>
      <c r="BG54" s="30"/>
      <c r="BH54" s="30">
        <f t="shared" si="179"/>
        <v>0</v>
      </c>
      <c r="BI54" s="30"/>
      <c r="BK54" s="31"/>
      <c r="BL54" s="30"/>
      <c r="BM54" s="30"/>
      <c r="BN54" s="30">
        <f t="shared" si="180"/>
        <v>0</v>
      </c>
      <c r="BO54" s="30"/>
      <c r="BQ54" s="31"/>
      <c r="BR54" s="30"/>
      <c r="BS54" s="30"/>
      <c r="BT54" s="30">
        <f t="shared" si="181"/>
        <v>0</v>
      </c>
      <c r="BU54" s="30"/>
      <c r="BW54" s="31"/>
      <c r="BX54" s="30"/>
      <c r="BY54" s="30"/>
      <c r="BZ54" s="30">
        <f t="shared" si="182"/>
        <v>0</v>
      </c>
      <c r="CA54" s="30"/>
      <c r="CC54" s="31"/>
      <c r="CD54" s="30"/>
      <c r="CE54" s="30"/>
      <c r="CF54" s="30">
        <f t="shared" si="183"/>
        <v>0</v>
      </c>
      <c r="CG54" s="30"/>
      <c r="CI54" s="31"/>
      <c r="CJ54" s="30"/>
      <c r="CK54" s="30"/>
      <c r="CL54" s="30">
        <f t="shared" si="184"/>
        <v>0</v>
      </c>
      <c r="CM54" s="30"/>
      <c r="CO54" s="31"/>
      <c r="CP54" s="30"/>
      <c r="CQ54" s="30"/>
      <c r="CR54" s="30">
        <f t="shared" si="185"/>
        <v>0</v>
      </c>
      <c r="CS54" s="30"/>
      <c r="CU54" s="31"/>
      <c r="CV54" s="30"/>
      <c r="CW54" s="30"/>
      <c r="CX54" s="30">
        <f t="shared" si="186"/>
        <v>0</v>
      </c>
      <c r="CY54" s="30"/>
      <c r="DA54" s="31"/>
      <c r="DB54" s="30"/>
      <c r="DC54" s="30"/>
      <c r="DD54" s="30">
        <f t="shared" si="187"/>
        <v>0</v>
      </c>
      <c r="DE54" s="30"/>
      <c r="DG54" s="31"/>
      <c r="DH54" s="30"/>
      <c r="DI54" s="30"/>
      <c r="DJ54" s="30">
        <f t="shared" si="188"/>
        <v>0</v>
      </c>
      <c r="DK54" s="30"/>
      <c r="DM54" s="31"/>
      <c r="DN54" s="30"/>
      <c r="DO54" s="30"/>
      <c r="DP54" s="30">
        <f t="shared" si="189"/>
        <v>0</v>
      </c>
      <c r="DQ54" s="30"/>
      <c r="DS54" s="31"/>
      <c r="DT54" s="30"/>
      <c r="DU54" s="30"/>
      <c r="DV54" s="30">
        <f t="shared" si="190"/>
        <v>252000</v>
      </c>
      <c r="DW54" s="30"/>
      <c r="DY54" s="31"/>
      <c r="DZ54" s="30"/>
      <c r="EA54" s="30"/>
      <c r="EB54" s="30">
        <f t="shared" si="191"/>
        <v>140000</v>
      </c>
      <c r="EC54" s="30"/>
      <c r="EE54" s="31"/>
      <c r="EF54" s="30"/>
      <c r="EG54" s="30"/>
      <c r="EH54" s="30">
        <f t="shared" si="192"/>
        <v>0</v>
      </c>
      <c r="EI54" s="30"/>
      <c r="EK54" s="31"/>
      <c r="EL54" s="30"/>
      <c r="EM54" s="30"/>
      <c r="EN54" s="30">
        <f t="shared" si="193"/>
        <v>0</v>
      </c>
      <c r="EO54" s="30"/>
      <c r="EQ54" s="31"/>
      <c r="ER54" s="30"/>
      <c r="ES54" s="30"/>
      <c r="ET54" s="30">
        <f t="shared" si="194"/>
        <v>0</v>
      </c>
      <c r="EU54" s="30"/>
      <c r="EW54" s="31"/>
      <c r="EX54" s="30"/>
      <c r="EY54" s="30"/>
      <c r="EZ54" s="30">
        <f t="shared" si="195"/>
        <v>0</v>
      </c>
      <c r="FA54" s="30"/>
      <c r="FC54" s="31"/>
      <c r="FD54" s="30"/>
      <c r="FE54" s="30"/>
      <c r="FF54" s="30">
        <f t="shared" si="196"/>
        <v>0</v>
      </c>
      <c r="FG54" s="30"/>
      <c r="FI54" s="31"/>
      <c r="FJ54" s="30"/>
      <c r="FK54" s="30"/>
      <c r="FL54" s="30">
        <f t="shared" si="197"/>
        <v>168000</v>
      </c>
      <c r="FM54" s="30"/>
      <c r="FO54" s="31"/>
      <c r="FP54" s="30"/>
      <c r="FQ54" s="30"/>
      <c r="FR54" s="30">
        <f t="shared" si="198"/>
        <v>0</v>
      </c>
      <c r="FS54" s="30"/>
      <c r="FU54" s="31"/>
      <c r="FV54" s="30"/>
      <c r="FW54" s="30"/>
      <c r="FX54" s="30">
        <f t="shared" si="199"/>
        <v>0</v>
      </c>
      <c r="FY54" s="30"/>
      <c r="GA54" s="31"/>
      <c r="GB54" s="30"/>
      <c r="GC54" s="30"/>
      <c r="GD54" s="30">
        <f t="shared" si="200"/>
        <v>140000</v>
      </c>
      <c r="GE54" s="30"/>
      <c r="GG54" s="31"/>
      <c r="GH54" s="30"/>
      <c r="GI54" s="30"/>
      <c r="GJ54" s="30">
        <f t="shared" si="201"/>
        <v>0</v>
      </c>
      <c r="GK54" s="30"/>
      <c r="GM54" s="31"/>
      <c r="GN54" s="30"/>
      <c r="GO54" s="30"/>
      <c r="GP54" s="30">
        <f t="shared" si="202"/>
        <v>0</v>
      </c>
      <c r="GQ54" s="30"/>
      <c r="GS54" s="31"/>
      <c r="GT54" s="30"/>
      <c r="GU54" s="30"/>
      <c r="GV54" s="30">
        <f t="shared" si="203"/>
        <v>0</v>
      </c>
      <c r="GW54" s="30"/>
      <c r="GY54" s="31"/>
      <c r="GZ54" s="30"/>
      <c r="HA54" s="30"/>
      <c r="HB54" s="30">
        <f t="shared" si="204"/>
        <v>0</v>
      </c>
      <c r="HC54" s="30"/>
    </row>
    <row r="55" spans="1:211" s="32" customFormat="1" hidden="1" outlineLevel="2" x14ac:dyDescent="0.2">
      <c r="A55" s="32" t="s">
        <v>70</v>
      </c>
      <c r="B55" s="30">
        <f t="shared" si="169"/>
        <v>297500</v>
      </c>
      <c r="C55" s="31"/>
      <c r="D55" s="30"/>
      <c r="E55" s="30"/>
      <c r="F55" s="30">
        <f t="shared" si="170"/>
        <v>210000</v>
      </c>
      <c r="G55" s="30"/>
      <c r="I55" s="31"/>
      <c r="J55" s="30"/>
      <c r="K55" s="30"/>
      <c r="L55" s="30">
        <f t="shared" si="171"/>
        <v>0</v>
      </c>
      <c r="M55" s="30"/>
      <c r="O55" s="31"/>
      <c r="P55" s="30"/>
      <c r="Q55" s="30"/>
      <c r="R55" s="30">
        <f t="shared" si="172"/>
        <v>0</v>
      </c>
      <c r="S55" s="30"/>
      <c r="U55" s="31"/>
      <c r="V55" s="30"/>
      <c r="W55" s="30"/>
      <c r="X55" s="30">
        <f t="shared" si="173"/>
        <v>0</v>
      </c>
      <c r="Y55" s="30"/>
      <c r="AA55" s="31"/>
      <c r="AB55" s="30"/>
      <c r="AC55" s="30"/>
      <c r="AD55" s="30">
        <f t="shared" si="174"/>
        <v>0</v>
      </c>
      <c r="AE55" s="30"/>
      <c r="AG55" s="31"/>
      <c r="AH55" s="30"/>
      <c r="AI55" s="30"/>
      <c r="AJ55" s="30">
        <f t="shared" si="175"/>
        <v>0</v>
      </c>
      <c r="AK55" s="30"/>
      <c r="AM55" s="31"/>
      <c r="AN55" s="30"/>
      <c r="AO55" s="30"/>
      <c r="AP55" s="30">
        <f t="shared" si="176"/>
        <v>87500</v>
      </c>
      <c r="AQ55" s="30"/>
      <c r="AS55" s="31"/>
      <c r="AT55" s="30"/>
      <c r="AU55" s="30"/>
      <c r="AV55" s="30">
        <f t="shared" si="177"/>
        <v>0</v>
      </c>
      <c r="AW55" s="30"/>
      <c r="AY55" s="31"/>
      <c r="AZ55" s="30"/>
      <c r="BA55" s="30"/>
      <c r="BB55" s="30">
        <f t="shared" si="178"/>
        <v>0</v>
      </c>
      <c r="BC55" s="30"/>
      <c r="BE55" s="31"/>
      <c r="BF55" s="30"/>
      <c r="BG55" s="30"/>
      <c r="BH55" s="30">
        <f t="shared" si="179"/>
        <v>0</v>
      </c>
      <c r="BI55" s="30"/>
      <c r="BK55" s="31"/>
      <c r="BL55" s="30"/>
      <c r="BM55" s="30"/>
      <c r="BN55" s="30">
        <f t="shared" si="180"/>
        <v>0</v>
      </c>
      <c r="BO55" s="30"/>
      <c r="BQ55" s="31"/>
      <c r="BR55" s="30"/>
      <c r="BS55" s="30"/>
      <c r="BT55" s="30">
        <f t="shared" si="181"/>
        <v>0</v>
      </c>
      <c r="BU55" s="30"/>
      <c r="BW55" s="31"/>
      <c r="BX55" s="30"/>
      <c r="BY55" s="30"/>
      <c r="BZ55" s="30">
        <f t="shared" si="182"/>
        <v>0</v>
      </c>
      <c r="CA55" s="30"/>
      <c r="CC55" s="31"/>
      <c r="CD55" s="30"/>
      <c r="CE55" s="30"/>
      <c r="CF55" s="30">
        <f t="shared" si="183"/>
        <v>0</v>
      </c>
      <c r="CG55" s="30"/>
      <c r="CI55" s="31"/>
      <c r="CJ55" s="30"/>
      <c r="CK55" s="30"/>
      <c r="CL55" s="30">
        <f t="shared" si="184"/>
        <v>0</v>
      </c>
      <c r="CM55" s="30"/>
      <c r="CO55" s="31"/>
      <c r="CP55" s="30"/>
      <c r="CQ55" s="30"/>
      <c r="CR55" s="30">
        <f t="shared" si="185"/>
        <v>0</v>
      </c>
      <c r="CS55" s="30"/>
      <c r="CU55" s="31"/>
      <c r="CV55" s="30"/>
      <c r="CW55" s="30"/>
      <c r="CX55" s="30">
        <f t="shared" si="186"/>
        <v>0</v>
      </c>
      <c r="CY55" s="30"/>
      <c r="DA55" s="31"/>
      <c r="DB55" s="30"/>
      <c r="DC55" s="30"/>
      <c r="DD55" s="30">
        <f t="shared" si="187"/>
        <v>0</v>
      </c>
      <c r="DE55" s="30"/>
      <c r="DG55" s="31"/>
      <c r="DH55" s="30"/>
      <c r="DI55" s="30"/>
      <c r="DJ55" s="30">
        <f t="shared" si="188"/>
        <v>0</v>
      </c>
      <c r="DK55" s="30"/>
      <c r="DM55" s="31"/>
      <c r="DN55" s="30"/>
      <c r="DO55" s="30"/>
      <c r="DP55" s="30">
        <f t="shared" si="189"/>
        <v>0</v>
      </c>
      <c r="DQ55" s="30"/>
      <c r="DS55" s="31"/>
      <c r="DT55" s="30"/>
      <c r="DU55" s="30"/>
      <c r="DV55" s="30">
        <f t="shared" si="190"/>
        <v>0</v>
      </c>
      <c r="DW55" s="30"/>
      <c r="DY55" s="31"/>
      <c r="DZ55" s="30"/>
      <c r="EA55" s="30"/>
      <c r="EB55" s="30">
        <f t="shared" si="191"/>
        <v>0</v>
      </c>
      <c r="EC55" s="30"/>
      <c r="EE55" s="31"/>
      <c r="EF55" s="30"/>
      <c r="EG55" s="30"/>
      <c r="EH55" s="30">
        <f t="shared" si="192"/>
        <v>0</v>
      </c>
      <c r="EI55" s="30"/>
      <c r="EK55" s="31"/>
      <c r="EL55" s="30"/>
      <c r="EM55" s="30"/>
      <c r="EN55" s="30">
        <f t="shared" si="193"/>
        <v>0</v>
      </c>
      <c r="EO55" s="30"/>
      <c r="EQ55" s="31"/>
      <c r="ER55" s="30"/>
      <c r="ES55" s="30"/>
      <c r="ET55" s="30">
        <f t="shared" si="194"/>
        <v>0</v>
      </c>
      <c r="EU55" s="30"/>
      <c r="EW55" s="31"/>
      <c r="EX55" s="30"/>
      <c r="EY55" s="30"/>
      <c r="EZ55" s="30">
        <f t="shared" si="195"/>
        <v>0</v>
      </c>
      <c r="FA55" s="30"/>
      <c r="FC55" s="31"/>
      <c r="FD55" s="30"/>
      <c r="FE55" s="30"/>
      <c r="FF55" s="30">
        <f t="shared" si="196"/>
        <v>0</v>
      </c>
      <c r="FG55" s="30"/>
      <c r="FI55" s="31"/>
      <c r="FJ55" s="30"/>
      <c r="FK55" s="30"/>
      <c r="FL55" s="30">
        <f t="shared" si="197"/>
        <v>0</v>
      </c>
      <c r="FM55" s="30"/>
      <c r="FO55" s="31"/>
      <c r="FP55" s="30"/>
      <c r="FQ55" s="30"/>
      <c r="FR55" s="30">
        <f t="shared" si="198"/>
        <v>0</v>
      </c>
      <c r="FS55" s="30"/>
      <c r="FU55" s="31"/>
      <c r="FV55" s="30"/>
      <c r="FW55" s="30"/>
      <c r="FX55" s="30">
        <f t="shared" si="199"/>
        <v>0</v>
      </c>
      <c r="FY55" s="30"/>
      <c r="GA55" s="31"/>
      <c r="GB55" s="30"/>
      <c r="GC55" s="30"/>
      <c r="GD55" s="30">
        <f t="shared" si="200"/>
        <v>0</v>
      </c>
      <c r="GE55" s="30"/>
      <c r="GG55" s="31"/>
      <c r="GH55" s="30"/>
      <c r="GI55" s="30"/>
      <c r="GJ55" s="30">
        <f t="shared" si="201"/>
        <v>0</v>
      </c>
      <c r="GK55" s="30"/>
      <c r="GM55" s="31"/>
      <c r="GN55" s="30"/>
      <c r="GO55" s="30"/>
      <c r="GP55" s="30">
        <f t="shared" si="202"/>
        <v>0</v>
      </c>
      <c r="GQ55" s="30"/>
      <c r="GS55" s="31"/>
      <c r="GT55" s="30"/>
      <c r="GU55" s="30"/>
      <c r="GV55" s="30">
        <f t="shared" si="203"/>
        <v>0</v>
      </c>
      <c r="GW55" s="30"/>
      <c r="GY55" s="31"/>
      <c r="GZ55" s="30"/>
      <c r="HA55" s="30"/>
      <c r="HB55" s="30">
        <f t="shared" si="204"/>
        <v>0</v>
      </c>
      <c r="HC55" s="30"/>
    </row>
    <row r="56" spans="1:211" s="32" customFormat="1" hidden="1" outlineLevel="2" x14ac:dyDescent="0.2">
      <c r="A56" s="32" t="s">
        <v>71</v>
      </c>
      <c r="B56" s="30">
        <f t="shared" si="169"/>
        <v>839000</v>
      </c>
      <c r="C56" s="31"/>
      <c r="D56" s="30"/>
      <c r="E56" s="30"/>
      <c r="F56" s="30">
        <f t="shared" si="170"/>
        <v>0</v>
      </c>
      <c r="G56" s="30"/>
      <c r="I56" s="31"/>
      <c r="J56" s="30"/>
      <c r="K56" s="30"/>
      <c r="L56" s="30">
        <f t="shared" si="171"/>
        <v>0</v>
      </c>
      <c r="M56" s="30"/>
      <c r="O56" s="31"/>
      <c r="P56" s="30"/>
      <c r="Q56" s="30"/>
      <c r="R56" s="30">
        <f t="shared" si="172"/>
        <v>0</v>
      </c>
      <c r="S56" s="30"/>
      <c r="U56" s="31"/>
      <c r="V56" s="30"/>
      <c r="W56" s="30"/>
      <c r="X56" s="30">
        <f t="shared" si="173"/>
        <v>0</v>
      </c>
      <c r="Y56" s="30"/>
      <c r="AA56" s="31"/>
      <c r="AB56" s="30"/>
      <c r="AC56" s="30"/>
      <c r="AD56" s="30">
        <f t="shared" si="174"/>
        <v>0</v>
      </c>
      <c r="AE56" s="30"/>
      <c r="AG56" s="31"/>
      <c r="AH56" s="30"/>
      <c r="AI56" s="30"/>
      <c r="AJ56" s="30">
        <f t="shared" si="175"/>
        <v>0</v>
      </c>
      <c r="AK56" s="30"/>
      <c r="AM56" s="31"/>
      <c r="AN56" s="30"/>
      <c r="AO56" s="30"/>
      <c r="AP56" s="30">
        <f t="shared" si="176"/>
        <v>0</v>
      </c>
      <c r="AQ56" s="30"/>
      <c r="AS56" s="31"/>
      <c r="AT56" s="30"/>
      <c r="AU56" s="30"/>
      <c r="AV56" s="30">
        <f t="shared" si="177"/>
        <v>21000</v>
      </c>
      <c r="AW56" s="30"/>
      <c r="AY56" s="31"/>
      <c r="AZ56" s="30"/>
      <c r="BA56" s="30"/>
      <c r="BB56" s="30">
        <f t="shared" si="178"/>
        <v>0</v>
      </c>
      <c r="BC56" s="30"/>
      <c r="BE56" s="31"/>
      <c r="BF56" s="30"/>
      <c r="BG56" s="30"/>
      <c r="BH56" s="30">
        <f t="shared" si="179"/>
        <v>0</v>
      </c>
      <c r="BI56" s="30"/>
      <c r="BK56" s="31"/>
      <c r="BL56" s="30"/>
      <c r="BM56" s="30"/>
      <c r="BN56" s="30">
        <f t="shared" si="180"/>
        <v>210000</v>
      </c>
      <c r="BO56" s="30"/>
      <c r="BQ56" s="31"/>
      <c r="BR56" s="30"/>
      <c r="BS56" s="30"/>
      <c r="BT56" s="30">
        <f t="shared" si="181"/>
        <v>63000</v>
      </c>
      <c r="BU56" s="30"/>
      <c r="BW56" s="31"/>
      <c r="BX56" s="30"/>
      <c r="BY56" s="30"/>
      <c r="BZ56" s="30">
        <f t="shared" si="182"/>
        <v>0</v>
      </c>
      <c r="CA56" s="30"/>
      <c r="CC56" s="31"/>
      <c r="CD56" s="30"/>
      <c r="CE56" s="30"/>
      <c r="CF56" s="30">
        <f t="shared" si="183"/>
        <v>0</v>
      </c>
      <c r="CG56" s="30"/>
      <c r="CI56" s="31"/>
      <c r="CJ56" s="30"/>
      <c r="CK56" s="30"/>
      <c r="CL56" s="30">
        <f t="shared" si="184"/>
        <v>0</v>
      </c>
      <c r="CM56" s="30"/>
      <c r="CO56" s="31"/>
      <c r="CP56" s="30"/>
      <c r="CQ56" s="30"/>
      <c r="CR56" s="30">
        <f t="shared" si="185"/>
        <v>0</v>
      </c>
      <c r="CS56" s="30"/>
      <c r="CU56" s="31"/>
      <c r="CV56" s="30"/>
      <c r="CW56" s="30"/>
      <c r="CX56" s="30">
        <f t="shared" si="186"/>
        <v>0</v>
      </c>
      <c r="CY56" s="30"/>
      <c r="DA56" s="31"/>
      <c r="DB56" s="30"/>
      <c r="DC56" s="30"/>
      <c r="DD56" s="30">
        <f t="shared" si="187"/>
        <v>0</v>
      </c>
      <c r="DE56" s="30"/>
      <c r="DG56" s="31"/>
      <c r="DH56" s="30"/>
      <c r="DI56" s="30"/>
      <c r="DJ56" s="30">
        <f t="shared" si="188"/>
        <v>0</v>
      </c>
      <c r="DK56" s="30"/>
      <c r="DM56" s="31"/>
      <c r="DN56" s="30"/>
      <c r="DO56" s="30"/>
      <c r="DP56" s="30">
        <f t="shared" si="189"/>
        <v>252000</v>
      </c>
      <c r="DQ56" s="30"/>
      <c r="DS56" s="31"/>
      <c r="DT56" s="30"/>
      <c r="DU56" s="30"/>
      <c r="DV56" s="30">
        <f t="shared" si="190"/>
        <v>0</v>
      </c>
      <c r="DW56" s="30"/>
      <c r="DY56" s="31"/>
      <c r="DZ56" s="30"/>
      <c r="EA56" s="30"/>
      <c r="EB56" s="30">
        <f t="shared" si="191"/>
        <v>0</v>
      </c>
      <c r="EC56" s="30"/>
      <c r="EE56" s="31"/>
      <c r="EF56" s="30"/>
      <c r="EG56" s="30"/>
      <c r="EH56" s="30">
        <f t="shared" si="192"/>
        <v>0</v>
      </c>
      <c r="EI56" s="30"/>
      <c r="EK56" s="31"/>
      <c r="EL56" s="30"/>
      <c r="EM56" s="30"/>
      <c r="EN56" s="30">
        <f t="shared" si="193"/>
        <v>0</v>
      </c>
      <c r="EO56" s="30"/>
      <c r="EQ56" s="31"/>
      <c r="ER56" s="30"/>
      <c r="ES56" s="30"/>
      <c r="ET56" s="30">
        <f t="shared" si="194"/>
        <v>0</v>
      </c>
      <c r="EU56" s="30"/>
      <c r="EW56" s="31"/>
      <c r="EX56" s="30"/>
      <c r="EY56" s="30"/>
      <c r="EZ56" s="30">
        <f t="shared" si="195"/>
        <v>0</v>
      </c>
      <c r="FA56" s="30"/>
      <c r="FC56" s="31"/>
      <c r="FD56" s="30"/>
      <c r="FE56" s="30"/>
      <c r="FF56" s="30">
        <f t="shared" si="196"/>
        <v>0</v>
      </c>
      <c r="FG56" s="30"/>
      <c r="FI56" s="31"/>
      <c r="FJ56" s="30"/>
      <c r="FK56" s="30"/>
      <c r="FL56" s="30">
        <f t="shared" si="197"/>
        <v>0</v>
      </c>
      <c r="FM56" s="30"/>
      <c r="FO56" s="31"/>
      <c r="FP56" s="30"/>
      <c r="FQ56" s="30"/>
      <c r="FR56" s="30">
        <f t="shared" si="198"/>
        <v>118000</v>
      </c>
      <c r="FS56" s="30"/>
      <c r="FU56" s="31"/>
      <c r="FV56" s="30"/>
      <c r="FW56" s="30"/>
      <c r="FX56" s="30">
        <f t="shared" si="199"/>
        <v>0</v>
      </c>
      <c r="FY56" s="30"/>
      <c r="GA56" s="31"/>
      <c r="GB56" s="30"/>
      <c r="GC56" s="30"/>
      <c r="GD56" s="30">
        <f t="shared" si="200"/>
        <v>0</v>
      </c>
      <c r="GE56" s="30"/>
      <c r="GG56" s="31"/>
      <c r="GH56" s="30"/>
      <c r="GI56" s="30"/>
      <c r="GJ56" s="30">
        <f t="shared" si="201"/>
        <v>175000</v>
      </c>
      <c r="GK56" s="30"/>
      <c r="GM56" s="31"/>
      <c r="GN56" s="30"/>
      <c r="GO56" s="30"/>
      <c r="GP56" s="30">
        <f t="shared" si="202"/>
        <v>0</v>
      </c>
      <c r="GQ56" s="30"/>
      <c r="GS56" s="31"/>
      <c r="GT56" s="30"/>
      <c r="GU56" s="30"/>
      <c r="GV56" s="30">
        <f t="shared" si="203"/>
        <v>0</v>
      </c>
      <c r="GW56" s="30"/>
      <c r="GY56" s="31"/>
      <c r="GZ56" s="30"/>
      <c r="HA56" s="30"/>
      <c r="HB56" s="30">
        <f t="shared" si="204"/>
        <v>0</v>
      </c>
      <c r="HC56" s="30"/>
    </row>
    <row r="57" spans="1:211" s="32" customFormat="1" hidden="1" outlineLevel="2" x14ac:dyDescent="0.2">
      <c r="A57" s="32" t="s">
        <v>72</v>
      </c>
      <c r="B57" s="30">
        <f t="shared" si="169"/>
        <v>210000</v>
      </c>
      <c r="C57" s="31"/>
      <c r="D57" s="30"/>
      <c r="E57" s="30"/>
      <c r="F57" s="30">
        <f t="shared" si="170"/>
        <v>0</v>
      </c>
      <c r="G57" s="30"/>
      <c r="I57" s="31"/>
      <c r="J57" s="30"/>
      <c r="K57" s="30"/>
      <c r="L57" s="30">
        <f t="shared" si="171"/>
        <v>0</v>
      </c>
      <c r="M57" s="30"/>
      <c r="O57" s="31"/>
      <c r="P57" s="30"/>
      <c r="Q57" s="30"/>
      <c r="R57" s="30">
        <f t="shared" si="172"/>
        <v>0</v>
      </c>
      <c r="S57" s="30"/>
      <c r="U57" s="31"/>
      <c r="V57" s="30"/>
      <c r="W57" s="30"/>
      <c r="X57" s="30">
        <f t="shared" si="173"/>
        <v>0</v>
      </c>
      <c r="Y57" s="30"/>
      <c r="AA57" s="31"/>
      <c r="AB57" s="30"/>
      <c r="AC57" s="30"/>
      <c r="AD57" s="30">
        <f t="shared" si="174"/>
        <v>0</v>
      </c>
      <c r="AE57" s="30"/>
      <c r="AG57" s="31"/>
      <c r="AH57" s="30"/>
      <c r="AI57" s="30"/>
      <c r="AJ57" s="30">
        <f t="shared" si="175"/>
        <v>0</v>
      </c>
      <c r="AK57" s="30"/>
      <c r="AM57" s="31"/>
      <c r="AN57" s="30"/>
      <c r="AO57" s="30"/>
      <c r="AP57" s="30">
        <f t="shared" si="176"/>
        <v>0</v>
      </c>
      <c r="AQ57" s="30"/>
      <c r="AS57" s="31"/>
      <c r="AT57" s="30"/>
      <c r="AU57" s="30"/>
      <c r="AV57" s="30">
        <f t="shared" si="177"/>
        <v>0</v>
      </c>
      <c r="AW57" s="30"/>
      <c r="AY57" s="31"/>
      <c r="AZ57" s="30"/>
      <c r="BA57" s="30"/>
      <c r="BB57" s="30">
        <f t="shared" si="178"/>
        <v>0</v>
      </c>
      <c r="BC57" s="30"/>
      <c r="BE57" s="31"/>
      <c r="BF57" s="30"/>
      <c r="BG57" s="30"/>
      <c r="BH57" s="30">
        <f t="shared" si="179"/>
        <v>0</v>
      </c>
      <c r="BI57" s="30"/>
      <c r="BK57" s="31"/>
      <c r="BL57" s="30"/>
      <c r="BM57" s="30"/>
      <c r="BN57" s="30">
        <f t="shared" si="180"/>
        <v>0</v>
      </c>
      <c r="BO57" s="30"/>
      <c r="BQ57" s="31"/>
      <c r="BR57" s="30"/>
      <c r="BS57" s="30"/>
      <c r="BT57" s="30">
        <f t="shared" si="181"/>
        <v>0</v>
      </c>
      <c r="BU57" s="30"/>
      <c r="BW57" s="31"/>
      <c r="BX57" s="30"/>
      <c r="BY57" s="30"/>
      <c r="BZ57" s="30">
        <f t="shared" si="182"/>
        <v>0</v>
      </c>
      <c r="CA57" s="30"/>
      <c r="CC57" s="31"/>
      <c r="CD57" s="30"/>
      <c r="CE57" s="30"/>
      <c r="CF57" s="30">
        <f t="shared" si="183"/>
        <v>0</v>
      </c>
      <c r="CG57" s="30"/>
      <c r="CI57" s="31"/>
      <c r="CJ57" s="30"/>
      <c r="CK57" s="30"/>
      <c r="CL57" s="30">
        <f t="shared" si="184"/>
        <v>0</v>
      </c>
      <c r="CM57" s="30"/>
      <c r="CO57" s="31"/>
      <c r="CP57" s="30"/>
      <c r="CQ57" s="30"/>
      <c r="CR57" s="30">
        <f t="shared" si="185"/>
        <v>0</v>
      </c>
      <c r="CS57" s="30"/>
      <c r="CU57" s="31"/>
      <c r="CV57" s="30"/>
      <c r="CW57" s="30"/>
      <c r="CX57" s="30">
        <f t="shared" si="186"/>
        <v>0</v>
      </c>
      <c r="CY57" s="30"/>
      <c r="DA57" s="31"/>
      <c r="DB57" s="30"/>
      <c r="DC57" s="30"/>
      <c r="DD57" s="30">
        <f t="shared" si="187"/>
        <v>0</v>
      </c>
      <c r="DE57" s="30"/>
      <c r="DG57" s="31"/>
      <c r="DH57" s="30"/>
      <c r="DI57" s="30"/>
      <c r="DJ57" s="30">
        <f t="shared" si="188"/>
        <v>0</v>
      </c>
      <c r="DK57" s="30"/>
      <c r="DM57" s="31"/>
      <c r="DN57" s="30"/>
      <c r="DO57" s="30"/>
      <c r="DP57" s="30">
        <f t="shared" si="189"/>
        <v>0</v>
      </c>
      <c r="DQ57" s="30"/>
      <c r="DS57" s="31"/>
      <c r="DT57" s="30"/>
      <c r="DU57" s="30"/>
      <c r="DV57" s="30">
        <f t="shared" si="190"/>
        <v>0</v>
      </c>
      <c r="DW57" s="30"/>
      <c r="DY57" s="31"/>
      <c r="DZ57" s="30"/>
      <c r="EA57" s="30"/>
      <c r="EB57" s="30">
        <f t="shared" si="191"/>
        <v>0</v>
      </c>
      <c r="EC57" s="30"/>
      <c r="EE57" s="31"/>
      <c r="EF57" s="30"/>
      <c r="EG57" s="30"/>
      <c r="EH57" s="30">
        <f t="shared" si="192"/>
        <v>0</v>
      </c>
      <c r="EI57" s="30"/>
      <c r="EK57" s="31"/>
      <c r="EL57" s="30"/>
      <c r="EM57" s="30"/>
      <c r="EN57" s="30">
        <f t="shared" si="193"/>
        <v>0</v>
      </c>
      <c r="EO57" s="30"/>
      <c r="EQ57" s="31"/>
      <c r="ER57" s="30"/>
      <c r="ES57" s="30"/>
      <c r="ET57" s="30">
        <f t="shared" si="194"/>
        <v>0</v>
      </c>
      <c r="EU57" s="30"/>
      <c r="EW57" s="31"/>
      <c r="EX57" s="30"/>
      <c r="EY57" s="30"/>
      <c r="EZ57" s="30">
        <f t="shared" si="195"/>
        <v>0</v>
      </c>
      <c r="FA57" s="30"/>
      <c r="FC57" s="31"/>
      <c r="FD57" s="30"/>
      <c r="FE57" s="30"/>
      <c r="FF57" s="30">
        <f t="shared" si="196"/>
        <v>210000</v>
      </c>
      <c r="FG57" s="30"/>
      <c r="FI57" s="31"/>
      <c r="FJ57" s="30"/>
      <c r="FK57" s="30"/>
      <c r="FL57" s="30">
        <f t="shared" si="197"/>
        <v>0</v>
      </c>
      <c r="FM57" s="30"/>
      <c r="FO57" s="31"/>
      <c r="FP57" s="30"/>
      <c r="FQ57" s="30"/>
      <c r="FR57" s="30">
        <f t="shared" si="198"/>
        <v>0</v>
      </c>
      <c r="FS57" s="30"/>
      <c r="FU57" s="31"/>
      <c r="FV57" s="30"/>
      <c r="FW57" s="30"/>
      <c r="FX57" s="30">
        <f t="shared" si="199"/>
        <v>0</v>
      </c>
      <c r="FY57" s="30"/>
      <c r="GA57" s="31"/>
      <c r="GB57" s="30"/>
      <c r="GC57" s="30"/>
      <c r="GD57" s="30">
        <f t="shared" si="200"/>
        <v>0</v>
      </c>
      <c r="GE57" s="30"/>
      <c r="GG57" s="31"/>
      <c r="GH57" s="30"/>
      <c r="GI57" s="30"/>
      <c r="GJ57" s="30">
        <f t="shared" si="201"/>
        <v>0</v>
      </c>
      <c r="GK57" s="30"/>
      <c r="GM57" s="31"/>
      <c r="GN57" s="30"/>
      <c r="GO57" s="30"/>
      <c r="GP57" s="30">
        <f t="shared" si="202"/>
        <v>0</v>
      </c>
      <c r="GQ57" s="30"/>
      <c r="GS57" s="31"/>
      <c r="GT57" s="30"/>
      <c r="GU57" s="30"/>
      <c r="GV57" s="30">
        <f t="shared" si="203"/>
        <v>0</v>
      </c>
      <c r="GW57" s="30"/>
      <c r="GY57" s="31"/>
      <c r="GZ57" s="30"/>
      <c r="HA57" s="30"/>
      <c r="HB57" s="30">
        <f t="shared" si="204"/>
        <v>0</v>
      </c>
      <c r="HC57" s="30"/>
    </row>
    <row r="58" spans="1:211" hidden="1" outlineLevel="1" x14ac:dyDescent="0.2"/>
    <row r="59" spans="1:211" s="40" customFormat="1" hidden="1" outlineLevel="1" x14ac:dyDescent="0.2">
      <c r="A59" s="39" t="s">
        <v>33</v>
      </c>
      <c r="B59" s="39">
        <f>SUM(C5:XFD5)</f>
        <v>27129100.000000007</v>
      </c>
    </row>
    <row r="60" spans="1:211" s="40" customFormat="1" hidden="1" outlineLevel="1" x14ac:dyDescent="0.2">
      <c r="A60" s="29" t="s">
        <v>34</v>
      </c>
      <c r="B60" s="29">
        <f>SUM(B20:B31)</f>
        <v>85900000</v>
      </c>
    </row>
    <row r="61" spans="1:211" s="40" customFormat="1" hidden="1" outlineLevel="1" x14ac:dyDescent="0.2">
      <c r="A61" s="35" t="s">
        <v>35</v>
      </c>
      <c r="B61" s="35">
        <f>-SUM(B33:B44)</f>
        <v>-75690217.688645989</v>
      </c>
    </row>
    <row r="62" spans="1:211" s="40" customFormat="1" hidden="1" outlineLevel="1" x14ac:dyDescent="0.2">
      <c r="A62" s="39" t="s">
        <v>36</v>
      </c>
      <c r="B62" s="39">
        <f>SUM(B59:B61)</f>
        <v>37338882.311354011</v>
      </c>
    </row>
    <row r="63" spans="1:211" s="42" customFormat="1" hidden="1" outlineLevel="1" x14ac:dyDescent="0.2">
      <c r="A63" s="41" t="s">
        <v>32</v>
      </c>
      <c r="B63" s="41">
        <f>SUM(B46:B57)</f>
        <v>3838200</v>
      </c>
    </row>
    <row r="64" spans="1:211" hidden="1" outlineLevel="1" x14ac:dyDescent="0.2"/>
    <row r="65" spans="2:211" ht="12.75" hidden="1" outlineLevel="1" thickBot="1" x14ac:dyDescent="0.25">
      <c r="CE65" s="3">
        <f>CE76+CE77</f>
        <v>1922500</v>
      </c>
      <c r="CQ65" s="3">
        <f>CQ76+CQ77</f>
        <v>0</v>
      </c>
      <c r="EI65" s="3" t="s">
        <v>73</v>
      </c>
    </row>
    <row r="66" spans="2:211" s="20" customFormat="1" ht="20.100000000000001" hidden="1" customHeight="1" outlineLevel="1" thickTop="1" thickBot="1" x14ac:dyDescent="0.3">
      <c r="C66" s="17" t="s">
        <v>3</v>
      </c>
      <c r="D66" s="18" t="s">
        <v>1</v>
      </c>
      <c r="E66" s="45" t="s">
        <v>2</v>
      </c>
      <c r="F66" s="45"/>
      <c r="G66" s="19" t="s">
        <v>0</v>
      </c>
      <c r="I66" s="17" t="s">
        <v>3</v>
      </c>
      <c r="J66" s="18" t="s">
        <v>1</v>
      </c>
      <c r="K66" s="45" t="s">
        <v>2</v>
      </c>
      <c r="L66" s="45"/>
      <c r="M66" s="19" t="s">
        <v>0</v>
      </c>
      <c r="O66" s="17" t="s">
        <v>3</v>
      </c>
      <c r="P66" s="18" t="s">
        <v>1</v>
      </c>
      <c r="Q66" s="45" t="s">
        <v>2</v>
      </c>
      <c r="R66" s="45"/>
      <c r="S66" s="19" t="s">
        <v>0</v>
      </c>
      <c r="U66" s="17" t="s">
        <v>3</v>
      </c>
      <c r="V66" s="18" t="s">
        <v>1</v>
      </c>
      <c r="W66" s="45" t="s">
        <v>2</v>
      </c>
      <c r="X66" s="45"/>
      <c r="Y66" s="19" t="s">
        <v>0</v>
      </c>
      <c r="AA66" s="17" t="s">
        <v>3</v>
      </c>
      <c r="AB66" s="18" t="s">
        <v>1</v>
      </c>
      <c r="AC66" s="45" t="s">
        <v>2</v>
      </c>
      <c r="AD66" s="45"/>
      <c r="AE66" s="19" t="s">
        <v>0</v>
      </c>
      <c r="AG66" s="17" t="s">
        <v>3</v>
      </c>
      <c r="AH66" s="18" t="s">
        <v>1</v>
      </c>
      <c r="AI66" s="45" t="s">
        <v>2</v>
      </c>
      <c r="AJ66" s="45"/>
      <c r="AK66" s="19" t="s">
        <v>0</v>
      </c>
      <c r="AM66" s="17" t="s">
        <v>3</v>
      </c>
      <c r="AN66" s="18" t="s">
        <v>1</v>
      </c>
      <c r="AO66" s="45" t="s">
        <v>2</v>
      </c>
      <c r="AP66" s="45"/>
      <c r="AQ66" s="19" t="s">
        <v>0</v>
      </c>
      <c r="AS66" s="17" t="s">
        <v>3</v>
      </c>
      <c r="AT66" s="18" t="s">
        <v>1</v>
      </c>
      <c r="AU66" s="45" t="s">
        <v>2</v>
      </c>
      <c r="AV66" s="45"/>
      <c r="AW66" s="19" t="s">
        <v>0</v>
      </c>
      <c r="AY66" s="17" t="s">
        <v>3</v>
      </c>
      <c r="AZ66" s="18" t="s">
        <v>1</v>
      </c>
      <c r="BA66" s="45" t="s">
        <v>2</v>
      </c>
      <c r="BB66" s="45"/>
      <c r="BC66" s="19" t="s">
        <v>0</v>
      </c>
      <c r="BE66" s="17" t="s">
        <v>3</v>
      </c>
      <c r="BF66" s="18" t="s">
        <v>1</v>
      </c>
      <c r="BG66" s="45" t="s">
        <v>2</v>
      </c>
      <c r="BH66" s="45"/>
      <c r="BI66" s="19" t="s">
        <v>0</v>
      </c>
      <c r="BK66" s="17" t="s">
        <v>3</v>
      </c>
      <c r="BL66" s="18" t="s">
        <v>1</v>
      </c>
      <c r="BM66" s="45" t="s">
        <v>2</v>
      </c>
      <c r="BN66" s="45"/>
      <c r="BO66" s="19" t="s">
        <v>0</v>
      </c>
      <c r="BQ66" s="17" t="s">
        <v>3</v>
      </c>
      <c r="BR66" s="18" t="s">
        <v>1</v>
      </c>
      <c r="BS66" s="45" t="s">
        <v>2</v>
      </c>
      <c r="BT66" s="45"/>
      <c r="BU66" s="19" t="s">
        <v>0</v>
      </c>
      <c r="BW66" s="17" t="s">
        <v>3</v>
      </c>
      <c r="BX66" s="18" t="s">
        <v>1</v>
      </c>
      <c r="BY66" s="45" t="s">
        <v>2</v>
      </c>
      <c r="BZ66" s="45"/>
      <c r="CA66" s="19" t="s">
        <v>0</v>
      </c>
      <c r="CC66" s="17" t="s">
        <v>3</v>
      </c>
      <c r="CD66" s="18" t="s">
        <v>1</v>
      </c>
      <c r="CE66" s="45" t="s">
        <v>2</v>
      </c>
      <c r="CF66" s="45"/>
      <c r="CG66" s="19" t="s">
        <v>0</v>
      </c>
      <c r="CI66" s="17" t="s">
        <v>3</v>
      </c>
      <c r="CJ66" s="18" t="s">
        <v>1</v>
      </c>
      <c r="CK66" s="45" t="s">
        <v>2</v>
      </c>
      <c r="CL66" s="45"/>
      <c r="CM66" s="19" t="s">
        <v>0</v>
      </c>
      <c r="CO66" s="17" t="s">
        <v>3</v>
      </c>
      <c r="CP66" s="18" t="s">
        <v>1</v>
      </c>
      <c r="CQ66" s="45" t="s">
        <v>2</v>
      </c>
      <c r="CR66" s="45"/>
      <c r="CS66" s="19" t="s">
        <v>0</v>
      </c>
      <c r="CU66" s="17" t="s">
        <v>3</v>
      </c>
      <c r="CV66" s="18" t="s">
        <v>1</v>
      </c>
      <c r="CW66" s="45" t="s">
        <v>2</v>
      </c>
      <c r="CX66" s="45"/>
      <c r="CY66" s="19" t="s">
        <v>0</v>
      </c>
      <c r="DA66" s="17" t="s">
        <v>3</v>
      </c>
      <c r="DB66" s="18" t="s">
        <v>1</v>
      </c>
      <c r="DC66" s="45" t="s">
        <v>2</v>
      </c>
      <c r="DD66" s="45"/>
      <c r="DE66" s="19" t="s">
        <v>0</v>
      </c>
      <c r="DG66" s="17" t="s">
        <v>3</v>
      </c>
      <c r="DH66" s="18" t="s">
        <v>1</v>
      </c>
      <c r="DI66" s="45" t="s">
        <v>2</v>
      </c>
      <c r="DJ66" s="45"/>
      <c r="DK66" s="19" t="s">
        <v>0</v>
      </c>
      <c r="DM66" s="17" t="s">
        <v>3</v>
      </c>
      <c r="DN66" s="18" t="s">
        <v>1</v>
      </c>
      <c r="DO66" s="45" t="s">
        <v>2</v>
      </c>
      <c r="DP66" s="45"/>
      <c r="DQ66" s="19" t="s">
        <v>0</v>
      </c>
      <c r="DS66" s="17" t="s">
        <v>3</v>
      </c>
      <c r="DT66" s="18" t="s">
        <v>1</v>
      </c>
      <c r="DU66" s="45" t="s">
        <v>2</v>
      </c>
      <c r="DV66" s="45"/>
      <c r="DW66" s="19" t="s">
        <v>0</v>
      </c>
      <c r="DY66" s="17" t="s">
        <v>3</v>
      </c>
      <c r="DZ66" s="18" t="s">
        <v>1</v>
      </c>
      <c r="EA66" s="45" t="s">
        <v>2</v>
      </c>
      <c r="EB66" s="45"/>
      <c r="EC66" s="19" t="s">
        <v>0</v>
      </c>
      <c r="EE66" s="17" t="s">
        <v>3</v>
      </c>
      <c r="EF66" s="18" t="s">
        <v>1</v>
      </c>
      <c r="EG66" s="45" t="s">
        <v>2</v>
      </c>
      <c r="EH66" s="45"/>
      <c r="EI66" s="19" t="s">
        <v>0</v>
      </c>
      <c r="EK66" s="17" t="s">
        <v>3</v>
      </c>
      <c r="EL66" s="18" t="s">
        <v>1</v>
      </c>
      <c r="EM66" s="45" t="s">
        <v>2</v>
      </c>
      <c r="EN66" s="45"/>
      <c r="EO66" s="19" t="s">
        <v>0</v>
      </c>
      <c r="EQ66" s="17" t="s">
        <v>3</v>
      </c>
      <c r="ER66" s="18" t="s">
        <v>1</v>
      </c>
      <c r="ES66" s="45" t="s">
        <v>2</v>
      </c>
      <c r="ET66" s="45"/>
      <c r="EU66" s="19" t="s">
        <v>0</v>
      </c>
      <c r="EW66" s="17" t="s">
        <v>3</v>
      </c>
      <c r="EX66" s="18" t="s">
        <v>1</v>
      </c>
      <c r="EY66" s="45" t="s">
        <v>2</v>
      </c>
      <c r="EZ66" s="45"/>
      <c r="FA66" s="19" t="s">
        <v>0</v>
      </c>
      <c r="FC66" s="17" t="s">
        <v>3</v>
      </c>
      <c r="FD66" s="18" t="s">
        <v>1</v>
      </c>
      <c r="FE66" s="45" t="s">
        <v>2</v>
      </c>
      <c r="FF66" s="45"/>
      <c r="FG66" s="19" t="s">
        <v>0</v>
      </c>
      <c r="FI66" s="17" t="s">
        <v>3</v>
      </c>
      <c r="FJ66" s="18" t="s">
        <v>1</v>
      </c>
      <c r="FK66" s="45" t="s">
        <v>2</v>
      </c>
      <c r="FL66" s="45"/>
      <c r="FM66" s="19" t="s">
        <v>0</v>
      </c>
      <c r="FO66" s="17" t="s">
        <v>3</v>
      </c>
      <c r="FP66" s="18" t="s">
        <v>1</v>
      </c>
      <c r="FQ66" s="45" t="s">
        <v>2</v>
      </c>
      <c r="FR66" s="45"/>
      <c r="FS66" s="19" t="s">
        <v>0</v>
      </c>
      <c r="FU66" s="17" t="s">
        <v>3</v>
      </c>
      <c r="FV66" s="18" t="s">
        <v>1</v>
      </c>
      <c r="FW66" s="45" t="s">
        <v>2</v>
      </c>
      <c r="FX66" s="45"/>
      <c r="FY66" s="19" t="s">
        <v>0</v>
      </c>
      <c r="GA66" s="17" t="s">
        <v>3</v>
      </c>
      <c r="GB66" s="18" t="s">
        <v>1</v>
      </c>
      <c r="GC66" s="45" t="s">
        <v>2</v>
      </c>
      <c r="GD66" s="45"/>
      <c r="GE66" s="19" t="s">
        <v>0</v>
      </c>
      <c r="GG66" s="17" t="s">
        <v>3</v>
      </c>
      <c r="GH66" s="18" t="s">
        <v>1</v>
      </c>
      <c r="GI66" s="45" t="s">
        <v>2</v>
      </c>
      <c r="GJ66" s="45"/>
      <c r="GK66" s="19" t="s">
        <v>0</v>
      </c>
      <c r="GM66" s="17" t="s">
        <v>3</v>
      </c>
      <c r="GN66" s="18" t="s">
        <v>1</v>
      </c>
      <c r="GO66" s="45" t="s">
        <v>2</v>
      </c>
      <c r="GP66" s="45"/>
      <c r="GQ66" s="19" t="s">
        <v>0</v>
      </c>
      <c r="GS66" s="17" t="s">
        <v>3</v>
      </c>
      <c r="GT66" s="18" t="s">
        <v>1</v>
      </c>
      <c r="GU66" s="45" t="s">
        <v>2</v>
      </c>
      <c r="GV66" s="45"/>
      <c r="GW66" s="19" t="s">
        <v>0</v>
      </c>
      <c r="GY66" s="17" t="s">
        <v>3</v>
      </c>
      <c r="GZ66" s="18" t="s">
        <v>1</v>
      </c>
      <c r="HA66" s="45" t="s">
        <v>2</v>
      </c>
      <c r="HB66" s="45"/>
      <c r="HC66" s="19" t="s">
        <v>0</v>
      </c>
    </row>
    <row r="67" spans="2:211" hidden="1" outlineLevel="1" x14ac:dyDescent="0.2">
      <c r="C67" s="15"/>
      <c r="D67" s="16"/>
      <c r="E67" s="16"/>
      <c r="F67" s="16"/>
      <c r="G67" s="26">
        <f>G18</f>
        <v>2500000</v>
      </c>
      <c r="I67" s="15"/>
      <c r="J67" s="16"/>
      <c r="K67" s="16"/>
      <c r="L67" s="16"/>
      <c r="M67" s="26">
        <f>M18</f>
        <v>0</v>
      </c>
      <c r="O67" s="15"/>
      <c r="P67" s="16"/>
      <c r="Q67" s="16"/>
      <c r="R67" s="16"/>
      <c r="S67" s="26">
        <f>S18</f>
        <v>1358000</v>
      </c>
      <c r="U67" s="15"/>
      <c r="V67" s="16"/>
      <c r="W67" s="16"/>
      <c r="X67" s="16"/>
      <c r="Y67" s="26">
        <f>Y18</f>
        <v>0</v>
      </c>
      <c r="AA67" s="15"/>
      <c r="AB67" s="16"/>
      <c r="AC67" s="16"/>
      <c r="AD67" s="16"/>
      <c r="AE67" s="26">
        <f>AE18</f>
        <v>1375000</v>
      </c>
      <c r="AG67" s="15"/>
      <c r="AH67" s="16"/>
      <c r="AI67" s="16"/>
      <c r="AJ67" s="16"/>
      <c r="AK67" s="26">
        <f>AK18</f>
        <v>0</v>
      </c>
      <c r="AM67" s="15"/>
      <c r="AN67" s="16"/>
      <c r="AO67" s="16"/>
      <c r="AP67" s="16"/>
      <c r="AQ67" s="26">
        <f>AQ18</f>
        <v>4107500</v>
      </c>
      <c r="AS67" s="15"/>
      <c r="AT67" s="16"/>
      <c r="AU67" s="16"/>
      <c r="AV67" s="16"/>
      <c r="AW67" s="26">
        <f>AW18</f>
        <v>400000</v>
      </c>
      <c r="AY67" s="15"/>
      <c r="AZ67" s="16"/>
      <c r="BA67" s="16"/>
      <c r="BB67" s="16"/>
      <c r="BC67" s="26">
        <f>BC18</f>
        <v>1465000</v>
      </c>
      <c r="BE67" s="15"/>
      <c r="BF67" s="16"/>
      <c r="BG67" s="16"/>
      <c r="BH67" s="16"/>
      <c r="BI67" s="26">
        <f>BI18</f>
        <v>0</v>
      </c>
      <c r="BK67" s="15"/>
      <c r="BL67" s="16"/>
      <c r="BM67" s="16"/>
      <c r="BN67" s="16"/>
      <c r="BO67" s="26">
        <f>BO18</f>
        <v>0</v>
      </c>
      <c r="BQ67" s="15"/>
      <c r="BR67" s="16"/>
      <c r="BS67" s="16"/>
      <c r="BT67" s="16"/>
      <c r="BU67" s="26">
        <f>BU18</f>
        <v>2500000</v>
      </c>
      <c r="BW67" s="15"/>
      <c r="BX67" s="16"/>
      <c r="BY67" s="16"/>
      <c r="BZ67" s="16"/>
      <c r="CA67" s="26">
        <f>CA18</f>
        <v>730000</v>
      </c>
      <c r="CC67" s="15"/>
      <c r="CD67" s="16"/>
      <c r="CE67" s="16"/>
      <c r="CF67" s="16"/>
      <c r="CG67" s="26">
        <f>CG18</f>
        <v>5092500</v>
      </c>
      <c r="CI67" s="15"/>
      <c r="CJ67" s="16"/>
      <c r="CK67" s="16"/>
      <c r="CL67" s="16"/>
      <c r="CM67" s="26">
        <f>CM18</f>
        <v>100000</v>
      </c>
      <c r="CO67" s="15"/>
      <c r="CP67" s="16"/>
      <c r="CQ67" s="16"/>
      <c r="CR67" s="16"/>
      <c r="CS67" s="26">
        <f>CS18</f>
        <v>0</v>
      </c>
      <c r="CU67" s="15"/>
      <c r="CV67" s="16"/>
      <c r="CW67" s="16"/>
      <c r="CX67" s="16"/>
      <c r="CY67" s="26">
        <f>CY18</f>
        <v>930000</v>
      </c>
      <c r="DA67" s="15"/>
      <c r="DB67" s="16"/>
      <c r="DC67" s="16"/>
      <c r="DD67" s="16"/>
      <c r="DE67" s="26">
        <f>DE18</f>
        <v>0</v>
      </c>
      <c r="DG67" s="15"/>
      <c r="DH67" s="16"/>
      <c r="DI67" s="16"/>
      <c r="DJ67" s="16"/>
      <c r="DK67" s="26">
        <f>DK18</f>
        <v>0</v>
      </c>
      <c r="DM67" s="15"/>
      <c r="DN67" s="16"/>
      <c r="DO67" s="16"/>
      <c r="DP67" s="16"/>
      <c r="DQ67" s="26">
        <f>DQ18</f>
        <v>0</v>
      </c>
      <c r="DS67" s="15"/>
      <c r="DT67" s="16"/>
      <c r="DU67" s="16"/>
      <c r="DV67" s="16"/>
      <c r="DW67" s="26">
        <f>DW18</f>
        <v>3000000</v>
      </c>
      <c r="DY67" s="15"/>
      <c r="DZ67" s="16"/>
      <c r="EA67" s="16"/>
      <c r="EB67" s="16"/>
      <c r="EC67" s="26">
        <f>EC18</f>
        <v>1500000</v>
      </c>
      <c r="EE67" s="15"/>
      <c r="EF67" s="16"/>
      <c r="EG67" s="16"/>
      <c r="EH67" s="16"/>
      <c r="EI67" s="26">
        <f>EI18</f>
        <v>0</v>
      </c>
      <c r="EK67" s="15"/>
      <c r="EL67" s="16"/>
      <c r="EM67" s="16"/>
      <c r="EN67" s="16"/>
      <c r="EO67" s="26">
        <f>EO18</f>
        <v>2145000</v>
      </c>
      <c r="EQ67" s="15"/>
      <c r="ER67" s="16"/>
      <c r="ES67" s="16"/>
      <c r="ET67" s="16"/>
      <c r="EU67" s="26">
        <f>EU18</f>
        <v>0</v>
      </c>
      <c r="EW67" s="15"/>
      <c r="EX67" s="16"/>
      <c r="EY67" s="16"/>
      <c r="EZ67" s="16"/>
      <c r="FA67" s="26">
        <f>FA18</f>
        <v>860000</v>
      </c>
      <c r="FC67" s="15"/>
      <c r="FD67" s="16"/>
      <c r="FE67" s="16"/>
      <c r="FF67" s="16"/>
      <c r="FG67" s="26">
        <f>FG18</f>
        <v>3000000</v>
      </c>
      <c r="FI67" s="15"/>
      <c r="FJ67" s="16"/>
      <c r="FK67" s="16"/>
      <c r="FL67" s="16"/>
      <c r="FM67" s="26">
        <f>FM18</f>
        <v>2000000</v>
      </c>
      <c r="FO67" s="15"/>
      <c r="FP67" s="16"/>
      <c r="FQ67" s="16"/>
      <c r="FR67" s="16"/>
      <c r="FS67" s="26">
        <f>FS18</f>
        <v>2000000</v>
      </c>
      <c r="FU67" s="15"/>
      <c r="FV67" s="16"/>
      <c r="FW67" s="16"/>
      <c r="FX67" s="16"/>
      <c r="FY67" s="26">
        <f>FY18</f>
        <v>0</v>
      </c>
      <c r="GA67" s="15"/>
      <c r="GB67" s="16"/>
      <c r="GC67" s="16"/>
      <c r="GD67" s="16"/>
      <c r="GE67" s="26">
        <f>GE18</f>
        <v>1572000</v>
      </c>
      <c r="GG67" s="15"/>
      <c r="GH67" s="16"/>
      <c r="GI67" s="16"/>
      <c r="GJ67" s="16"/>
      <c r="GK67" s="26">
        <f>GK18</f>
        <v>1000000</v>
      </c>
      <c r="GM67" s="15"/>
      <c r="GN67" s="16"/>
      <c r="GO67" s="16"/>
      <c r="GP67" s="16"/>
      <c r="GQ67" s="26">
        <f>GQ18</f>
        <v>400000</v>
      </c>
      <c r="GS67" s="15"/>
      <c r="GT67" s="16"/>
      <c r="GU67" s="16"/>
      <c r="GV67" s="16"/>
      <c r="GW67" s="26">
        <f>GW18</f>
        <v>0</v>
      </c>
      <c r="GY67" s="15"/>
      <c r="GZ67" s="16"/>
      <c r="HA67" s="16"/>
      <c r="HB67" s="16"/>
      <c r="HC67" s="26">
        <f>HC18</f>
        <v>-696117.68864598079</v>
      </c>
    </row>
    <row r="68" spans="2:211" hidden="1" outlineLevel="1" x14ac:dyDescent="0.2">
      <c r="C68" s="5">
        <v>202401</v>
      </c>
      <c r="D68" s="6">
        <v>0</v>
      </c>
      <c r="E68" s="6">
        <v>300000</v>
      </c>
      <c r="F68" s="8">
        <v>0</v>
      </c>
      <c r="G68" s="7">
        <f>G67+D68-E68</f>
        <v>2200000</v>
      </c>
      <c r="I68" s="5">
        <v>202401</v>
      </c>
      <c r="J68" s="6">
        <v>0</v>
      </c>
      <c r="K68" s="6">
        <v>0</v>
      </c>
      <c r="L68" s="8">
        <v>0</v>
      </c>
      <c r="M68" s="7">
        <f>M67+J68-K68</f>
        <v>0</v>
      </c>
      <c r="O68" s="5">
        <v>202401</v>
      </c>
      <c r="P68" s="6">
        <v>0</v>
      </c>
      <c r="Q68" s="6">
        <f>214000+214000</f>
        <v>428000</v>
      </c>
      <c r="R68" s="8">
        <v>0</v>
      </c>
      <c r="S68" s="7">
        <f>S67+P68-Q68</f>
        <v>930000</v>
      </c>
      <c r="U68" s="5">
        <v>202401</v>
      </c>
      <c r="V68" s="6">
        <v>0</v>
      </c>
      <c r="W68" s="6">
        <v>0</v>
      </c>
      <c r="X68" s="8">
        <v>0</v>
      </c>
      <c r="Y68" s="7">
        <f>Y67+V68-W68</f>
        <v>0</v>
      </c>
      <c r="AA68" s="5">
        <v>202401</v>
      </c>
      <c r="AB68" s="6">
        <v>0</v>
      </c>
      <c r="AC68" s="6">
        <v>325000</v>
      </c>
      <c r="AD68" s="8">
        <v>0</v>
      </c>
      <c r="AE68" s="7">
        <f>AE67+AB68-AC68</f>
        <v>1050000</v>
      </c>
      <c r="AG68" s="5">
        <v>202401</v>
      </c>
      <c r="AH68" s="6">
        <v>0</v>
      </c>
      <c r="AI68" s="6">
        <v>0</v>
      </c>
      <c r="AJ68" s="8">
        <v>0</v>
      </c>
      <c r="AK68" s="7">
        <f>AK67+AH68-AI68</f>
        <v>0</v>
      </c>
      <c r="AM68" s="5">
        <v>202401</v>
      </c>
      <c r="AN68" s="6">
        <v>0</v>
      </c>
      <c r="AO68" s="6">
        <v>0</v>
      </c>
      <c r="AP68" s="8">
        <v>0</v>
      </c>
      <c r="AQ68" s="7">
        <f>AQ67+AN68-AO68</f>
        <v>4107500</v>
      </c>
      <c r="AS68" s="5">
        <v>202401</v>
      </c>
      <c r="AT68" s="6">
        <v>0</v>
      </c>
      <c r="AU68" s="6">
        <v>0</v>
      </c>
      <c r="AV68" s="8">
        <v>0</v>
      </c>
      <c r="AW68" s="7">
        <f>AW67+AT68-AU68</f>
        <v>400000</v>
      </c>
      <c r="AY68" s="5">
        <v>202401</v>
      </c>
      <c r="AZ68" s="6">
        <v>0</v>
      </c>
      <c r="BA68" s="6">
        <v>0</v>
      </c>
      <c r="BB68" s="8">
        <v>0</v>
      </c>
      <c r="BC68" s="7">
        <f>BC67+AZ68-BA68</f>
        <v>1465000</v>
      </c>
      <c r="BE68" s="5">
        <v>202401</v>
      </c>
      <c r="BF68" s="6">
        <v>0</v>
      </c>
      <c r="BG68" s="6">
        <v>0</v>
      </c>
      <c r="BH68" s="8">
        <v>0</v>
      </c>
      <c r="BI68" s="7">
        <f>BI67+BF68-BG68</f>
        <v>0</v>
      </c>
      <c r="BK68" s="5">
        <v>202401</v>
      </c>
      <c r="BL68" s="6">
        <v>0</v>
      </c>
      <c r="BM68" s="6">
        <v>0</v>
      </c>
      <c r="BN68" s="8">
        <v>0</v>
      </c>
      <c r="BO68" s="7">
        <f>BO67+BL68-BM68</f>
        <v>0</v>
      </c>
      <c r="BQ68" s="5">
        <v>202401</v>
      </c>
      <c r="BR68" s="6">
        <v>0</v>
      </c>
      <c r="BS68" s="6">
        <v>0</v>
      </c>
      <c r="BT68" s="8">
        <v>0</v>
      </c>
      <c r="BU68" s="7">
        <f>BU67+BR68-BS68</f>
        <v>2500000</v>
      </c>
      <c r="BW68" s="5">
        <v>202401</v>
      </c>
      <c r="BX68" s="6">
        <v>0</v>
      </c>
      <c r="BY68" s="6">
        <v>300000</v>
      </c>
      <c r="BZ68" s="8">
        <v>0</v>
      </c>
      <c r="CA68" s="7">
        <f>CA67+BX68-BY68</f>
        <v>430000</v>
      </c>
      <c r="CC68" s="5">
        <v>202401</v>
      </c>
      <c r="CD68" s="6">
        <v>0</v>
      </c>
      <c r="CE68" s="6">
        <v>0</v>
      </c>
      <c r="CF68" s="8">
        <v>0</v>
      </c>
      <c r="CG68" s="7">
        <f>CG67+CD68-CE68</f>
        <v>5092500</v>
      </c>
      <c r="CI68" s="5">
        <v>202401</v>
      </c>
      <c r="CJ68" s="6">
        <v>0</v>
      </c>
      <c r="CK68" s="6">
        <v>100000</v>
      </c>
      <c r="CL68" s="8">
        <v>200000</v>
      </c>
      <c r="CM68" s="7">
        <f>CM67+CJ68-CK68</f>
        <v>0</v>
      </c>
      <c r="CO68" s="5">
        <v>202401</v>
      </c>
      <c r="CP68" s="6">
        <v>0</v>
      </c>
      <c r="CQ68" s="6">
        <v>0</v>
      </c>
      <c r="CR68" s="8">
        <v>0</v>
      </c>
      <c r="CS68" s="7">
        <f>CS67+CP68-CQ68</f>
        <v>0</v>
      </c>
      <c r="CU68" s="5">
        <v>202401</v>
      </c>
      <c r="CV68" s="6">
        <v>0</v>
      </c>
      <c r="CW68" s="6">
        <v>214000</v>
      </c>
      <c r="CX68" s="8">
        <v>0</v>
      </c>
      <c r="CY68" s="7">
        <f>CY67+CV68-CW68</f>
        <v>716000</v>
      </c>
      <c r="DA68" s="5">
        <v>202401</v>
      </c>
      <c r="DB68" s="6">
        <v>0</v>
      </c>
      <c r="DC68" s="6">
        <v>0</v>
      </c>
      <c r="DD68" s="8">
        <v>0</v>
      </c>
      <c r="DE68" s="7">
        <f>DE67+DB68-DC68</f>
        <v>0</v>
      </c>
      <c r="DG68" s="5">
        <v>202401</v>
      </c>
      <c r="DH68" s="6">
        <v>0</v>
      </c>
      <c r="DI68" s="6">
        <v>0</v>
      </c>
      <c r="DJ68" s="8">
        <v>0</v>
      </c>
      <c r="DK68" s="7">
        <f>DK67+DH68-DI68</f>
        <v>0</v>
      </c>
      <c r="DM68" s="5">
        <v>202401</v>
      </c>
      <c r="DN68" s="6">
        <v>0</v>
      </c>
      <c r="DO68" s="6">
        <v>0</v>
      </c>
      <c r="DP68" s="8">
        <v>0</v>
      </c>
      <c r="DQ68" s="7">
        <f>DQ67+DN68-DO68</f>
        <v>0</v>
      </c>
      <c r="DS68" s="5">
        <v>202401</v>
      </c>
      <c r="DT68" s="6">
        <v>0</v>
      </c>
      <c r="DU68" s="6">
        <v>0</v>
      </c>
      <c r="DV68" s="8">
        <v>0</v>
      </c>
      <c r="DW68" s="7">
        <f>DW67+DT68-DU68</f>
        <v>3000000</v>
      </c>
      <c r="DY68" s="5">
        <v>202401</v>
      </c>
      <c r="DZ68" s="6">
        <v>0</v>
      </c>
      <c r="EA68" s="6">
        <v>250000</v>
      </c>
      <c r="EB68" s="8">
        <v>0</v>
      </c>
      <c r="EC68" s="7">
        <f>EC67+DZ68-EA68</f>
        <v>1250000</v>
      </c>
      <c r="EE68" s="5">
        <v>202401</v>
      </c>
      <c r="EF68" s="6">
        <v>0</v>
      </c>
      <c r="EG68" s="6">
        <v>0</v>
      </c>
      <c r="EH68" s="8">
        <v>0</v>
      </c>
      <c r="EI68" s="7">
        <f>EI67+EF68-EG68</f>
        <v>0</v>
      </c>
      <c r="EK68" s="5">
        <v>202401</v>
      </c>
      <c r="EL68" s="6">
        <v>0</v>
      </c>
      <c r="EM68" s="6">
        <v>500000</v>
      </c>
      <c r="EN68" s="8">
        <v>0</v>
      </c>
      <c r="EO68" s="7">
        <f>EO67+EL68-EM68</f>
        <v>1645000</v>
      </c>
      <c r="EQ68" s="5">
        <v>202401</v>
      </c>
      <c r="ER68" s="6">
        <v>3000000</v>
      </c>
      <c r="ES68" s="6">
        <v>0</v>
      </c>
      <c r="ET68" s="8">
        <v>0</v>
      </c>
      <c r="EU68" s="7">
        <f>EU67+ER68-ES68</f>
        <v>3000000</v>
      </c>
      <c r="EW68" s="5">
        <v>202401</v>
      </c>
      <c r="EX68" s="6">
        <v>0</v>
      </c>
      <c r="EY68" s="6">
        <v>0</v>
      </c>
      <c r="EZ68" s="8">
        <v>0</v>
      </c>
      <c r="FA68" s="7">
        <f>FA67+EX68-EY68</f>
        <v>860000</v>
      </c>
      <c r="FC68" s="5">
        <v>202401</v>
      </c>
      <c r="FD68" s="6">
        <v>0</v>
      </c>
      <c r="FE68" s="6">
        <v>317500</v>
      </c>
      <c r="FF68" s="8">
        <v>0</v>
      </c>
      <c r="FG68" s="7">
        <f>FG67+FD68-FE68</f>
        <v>2682500</v>
      </c>
      <c r="FI68" s="5">
        <v>202401</v>
      </c>
      <c r="FJ68" s="6">
        <v>0</v>
      </c>
      <c r="FK68" s="6">
        <v>320000</v>
      </c>
      <c r="FL68" s="8">
        <v>0</v>
      </c>
      <c r="FM68" s="7">
        <f>FM67+FJ68-FK68</f>
        <v>1680000</v>
      </c>
      <c r="FO68" s="5">
        <v>202401</v>
      </c>
      <c r="FP68" s="6">
        <v>0</v>
      </c>
      <c r="FQ68" s="6">
        <v>250000</v>
      </c>
      <c r="FR68" s="8">
        <v>0</v>
      </c>
      <c r="FS68" s="7">
        <f>FS67+FP68-FQ68</f>
        <v>1750000</v>
      </c>
      <c r="FU68" s="5">
        <v>202401</v>
      </c>
      <c r="FV68" s="6">
        <v>0</v>
      </c>
      <c r="FW68" s="6">
        <v>0</v>
      </c>
      <c r="FX68" s="8">
        <v>0</v>
      </c>
      <c r="FY68" s="7">
        <f>FY67+FV68-FW68</f>
        <v>0</v>
      </c>
      <c r="GA68" s="5">
        <v>202401</v>
      </c>
      <c r="GB68" s="6">
        <v>0</v>
      </c>
      <c r="GC68" s="6">
        <v>214000</v>
      </c>
      <c r="GD68" s="8">
        <v>0</v>
      </c>
      <c r="GE68" s="7">
        <f>GE67+GB68-GC68</f>
        <v>1358000</v>
      </c>
      <c r="GG68" s="5">
        <v>202401</v>
      </c>
      <c r="GH68" s="6">
        <v>2000000</v>
      </c>
      <c r="GI68" s="6">
        <v>1000000</v>
      </c>
      <c r="GJ68" s="8">
        <v>210000</v>
      </c>
      <c r="GK68" s="7">
        <f>GK67+GH68-GI68</f>
        <v>2000000</v>
      </c>
      <c r="GM68" s="5">
        <v>202401</v>
      </c>
      <c r="GN68" s="6">
        <v>0</v>
      </c>
      <c r="GO68" s="6">
        <v>0</v>
      </c>
      <c r="GP68" s="8">
        <v>0</v>
      </c>
      <c r="GQ68" s="7">
        <f>GQ67+GN68-GO68</f>
        <v>400000</v>
      </c>
      <c r="GS68" s="5">
        <v>202401</v>
      </c>
      <c r="GT68" s="6">
        <v>0</v>
      </c>
      <c r="GU68" s="6">
        <v>0</v>
      </c>
      <c r="GV68" s="8">
        <v>0</v>
      </c>
      <c r="GW68" s="7">
        <f>GW67+GT68-GU68</f>
        <v>0</v>
      </c>
      <c r="GY68" s="5">
        <v>202401</v>
      </c>
      <c r="GZ68" s="6">
        <v>0</v>
      </c>
      <c r="HA68" s="6">
        <v>0</v>
      </c>
      <c r="HB68" s="8">
        <v>0</v>
      </c>
      <c r="HC68" s="7">
        <f>HC67+GZ68-HA68</f>
        <v>-696117.68864598079</v>
      </c>
    </row>
    <row r="69" spans="2:211" hidden="1" outlineLevel="1" x14ac:dyDescent="0.2">
      <c r="C69" s="5">
        <v>202402</v>
      </c>
      <c r="D69" s="6">
        <v>0</v>
      </c>
      <c r="E69" s="6">
        <f>300000+300000</f>
        <v>600000</v>
      </c>
      <c r="F69" s="8">
        <v>0</v>
      </c>
      <c r="G69" s="7">
        <f t="shared" ref="G69:G79" si="205">G68+D69-E69</f>
        <v>1600000</v>
      </c>
      <c r="I69" s="5">
        <v>202402</v>
      </c>
      <c r="J69" s="6">
        <v>0</v>
      </c>
      <c r="K69" s="6">
        <v>0</v>
      </c>
      <c r="L69" s="8">
        <v>0</v>
      </c>
      <c r="M69" s="7">
        <f t="shared" ref="M69:M79" si="206">M68+J69-K69</f>
        <v>0</v>
      </c>
      <c r="O69" s="5">
        <v>202402</v>
      </c>
      <c r="P69" s="6">
        <v>0</v>
      </c>
      <c r="Q69" s="6">
        <v>214000</v>
      </c>
      <c r="R69" s="8">
        <v>0</v>
      </c>
      <c r="S69" s="7">
        <f t="shared" ref="S69:S79" si="207">S68+P69-Q69</f>
        <v>716000</v>
      </c>
      <c r="U69" s="5">
        <v>202402</v>
      </c>
      <c r="V69" s="6">
        <v>0</v>
      </c>
      <c r="W69" s="6">
        <v>0</v>
      </c>
      <c r="X69" s="8">
        <v>0</v>
      </c>
      <c r="Y69" s="7">
        <f t="shared" ref="Y69:Y79" si="208">Y68+V69-W69</f>
        <v>0</v>
      </c>
      <c r="AA69" s="5">
        <v>202402</v>
      </c>
      <c r="AB69" s="6">
        <v>0</v>
      </c>
      <c r="AC69" s="6">
        <v>0</v>
      </c>
      <c r="AD69" s="8">
        <v>0</v>
      </c>
      <c r="AE69" s="7">
        <f t="shared" ref="AE69:AE79" si="209">AE68+AB69-AC69</f>
        <v>1050000</v>
      </c>
      <c r="AG69" s="5">
        <v>202402</v>
      </c>
      <c r="AH69" s="6">
        <v>0</v>
      </c>
      <c r="AI69" s="6">
        <v>0</v>
      </c>
      <c r="AJ69" s="8">
        <v>0</v>
      </c>
      <c r="AK69" s="7">
        <f t="shared" ref="AK69:AK79" si="210">AK68+AH69-AI69</f>
        <v>0</v>
      </c>
      <c r="AM69" s="5">
        <v>202402</v>
      </c>
      <c r="AN69" s="6">
        <v>0</v>
      </c>
      <c r="AO69" s="6">
        <v>0</v>
      </c>
      <c r="AP69" s="8">
        <v>0</v>
      </c>
      <c r="AQ69" s="7">
        <f t="shared" ref="AQ69:AQ79" si="211">AQ68+AN69-AO69</f>
        <v>4107500</v>
      </c>
      <c r="AS69" s="5">
        <v>202402</v>
      </c>
      <c r="AT69" s="6">
        <v>0</v>
      </c>
      <c r="AU69" s="6">
        <v>0</v>
      </c>
      <c r="AV69" s="8">
        <v>0</v>
      </c>
      <c r="AW69" s="7">
        <f t="shared" ref="AW69:AW79" si="212">AW68+AT69-AU69</f>
        <v>400000</v>
      </c>
      <c r="AY69" s="5">
        <v>202402</v>
      </c>
      <c r="AZ69" s="6">
        <v>0</v>
      </c>
      <c r="BA69" s="6">
        <f>322000+322000</f>
        <v>644000</v>
      </c>
      <c r="BB69" s="8">
        <v>0</v>
      </c>
      <c r="BC69" s="7">
        <f t="shared" ref="BC69:BC79" si="213">BC68+AZ69-BA69</f>
        <v>821000</v>
      </c>
      <c r="BE69" s="5">
        <v>202402</v>
      </c>
      <c r="BF69" s="6">
        <v>4000000</v>
      </c>
      <c r="BG69" s="6">
        <v>0</v>
      </c>
      <c r="BH69" s="8">
        <v>0</v>
      </c>
      <c r="BI69" s="7">
        <f t="shared" ref="BI69:BI79" si="214">BI68+BF69-BG69</f>
        <v>4000000</v>
      </c>
      <c r="BK69" s="5">
        <v>202402</v>
      </c>
      <c r="BL69" s="6">
        <v>0</v>
      </c>
      <c r="BM69" s="6">
        <v>0</v>
      </c>
      <c r="BN69" s="8">
        <v>0</v>
      </c>
      <c r="BO69" s="7">
        <f t="shared" ref="BO69:BO79" si="215">BO68+BL69-BM69</f>
        <v>0</v>
      </c>
      <c r="BQ69" s="5">
        <v>202402</v>
      </c>
      <c r="BR69" s="6">
        <v>0</v>
      </c>
      <c r="BS69" s="6">
        <v>0</v>
      </c>
      <c r="BT69" s="8">
        <v>0</v>
      </c>
      <c r="BU69" s="7">
        <f t="shared" ref="BU69:BU79" si="216">BU68+BR69-BS69</f>
        <v>2500000</v>
      </c>
      <c r="BW69" s="5">
        <v>202402</v>
      </c>
      <c r="BX69" s="6">
        <v>0</v>
      </c>
      <c r="BY69" s="6">
        <v>320000</v>
      </c>
      <c r="BZ69" s="8">
        <v>0</v>
      </c>
      <c r="CA69" s="7">
        <f t="shared" ref="CA69:CA79" si="217">CA68+BX69-BY69</f>
        <v>110000</v>
      </c>
      <c r="CC69" s="5">
        <v>202402</v>
      </c>
      <c r="CD69" s="6">
        <v>0</v>
      </c>
      <c r="CE69" s="6">
        <v>446000</v>
      </c>
      <c r="CF69" s="8">
        <v>0</v>
      </c>
      <c r="CG69" s="7">
        <f t="shared" ref="CG69:CG79" si="218">CG68+CD69-CE69</f>
        <v>4646500</v>
      </c>
      <c r="CI69" s="5">
        <v>202402</v>
      </c>
      <c r="CJ69" s="6">
        <v>3000000</v>
      </c>
      <c r="CK69" s="6">
        <v>0</v>
      </c>
      <c r="CL69" s="8">
        <v>-25000</v>
      </c>
      <c r="CM69" s="7">
        <f t="shared" ref="CM69:CM79" si="219">CM68+CJ69-CK69</f>
        <v>3000000</v>
      </c>
      <c r="CO69" s="5">
        <v>202402</v>
      </c>
      <c r="CP69" s="6">
        <v>0</v>
      </c>
      <c r="CQ69" s="6">
        <v>0</v>
      </c>
      <c r="CR69" s="8">
        <v>0</v>
      </c>
      <c r="CS69" s="7">
        <f t="shared" ref="CS69:CS79" si="220">CS68+CP69-CQ69</f>
        <v>0</v>
      </c>
      <c r="CU69" s="5">
        <v>202402</v>
      </c>
      <c r="CV69" s="6">
        <v>0</v>
      </c>
      <c r="CW69" s="6">
        <v>0</v>
      </c>
      <c r="CX69" s="8">
        <v>0</v>
      </c>
      <c r="CY69" s="7">
        <f t="shared" ref="CY69:CY79" si="221">CY68+CV69-CW69</f>
        <v>716000</v>
      </c>
      <c r="DA69" s="5">
        <v>202402</v>
      </c>
      <c r="DB69" s="6">
        <v>0</v>
      </c>
      <c r="DC69" s="6">
        <v>0</v>
      </c>
      <c r="DD69" s="8">
        <v>0</v>
      </c>
      <c r="DE69" s="7">
        <f t="shared" ref="DE69:DE79" si="222">DE68+DB69-DC69</f>
        <v>0</v>
      </c>
      <c r="DG69" s="5">
        <v>202402</v>
      </c>
      <c r="DH69" s="6">
        <v>0</v>
      </c>
      <c r="DI69" s="6">
        <v>0</v>
      </c>
      <c r="DJ69" s="8">
        <v>0</v>
      </c>
      <c r="DK69" s="7">
        <f t="shared" ref="DK69:DK79" si="223">DK68+DH69-DI69</f>
        <v>0</v>
      </c>
      <c r="DM69" s="5">
        <v>202402</v>
      </c>
      <c r="DN69" s="6">
        <v>0</v>
      </c>
      <c r="DO69" s="6">
        <v>0</v>
      </c>
      <c r="DP69" s="8">
        <v>0</v>
      </c>
      <c r="DQ69" s="7">
        <f t="shared" ref="DQ69:DQ79" si="224">DQ68+DN69-DO69</f>
        <v>0</v>
      </c>
      <c r="DS69" s="5">
        <v>202402</v>
      </c>
      <c r="DT69" s="6">
        <v>0</v>
      </c>
      <c r="DU69" s="6">
        <v>0</v>
      </c>
      <c r="DV69" s="8">
        <v>0</v>
      </c>
      <c r="DW69" s="7">
        <f t="shared" ref="DW69:DW79" si="225">DW68+DT69-DU69</f>
        <v>3000000</v>
      </c>
      <c r="DY69" s="5">
        <v>202402</v>
      </c>
      <c r="DZ69" s="6">
        <v>0</v>
      </c>
      <c r="EA69" s="6">
        <v>250000</v>
      </c>
      <c r="EB69" s="8">
        <v>0</v>
      </c>
      <c r="EC69" s="7">
        <f t="shared" ref="EC69:EC79" si="226">EC68+DZ69-EA69</f>
        <v>1000000</v>
      </c>
      <c r="EE69" s="5">
        <v>202402</v>
      </c>
      <c r="EF69" s="6">
        <v>0</v>
      </c>
      <c r="EG69" s="6">
        <v>0</v>
      </c>
      <c r="EH69" s="8">
        <v>0</v>
      </c>
      <c r="EI69" s="7">
        <f t="shared" ref="EI69:EI79" si="227">EI68+EF69-EG69</f>
        <v>0</v>
      </c>
      <c r="EK69" s="5">
        <v>202402</v>
      </c>
      <c r="EL69" s="6">
        <v>0</v>
      </c>
      <c r="EM69" s="6">
        <v>0</v>
      </c>
      <c r="EN69" s="8">
        <v>0</v>
      </c>
      <c r="EO69" s="7">
        <f t="shared" ref="EO69:EO79" si="228">EO68+EL69-EM69</f>
        <v>1645000</v>
      </c>
      <c r="EQ69" s="5">
        <v>202402</v>
      </c>
      <c r="ER69" s="6">
        <v>0</v>
      </c>
      <c r="ES69" s="6">
        <v>271000</v>
      </c>
      <c r="ET69" s="8">
        <v>0</v>
      </c>
      <c r="EU69" s="7">
        <f t="shared" ref="EU69:EU79" si="229">EU68+ER69-ES69</f>
        <v>2729000</v>
      </c>
      <c r="EW69" s="5">
        <v>202402</v>
      </c>
      <c r="EX69" s="6">
        <v>0</v>
      </c>
      <c r="EY69" s="6">
        <v>0</v>
      </c>
      <c r="EZ69" s="8">
        <v>0</v>
      </c>
      <c r="FA69" s="7">
        <f t="shared" ref="FA69:FA79" si="230">FA68+EX69-EY69</f>
        <v>860000</v>
      </c>
      <c r="FC69" s="5">
        <v>202402</v>
      </c>
      <c r="FD69" s="6">
        <v>0</v>
      </c>
      <c r="FE69" s="6">
        <v>317500</v>
      </c>
      <c r="FF69" s="8">
        <v>0</v>
      </c>
      <c r="FG69" s="7">
        <f t="shared" ref="FG69:FG79" si="231">FG68+FD69-FE69</f>
        <v>2365000</v>
      </c>
      <c r="FI69" s="5">
        <v>202402</v>
      </c>
      <c r="FJ69" s="6">
        <v>0</v>
      </c>
      <c r="FK69" s="6">
        <v>350000</v>
      </c>
      <c r="FL69" s="8">
        <v>0</v>
      </c>
      <c r="FM69" s="7">
        <f t="shared" ref="FM69:FM79" si="232">FM68+FJ69-FK69</f>
        <v>1330000</v>
      </c>
      <c r="FO69" s="5">
        <v>202402</v>
      </c>
      <c r="FP69" s="6">
        <v>0</v>
      </c>
      <c r="FQ69" s="6">
        <v>200000</v>
      </c>
      <c r="FR69" s="8">
        <v>0</v>
      </c>
      <c r="FS69" s="7">
        <f t="shared" ref="FS69:FS79" si="233">FS68+FP69-FQ69</f>
        <v>1550000</v>
      </c>
      <c r="FU69" s="5">
        <v>202402</v>
      </c>
      <c r="FV69" s="6">
        <v>0</v>
      </c>
      <c r="FW69" s="6">
        <v>0</v>
      </c>
      <c r="FX69" s="8">
        <v>0</v>
      </c>
      <c r="FY69" s="7">
        <f t="shared" ref="FY69:FY79" si="234">FY68+FV69-FW69</f>
        <v>0</v>
      </c>
      <c r="GA69" s="5">
        <v>202402</v>
      </c>
      <c r="GB69" s="6">
        <v>0</v>
      </c>
      <c r="GC69" s="6">
        <v>0</v>
      </c>
      <c r="GD69" s="8">
        <v>0</v>
      </c>
      <c r="GE69" s="7">
        <f t="shared" ref="GE69:GE79" si="235">GE68+GB69-GC69</f>
        <v>1358000</v>
      </c>
      <c r="GG69" s="5">
        <v>202402</v>
      </c>
      <c r="GH69" s="6">
        <v>0</v>
      </c>
      <c r="GI69" s="6">
        <v>0</v>
      </c>
      <c r="GJ69" s="8">
        <v>0</v>
      </c>
      <c r="GK69" s="7">
        <f t="shared" ref="GK69:GK79" si="236">GK68+GH69-GI69</f>
        <v>2000000</v>
      </c>
      <c r="GM69" s="5">
        <v>202402</v>
      </c>
      <c r="GN69" s="6">
        <v>0</v>
      </c>
      <c r="GO69" s="6">
        <v>0</v>
      </c>
      <c r="GP69" s="8">
        <v>0</v>
      </c>
      <c r="GQ69" s="7">
        <f t="shared" ref="GQ69:GQ79" si="237">GQ68+GN69-GO69</f>
        <v>400000</v>
      </c>
      <c r="GS69" s="5">
        <v>202402</v>
      </c>
      <c r="GT69" s="6">
        <v>0</v>
      </c>
      <c r="GU69" s="6">
        <v>0</v>
      </c>
      <c r="GV69" s="8">
        <v>0</v>
      </c>
      <c r="GW69" s="7">
        <f t="shared" ref="GW69:GW79" si="238">GW68+GT69-GU69</f>
        <v>0</v>
      </c>
      <c r="GY69" s="5">
        <v>202402</v>
      </c>
      <c r="GZ69" s="6">
        <v>0</v>
      </c>
      <c r="HA69" s="6">
        <v>0</v>
      </c>
      <c r="HB69" s="8">
        <v>0</v>
      </c>
      <c r="HC69" s="7">
        <f t="shared" ref="HC69:HC79" si="239">HC68+GZ69-HA69</f>
        <v>-696117.68864598079</v>
      </c>
    </row>
    <row r="70" spans="2:211" hidden="1" outlineLevel="1" x14ac:dyDescent="0.2">
      <c r="C70" s="5">
        <v>202403</v>
      </c>
      <c r="D70" s="6">
        <v>0</v>
      </c>
      <c r="E70" s="6">
        <v>0</v>
      </c>
      <c r="F70" s="8">
        <v>0</v>
      </c>
      <c r="G70" s="7">
        <f t="shared" si="205"/>
        <v>1600000</v>
      </c>
      <c r="I70" s="5">
        <v>202403</v>
      </c>
      <c r="J70" s="6">
        <v>0</v>
      </c>
      <c r="K70" s="6">
        <v>0</v>
      </c>
      <c r="L70" s="8">
        <v>0</v>
      </c>
      <c r="M70" s="7">
        <f t="shared" si="206"/>
        <v>0</v>
      </c>
      <c r="O70" s="5">
        <v>202403</v>
      </c>
      <c r="P70" s="6">
        <v>0</v>
      </c>
      <c r="Q70" s="6">
        <v>214000</v>
      </c>
      <c r="R70" s="8">
        <v>0</v>
      </c>
      <c r="S70" s="7">
        <f t="shared" si="207"/>
        <v>502000</v>
      </c>
      <c r="U70" s="5">
        <v>202403</v>
      </c>
      <c r="V70" s="6">
        <v>0</v>
      </c>
      <c r="W70" s="6">
        <v>0</v>
      </c>
      <c r="X70" s="8">
        <v>0</v>
      </c>
      <c r="Y70" s="7">
        <f t="shared" si="208"/>
        <v>0</v>
      </c>
      <c r="AA70" s="5">
        <v>202403</v>
      </c>
      <c r="AB70" s="6">
        <v>0</v>
      </c>
      <c r="AC70" s="6">
        <v>325000</v>
      </c>
      <c r="AD70" s="8">
        <v>0</v>
      </c>
      <c r="AE70" s="7">
        <f t="shared" si="209"/>
        <v>725000</v>
      </c>
      <c r="AG70" s="5">
        <v>202403</v>
      </c>
      <c r="AH70" s="6">
        <v>0</v>
      </c>
      <c r="AI70" s="6">
        <v>0</v>
      </c>
      <c r="AJ70" s="8">
        <v>0</v>
      </c>
      <c r="AK70" s="7">
        <f t="shared" si="210"/>
        <v>0</v>
      </c>
      <c r="AM70" s="5">
        <v>202403</v>
      </c>
      <c r="AN70" s="6">
        <v>0</v>
      </c>
      <c r="AO70" s="6">
        <v>446000</v>
      </c>
      <c r="AP70" s="8">
        <v>0</v>
      </c>
      <c r="AQ70" s="7">
        <f t="shared" si="211"/>
        <v>3661500</v>
      </c>
      <c r="AS70" s="5">
        <v>202403</v>
      </c>
      <c r="AT70" s="6">
        <v>0</v>
      </c>
      <c r="AU70" s="6">
        <v>0</v>
      </c>
      <c r="AV70" s="8">
        <v>0</v>
      </c>
      <c r="AW70" s="7">
        <f t="shared" si="212"/>
        <v>400000</v>
      </c>
      <c r="AY70" s="5">
        <v>202403</v>
      </c>
      <c r="AZ70" s="6">
        <v>0</v>
      </c>
      <c r="BA70" s="6">
        <v>0</v>
      </c>
      <c r="BB70" s="8">
        <v>0</v>
      </c>
      <c r="BC70" s="7">
        <f t="shared" si="213"/>
        <v>821000</v>
      </c>
      <c r="BE70" s="5">
        <v>202403</v>
      </c>
      <c r="BF70" s="6">
        <v>0</v>
      </c>
      <c r="BG70" s="6">
        <v>0</v>
      </c>
      <c r="BH70" s="8">
        <v>0</v>
      </c>
      <c r="BI70" s="7">
        <f t="shared" si="214"/>
        <v>4000000</v>
      </c>
      <c r="BK70" s="5">
        <v>202403</v>
      </c>
      <c r="BL70" s="6">
        <v>0</v>
      </c>
      <c r="BM70" s="6">
        <v>0</v>
      </c>
      <c r="BN70" s="8">
        <v>0</v>
      </c>
      <c r="BO70" s="7">
        <f t="shared" si="215"/>
        <v>0</v>
      </c>
      <c r="BQ70" s="5">
        <v>202403</v>
      </c>
      <c r="BR70" s="6">
        <v>0</v>
      </c>
      <c r="BS70" s="6">
        <v>0</v>
      </c>
      <c r="BT70" s="8">
        <v>0</v>
      </c>
      <c r="BU70" s="7">
        <f t="shared" si="216"/>
        <v>2500000</v>
      </c>
      <c r="BW70" s="5">
        <v>202403</v>
      </c>
      <c r="BX70" s="6">
        <v>0</v>
      </c>
      <c r="BY70" s="6">
        <v>110000</v>
      </c>
      <c r="BZ70" s="8">
        <v>530000</v>
      </c>
      <c r="CA70" s="7">
        <f t="shared" si="217"/>
        <v>0</v>
      </c>
      <c r="CC70" s="5">
        <v>202403</v>
      </c>
      <c r="CD70" s="6">
        <v>0</v>
      </c>
      <c r="CE70" s="6">
        <v>454000</v>
      </c>
      <c r="CF70" s="8">
        <v>0</v>
      </c>
      <c r="CG70" s="7">
        <f t="shared" si="218"/>
        <v>4192500</v>
      </c>
      <c r="CI70" s="5">
        <v>202403</v>
      </c>
      <c r="CJ70" s="6">
        <v>0</v>
      </c>
      <c r="CK70" s="6">
        <v>0</v>
      </c>
      <c r="CL70" s="8">
        <v>0</v>
      </c>
      <c r="CM70" s="7">
        <f t="shared" si="219"/>
        <v>3000000</v>
      </c>
      <c r="CO70" s="5">
        <v>202403</v>
      </c>
      <c r="CP70" s="6">
        <v>0</v>
      </c>
      <c r="CQ70" s="6">
        <v>0</v>
      </c>
      <c r="CR70" s="8">
        <v>0</v>
      </c>
      <c r="CS70" s="7">
        <f t="shared" si="220"/>
        <v>0</v>
      </c>
      <c r="CU70" s="5">
        <v>202403</v>
      </c>
      <c r="CV70" s="6">
        <v>0</v>
      </c>
      <c r="CW70" s="6">
        <v>214000</v>
      </c>
      <c r="CX70" s="8">
        <v>0</v>
      </c>
      <c r="CY70" s="7">
        <f t="shared" si="221"/>
        <v>502000</v>
      </c>
      <c r="DA70" s="5">
        <v>202403</v>
      </c>
      <c r="DB70" s="6">
        <v>0</v>
      </c>
      <c r="DC70" s="6">
        <v>0</v>
      </c>
      <c r="DD70" s="8">
        <v>0</v>
      </c>
      <c r="DE70" s="7">
        <f t="shared" si="222"/>
        <v>0</v>
      </c>
      <c r="DG70" s="5">
        <v>202403</v>
      </c>
      <c r="DH70" s="6">
        <v>0</v>
      </c>
      <c r="DI70" s="6">
        <v>0</v>
      </c>
      <c r="DJ70" s="8">
        <v>0</v>
      </c>
      <c r="DK70" s="7">
        <f t="shared" si="223"/>
        <v>0</v>
      </c>
      <c r="DM70" s="5">
        <v>202403</v>
      </c>
      <c r="DN70" s="6">
        <v>0</v>
      </c>
      <c r="DO70" s="6">
        <v>0</v>
      </c>
      <c r="DP70" s="8">
        <v>0</v>
      </c>
      <c r="DQ70" s="7">
        <f t="shared" si="224"/>
        <v>0</v>
      </c>
      <c r="DS70" s="5">
        <v>202403</v>
      </c>
      <c r="DT70" s="6">
        <v>0</v>
      </c>
      <c r="DU70" s="6">
        <v>0</v>
      </c>
      <c r="DV70" s="8">
        <v>0</v>
      </c>
      <c r="DW70" s="7">
        <f t="shared" si="225"/>
        <v>3000000</v>
      </c>
      <c r="DY70" s="5">
        <v>202403</v>
      </c>
      <c r="DZ70" s="6">
        <v>0</v>
      </c>
      <c r="EA70" s="6">
        <v>250000</v>
      </c>
      <c r="EB70" s="8">
        <v>0</v>
      </c>
      <c r="EC70" s="7">
        <f t="shared" si="226"/>
        <v>750000</v>
      </c>
      <c r="EE70" s="5">
        <v>202403</v>
      </c>
      <c r="EF70" s="6">
        <v>0</v>
      </c>
      <c r="EG70" s="6">
        <v>0</v>
      </c>
      <c r="EH70" s="8">
        <v>0</v>
      </c>
      <c r="EI70" s="7">
        <f t="shared" si="227"/>
        <v>0</v>
      </c>
      <c r="EK70" s="5">
        <v>202403</v>
      </c>
      <c r="EL70" s="6">
        <v>0</v>
      </c>
      <c r="EM70" s="6">
        <v>0</v>
      </c>
      <c r="EN70" s="8">
        <v>0</v>
      </c>
      <c r="EO70" s="7">
        <f t="shared" si="228"/>
        <v>1645000</v>
      </c>
      <c r="EQ70" s="5">
        <v>202403</v>
      </c>
      <c r="ER70" s="6">
        <v>0</v>
      </c>
      <c r="ES70" s="6">
        <v>271000</v>
      </c>
      <c r="ET70" s="8">
        <v>0</v>
      </c>
      <c r="EU70" s="7">
        <f t="shared" si="229"/>
        <v>2458000</v>
      </c>
      <c r="EW70" s="5">
        <v>202403</v>
      </c>
      <c r="EX70" s="6">
        <v>0</v>
      </c>
      <c r="EY70" s="6">
        <v>0</v>
      </c>
      <c r="EZ70" s="8">
        <v>0</v>
      </c>
      <c r="FA70" s="7">
        <f t="shared" si="230"/>
        <v>860000</v>
      </c>
      <c r="FC70" s="5">
        <v>202403</v>
      </c>
      <c r="FD70" s="6">
        <v>0</v>
      </c>
      <c r="FE70" s="6">
        <v>317500</v>
      </c>
      <c r="FF70" s="8">
        <v>0</v>
      </c>
      <c r="FG70" s="7">
        <f t="shared" si="231"/>
        <v>2047500</v>
      </c>
      <c r="FI70" s="5">
        <v>202403</v>
      </c>
      <c r="FJ70" s="6">
        <v>0</v>
      </c>
      <c r="FK70" s="6">
        <v>0</v>
      </c>
      <c r="FL70" s="8">
        <v>0</v>
      </c>
      <c r="FM70" s="7">
        <f t="shared" si="232"/>
        <v>1330000</v>
      </c>
      <c r="FO70" s="5">
        <v>202403</v>
      </c>
      <c r="FP70" s="6">
        <v>0</v>
      </c>
      <c r="FQ70" s="6">
        <v>200000</v>
      </c>
      <c r="FR70" s="8">
        <v>0</v>
      </c>
      <c r="FS70" s="7">
        <f t="shared" si="233"/>
        <v>1350000</v>
      </c>
      <c r="FU70" s="5">
        <v>202403</v>
      </c>
      <c r="FV70" s="6">
        <v>0</v>
      </c>
      <c r="FW70" s="6">
        <v>0</v>
      </c>
      <c r="FX70" s="8">
        <v>0</v>
      </c>
      <c r="FY70" s="7">
        <f t="shared" si="234"/>
        <v>0</v>
      </c>
      <c r="GA70" s="5">
        <v>202403</v>
      </c>
      <c r="GB70" s="6">
        <v>0</v>
      </c>
      <c r="GC70" s="6">
        <v>214000</v>
      </c>
      <c r="GD70" s="8">
        <v>0</v>
      </c>
      <c r="GE70" s="7">
        <f t="shared" si="235"/>
        <v>1144000</v>
      </c>
      <c r="GG70" s="5">
        <v>202403</v>
      </c>
      <c r="GH70" s="6">
        <v>0</v>
      </c>
      <c r="GI70" s="6">
        <v>0</v>
      </c>
      <c r="GJ70" s="8">
        <v>0</v>
      </c>
      <c r="GK70" s="7">
        <f t="shared" si="236"/>
        <v>2000000</v>
      </c>
      <c r="GM70" s="5">
        <v>202403</v>
      </c>
      <c r="GN70" s="6">
        <v>0</v>
      </c>
      <c r="GO70" s="6">
        <v>0</v>
      </c>
      <c r="GP70" s="8">
        <v>0</v>
      </c>
      <c r="GQ70" s="7">
        <f t="shared" si="237"/>
        <v>400000</v>
      </c>
      <c r="GS70" s="5">
        <v>202403</v>
      </c>
      <c r="GT70" s="6">
        <v>0</v>
      </c>
      <c r="GU70" s="6">
        <v>0</v>
      </c>
      <c r="GV70" s="8">
        <v>0</v>
      </c>
      <c r="GW70" s="7">
        <f t="shared" si="238"/>
        <v>0</v>
      </c>
      <c r="GY70" s="5">
        <v>202403</v>
      </c>
      <c r="GZ70" s="6">
        <v>0</v>
      </c>
      <c r="HA70" s="6">
        <v>0</v>
      </c>
      <c r="HB70" s="8">
        <v>0</v>
      </c>
      <c r="HC70" s="7">
        <f t="shared" si="239"/>
        <v>-696117.68864598079</v>
      </c>
    </row>
    <row r="71" spans="2:211" hidden="1" outlineLevel="1" x14ac:dyDescent="0.2">
      <c r="C71" s="5">
        <v>202404</v>
      </c>
      <c r="D71" s="6">
        <v>0</v>
      </c>
      <c r="E71" s="6">
        <v>250000</v>
      </c>
      <c r="F71" s="8">
        <v>0</v>
      </c>
      <c r="G71" s="7">
        <f t="shared" si="205"/>
        <v>1350000</v>
      </c>
      <c r="I71" s="5">
        <v>202404</v>
      </c>
      <c r="J71" s="6">
        <v>0</v>
      </c>
      <c r="K71" s="6">
        <v>0</v>
      </c>
      <c r="L71" s="8">
        <v>0</v>
      </c>
      <c r="M71" s="7">
        <f t="shared" si="206"/>
        <v>0</v>
      </c>
      <c r="O71" s="5">
        <v>202404</v>
      </c>
      <c r="P71" s="6">
        <v>2000000</v>
      </c>
      <c r="Q71" s="6">
        <v>502000</v>
      </c>
      <c r="R71" s="8">
        <v>140000</v>
      </c>
      <c r="S71" s="7">
        <f t="shared" si="207"/>
        <v>2000000</v>
      </c>
      <c r="U71" s="5">
        <v>202404</v>
      </c>
      <c r="V71" s="6">
        <v>0</v>
      </c>
      <c r="W71" s="6">
        <v>0</v>
      </c>
      <c r="X71" s="8">
        <v>0</v>
      </c>
      <c r="Y71" s="7">
        <f t="shared" si="208"/>
        <v>0</v>
      </c>
      <c r="AA71" s="5">
        <v>202404</v>
      </c>
      <c r="AB71" s="6">
        <v>0</v>
      </c>
      <c r="AC71" s="6">
        <v>325000</v>
      </c>
      <c r="AD71" s="8">
        <v>0</v>
      </c>
      <c r="AE71" s="7">
        <f t="shared" si="209"/>
        <v>400000</v>
      </c>
      <c r="AG71" s="5">
        <v>202404</v>
      </c>
      <c r="AH71" s="6">
        <v>0</v>
      </c>
      <c r="AI71" s="6">
        <v>0</v>
      </c>
      <c r="AJ71" s="8">
        <v>0</v>
      </c>
      <c r="AK71" s="7">
        <f t="shared" si="210"/>
        <v>0</v>
      </c>
      <c r="AM71" s="5">
        <v>202404</v>
      </c>
      <c r="AN71" s="6">
        <v>0</v>
      </c>
      <c r="AO71" s="6">
        <v>0</v>
      </c>
      <c r="AP71" s="8">
        <v>0</v>
      </c>
      <c r="AQ71" s="7">
        <f t="shared" si="211"/>
        <v>3661500</v>
      </c>
      <c r="AS71" s="5">
        <v>202404</v>
      </c>
      <c r="AT71" s="6">
        <v>0</v>
      </c>
      <c r="AU71" s="6">
        <v>400000</v>
      </c>
      <c r="AV71" s="8">
        <v>0</v>
      </c>
      <c r="AW71" s="7">
        <f t="shared" si="212"/>
        <v>0</v>
      </c>
      <c r="AY71" s="5">
        <v>202404</v>
      </c>
      <c r="AZ71" s="6">
        <v>0</v>
      </c>
      <c r="BA71" s="6">
        <f>322000+322000</f>
        <v>644000</v>
      </c>
      <c r="BB71" s="8">
        <v>0</v>
      </c>
      <c r="BC71" s="7">
        <f t="shared" si="213"/>
        <v>177000</v>
      </c>
      <c r="BE71" s="5">
        <v>202404</v>
      </c>
      <c r="BF71" s="6">
        <v>0</v>
      </c>
      <c r="BG71" s="6">
        <v>0</v>
      </c>
      <c r="BH71" s="8">
        <v>0</v>
      </c>
      <c r="BI71" s="7">
        <f t="shared" si="214"/>
        <v>4000000</v>
      </c>
      <c r="BK71" s="5">
        <v>202404</v>
      </c>
      <c r="BL71" s="6">
        <v>0</v>
      </c>
      <c r="BM71" s="6">
        <v>0</v>
      </c>
      <c r="BN71" s="8">
        <v>0</v>
      </c>
      <c r="BO71" s="7">
        <f t="shared" si="215"/>
        <v>0</v>
      </c>
      <c r="BQ71" s="5">
        <v>202404</v>
      </c>
      <c r="BR71" s="6">
        <v>0</v>
      </c>
      <c r="BS71" s="6">
        <v>0</v>
      </c>
      <c r="BT71" s="8">
        <v>0</v>
      </c>
      <c r="BU71" s="7">
        <f t="shared" si="216"/>
        <v>2500000</v>
      </c>
      <c r="BW71" s="5">
        <v>202404</v>
      </c>
      <c r="BX71" s="6">
        <v>0</v>
      </c>
      <c r="BY71" s="6">
        <v>0</v>
      </c>
      <c r="BZ71" s="8">
        <v>0</v>
      </c>
      <c r="CA71" s="7">
        <f t="shared" si="217"/>
        <v>0</v>
      </c>
      <c r="CC71" s="5">
        <v>202404</v>
      </c>
      <c r="CD71" s="6">
        <v>0</v>
      </c>
      <c r="CE71" s="6">
        <v>454000</v>
      </c>
      <c r="CF71" s="8">
        <v>0</v>
      </c>
      <c r="CG71" s="7">
        <f t="shared" si="218"/>
        <v>3738500</v>
      </c>
      <c r="CI71" s="5">
        <v>202404</v>
      </c>
      <c r="CJ71" s="6">
        <v>0</v>
      </c>
      <c r="CK71" s="6">
        <v>500000</v>
      </c>
      <c r="CL71" s="8">
        <v>0</v>
      </c>
      <c r="CM71" s="7">
        <f t="shared" si="219"/>
        <v>2500000</v>
      </c>
      <c r="CO71" s="5">
        <v>202404</v>
      </c>
      <c r="CP71" s="6">
        <v>0</v>
      </c>
      <c r="CQ71" s="6">
        <v>0</v>
      </c>
      <c r="CR71" s="8">
        <v>0</v>
      </c>
      <c r="CS71" s="7">
        <f t="shared" si="220"/>
        <v>0</v>
      </c>
      <c r="CU71" s="5">
        <v>202404</v>
      </c>
      <c r="CV71" s="6">
        <v>2000000</v>
      </c>
      <c r="CW71" s="6">
        <v>502000</v>
      </c>
      <c r="CX71" s="8">
        <v>140000</v>
      </c>
      <c r="CY71" s="7">
        <f t="shared" si="221"/>
        <v>2000000</v>
      </c>
      <c r="DA71" s="5">
        <v>202404</v>
      </c>
      <c r="DB71" s="6">
        <v>0</v>
      </c>
      <c r="DC71" s="6">
        <v>0</v>
      </c>
      <c r="DD71" s="8">
        <v>0</v>
      </c>
      <c r="DE71" s="7">
        <f t="shared" si="222"/>
        <v>0</v>
      </c>
      <c r="DG71" s="5">
        <v>202404</v>
      </c>
      <c r="DH71" s="6">
        <v>0</v>
      </c>
      <c r="DI71" s="6">
        <v>0</v>
      </c>
      <c r="DJ71" s="8">
        <v>0</v>
      </c>
      <c r="DK71" s="7">
        <f t="shared" si="223"/>
        <v>0</v>
      </c>
      <c r="DM71" s="5">
        <v>202404</v>
      </c>
      <c r="DN71" s="6">
        <v>0</v>
      </c>
      <c r="DO71" s="6">
        <v>0</v>
      </c>
      <c r="DP71" s="8">
        <v>0</v>
      </c>
      <c r="DQ71" s="7">
        <f t="shared" si="224"/>
        <v>0</v>
      </c>
      <c r="DS71" s="5">
        <v>202404</v>
      </c>
      <c r="DT71" s="6">
        <v>0</v>
      </c>
      <c r="DU71" s="6">
        <v>0</v>
      </c>
      <c r="DV71" s="8">
        <v>0</v>
      </c>
      <c r="DW71" s="7">
        <f t="shared" si="225"/>
        <v>3000000</v>
      </c>
      <c r="DY71" s="5">
        <v>202404</v>
      </c>
      <c r="DZ71" s="6">
        <v>0</v>
      </c>
      <c r="EA71" s="6">
        <v>250000</v>
      </c>
      <c r="EB71" s="8">
        <v>0</v>
      </c>
      <c r="EC71" s="7">
        <f t="shared" si="226"/>
        <v>500000</v>
      </c>
      <c r="EE71" s="5">
        <v>202404</v>
      </c>
      <c r="EF71" s="6">
        <v>0</v>
      </c>
      <c r="EG71" s="6">
        <v>0</v>
      </c>
      <c r="EH71" s="8">
        <v>0</v>
      </c>
      <c r="EI71" s="7">
        <f t="shared" si="227"/>
        <v>0</v>
      </c>
      <c r="EK71" s="5">
        <v>202404</v>
      </c>
      <c r="EL71" s="6">
        <v>0</v>
      </c>
      <c r="EM71" s="6">
        <v>0</v>
      </c>
      <c r="EN71" s="8">
        <v>0</v>
      </c>
      <c r="EO71" s="7">
        <f t="shared" si="228"/>
        <v>1645000</v>
      </c>
      <c r="EQ71" s="5">
        <v>202404</v>
      </c>
      <c r="ER71" s="6">
        <v>0</v>
      </c>
      <c r="ES71" s="6">
        <v>0</v>
      </c>
      <c r="ET71" s="8">
        <v>0</v>
      </c>
      <c r="EU71" s="7">
        <f t="shared" si="229"/>
        <v>2458000</v>
      </c>
      <c r="EW71" s="5">
        <v>202404</v>
      </c>
      <c r="EX71" s="6">
        <v>0</v>
      </c>
      <c r="EY71" s="6">
        <v>0</v>
      </c>
      <c r="EZ71" s="8">
        <v>0</v>
      </c>
      <c r="FA71" s="7">
        <f t="shared" si="230"/>
        <v>860000</v>
      </c>
      <c r="FC71" s="5">
        <v>202404</v>
      </c>
      <c r="FD71" s="6">
        <v>0</v>
      </c>
      <c r="FE71" s="6">
        <v>317500</v>
      </c>
      <c r="FF71" s="8">
        <v>0</v>
      </c>
      <c r="FG71" s="7">
        <f t="shared" si="231"/>
        <v>1730000</v>
      </c>
      <c r="FI71" s="5">
        <v>202404</v>
      </c>
      <c r="FJ71" s="6">
        <v>0</v>
      </c>
      <c r="FK71" s="6">
        <v>350000</v>
      </c>
      <c r="FL71" s="8">
        <v>0</v>
      </c>
      <c r="FM71" s="7">
        <f t="shared" si="232"/>
        <v>980000</v>
      </c>
      <c r="FO71" s="5">
        <v>202404</v>
      </c>
      <c r="FP71" s="6">
        <v>0</v>
      </c>
      <c r="FQ71" s="6">
        <v>400000</v>
      </c>
      <c r="FR71" s="8">
        <v>0</v>
      </c>
      <c r="FS71" s="7">
        <f t="shared" si="233"/>
        <v>950000</v>
      </c>
      <c r="FU71" s="5">
        <v>202404</v>
      </c>
      <c r="FV71" s="6">
        <v>0</v>
      </c>
      <c r="FW71" s="6">
        <v>0</v>
      </c>
      <c r="FX71" s="8">
        <v>0</v>
      </c>
      <c r="FY71" s="7">
        <f t="shared" si="234"/>
        <v>0</v>
      </c>
      <c r="GA71" s="5">
        <v>202404</v>
      </c>
      <c r="GB71" s="6">
        <v>0</v>
      </c>
      <c r="GC71" s="6">
        <v>214000</v>
      </c>
      <c r="GD71" s="8">
        <v>0</v>
      </c>
      <c r="GE71" s="7">
        <f t="shared" si="235"/>
        <v>930000</v>
      </c>
      <c r="GG71" s="5">
        <v>202404</v>
      </c>
      <c r="GH71" s="6">
        <v>0</v>
      </c>
      <c r="GI71" s="6">
        <v>0</v>
      </c>
      <c r="GJ71" s="8">
        <v>0</v>
      </c>
      <c r="GK71" s="7">
        <f t="shared" si="236"/>
        <v>2000000</v>
      </c>
      <c r="GM71" s="5">
        <v>202404</v>
      </c>
      <c r="GN71" s="6">
        <v>0</v>
      </c>
      <c r="GO71" s="6">
        <v>0</v>
      </c>
      <c r="GP71" s="8">
        <v>0</v>
      </c>
      <c r="GQ71" s="7">
        <f t="shared" si="237"/>
        <v>400000</v>
      </c>
      <c r="GS71" s="5">
        <v>202404</v>
      </c>
      <c r="GT71" s="6">
        <v>0</v>
      </c>
      <c r="GU71" s="6">
        <v>0</v>
      </c>
      <c r="GV71" s="8">
        <v>0</v>
      </c>
      <c r="GW71" s="7">
        <f t="shared" si="238"/>
        <v>0</v>
      </c>
      <c r="GY71" s="5">
        <v>202404</v>
      </c>
      <c r="GZ71" s="6">
        <v>0</v>
      </c>
      <c r="HA71" s="6">
        <v>0</v>
      </c>
      <c r="HB71" s="8">
        <v>0</v>
      </c>
      <c r="HC71" s="7">
        <f t="shared" si="239"/>
        <v>-696117.68864598079</v>
      </c>
    </row>
    <row r="72" spans="2:211" hidden="1" outlineLevel="1" x14ac:dyDescent="0.2">
      <c r="C72" s="5">
        <v>202405</v>
      </c>
      <c r="D72" s="6">
        <v>0</v>
      </c>
      <c r="E72" s="6">
        <f>250000+200000</f>
        <v>450000</v>
      </c>
      <c r="F72" s="8">
        <v>0</v>
      </c>
      <c r="G72" s="7">
        <f t="shared" si="205"/>
        <v>900000</v>
      </c>
      <c r="I72" s="5">
        <v>202405</v>
      </c>
      <c r="J72" s="6">
        <v>0</v>
      </c>
      <c r="K72" s="9">
        <v>0</v>
      </c>
      <c r="L72" s="8">
        <v>0</v>
      </c>
      <c r="M72" s="7">
        <f t="shared" si="206"/>
        <v>0</v>
      </c>
      <c r="O72" s="5">
        <v>202405</v>
      </c>
      <c r="P72" s="6">
        <v>0</v>
      </c>
      <c r="Q72" s="9">
        <v>214000</v>
      </c>
      <c r="R72" s="8">
        <v>0</v>
      </c>
      <c r="S72" s="7">
        <f t="shared" si="207"/>
        <v>1786000</v>
      </c>
      <c r="U72" s="5">
        <v>202405</v>
      </c>
      <c r="V72" s="6">
        <v>0</v>
      </c>
      <c r="W72" s="9">
        <v>0</v>
      </c>
      <c r="X72" s="8">
        <v>0</v>
      </c>
      <c r="Y72" s="7">
        <f t="shared" si="208"/>
        <v>0</v>
      </c>
      <c r="AA72" s="5">
        <v>202405</v>
      </c>
      <c r="AB72" s="6">
        <v>3000000</v>
      </c>
      <c r="AC72" s="6">
        <f>325000+75000</f>
        <v>400000</v>
      </c>
      <c r="AD72" s="8">
        <v>210000</v>
      </c>
      <c r="AE72" s="7">
        <f t="shared" si="209"/>
        <v>3000000</v>
      </c>
      <c r="AG72" s="5">
        <v>202405</v>
      </c>
      <c r="AH72" s="6">
        <v>0</v>
      </c>
      <c r="AI72" s="9">
        <v>0</v>
      </c>
      <c r="AJ72" s="8">
        <v>0</v>
      </c>
      <c r="AK72" s="7">
        <f t="shared" si="210"/>
        <v>0</v>
      </c>
      <c r="AM72" s="5">
        <v>202405</v>
      </c>
      <c r="AN72" s="6">
        <v>0</v>
      </c>
      <c r="AO72" s="6">
        <v>446000</v>
      </c>
      <c r="AP72" s="8">
        <v>0</v>
      </c>
      <c r="AQ72" s="7">
        <f t="shared" si="211"/>
        <v>3215500</v>
      </c>
      <c r="AS72" s="5">
        <v>202405</v>
      </c>
      <c r="AT72" s="6">
        <v>0</v>
      </c>
      <c r="AU72" s="9">
        <v>0</v>
      </c>
      <c r="AV72" s="8">
        <v>0</v>
      </c>
      <c r="AW72" s="7">
        <f t="shared" si="212"/>
        <v>0</v>
      </c>
      <c r="AY72" s="5">
        <v>202405</v>
      </c>
      <c r="AZ72" s="6">
        <v>0</v>
      </c>
      <c r="BA72" s="9">
        <v>0</v>
      </c>
      <c r="BB72" s="8">
        <v>0</v>
      </c>
      <c r="BC72" s="7">
        <f t="shared" si="213"/>
        <v>177000</v>
      </c>
      <c r="BE72" s="5">
        <v>202405</v>
      </c>
      <c r="BF72" s="6">
        <v>0</v>
      </c>
      <c r="BG72" s="9">
        <v>0</v>
      </c>
      <c r="BH72" s="8">
        <v>0</v>
      </c>
      <c r="BI72" s="7">
        <f t="shared" si="214"/>
        <v>4000000</v>
      </c>
      <c r="BK72" s="5">
        <v>202405</v>
      </c>
      <c r="BL72" s="6">
        <v>0</v>
      </c>
      <c r="BM72" s="9">
        <v>0</v>
      </c>
      <c r="BN72" s="8">
        <v>0</v>
      </c>
      <c r="BO72" s="7">
        <f t="shared" si="215"/>
        <v>0</v>
      </c>
      <c r="BQ72" s="5">
        <v>202405</v>
      </c>
      <c r="BR72" s="6">
        <v>0</v>
      </c>
      <c r="BS72" s="9">
        <v>678000</v>
      </c>
      <c r="BT72" s="8">
        <v>0</v>
      </c>
      <c r="BU72" s="7">
        <f t="shared" si="216"/>
        <v>1822000</v>
      </c>
      <c r="BW72" s="5">
        <v>202405</v>
      </c>
      <c r="BX72" s="6">
        <v>0</v>
      </c>
      <c r="BY72" s="9">
        <v>0</v>
      </c>
      <c r="BZ72" s="8">
        <v>0</v>
      </c>
      <c r="CA72" s="7">
        <f t="shared" si="217"/>
        <v>0</v>
      </c>
      <c r="CC72" s="5">
        <v>202405</v>
      </c>
      <c r="CD72" s="6">
        <v>0</v>
      </c>
      <c r="CE72" s="6">
        <v>454000</v>
      </c>
      <c r="CF72" s="8">
        <v>0</v>
      </c>
      <c r="CG72" s="7">
        <f t="shared" si="218"/>
        <v>3284500</v>
      </c>
      <c r="CI72" s="5">
        <v>202405</v>
      </c>
      <c r="CJ72" s="6">
        <v>0</v>
      </c>
      <c r="CK72" s="9">
        <v>0</v>
      </c>
      <c r="CL72" s="8">
        <v>0</v>
      </c>
      <c r="CM72" s="7">
        <f t="shared" si="219"/>
        <v>2500000</v>
      </c>
      <c r="CO72" s="5">
        <v>202405</v>
      </c>
      <c r="CP72" s="6">
        <v>0</v>
      </c>
      <c r="CQ72" s="6">
        <v>0</v>
      </c>
      <c r="CR72" s="8">
        <v>0</v>
      </c>
      <c r="CS72" s="7">
        <f t="shared" si="220"/>
        <v>0</v>
      </c>
      <c r="CU72" s="5">
        <v>202405</v>
      </c>
      <c r="CV72" s="6">
        <v>0</v>
      </c>
      <c r="CW72" s="6">
        <v>214000</v>
      </c>
      <c r="CX72" s="8">
        <v>0</v>
      </c>
      <c r="CY72" s="7">
        <f t="shared" si="221"/>
        <v>1786000</v>
      </c>
      <c r="DA72" s="5">
        <v>202405</v>
      </c>
      <c r="DB72" s="6">
        <v>0</v>
      </c>
      <c r="DC72" s="9">
        <v>0</v>
      </c>
      <c r="DD72" s="8">
        <v>0</v>
      </c>
      <c r="DE72" s="7">
        <f t="shared" si="222"/>
        <v>0</v>
      </c>
      <c r="DG72" s="5">
        <v>202405</v>
      </c>
      <c r="DH72" s="6">
        <v>0</v>
      </c>
      <c r="DI72" s="9">
        <v>0</v>
      </c>
      <c r="DJ72" s="8">
        <v>0</v>
      </c>
      <c r="DK72" s="7">
        <f t="shared" si="223"/>
        <v>0</v>
      </c>
      <c r="DM72" s="5">
        <v>202405</v>
      </c>
      <c r="DN72" s="6">
        <v>0</v>
      </c>
      <c r="DO72" s="9">
        <v>0</v>
      </c>
      <c r="DP72" s="8">
        <v>0</v>
      </c>
      <c r="DQ72" s="7">
        <f t="shared" si="224"/>
        <v>0</v>
      </c>
      <c r="DS72" s="5">
        <v>202405</v>
      </c>
      <c r="DT72" s="6">
        <v>0</v>
      </c>
      <c r="DU72" s="9">
        <v>0</v>
      </c>
      <c r="DV72" s="8">
        <v>0</v>
      </c>
      <c r="DW72" s="7">
        <f t="shared" si="225"/>
        <v>3000000</v>
      </c>
      <c r="DY72" s="5">
        <v>202405</v>
      </c>
      <c r="DZ72" s="6">
        <v>2500000</v>
      </c>
      <c r="EA72" s="6">
        <f>250000+250000</f>
        <v>500000</v>
      </c>
      <c r="EB72" s="8">
        <v>140000</v>
      </c>
      <c r="EC72" s="7">
        <f t="shared" si="226"/>
        <v>2500000</v>
      </c>
      <c r="EE72" s="5">
        <v>202405</v>
      </c>
      <c r="EF72" s="6">
        <v>0</v>
      </c>
      <c r="EG72" s="9">
        <v>0</v>
      </c>
      <c r="EH72" s="8">
        <v>0</v>
      </c>
      <c r="EI72" s="7">
        <f t="shared" si="227"/>
        <v>0</v>
      </c>
      <c r="EK72" s="5">
        <v>202405</v>
      </c>
      <c r="EL72" s="6">
        <v>0</v>
      </c>
      <c r="EM72" s="9">
        <v>0</v>
      </c>
      <c r="EN72" s="8">
        <v>0</v>
      </c>
      <c r="EO72" s="7">
        <f t="shared" si="228"/>
        <v>1645000</v>
      </c>
      <c r="EQ72" s="5">
        <v>202405</v>
      </c>
      <c r="ER72" s="6">
        <v>0</v>
      </c>
      <c r="ES72" s="6">
        <v>271000</v>
      </c>
      <c r="ET72" s="8">
        <v>0</v>
      </c>
      <c r="EU72" s="7">
        <f t="shared" si="229"/>
        <v>2187000</v>
      </c>
      <c r="EW72" s="5">
        <v>202405</v>
      </c>
      <c r="EX72" s="6">
        <v>0</v>
      </c>
      <c r="EY72" s="9">
        <v>0</v>
      </c>
      <c r="EZ72" s="8">
        <v>0</v>
      </c>
      <c r="FA72" s="7">
        <f t="shared" si="230"/>
        <v>860000</v>
      </c>
      <c r="FC72" s="5">
        <v>202405</v>
      </c>
      <c r="FD72" s="6">
        <v>0</v>
      </c>
      <c r="FE72" s="6">
        <v>317500</v>
      </c>
      <c r="FF72" s="8">
        <v>0</v>
      </c>
      <c r="FG72" s="7">
        <f t="shared" si="231"/>
        <v>1412500</v>
      </c>
      <c r="FI72" s="5">
        <v>202405</v>
      </c>
      <c r="FJ72" s="6">
        <v>3000000</v>
      </c>
      <c r="FK72" s="9">
        <f>980000+350000</f>
        <v>1330000</v>
      </c>
      <c r="FL72" s="8">
        <v>210000</v>
      </c>
      <c r="FM72" s="7">
        <f t="shared" si="232"/>
        <v>2650000</v>
      </c>
      <c r="FO72" s="5">
        <v>202405</v>
      </c>
      <c r="FP72" s="6">
        <v>0</v>
      </c>
      <c r="FQ72" s="6">
        <v>200000</v>
      </c>
      <c r="FR72" s="8">
        <v>0</v>
      </c>
      <c r="FS72" s="7">
        <f t="shared" si="233"/>
        <v>750000</v>
      </c>
      <c r="FU72" s="5">
        <v>202405</v>
      </c>
      <c r="FV72" s="6">
        <v>0</v>
      </c>
      <c r="FW72" s="9">
        <v>0</v>
      </c>
      <c r="FX72" s="8">
        <v>0</v>
      </c>
      <c r="FY72" s="7">
        <f t="shared" si="234"/>
        <v>0</v>
      </c>
      <c r="GA72" s="5">
        <v>202405</v>
      </c>
      <c r="GB72" s="6">
        <v>0</v>
      </c>
      <c r="GC72" s="6">
        <v>214000</v>
      </c>
      <c r="GD72" s="8">
        <v>0</v>
      </c>
      <c r="GE72" s="7">
        <f t="shared" si="235"/>
        <v>716000</v>
      </c>
      <c r="GG72" s="5">
        <v>202405</v>
      </c>
      <c r="GH72" s="6">
        <v>0</v>
      </c>
      <c r="GI72" s="9">
        <v>0</v>
      </c>
      <c r="GJ72" s="8">
        <v>0</v>
      </c>
      <c r="GK72" s="7">
        <f t="shared" si="236"/>
        <v>2000000</v>
      </c>
      <c r="GM72" s="5">
        <v>202405</v>
      </c>
      <c r="GN72" s="6">
        <v>0</v>
      </c>
      <c r="GO72" s="9">
        <v>0</v>
      </c>
      <c r="GP72" s="8">
        <v>0</v>
      </c>
      <c r="GQ72" s="7">
        <f t="shared" si="237"/>
        <v>400000</v>
      </c>
      <c r="GS72" s="5">
        <v>202405</v>
      </c>
      <c r="GT72" s="6">
        <v>0</v>
      </c>
      <c r="GU72" s="9">
        <v>0</v>
      </c>
      <c r="GV72" s="8">
        <v>0</v>
      </c>
      <c r="GW72" s="7">
        <f t="shared" si="238"/>
        <v>0</v>
      </c>
      <c r="GY72" s="5">
        <v>202405</v>
      </c>
      <c r="GZ72" s="6">
        <v>0</v>
      </c>
      <c r="HA72" s="9">
        <v>0</v>
      </c>
      <c r="HB72" s="8">
        <v>0</v>
      </c>
      <c r="HC72" s="7">
        <f t="shared" si="239"/>
        <v>-696117.68864598079</v>
      </c>
    </row>
    <row r="73" spans="2:211" hidden="1" outlineLevel="1" x14ac:dyDescent="0.2">
      <c r="C73" s="5">
        <v>202406</v>
      </c>
      <c r="D73" s="6">
        <v>0</v>
      </c>
      <c r="E73" s="6">
        <f>300000+250000</f>
        <v>550000</v>
      </c>
      <c r="F73" s="8">
        <v>0</v>
      </c>
      <c r="G73" s="7">
        <f t="shared" si="205"/>
        <v>350000</v>
      </c>
      <c r="I73" s="5">
        <v>202406</v>
      </c>
      <c r="J73" s="6">
        <v>0</v>
      </c>
      <c r="K73" s="9">
        <v>0</v>
      </c>
      <c r="L73" s="8">
        <v>0</v>
      </c>
      <c r="M73" s="7">
        <f t="shared" si="206"/>
        <v>0</v>
      </c>
      <c r="O73" s="5">
        <v>202406</v>
      </c>
      <c r="P73" s="6">
        <v>0</v>
      </c>
      <c r="Q73" s="9">
        <v>214000</v>
      </c>
      <c r="R73" s="8">
        <v>0</v>
      </c>
      <c r="S73" s="7">
        <f t="shared" si="207"/>
        <v>1572000</v>
      </c>
      <c r="U73" s="5">
        <v>202406</v>
      </c>
      <c r="V73" s="6">
        <v>0</v>
      </c>
      <c r="W73" s="6">
        <v>0</v>
      </c>
      <c r="X73" s="8">
        <v>0</v>
      </c>
      <c r="Y73" s="7">
        <f t="shared" si="208"/>
        <v>0</v>
      </c>
      <c r="AA73" s="5">
        <v>202406</v>
      </c>
      <c r="AB73" s="6">
        <v>0</v>
      </c>
      <c r="AC73" s="6">
        <v>322000</v>
      </c>
      <c r="AD73" s="8">
        <v>0</v>
      </c>
      <c r="AE73" s="7">
        <f t="shared" si="209"/>
        <v>2678000</v>
      </c>
      <c r="AG73" s="5">
        <v>202406</v>
      </c>
      <c r="AH73" s="6">
        <v>0</v>
      </c>
      <c r="AI73" s="6">
        <v>0</v>
      </c>
      <c r="AJ73" s="8">
        <v>0</v>
      </c>
      <c r="AK73" s="7">
        <f t="shared" si="210"/>
        <v>0</v>
      </c>
      <c r="AM73" s="5">
        <v>202406</v>
      </c>
      <c r="AN73" s="6">
        <v>0</v>
      </c>
      <c r="AO73" s="6">
        <v>0</v>
      </c>
      <c r="AP73" s="8">
        <v>0</v>
      </c>
      <c r="AQ73" s="7">
        <f t="shared" si="211"/>
        <v>3215500</v>
      </c>
      <c r="AS73" s="5">
        <v>202406</v>
      </c>
      <c r="AT73" s="6">
        <v>0</v>
      </c>
      <c r="AU73" s="6">
        <v>0</v>
      </c>
      <c r="AV73" s="8">
        <v>0</v>
      </c>
      <c r="AW73" s="7">
        <f t="shared" si="212"/>
        <v>0</v>
      </c>
      <c r="AY73" s="5">
        <v>202406</v>
      </c>
      <c r="AZ73" s="6">
        <v>3000000</v>
      </c>
      <c r="BA73" s="6">
        <v>177000</v>
      </c>
      <c r="BB73" s="8">
        <v>135000</v>
      </c>
      <c r="BC73" s="7">
        <f t="shared" si="213"/>
        <v>3000000</v>
      </c>
      <c r="BE73" s="5">
        <v>202406</v>
      </c>
      <c r="BF73" s="6">
        <v>0</v>
      </c>
      <c r="BG73" s="6">
        <v>856000</v>
      </c>
      <c r="BH73" s="8">
        <v>0</v>
      </c>
      <c r="BI73" s="7">
        <f t="shared" si="214"/>
        <v>3144000</v>
      </c>
      <c r="BK73" s="5">
        <v>202406</v>
      </c>
      <c r="BL73" s="6">
        <v>0</v>
      </c>
      <c r="BM73" s="6">
        <v>0</v>
      </c>
      <c r="BN73" s="8">
        <v>0</v>
      </c>
      <c r="BO73" s="7">
        <f t="shared" si="215"/>
        <v>0</v>
      </c>
      <c r="BQ73" s="5">
        <v>202406</v>
      </c>
      <c r="BR73" s="6">
        <v>0</v>
      </c>
      <c r="BS73" s="6">
        <v>0</v>
      </c>
      <c r="BT73" s="8">
        <v>0</v>
      </c>
      <c r="BU73" s="7">
        <f t="shared" si="216"/>
        <v>1822000</v>
      </c>
      <c r="BW73" s="5">
        <v>202406</v>
      </c>
      <c r="BX73" s="6">
        <v>0</v>
      </c>
      <c r="BY73" s="6">
        <v>0</v>
      </c>
      <c r="BZ73" s="8">
        <v>0</v>
      </c>
      <c r="CA73" s="7">
        <f t="shared" si="217"/>
        <v>0</v>
      </c>
      <c r="CC73" s="5">
        <v>202406</v>
      </c>
      <c r="CD73" s="6">
        <v>0</v>
      </c>
      <c r="CE73" s="6">
        <v>454000</v>
      </c>
      <c r="CF73" s="8">
        <v>0</v>
      </c>
      <c r="CG73" s="7">
        <f t="shared" si="218"/>
        <v>2830500</v>
      </c>
      <c r="CI73" s="5">
        <v>202406</v>
      </c>
      <c r="CJ73" s="6">
        <v>0</v>
      </c>
      <c r="CK73" s="6">
        <v>1000000</v>
      </c>
      <c r="CL73" s="8">
        <v>0</v>
      </c>
      <c r="CM73" s="7">
        <f t="shared" si="219"/>
        <v>1500000</v>
      </c>
      <c r="CO73" s="5">
        <v>202406</v>
      </c>
      <c r="CP73" s="6">
        <v>0</v>
      </c>
      <c r="CQ73" s="6">
        <v>0</v>
      </c>
      <c r="CR73" s="8">
        <v>0</v>
      </c>
      <c r="CS73" s="7">
        <f t="shared" si="220"/>
        <v>0</v>
      </c>
      <c r="CU73" s="5">
        <v>202406</v>
      </c>
      <c r="CV73" s="6">
        <v>0</v>
      </c>
      <c r="CW73" s="6">
        <v>214000</v>
      </c>
      <c r="CX73" s="8">
        <v>0</v>
      </c>
      <c r="CY73" s="7">
        <f t="shared" si="221"/>
        <v>1572000</v>
      </c>
      <c r="DA73" s="5">
        <v>202406</v>
      </c>
      <c r="DB73" s="6">
        <v>0</v>
      </c>
      <c r="DC73" s="6">
        <v>0</v>
      </c>
      <c r="DD73" s="8">
        <v>0</v>
      </c>
      <c r="DE73" s="7">
        <f t="shared" si="222"/>
        <v>0</v>
      </c>
      <c r="DG73" s="5">
        <v>202406</v>
      </c>
      <c r="DH73" s="6">
        <v>0</v>
      </c>
      <c r="DI73" s="6">
        <v>0</v>
      </c>
      <c r="DJ73" s="8">
        <v>0</v>
      </c>
      <c r="DK73" s="7">
        <f t="shared" si="223"/>
        <v>0</v>
      </c>
      <c r="DM73" s="5">
        <v>202406</v>
      </c>
      <c r="DN73" s="6">
        <v>0</v>
      </c>
      <c r="DO73" s="6">
        <v>0</v>
      </c>
      <c r="DP73" s="8">
        <v>0</v>
      </c>
      <c r="DQ73" s="7">
        <f t="shared" si="224"/>
        <v>0</v>
      </c>
      <c r="DS73" s="5">
        <v>202406</v>
      </c>
      <c r="DT73" s="6">
        <v>0</v>
      </c>
      <c r="DU73" s="6">
        <v>0</v>
      </c>
      <c r="DV73" s="8">
        <v>0</v>
      </c>
      <c r="DW73" s="7">
        <f t="shared" si="225"/>
        <v>3000000</v>
      </c>
      <c r="DY73" s="5">
        <v>202406</v>
      </c>
      <c r="DZ73" s="6">
        <v>0</v>
      </c>
      <c r="EA73" s="6">
        <v>0</v>
      </c>
      <c r="EB73" s="8">
        <v>0</v>
      </c>
      <c r="EC73" s="7">
        <f t="shared" si="226"/>
        <v>2500000</v>
      </c>
      <c r="EE73" s="5">
        <v>202406</v>
      </c>
      <c r="EF73" s="6">
        <v>0</v>
      </c>
      <c r="EG73" s="6">
        <v>0</v>
      </c>
      <c r="EH73" s="8">
        <v>0</v>
      </c>
      <c r="EI73" s="7">
        <f t="shared" si="227"/>
        <v>0</v>
      </c>
      <c r="EK73" s="5">
        <v>202406</v>
      </c>
      <c r="EL73" s="6">
        <v>0</v>
      </c>
      <c r="EM73" s="6">
        <v>0</v>
      </c>
      <c r="EN73" s="8">
        <v>0</v>
      </c>
      <c r="EO73" s="7">
        <f t="shared" si="228"/>
        <v>1645000</v>
      </c>
      <c r="EQ73" s="5">
        <v>202406</v>
      </c>
      <c r="ER73" s="6">
        <v>0</v>
      </c>
      <c r="ES73" s="6">
        <v>0</v>
      </c>
      <c r="ET73" s="8">
        <v>0</v>
      </c>
      <c r="EU73" s="7">
        <f t="shared" si="229"/>
        <v>2187000</v>
      </c>
      <c r="EW73" s="5">
        <v>202406</v>
      </c>
      <c r="EX73" s="6">
        <v>0</v>
      </c>
      <c r="EY73" s="6">
        <v>0</v>
      </c>
      <c r="EZ73" s="8">
        <v>0</v>
      </c>
      <c r="FA73" s="7">
        <f t="shared" si="230"/>
        <v>860000</v>
      </c>
      <c r="FC73" s="5">
        <v>202406</v>
      </c>
      <c r="FD73" s="6">
        <v>0</v>
      </c>
      <c r="FE73" s="6">
        <v>0</v>
      </c>
      <c r="FF73" s="8">
        <v>0</v>
      </c>
      <c r="FG73" s="7">
        <f t="shared" si="231"/>
        <v>1412500</v>
      </c>
      <c r="FI73" s="5">
        <v>202406</v>
      </c>
      <c r="FJ73" s="6">
        <v>0</v>
      </c>
      <c r="FK73" s="6">
        <v>0</v>
      </c>
      <c r="FL73" s="8">
        <v>0</v>
      </c>
      <c r="FM73" s="7">
        <f t="shared" si="232"/>
        <v>2650000</v>
      </c>
      <c r="FO73" s="5">
        <v>202406</v>
      </c>
      <c r="FP73" s="6">
        <v>0</v>
      </c>
      <c r="FQ73" s="6">
        <v>0</v>
      </c>
      <c r="FR73" s="8">
        <v>0</v>
      </c>
      <c r="FS73" s="7">
        <f t="shared" si="233"/>
        <v>750000</v>
      </c>
      <c r="FU73" s="5">
        <v>202406</v>
      </c>
      <c r="FV73" s="6">
        <v>0</v>
      </c>
      <c r="FW73" s="6">
        <v>0</v>
      </c>
      <c r="FX73" s="8">
        <v>0</v>
      </c>
      <c r="FY73" s="7">
        <f t="shared" si="234"/>
        <v>0</v>
      </c>
      <c r="GA73" s="5">
        <v>202406</v>
      </c>
      <c r="GB73" s="6">
        <v>0</v>
      </c>
      <c r="GC73" s="6">
        <v>214000</v>
      </c>
      <c r="GD73" s="8">
        <v>0</v>
      </c>
      <c r="GE73" s="7">
        <f t="shared" si="235"/>
        <v>502000</v>
      </c>
      <c r="GG73" s="5">
        <v>202406</v>
      </c>
      <c r="GH73" s="6">
        <v>0</v>
      </c>
      <c r="GI73" s="6">
        <v>0</v>
      </c>
      <c r="GJ73" s="8">
        <v>0</v>
      </c>
      <c r="GK73" s="7">
        <f t="shared" si="236"/>
        <v>2000000</v>
      </c>
      <c r="GM73" s="5">
        <v>202406</v>
      </c>
      <c r="GN73" s="6">
        <v>0</v>
      </c>
      <c r="GO73" s="6">
        <v>0</v>
      </c>
      <c r="GP73" s="8">
        <v>0</v>
      </c>
      <c r="GQ73" s="7">
        <f t="shared" si="237"/>
        <v>400000</v>
      </c>
      <c r="GS73" s="5">
        <v>202406</v>
      </c>
      <c r="GT73" s="6">
        <v>0</v>
      </c>
      <c r="GU73" s="6">
        <v>0</v>
      </c>
      <c r="GV73" s="8">
        <v>0</v>
      </c>
      <c r="GW73" s="7">
        <f t="shared" si="238"/>
        <v>0</v>
      </c>
      <c r="GY73" s="5">
        <v>202406</v>
      </c>
      <c r="GZ73" s="6">
        <v>0</v>
      </c>
      <c r="HA73" s="6">
        <v>0</v>
      </c>
      <c r="HB73" s="8">
        <v>0</v>
      </c>
      <c r="HC73" s="7">
        <f t="shared" si="239"/>
        <v>-696117.68864598079</v>
      </c>
    </row>
    <row r="74" spans="2:211" hidden="1" outlineLevel="1" x14ac:dyDescent="0.2">
      <c r="C74" s="5">
        <v>202407</v>
      </c>
      <c r="D74" s="6">
        <v>0</v>
      </c>
      <c r="E74" s="9">
        <v>350000</v>
      </c>
      <c r="F74" s="8">
        <v>210000</v>
      </c>
      <c r="G74" s="7">
        <f t="shared" si="205"/>
        <v>0</v>
      </c>
      <c r="I74" s="5">
        <v>202407</v>
      </c>
      <c r="J74" s="6">
        <v>0</v>
      </c>
      <c r="K74" s="9">
        <v>0</v>
      </c>
      <c r="L74" s="8">
        <v>0</v>
      </c>
      <c r="M74" s="7">
        <f t="shared" si="206"/>
        <v>0</v>
      </c>
      <c r="O74" s="5">
        <v>202407</v>
      </c>
      <c r="P74" s="6">
        <v>0</v>
      </c>
      <c r="Q74" s="9">
        <v>214000</v>
      </c>
      <c r="R74" s="8">
        <v>0</v>
      </c>
      <c r="S74" s="7">
        <f t="shared" si="207"/>
        <v>1358000</v>
      </c>
      <c r="U74" s="5">
        <v>202407</v>
      </c>
      <c r="V74" s="6">
        <v>0</v>
      </c>
      <c r="W74" s="9">
        <v>0</v>
      </c>
      <c r="X74" s="8">
        <v>0</v>
      </c>
      <c r="Y74" s="7">
        <f t="shared" si="208"/>
        <v>0</v>
      </c>
      <c r="AA74" s="5">
        <v>202407</v>
      </c>
      <c r="AB74" s="6">
        <v>0</v>
      </c>
      <c r="AC74" s="9">
        <v>325000</v>
      </c>
      <c r="AD74" s="8">
        <v>0</v>
      </c>
      <c r="AE74" s="7">
        <f t="shared" si="209"/>
        <v>2353000</v>
      </c>
      <c r="AG74" s="5">
        <v>202407</v>
      </c>
      <c r="AH74" s="6">
        <v>0</v>
      </c>
      <c r="AI74" s="9">
        <v>0</v>
      </c>
      <c r="AJ74" s="8">
        <v>0</v>
      </c>
      <c r="AK74" s="7">
        <f t="shared" si="210"/>
        <v>0</v>
      </c>
      <c r="AM74" s="5">
        <v>202407</v>
      </c>
      <c r="AN74" s="6">
        <v>0</v>
      </c>
      <c r="AO74" s="6">
        <v>446000</v>
      </c>
      <c r="AP74" s="8">
        <v>0</v>
      </c>
      <c r="AQ74" s="7">
        <f t="shared" si="211"/>
        <v>2769500</v>
      </c>
      <c r="AS74" s="5">
        <v>202407</v>
      </c>
      <c r="AT74" s="6">
        <v>0</v>
      </c>
      <c r="AU74" s="9">
        <v>0</v>
      </c>
      <c r="AV74" s="8">
        <v>0</v>
      </c>
      <c r="AW74" s="7">
        <f t="shared" si="212"/>
        <v>0</v>
      </c>
      <c r="AY74" s="5">
        <v>202407</v>
      </c>
      <c r="AZ74" s="6">
        <v>0</v>
      </c>
      <c r="BA74" s="9">
        <v>322000</v>
      </c>
      <c r="BB74" s="8">
        <v>0</v>
      </c>
      <c r="BC74" s="7">
        <f t="shared" si="213"/>
        <v>2678000</v>
      </c>
      <c r="BE74" s="5">
        <v>202407</v>
      </c>
      <c r="BF74" s="6">
        <v>0</v>
      </c>
      <c r="BG74" s="9">
        <v>0</v>
      </c>
      <c r="BH74" s="8">
        <v>0</v>
      </c>
      <c r="BI74" s="7">
        <f t="shared" si="214"/>
        <v>3144000</v>
      </c>
      <c r="BK74" s="5">
        <v>202407</v>
      </c>
      <c r="BL74" s="6">
        <v>0</v>
      </c>
      <c r="BM74" s="9">
        <v>0</v>
      </c>
      <c r="BN74" s="8">
        <v>0</v>
      </c>
      <c r="BO74" s="7">
        <f t="shared" si="215"/>
        <v>0</v>
      </c>
      <c r="BQ74" s="5">
        <v>202407</v>
      </c>
      <c r="BR74" s="6">
        <v>0</v>
      </c>
      <c r="BS74" s="9">
        <v>0</v>
      </c>
      <c r="BT74" s="8">
        <v>0</v>
      </c>
      <c r="BU74" s="7">
        <f t="shared" si="216"/>
        <v>1822000</v>
      </c>
      <c r="BW74" s="5">
        <v>202407</v>
      </c>
      <c r="BX74" s="6">
        <v>0</v>
      </c>
      <c r="BY74" s="9">
        <v>0</v>
      </c>
      <c r="BZ74" s="8">
        <v>0</v>
      </c>
      <c r="CA74" s="7">
        <f t="shared" si="217"/>
        <v>0</v>
      </c>
      <c r="CC74" s="5">
        <v>202407</v>
      </c>
      <c r="CD74" s="6">
        <v>0</v>
      </c>
      <c r="CE74" s="9">
        <v>454000</v>
      </c>
      <c r="CF74" s="8">
        <v>0</v>
      </c>
      <c r="CG74" s="7">
        <f t="shared" si="218"/>
        <v>2376500</v>
      </c>
      <c r="CI74" s="5">
        <v>202407</v>
      </c>
      <c r="CJ74" s="6">
        <v>0</v>
      </c>
      <c r="CK74" s="9">
        <v>0</v>
      </c>
      <c r="CL74" s="8">
        <v>0</v>
      </c>
      <c r="CM74" s="7">
        <f t="shared" si="219"/>
        <v>1500000</v>
      </c>
      <c r="CO74" s="5">
        <v>202407</v>
      </c>
      <c r="CP74" s="6">
        <v>0</v>
      </c>
      <c r="CQ74" s="9">
        <v>0</v>
      </c>
      <c r="CR74" s="8">
        <v>0</v>
      </c>
      <c r="CS74" s="7">
        <f t="shared" si="220"/>
        <v>0</v>
      </c>
      <c r="CU74" s="5">
        <v>202407</v>
      </c>
      <c r="CV74" s="6">
        <v>0</v>
      </c>
      <c r="CW74" s="6">
        <f>214000+214000</f>
        <v>428000</v>
      </c>
      <c r="CX74" s="8">
        <v>0</v>
      </c>
      <c r="CY74" s="7">
        <f t="shared" si="221"/>
        <v>1144000</v>
      </c>
      <c r="DA74" s="5">
        <v>202407</v>
      </c>
      <c r="DB74" s="6">
        <v>0</v>
      </c>
      <c r="DC74" s="9">
        <v>0</v>
      </c>
      <c r="DD74" s="8">
        <v>0</v>
      </c>
      <c r="DE74" s="7">
        <f t="shared" si="222"/>
        <v>0</v>
      </c>
      <c r="DG74" s="5">
        <v>202407</v>
      </c>
      <c r="DH74" s="6">
        <v>0</v>
      </c>
      <c r="DI74" s="9">
        <v>0</v>
      </c>
      <c r="DJ74" s="8">
        <v>0</v>
      </c>
      <c r="DK74" s="7">
        <f t="shared" si="223"/>
        <v>0</v>
      </c>
      <c r="DM74" s="5">
        <v>202407</v>
      </c>
      <c r="DN74" s="6">
        <v>0</v>
      </c>
      <c r="DO74" s="9">
        <v>0</v>
      </c>
      <c r="DP74" s="8">
        <v>0</v>
      </c>
      <c r="DQ74" s="7">
        <f t="shared" si="224"/>
        <v>0</v>
      </c>
      <c r="DS74" s="5">
        <v>202407</v>
      </c>
      <c r="DT74" s="6">
        <v>0</v>
      </c>
      <c r="DU74" s="9">
        <v>0</v>
      </c>
      <c r="DV74" s="8">
        <v>0</v>
      </c>
      <c r="DW74" s="7">
        <f t="shared" si="225"/>
        <v>3000000</v>
      </c>
      <c r="DY74" s="5">
        <v>202407</v>
      </c>
      <c r="DZ74" s="6">
        <v>0</v>
      </c>
      <c r="EA74" s="9">
        <v>300000</v>
      </c>
      <c r="EB74" s="8">
        <v>0</v>
      </c>
      <c r="EC74" s="7">
        <f t="shared" si="226"/>
        <v>2200000</v>
      </c>
      <c r="EE74" s="5">
        <v>202407</v>
      </c>
      <c r="EF74" s="6">
        <v>0</v>
      </c>
      <c r="EG74" s="9">
        <v>0</v>
      </c>
      <c r="EH74" s="8">
        <v>0</v>
      </c>
      <c r="EI74" s="7">
        <f t="shared" si="227"/>
        <v>0</v>
      </c>
      <c r="EK74" s="5">
        <v>202407</v>
      </c>
      <c r="EL74" s="6">
        <v>0</v>
      </c>
      <c r="EM74" s="6">
        <v>500000</v>
      </c>
      <c r="EN74" s="8">
        <v>0</v>
      </c>
      <c r="EO74" s="7">
        <f t="shared" si="228"/>
        <v>1145000</v>
      </c>
      <c r="EQ74" s="5">
        <v>202407</v>
      </c>
      <c r="ER74" s="6">
        <v>0</v>
      </c>
      <c r="ES74" s="6">
        <v>271000</v>
      </c>
      <c r="ET74" s="8">
        <v>0</v>
      </c>
      <c r="EU74" s="7">
        <f t="shared" si="229"/>
        <v>1916000</v>
      </c>
      <c r="EW74" s="5">
        <v>202407</v>
      </c>
      <c r="EX74" s="6">
        <v>0</v>
      </c>
      <c r="EY74" s="9">
        <v>0</v>
      </c>
      <c r="EZ74" s="8">
        <v>0</v>
      </c>
      <c r="FA74" s="7">
        <f t="shared" si="230"/>
        <v>860000</v>
      </c>
      <c r="FC74" s="5">
        <v>202407</v>
      </c>
      <c r="FD74" s="6">
        <v>0</v>
      </c>
      <c r="FE74" s="9">
        <v>317500</v>
      </c>
      <c r="FF74" s="8">
        <v>0</v>
      </c>
      <c r="FG74" s="7">
        <f t="shared" si="231"/>
        <v>1095000</v>
      </c>
      <c r="FI74" s="5">
        <v>202407</v>
      </c>
      <c r="FJ74" s="6">
        <v>0</v>
      </c>
      <c r="FK74" s="9">
        <v>350000</v>
      </c>
      <c r="FL74" s="8">
        <v>0</v>
      </c>
      <c r="FM74" s="7">
        <f t="shared" si="232"/>
        <v>2300000</v>
      </c>
      <c r="FO74" s="5">
        <v>202407</v>
      </c>
      <c r="FP74" s="6">
        <v>0</v>
      </c>
      <c r="FQ74" s="6">
        <f>200000+200000</f>
        <v>400000</v>
      </c>
      <c r="FR74" s="8">
        <v>0</v>
      </c>
      <c r="FS74" s="7">
        <f t="shared" si="233"/>
        <v>350000</v>
      </c>
      <c r="FU74" s="5">
        <v>202407</v>
      </c>
      <c r="FV74" s="6">
        <v>0</v>
      </c>
      <c r="FW74" s="9">
        <v>0</v>
      </c>
      <c r="FX74" s="8">
        <v>0</v>
      </c>
      <c r="FY74" s="7">
        <f t="shared" si="234"/>
        <v>0</v>
      </c>
      <c r="GA74" s="5">
        <v>202407</v>
      </c>
      <c r="GB74" s="6">
        <v>0</v>
      </c>
      <c r="GC74" s="9">
        <v>500000</v>
      </c>
      <c r="GD74" s="8">
        <v>0</v>
      </c>
      <c r="GE74" s="7">
        <f t="shared" si="235"/>
        <v>2000</v>
      </c>
      <c r="GG74" s="5">
        <v>202407</v>
      </c>
      <c r="GH74" s="6">
        <v>0</v>
      </c>
      <c r="GI74" s="9">
        <v>0</v>
      </c>
      <c r="GJ74" s="8">
        <v>0</v>
      </c>
      <c r="GK74" s="7">
        <f t="shared" si="236"/>
        <v>2000000</v>
      </c>
      <c r="GM74" s="5">
        <v>202407</v>
      </c>
      <c r="GN74" s="6">
        <v>0</v>
      </c>
      <c r="GO74" s="9">
        <v>400000</v>
      </c>
      <c r="GP74" s="8">
        <v>368000</v>
      </c>
      <c r="GQ74" s="7">
        <f t="shared" si="237"/>
        <v>0</v>
      </c>
      <c r="GS74" s="5">
        <v>202407</v>
      </c>
      <c r="GT74" s="6">
        <v>0</v>
      </c>
      <c r="GU74" s="9">
        <v>0</v>
      </c>
      <c r="GV74" s="8">
        <v>0</v>
      </c>
      <c r="GW74" s="7">
        <f t="shared" si="238"/>
        <v>0</v>
      </c>
      <c r="GY74" s="5">
        <v>202407</v>
      </c>
      <c r="GZ74" s="6">
        <v>0</v>
      </c>
      <c r="HA74" s="9">
        <v>0</v>
      </c>
      <c r="HB74" s="8">
        <v>0</v>
      </c>
      <c r="HC74" s="7">
        <f t="shared" si="239"/>
        <v>-696117.68864598079</v>
      </c>
    </row>
    <row r="75" spans="2:211" hidden="1" outlineLevel="1" x14ac:dyDescent="0.2">
      <c r="C75" s="5">
        <v>202408</v>
      </c>
      <c r="D75" s="6">
        <v>5000000</v>
      </c>
      <c r="E75" s="6">
        <v>0</v>
      </c>
      <c r="F75" s="8">
        <v>0</v>
      </c>
      <c r="G75" s="7">
        <f t="shared" si="205"/>
        <v>5000000</v>
      </c>
      <c r="I75" s="5">
        <v>202408</v>
      </c>
      <c r="J75" s="6">
        <v>0</v>
      </c>
      <c r="K75" s="9">
        <v>0</v>
      </c>
      <c r="L75" s="8">
        <v>0</v>
      </c>
      <c r="M75" s="7">
        <f t="shared" si="206"/>
        <v>0</v>
      </c>
      <c r="O75" s="5">
        <v>202408</v>
      </c>
      <c r="P75" s="6">
        <v>0</v>
      </c>
      <c r="Q75" s="9">
        <v>214000</v>
      </c>
      <c r="R75" s="8">
        <v>0</v>
      </c>
      <c r="S75" s="7">
        <f t="shared" si="207"/>
        <v>1144000</v>
      </c>
      <c r="U75" s="5">
        <v>202408</v>
      </c>
      <c r="V75" s="6">
        <v>0</v>
      </c>
      <c r="W75" s="6">
        <v>0</v>
      </c>
      <c r="X75" s="8">
        <v>0</v>
      </c>
      <c r="Y75" s="7">
        <f t="shared" si="208"/>
        <v>0</v>
      </c>
      <c r="AA75" s="5">
        <v>202408</v>
      </c>
      <c r="AB75" s="6">
        <v>0</v>
      </c>
      <c r="AC75" s="9">
        <v>325000</v>
      </c>
      <c r="AD75" s="8">
        <v>0</v>
      </c>
      <c r="AE75" s="7">
        <f t="shared" si="209"/>
        <v>2028000</v>
      </c>
      <c r="AG75" s="5">
        <v>202408</v>
      </c>
      <c r="AH75" s="6">
        <v>0</v>
      </c>
      <c r="AI75" s="6">
        <v>0</v>
      </c>
      <c r="AJ75" s="8">
        <v>0</v>
      </c>
      <c r="AK75" s="7">
        <f t="shared" si="210"/>
        <v>0</v>
      </c>
      <c r="AM75" s="5">
        <v>202408</v>
      </c>
      <c r="AN75" s="6">
        <v>0</v>
      </c>
      <c r="AO75" s="6">
        <v>0</v>
      </c>
      <c r="AP75" s="8">
        <v>0</v>
      </c>
      <c r="AQ75" s="7">
        <f t="shared" si="211"/>
        <v>2769500</v>
      </c>
      <c r="AS75" s="5">
        <v>202408</v>
      </c>
      <c r="AT75" s="6">
        <v>0</v>
      </c>
      <c r="AU75" s="6">
        <v>0</v>
      </c>
      <c r="AV75" s="8">
        <v>0</v>
      </c>
      <c r="AW75" s="7">
        <f t="shared" si="212"/>
        <v>0</v>
      </c>
      <c r="AY75" s="5">
        <v>202408</v>
      </c>
      <c r="AZ75" s="6">
        <v>0</v>
      </c>
      <c r="BA75" s="6">
        <v>322000</v>
      </c>
      <c r="BB75" s="8">
        <v>0</v>
      </c>
      <c r="BC75" s="7">
        <f t="shared" si="213"/>
        <v>2356000</v>
      </c>
      <c r="BE75" s="5">
        <v>202408</v>
      </c>
      <c r="BF75" s="6">
        <v>0</v>
      </c>
      <c r="BG75" s="6">
        <v>0</v>
      </c>
      <c r="BH75" s="8">
        <v>0</v>
      </c>
      <c r="BI75" s="7">
        <f t="shared" si="214"/>
        <v>3144000</v>
      </c>
      <c r="BK75" s="5">
        <v>202408</v>
      </c>
      <c r="BL75" s="6">
        <v>0</v>
      </c>
      <c r="BM75" s="6">
        <v>0</v>
      </c>
      <c r="BN75" s="8">
        <v>0</v>
      </c>
      <c r="BO75" s="7">
        <f t="shared" si="215"/>
        <v>0</v>
      </c>
      <c r="BQ75" s="5">
        <v>202408</v>
      </c>
      <c r="BR75" s="6">
        <v>0</v>
      </c>
      <c r="BS75" s="6">
        <v>0</v>
      </c>
      <c r="BT75" s="8">
        <v>0</v>
      </c>
      <c r="BU75" s="7">
        <f t="shared" si="216"/>
        <v>1822000</v>
      </c>
      <c r="BW75" s="5">
        <v>202408</v>
      </c>
      <c r="BX75" s="6">
        <v>0</v>
      </c>
      <c r="BY75" s="6">
        <v>0</v>
      </c>
      <c r="BZ75" s="8">
        <v>0</v>
      </c>
      <c r="CA75" s="7">
        <f t="shared" si="217"/>
        <v>0</v>
      </c>
      <c r="CC75" s="5">
        <v>202408</v>
      </c>
      <c r="CD75" s="6">
        <v>0</v>
      </c>
      <c r="CE75" s="9">
        <v>454000</v>
      </c>
      <c r="CF75" s="8">
        <v>0</v>
      </c>
      <c r="CG75" s="7">
        <f t="shared" si="218"/>
        <v>1922500</v>
      </c>
      <c r="CI75" s="5">
        <v>202408</v>
      </c>
      <c r="CJ75" s="6">
        <v>5000000</v>
      </c>
      <c r="CK75" s="6">
        <v>1500000</v>
      </c>
      <c r="CL75" s="8">
        <v>10000</v>
      </c>
      <c r="CM75" s="7">
        <f t="shared" si="219"/>
        <v>5000000</v>
      </c>
      <c r="CO75" s="5">
        <v>202408</v>
      </c>
      <c r="CP75" s="6">
        <v>0</v>
      </c>
      <c r="CQ75" s="9">
        <v>0</v>
      </c>
      <c r="CR75" s="8">
        <v>0</v>
      </c>
      <c r="CS75" s="7">
        <f t="shared" si="220"/>
        <v>0</v>
      </c>
      <c r="CU75" s="5">
        <v>202408</v>
      </c>
      <c r="CV75" s="6">
        <v>0</v>
      </c>
      <c r="CW75" s="6">
        <v>0</v>
      </c>
      <c r="CX75" s="8">
        <v>0</v>
      </c>
      <c r="CY75" s="7">
        <f t="shared" si="221"/>
        <v>1144000</v>
      </c>
      <c r="DA75" s="5">
        <v>202408</v>
      </c>
      <c r="DB75" s="6">
        <v>0</v>
      </c>
      <c r="DC75" s="6">
        <v>0</v>
      </c>
      <c r="DD75" s="8">
        <v>0</v>
      </c>
      <c r="DE75" s="7">
        <f t="shared" si="222"/>
        <v>0</v>
      </c>
      <c r="DG75" s="5">
        <v>202408</v>
      </c>
      <c r="DH75" s="6">
        <v>0</v>
      </c>
      <c r="DI75" s="6">
        <v>0</v>
      </c>
      <c r="DJ75" s="8">
        <v>0</v>
      </c>
      <c r="DK75" s="7">
        <f t="shared" si="223"/>
        <v>0</v>
      </c>
      <c r="DM75" s="5">
        <v>202408</v>
      </c>
      <c r="DN75" s="6">
        <v>0</v>
      </c>
      <c r="DO75" s="6">
        <v>0</v>
      </c>
      <c r="DP75" s="8">
        <v>0</v>
      </c>
      <c r="DQ75" s="7">
        <f t="shared" si="224"/>
        <v>0</v>
      </c>
      <c r="DS75" s="5">
        <v>202408</v>
      </c>
      <c r="DT75" s="6">
        <v>0</v>
      </c>
      <c r="DU75" s="6">
        <v>0</v>
      </c>
      <c r="DV75" s="8">
        <v>0</v>
      </c>
      <c r="DW75" s="7">
        <f t="shared" si="225"/>
        <v>3000000</v>
      </c>
      <c r="DY75" s="5">
        <v>202408</v>
      </c>
      <c r="DZ75" s="6">
        <v>0</v>
      </c>
      <c r="EA75" s="9">
        <f>300000+300000</f>
        <v>600000</v>
      </c>
      <c r="EB75" s="8">
        <v>0</v>
      </c>
      <c r="EC75" s="7">
        <f t="shared" si="226"/>
        <v>1600000</v>
      </c>
      <c r="EE75" s="5">
        <v>202408</v>
      </c>
      <c r="EF75" s="6">
        <v>0</v>
      </c>
      <c r="EG75" s="6">
        <v>0</v>
      </c>
      <c r="EH75" s="8">
        <v>0</v>
      </c>
      <c r="EI75" s="7">
        <f t="shared" si="227"/>
        <v>0</v>
      </c>
      <c r="EK75" s="5">
        <v>202408</v>
      </c>
      <c r="EL75" s="6">
        <v>0</v>
      </c>
      <c r="EM75" s="6">
        <v>0</v>
      </c>
      <c r="EN75" s="8">
        <v>0</v>
      </c>
      <c r="EO75" s="7">
        <f t="shared" si="228"/>
        <v>1145000</v>
      </c>
      <c r="EQ75" s="5">
        <v>202408</v>
      </c>
      <c r="ER75" s="6">
        <v>0</v>
      </c>
      <c r="ES75" s="6">
        <v>0</v>
      </c>
      <c r="ET75" s="8">
        <v>0</v>
      </c>
      <c r="EU75" s="7">
        <f t="shared" si="229"/>
        <v>1916000</v>
      </c>
      <c r="EW75" s="5">
        <v>202408</v>
      </c>
      <c r="EX75" s="6">
        <v>0</v>
      </c>
      <c r="EY75" s="6">
        <v>0</v>
      </c>
      <c r="EZ75" s="8">
        <v>0</v>
      </c>
      <c r="FA75" s="7">
        <f t="shared" si="230"/>
        <v>860000</v>
      </c>
      <c r="FC75" s="5">
        <v>202408</v>
      </c>
      <c r="FD75" s="6">
        <v>0</v>
      </c>
      <c r="FE75" s="6">
        <v>317500</v>
      </c>
      <c r="FF75" s="8">
        <v>0</v>
      </c>
      <c r="FG75" s="7">
        <f t="shared" si="231"/>
        <v>777500</v>
      </c>
      <c r="FI75" s="5">
        <v>202408</v>
      </c>
      <c r="FJ75" s="6">
        <v>0</v>
      </c>
      <c r="FK75" s="9">
        <v>350000</v>
      </c>
      <c r="FL75" s="8">
        <v>0</v>
      </c>
      <c r="FM75" s="7">
        <f t="shared" si="232"/>
        <v>1950000</v>
      </c>
      <c r="FO75" s="5">
        <v>202408</v>
      </c>
      <c r="FP75" s="6">
        <v>0</v>
      </c>
      <c r="FQ75" s="6">
        <v>200000</v>
      </c>
      <c r="FR75" s="8">
        <v>0</v>
      </c>
      <c r="FS75" s="7">
        <f t="shared" si="233"/>
        <v>150000</v>
      </c>
      <c r="FU75" s="5">
        <v>202408</v>
      </c>
      <c r="FV75" s="6">
        <v>0</v>
      </c>
      <c r="FW75" s="6">
        <v>0</v>
      </c>
      <c r="FX75" s="8">
        <v>0</v>
      </c>
      <c r="FY75" s="7">
        <f t="shared" si="234"/>
        <v>0</v>
      </c>
      <c r="GA75" s="5">
        <v>202408</v>
      </c>
      <c r="GB75" s="6">
        <v>0</v>
      </c>
      <c r="GC75" s="6">
        <v>0</v>
      </c>
      <c r="GD75" s="8">
        <v>0</v>
      </c>
      <c r="GE75" s="7">
        <f t="shared" si="235"/>
        <v>2000</v>
      </c>
      <c r="GG75" s="5">
        <v>202408</v>
      </c>
      <c r="GH75" s="6">
        <v>0</v>
      </c>
      <c r="GI75" s="6">
        <v>0</v>
      </c>
      <c r="GJ75" s="8">
        <v>0</v>
      </c>
      <c r="GK75" s="7">
        <f t="shared" si="236"/>
        <v>2000000</v>
      </c>
      <c r="GM75" s="5">
        <v>202408</v>
      </c>
      <c r="GN75" s="6">
        <v>0</v>
      </c>
      <c r="GO75" s="6">
        <v>0</v>
      </c>
      <c r="GP75" s="8">
        <v>0</v>
      </c>
      <c r="GQ75" s="7">
        <f t="shared" si="237"/>
        <v>0</v>
      </c>
      <c r="GS75" s="5">
        <v>202408</v>
      </c>
      <c r="GT75" s="6">
        <v>0</v>
      </c>
      <c r="GU75" s="6">
        <v>0</v>
      </c>
      <c r="GV75" s="8">
        <v>0</v>
      </c>
      <c r="GW75" s="7">
        <f t="shared" si="238"/>
        <v>0</v>
      </c>
      <c r="GY75" s="5">
        <v>202408</v>
      </c>
      <c r="GZ75" s="6">
        <v>0</v>
      </c>
      <c r="HA75" s="6">
        <v>0</v>
      </c>
      <c r="HB75" s="8">
        <v>0</v>
      </c>
      <c r="HC75" s="7">
        <f t="shared" si="239"/>
        <v>-696117.68864598079</v>
      </c>
    </row>
    <row r="76" spans="2:211" hidden="1" outlineLevel="1" x14ac:dyDescent="0.2">
      <c r="C76" s="5">
        <v>202409</v>
      </c>
      <c r="D76" s="6">
        <v>0</v>
      </c>
      <c r="E76" s="9">
        <v>500000</v>
      </c>
      <c r="F76" s="8">
        <v>0</v>
      </c>
      <c r="G76" s="7">
        <f t="shared" si="205"/>
        <v>4500000</v>
      </c>
      <c r="I76" s="5">
        <v>202409</v>
      </c>
      <c r="J76" s="6">
        <v>0</v>
      </c>
      <c r="K76" s="9">
        <v>0</v>
      </c>
      <c r="L76" s="8">
        <v>0</v>
      </c>
      <c r="M76" s="7">
        <f t="shared" si="206"/>
        <v>0</v>
      </c>
      <c r="O76" s="5">
        <v>202409</v>
      </c>
      <c r="P76" s="6">
        <v>0</v>
      </c>
      <c r="Q76" s="9">
        <v>214000</v>
      </c>
      <c r="R76" s="8">
        <v>0</v>
      </c>
      <c r="S76" s="7">
        <f t="shared" si="207"/>
        <v>930000</v>
      </c>
      <c r="U76" s="5">
        <v>202409</v>
      </c>
      <c r="V76" s="6">
        <v>0</v>
      </c>
      <c r="W76" s="9">
        <v>0</v>
      </c>
      <c r="X76" s="8">
        <v>0</v>
      </c>
      <c r="Y76" s="7">
        <f t="shared" si="208"/>
        <v>0</v>
      </c>
      <c r="AA76" s="5">
        <v>202409</v>
      </c>
      <c r="AB76" s="6">
        <v>0</v>
      </c>
      <c r="AC76" s="9">
        <v>325000</v>
      </c>
      <c r="AD76" s="8">
        <v>0</v>
      </c>
      <c r="AE76" s="7">
        <f t="shared" si="209"/>
        <v>1703000</v>
      </c>
      <c r="AG76" s="5">
        <v>202409</v>
      </c>
      <c r="AH76" s="6">
        <v>0</v>
      </c>
      <c r="AI76" s="9">
        <v>0</v>
      </c>
      <c r="AJ76" s="8">
        <v>0</v>
      </c>
      <c r="AK76" s="7">
        <f t="shared" si="210"/>
        <v>0</v>
      </c>
      <c r="AM76" s="5">
        <v>202409</v>
      </c>
      <c r="AN76" s="6">
        <v>0</v>
      </c>
      <c r="AO76" s="9">
        <v>0</v>
      </c>
      <c r="AP76" s="8">
        <v>0</v>
      </c>
      <c r="AQ76" s="7">
        <f t="shared" si="211"/>
        <v>2769500</v>
      </c>
      <c r="AS76" s="5">
        <v>202409</v>
      </c>
      <c r="AT76" s="6">
        <v>0</v>
      </c>
      <c r="AU76" s="9">
        <v>0</v>
      </c>
      <c r="AV76" s="8">
        <v>0</v>
      </c>
      <c r="AW76" s="7">
        <f t="shared" si="212"/>
        <v>0</v>
      </c>
      <c r="AY76" s="5">
        <v>202409</v>
      </c>
      <c r="AZ76" s="6">
        <v>0</v>
      </c>
      <c r="BA76" s="9">
        <v>322000</v>
      </c>
      <c r="BB76" s="8">
        <v>0</v>
      </c>
      <c r="BC76" s="7">
        <f t="shared" si="213"/>
        <v>2034000</v>
      </c>
      <c r="BE76" s="5">
        <v>202409</v>
      </c>
      <c r="BF76" s="6">
        <v>0</v>
      </c>
      <c r="BG76" s="9">
        <v>856000</v>
      </c>
      <c r="BH76" s="8">
        <v>0</v>
      </c>
      <c r="BI76" s="7">
        <f t="shared" si="214"/>
        <v>2288000</v>
      </c>
      <c r="BK76" s="5">
        <v>202409</v>
      </c>
      <c r="BL76" s="6">
        <v>0</v>
      </c>
      <c r="BM76" s="9">
        <v>0</v>
      </c>
      <c r="BN76" s="8">
        <v>0</v>
      </c>
      <c r="BO76" s="7">
        <f t="shared" si="215"/>
        <v>0</v>
      </c>
      <c r="BQ76" s="5">
        <v>202409</v>
      </c>
      <c r="BR76" s="6">
        <v>0</v>
      </c>
      <c r="BS76" s="9">
        <v>0</v>
      </c>
      <c r="BT76" s="8">
        <v>0</v>
      </c>
      <c r="BU76" s="7">
        <f t="shared" si="216"/>
        <v>1822000</v>
      </c>
      <c r="BW76" s="5">
        <v>202409</v>
      </c>
      <c r="BX76" s="6">
        <v>0</v>
      </c>
      <c r="BY76" s="9">
        <v>0</v>
      </c>
      <c r="BZ76" s="8">
        <v>0</v>
      </c>
      <c r="CA76" s="7">
        <f t="shared" si="217"/>
        <v>0</v>
      </c>
      <c r="CC76" s="5">
        <v>202409</v>
      </c>
      <c r="CD76" s="6">
        <v>5000000</v>
      </c>
      <c r="CE76" s="9">
        <v>1922500</v>
      </c>
      <c r="CF76" s="8">
        <v>342000</v>
      </c>
      <c r="CG76" s="7">
        <f t="shared" si="218"/>
        <v>5000000</v>
      </c>
      <c r="CI76" s="5">
        <v>202409</v>
      </c>
      <c r="CJ76" s="6">
        <v>0</v>
      </c>
      <c r="CK76" s="9">
        <v>0</v>
      </c>
      <c r="CL76" s="8">
        <v>0</v>
      </c>
      <c r="CM76" s="7">
        <f t="shared" si="219"/>
        <v>5000000</v>
      </c>
      <c r="CO76" s="5">
        <v>202409</v>
      </c>
      <c r="CP76" s="6">
        <v>0</v>
      </c>
      <c r="CQ76" s="9">
        <v>0</v>
      </c>
      <c r="CR76" s="8">
        <v>0</v>
      </c>
      <c r="CS76" s="7">
        <f t="shared" si="220"/>
        <v>0</v>
      </c>
      <c r="CU76" s="5">
        <v>202409</v>
      </c>
      <c r="CV76" s="6">
        <v>0</v>
      </c>
      <c r="CW76" s="9">
        <v>214000</v>
      </c>
      <c r="CX76" s="8">
        <v>0</v>
      </c>
      <c r="CY76" s="7">
        <f t="shared" si="221"/>
        <v>930000</v>
      </c>
      <c r="DA76" s="5">
        <v>202409</v>
      </c>
      <c r="DB76" s="6">
        <v>0</v>
      </c>
      <c r="DC76" s="9">
        <v>0</v>
      </c>
      <c r="DD76" s="8">
        <v>0</v>
      </c>
      <c r="DE76" s="7">
        <f t="shared" si="222"/>
        <v>0</v>
      </c>
      <c r="DG76" s="5">
        <v>202409</v>
      </c>
      <c r="DH76" s="6">
        <v>0</v>
      </c>
      <c r="DI76" s="9">
        <v>0</v>
      </c>
      <c r="DJ76" s="8">
        <v>0</v>
      </c>
      <c r="DK76" s="7">
        <f t="shared" si="223"/>
        <v>0</v>
      </c>
      <c r="DM76" s="5">
        <v>202409</v>
      </c>
      <c r="DN76" s="6">
        <v>0</v>
      </c>
      <c r="DO76" s="9">
        <v>0</v>
      </c>
      <c r="DP76" s="8">
        <v>0</v>
      </c>
      <c r="DQ76" s="7">
        <f t="shared" si="224"/>
        <v>0</v>
      </c>
      <c r="DS76" s="5">
        <v>202409</v>
      </c>
      <c r="DT76" s="6">
        <v>0</v>
      </c>
      <c r="DU76" s="9">
        <v>0</v>
      </c>
      <c r="DV76" s="8">
        <v>0</v>
      </c>
      <c r="DW76" s="7">
        <f t="shared" si="225"/>
        <v>3000000</v>
      </c>
      <c r="DY76" s="5">
        <v>202409</v>
      </c>
      <c r="DZ76" s="6">
        <v>0</v>
      </c>
      <c r="EA76" s="9">
        <v>0</v>
      </c>
      <c r="EB76" s="8">
        <v>0</v>
      </c>
      <c r="EC76" s="7">
        <f t="shared" si="226"/>
        <v>1600000</v>
      </c>
      <c r="EE76" s="5">
        <v>202409</v>
      </c>
      <c r="EF76" s="6">
        <v>0</v>
      </c>
      <c r="EG76" s="9">
        <v>0</v>
      </c>
      <c r="EH76" s="8">
        <v>0</v>
      </c>
      <c r="EI76" s="7">
        <f t="shared" si="227"/>
        <v>0</v>
      </c>
      <c r="EK76" s="5">
        <v>202409</v>
      </c>
      <c r="EL76" s="6">
        <v>0</v>
      </c>
      <c r="EM76" s="9">
        <v>250000</v>
      </c>
      <c r="EN76" s="8">
        <v>0</v>
      </c>
      <c r="EO76" s="7">
        <f t="shared" si="228"/>
        <v>895000</v>
      </c>
      <c r="EQ76" s="5">
        <v>202409</v>
      </c>
      <c r="ER76" s="6">
        <v>0</v>
      </c>
      <c r="ES76" s="9">
        <v>271000</v>
      </c>
      <c r="ET76" s="8">
        <v>0</v>
      </c>
      <c r="EU76" s="7">
        <f t="shared" si="229"/>
        <v>1645000</v>
      </c>
      <c r="EW76" s="5">
        <v>202409</v>
      </c>
      <c r="EX76" s="6">
        <v>0</v>
      </c>
      <c r="EY76" s="9">
        <v>0</v>
      </c>
      <c r="EZ76" s="8">
        <v>0</v>
      </c>
      <c r="FA76" s="7">
        <f t="shared" si="230"/>
        <v>860000</v>
      </c>
      <c r="FC76" s="5">
        <v>202409</v>
      </c>
      <c r="FD76" s="6">
        <v>0</v>
      </c>
      <c r="FE76" s="9">
        <v>317500</v>
      </c>
      <c r="FF76" s="8">
        <v>0</v>
      </c>
      <c r="FG76" s="7">
        <f t="shared" si="231"/>
        <v>460000</v>
      </c>
      <c r="FI76" s="5">
        <v>202409</v>
      </c>
      <c r="FJ76" s="6">
        <v>0</v>
      </c>
      <c r="FK76" s="9">
        <v>0</v>
      </c>
      <c r="FL76" s="8">
        <v>0</v>
      </c>
      <c r="FM76" s="7">
        <f t="shared" si="232"/>
        <v>1950000</v>
      </c>
      <c r="FO76" s="5">
        <v>202409</v>
      </c>
      <c r="FP76" s="6">
        <v>0</v>
      </c>
      <c r="FQ76" s="9">
        <v>150000</v>
      </c>
      <c r="FR76" s="8">
        <v>140000</v>
      </c>
      <c r="FS76" s="7">
        <f t="shared" si="233"/>
        <v>0</v>
      </c>
      <c r="FU76" s="5">
        <v>202409</v>
      </c>
      <c r="FV76" s="6">
        <v>0</v>
      </c>
      <c r="FW76" s="9">
        <v>0</v>
      </c>
      <c r="FX76" s="8">
        <v>0</v>
      </c>
      <c r="FY76" s="7">
        <f t="shared" si="234"/>
        <v>0</v>
      </c>
      <c r="GA76" s="5">
        <v>202409</v>
      </c>
      <c r="GB76" s="6">
        <v>3000000</v>
      </c>
      <c r="GC76" s="9">
        <v>2000</v>
      </c>
      <c r="GD76" s="8">
        <v>354000</v>
      </c>
      <c r="GE76" s="7">
        <f t="shared" si="235"/>
        <v>3000000</v>
      </c>
      <c r="GG76" s="5">
        <v>202409</v>
      </c>
      <c r="GH76" s="6">
        <v>0</v>
      </c>
      <c r="GI76" s="9">
        <v>0</v>
      </c>
      <c r="GJ76" s="8">
        <v>0</v>
      </c>
      <c r="GK76" s="7">
        <f t="shared" si="236"/>
        <v>2000000</v>
      </c>
      <c r="GM76" s="5">
        <v>202409</v>
      </c>
      <c r="GN76" s="6">
        <v>0</v>
      </c>
      <c r="GO76" s="9">
        <v>0</v>
      </c>
      <c r="GP76" s="8">
        <v>0</v>
      </c>
      <c r="GQ76" s="7">
        <f t="shared" si="237"/>
        <v>0</v>
      </c>
      <c r="GS76" s="5">
        <v>202409</v>
      </c>
      <c r="GT76" s="6">
        <v>0</v>
      </c>
      <c r="GU76" s="9">
        <v>0</v>
      </c>
      <c r="GV76" s="8">
        <v>0</v>
      </c>
      <c r="GW76" s="7">
        <f t="shared" si="238"/>
        <v>0</v>
      </c>
      <c r="GY76" s="5">
        <v>202409</v>
      </c>
      <c r="GZ76" s="6">
        <v>0</v>
      </c>
      <c r="HA76" s="9">
        <v>0</v>
      </c>
      <c r="HB76" s="8">
        <v>0</v>
      </c>
      <c r="HC76" s="7">
        <f t="shared" si="239"/>
        <v>-696117.68864598079</v>
      </c>
    </row>
    <row r="77" spans="2:211" hidden="1" outlineLevel="1" x14ac:dyDescent="0.2">
      <c r="B77" s="38"/>
      <c r="C77" s="5">
        <v>202410</v>
      </c>
      <c r="D77" s="6">
        <v>0</v>
      </c>
      <c r="E77" s="6">
        <v>750000</v>
      </c>
      <c r="F77" s="8">
        <v>0</v>
      </c>
      <c r="G77" s="7">
        <f t="shared" si="205"/>
        <v>3750000</v>
      </c>
      <c r="I77" s="5">
        <v>202410</v>
      </c>
      <c r="J77" s="6">
        <v>0</v>
      </c>
      <c r="K77" s="6">
        <v>0</v>
      </c>
      <c r="L77" s="8">
        <v>0</v>
      </c>
      <c r="M77" s="7">
        <f t="shared" si="206"/>
        <v>0</v>
      </c>
      <c r="O77" s="5">
        <v>202410</v>
      </c>
      <c r="P77" s="6">
        <v>0</v>
      </c>
      <c r="Q77" s="6">
        <v>215000</v>
      </c>
      <c r="R77" s="8">
        <v>0</v>
      </c>
      <c r="S77" s="7">
        <f t="shared" si="207"/>
        <v>715000</v>
      </c>
      <c r="U77" s="5">
        <v>202410</v>
      </c>
      <c r="V77" s="6">
        <v>0</v>
      </c>
      <c r="W77" s="6">
        <v>0</v>
      </c>
      <c r="X77" s="8">
        <v>0</v>
      </c>
      <c r="Y77" s="7">
        <f t="shared" si="208"/>
        <v>0</v>
      </c>
      <c r="AA77" s="5">
        <v>202410</v>
      </c>
      <c r="AB77" s="6">
        <v>0</v>
      </c>
      <c r="AC77" s="6">
        <v>200000</v>
      </c>
      <c r="AD77" s="8">
        <v>0</v>
      </c>
      <c r="AE77" s="7">
        <f t="shared" si="209"/>
        <v>1503000</v>
      </c>
      <c r="AG77" s="5">
        <v>202410</v>
      </c>
      <c r="AH77" s="6">
        <v>0</v>
      </c>
      <c r="AI77" s="6">
        <v>0</v>
      </c>
      <c r="AJ77" s="8">
        <v>0</v>
      </c>
      <c r="AK77" s="7">
        <f t="shared" si="210"/>
        <v>0</v>
      </c>
      <c r="AM77" s="5">
        <v>202410</v>
      </c>
      <c r="AN77" s="6">
        <v>0</v>
      </c>
      <c r="AO77" s="6">
        <v>0</v>
      </c>
      <c r="AP77" s="8">
        <v>0</v>
      </c>
      <c r="AQ77" s="7">
        <f t="shared" si="211"/>
        <v>2769500</v>
      </c>
      <c r="AS77" s="5">
        <v>202410</v>
      </c>
      <c r="AT77" s="6">
        <v>0</v>
      </c>
      <c r="AU77" s="6">
        <v>0</v>
      </c>
      <c r="AV77" s="8">
        <v>0</v>
      </c>
      <c r="AW77" s="7">
        <f t="shared" si="212"/>
        <v>0</v>
      </c>
      <c r="AY77" s="5">
        <v>202410</v>
      </c>
      <c r="AZ77" s="6">
        <v>1000000</v>
      </c>
      <c r="BA77" s="6">
        <v>322000</v>
      </c>
      <c r="BB77" s="8">
        <v>0</v>
      </c>
      <c r="BC77" s="7">
        <f t="shared" si="213"/>
        <v>2712000</v>
      </c>
      <c r="BE77" s="5">
        <v>202410</v>
      </c>
      <c r="BF77" s="6">
        <v>0</v>
      </c>
      <c r="BG77" s="6">
        <v>856000</v>
      </c>
      <c r="BH77" s="8">
        <v>0</v>
      </c>
      <c r="BI77" s="7">
        <f t="shared" si="214"/>
        <v>1432000</v>
      </c>
      <c r="BK77" s="5">
        <v>202410</v>
      </c>
      <c r="BL77" s="6">
        <v>0</v>
      </c>
      <c r="BM77" s="6">
        <v>0</v>
      </c>
      <c r="BN77" s="8">
        <v>0</v>
      </c>
      <c r="BO77" s="7">
        <f t="shared" si="215"/>
        <v>0</v>
      </c>
      <c r="BQ77" s="5">
        <v>202410</v>
      </c>
      <c r="BR77" s="6">
        <v>0</v>
      </c>
      <c r="BS77" s="6">
        <v>0</v>
      </c>
      <c r="BT77" s="8">
        <v>0</v>
      </c>
      <c r="BU77" s="7">
        <f t="shared" si="216"/>
        <v>1822000</v>
      </c>
      <c r="BW77" s="5">
        <v>202410</v>
      </c>
      <c r="BX77" s="6">
        <v>0</v>
      </c>
      <c r="BY77" s="6">
        <v>0</v>
      </c>
      <c r="BZ77" s="8">
        <v>0</v>
      </c>
      <c r="CA77" s="7">
        <f t="shared" si="217"/>
        <v>0</v>
      </c>
      <c r="CC77" s="5">
        <v>202410</v>
      </c>
      <c r="CD77" s="6">
        <v>0</v>
      </c>
      <c r="CE77" s="6">
        <v>0</v>
      </c>
      <c r="CF77" s="8">
        <v>0</v>
      </c>
      <c r="CG77" s="7">
        <f t="shared" si="218"/>
        <v>5000000</v>
      </c>
      <c r="CI77" s="5">
        <v>202410</v>
      </c>
      <c r="CJ77" s="6">
        <v>0</v>
      </c>
      <c r="CK77" s="6">
        <v>1000000</v>
      </c>
      <c r="CL77" s="8">
        <v>0</v>
      </c>
      <c r="CM77" s="7">
        <f t="shared" si="219"/>
        <v>4000000</v>
      </c>
      <c r="CO77" s="5">
        <v>202410</v>
      </c>
      <c r="CP77" s="6">
        <v>0</v>
      </c>
      <c r="CQ77" s="6">
        <v>0</v>
      </c>
      <c r="CR77" s="8">
        <v>0</v>
      </c>
      <c r="CS77" s="7">
        <f t="shared" si="220"/>
        <v>0</v>
      </c>
      <c r="CU77" s="5">
        <v>202410</v>
      </c>
      <c r="CV77" s="6">
        <v>0</v>
      </c>
      <c r="CW77" s="6">
        <v>0</v>
      </c>
      <c r="CX77" s="8">
        <v>0</v>
      </c>
      <c r="CY77" s="7">
        <f t="shared" si="221"/>
        <v>930000</v>
      </c>
      <c r="DA77" s="5">
        <v>202410</v>
      </c>
      <c r="DB77" s="6">
        <v>0</v>
      </c>
      <c r="DC77" s="6">
        <v>0</v>
      </c>
      <c r="DD77" s="8">
        <v>0</v>
      </c>
      <c r="DE77" s="7">
        <f t="shared" si="222"/>
        <v>0</v>
      </c>
      <c r="DG77" s="5">
        <v>202410</v>
      </c>
      <c r="DH77" s="6">
        <v>0</v>
      </c>
      <c r="DI77" s="6">
        <v>0</v>
      </c>
      <c r="DJ77" s="8">
        <v>0</v>
      </c>
      <c r="DK77" s="7">
        <f t="shared" si="223"/>
        <v>0</v>
      </c>
      <c r="DM77" s="5">
        <v>202410</v>
      </c>
      <c r="DN77" s="6">
        <v>0</v>
      </c>
      <c r="DO77" s="6">
        <v>0</v>
      </c>
      <c r="DP77" s="8">
        <v>0</v>
      </c>
      <c r="DQ77" s="7">
        <f t="shared" si="224"/>
        <v>0</v>
      </c>
      <c r="DS77" s="5">
        <v>202410</v>
      </c>
      <c r="DT77" s="6">
        <v>0</v>
      </c>
      <c r="DU77" s="6">
        <v>0</v>
      </c>
      <c r="DV77" s="8">
        <v>0</v>
      </c>
      <c r="DW77" s="7">
        <f t="shared" si="225"/>
        <v>3000000</v>
      </c>
      <c r="DY77" s="5">
        <v>202410</v>
      </c>
      <c r="DZ77" s="6">
        <v>0</v>
      </c>
      <c r="EA77" s="6">
        <v>300000</v>
      </c>
      <c r="EB77" s="8">
        <v>0</v>
      </c>
      <c r="EC77" s="7">
        <f t="shared" si="226"/>
        <v>1300000</v>
      </c>
      <c r="EE77" s="5">
        <v>202410</v>
      </c>
      <c r="EF77" s="6">
        <v>0</v>
      </c>
      <c r="EG77" s="6">
        <v>0</v>
      </c>
      <c r="EH77" s="8">
        <v>0</v>
      </c>
      <c r="EI77" s="7">
        <f t="shared" si="227"/>
        <v>0</v>
      </c>
      <c r="EK77" s="5">
        <v>202410</v>
      </c>
      <c r="EL77" s="6">
        <v>0</v>
      </c>
      <c r="EM77" s="6">
        <v>0</v>
      </c>
      <c r="EN77" s="8">
        <v>0</v>
      </c>
      <c r="EO77" s="7">
        <f t="shared" si="228"/>
        <v>895000</v>
      </c>
      <c r="EQ77" s="5">
        <v>202410</v>
      </c>
      <c r="ER77" s="6">
        <v>0</v>
      </c>
      <c r="ES77" s="6">
        <v>0</v>
      </c>
      <c r="ET77" s="8">
        <v>0</v>
      </c>
      <c r="EU77" s="7">
        <f t="shared" si="229"/>
        <v>1645000</v>
      </c>
      <c r="EW77" s="5">
        <v>202410</v>
      </c>
      <c r="EX77" s="6">
        <v>0</v>
      </c>
      <c r="EY77" s="6">
        <v>0</v>
      </c>
      <c r="EZ77" s="8">
        <v>0</v>
      </c>
      <c r="FA77" s="7">
        <f t="shared" si="230"/>
        <v>860000</v>
      </c>
      <c r="FC77" s="5">
        <v>202410</v>
      </c>
      <c r="FD77" s="6">
        <v>0</v>
      </c>
      <c r="FE77" s="6">
        <v>317500</v>
      </c>
      <c r="FF77" s="8">
        <v>0</v>
      </c>
      <c r="FG77" s="7">
        <f t="shared" si="231"/>
        <v>142500</v>
      </c>
      <c r="FI77" s="5">
        <v>202410</v>
      </c>
      <c r="FJ77" s="6">
        <v>0</v>
      </c>
      <c r="FK77" s="6">
        <v>700000</v>
      </c>
      <c r="FL77" s="8">
        <v>0</v>
      </c>
      <c r="FM77" s="7">
        <f t="shared" si="232"/>
        <v>1250000</v>
      </c>
      <c r="FO77" s="5">
        <v>202410</v>
      </c>
      <c r="FP77" s="6">
        <v>3000000</v>
      </c>
      <c r="FQ77" s="6">
        <v>0</v>
      </c>
      <c r="FR77" s="8">
        <v>0</v>
      </c>
      <c r="FS77" s="7">
        <f t="shared" si="233"/>
        <v>3000000</v>
      </c>
      <c r="FU77" s="5">
        <v>202410</v>
      </c>
      <c r="FV77" s="6">
        <v>0</v>
      </c>
      <c r="FW77" s="6">
        <v>0</v>
      </c>
      <c r="FX77" s="8">
        <v>0</v>
      </c>
      <c r="FY77" s="7">
        <f t="shared" si="234"/>
        <v>0</v>
      </c>
      <c r="GA77" s="5">
        <v>202410</v>
      </c>
      <c r="GB77" s="6">
        <v>0</v>
      </c>
      <c r="GC77" s="6">
        <v>300000</v>
      </c>
      <c r="GD77" s="8">
        <v>0</v>
      </c>
      <c r="GE77" s="7">
        <f t="shared" si="235"/>
        <v>2700000</v>
      </c>
      <c r="GG77" s="5">
        <v>202410</v>
      </c>
      <c r="GH77" s="6">
        <v>0</v>
      </c>
      <c r="GI77" s="6">
        <v>0</v>
      </c>
      <c r="GJ77" s="8">
        <v>0</v>
      </c>
      <c r="GK77" s="7">
        <f t="shared" si="236"/>
        <v>2000000</v>
      </c>
      <c r="GM77" s="5">
        <v>202410</v>
      </c>
      <c r="GN77" s="6">
        <v>0</v>
      </c>
      <c r="GO77" s="6">
        <v>0</v>
      </c>
      <c r="GP77" s="8">
        <v>0</v>
      </c>
      <c r="GQ77" s="7">
        <f t="shared" si="237"/>
        <v>0</v>
      </c>
      <c r="GS77" s="5">
        <v>202410</v>
      </c>
      <c r="GT77" s="6">
        <v>0</v>
      </c>
      <c r="GU77" s="6">
        <v>0</v>
      </c>
      <c r="GV77" s="8">
        <v>0</v>
      </c>
      <c r="GW77" s="7">
        <f t="shared" si="238"/>
        <v>0</v>
      </c>
      <c r="GY77" s="5">
        <v>202410</v>
      </c>
      <c r="GZ77" s="6">
        <v>0</v>
      </c>
      <c r="HA77" s="6">
        <v>0</v>
      </c>
      <c r="HB77" s="8">
        <v>0</v>
      </c>
      <c r="HC77" s="7">
        <f t="shared" si="239"/>
        <v>-696117.68864598079</v>
      </c>
    </row>
    <row r="78" spans="2:211" hidden="1" outlineLevel="1" x14ac:dyDescent="0.2">
      <c r="C78" s="5">
        <v>202411</v>
      </c>
      <c r="D78" s="6">
        <v>0</v>
      </c>
      <c r="E78" s="6">
        <v>0</v>
      </c>
      <c r="F78" s="8">
        <v>0</v>
      </c>
      <c r="G78" s="7">
        <f t="shared" si="205"/>
        <v>3750000</v>
      </c>
      <c r="I78" s="5">
        <v>202411</v>
      </c>
      <c r="J78" s="6">
        <v>0</v>
      </c>
      <c r="K78" s="6">
        <v>0</v>
      </c>
      <c r="L78" s="8">
        <v>0</v>
      </c>
      <c r="M78" s="7">
        <f t="shared" si="206"/>
        <v>0</v>
      </c>
      <c r="O78" s="5">
        <v>202411</v>
      </c>
      <c r="P78" s="6">
        <v>0</v>
      </c>
      <c r="Q78" s="6">
        <v>0</v>
      </c>
      <c r="R78" s="8">
        <v>0</v>
      </c>
      <c r="S78" s="7">
        <f t="shared" si="207"/>
        <v>715000</v>
      </c>
      <c r="U78" s="5">
        <v>202411</v>
      </c>
      <c r="V78" s="6">
        <v>0</v>
      </c>
      <c r="W78" s="6">
        <v>0</v>
      </c>
      <c r="X78" s="8">
        <v>0</v>
      </c>
      <c r="Y78" s="7">
        <f t="shared" si="208"/>
        <v>0</v>
      </c>
      <c r="AA78" s="5">
        <v>202411</v>
      </c>
      <c r="AB78" s="6">
        <v>0</v>
      </c>
      <c r="AC78" s="6">
        <v>200000</v>
      </c>
      <c r="AD78" s="8">
        <v>0</v>
      </c>
      <c r="AE78" s="7">
        <f t="shared" si="209"/>
        <v>1303000</v>
      </c>
      <c r="AG78" s="5">
        <v>202411</v>
      </c>
      <c r="AH78" s="6">
        <v>0</v>
      </c>
      <c r="AI78" s="6">
        <v>0</v>
      </c>
      <c r="AJ78" s="8">
        <v>0</v>
      </c>
      <c r="AK78" s="7">
        <f t="shared" si="210"/>
        <v>0</v>
      </c>
      <c r="AM78" s="5">
        <v>202411</v>
      </c>
      <c r="AN78" s="6">
        <v>0</v>
      </c>
      <c r="AO78" s="6">
        <v>0</v>
      </c>
      <c r="AP78" s="8">
        <v>0</v>
      </c>
      <c r="AQ78" s="7">
        <f t="shared" si="211"/>
        <v>2769500</v>
      </c>
      <c r="AS78" s="5">
        <v>202411</v>
      </c>
      <c r="AT78" s="6">
        <v>0</v>
      </c>
      <c r="AU78" s="6">
        <v>0</v>
      </c>
      <c r="AV78" s="8">
        <v>0</v>
      </c>
      <c r="AW78" s="7">
        <f t="shared" si="212"/>
        <v>0</v>
      </c>
      <c r="AY78" s="5">
        <v>202411</v>
      </c>
      <c r="AZ78" s="6">
        <v>1000000</v>
      </c>
      <c r="BA78" s="6">
        <v>535000</v>
      </c>
      <c r="BB78" s="8">
        <v>0</v>
      </c>
      <c r="BC78" s="7">
        <f t="shared" si="213"/>
        <v>3177000</v>
      </c>
      <c r="BE78" s="5">
        <v>202411</v>
      </c>
      <c r="BF78" s="6">
        <v>0</v>
      </c>
      <c r="BG78" s="6">
        <v>0</v>
      </c>
      <c r="BH78" s="8">
        <v>0</v>
      </c>
      <c r="BI78" s="7">
        <f t="shared" si="214"/>
        <v>1432000</v>
      </c>
      <c r="BK78" s="5">
        <v>202411</v>
      </c>
      <c r="BL78" s="6">
        <v>0</v>
      </c>
      <c r="BM78" s="6">
        <v>0</v>
      </c>
      <c r="BN78" s="8">
        <v>0</v>
      </c>
      <c r="BO78" s="7">
        <f t="shared" si="215"/>
        <v>0</v>
      </c>
      <c r="BQ78" s="5">
        <v>202411</v>
      </c>
      <c r="BR78" s="6">
        <v>0</v>
      </c>
      <c r="BS78" s="6">
        <v>0</v>
      </c>
      <c r="BT78" s="8">
        <v>0</v>
      </c>
      <c r="BU78" s="7">
        <f t="shared" si="216"/>
        <v>1822000</v>
      </c>
      <c r="BW78" s="5">
        <v>202411</v>
      </c>
      <c r="BX78" s="6">
        <v>2000000</v>
      </c>
      <c r="BY78" s="6">
        <v>0</v>
      </c>
      <c r="BZ78" s="8">
        <v>0</v>
      </c>
      <c r="CA78" s="7">
        <f t="shared" si="217"/>
        <v>2000000</v>
      </c>
      <c r="CC78" s="5">
        <v>202411</v>
      </c>
      <c r="CD78" s="6">
        <v>0</v>
      </c>
      <c r="CE78" s="6">
        <v>0</v>
      </c>
      <c r="CF78" s="8">
        <v>0</v>
      </c>
      <c r="CG78" s="7">
        <f t="shared" si="218"/>
        <v>5000000</v>
      </c>
      <c r="CI78" s="5">
        <v>202411</v>
      </c>
      <c r="CJ78" s="6">
        <v>0</v>
      </c>
      <c r="CK78" s="6">
        <v>0</v>
      </c>
      <c r="CL78" s="8">
        <v>0</v>
      </c>
      <c r="CM78" s="7">
        <f t="shared" si="219"/>
        <v>4000000</v>
      </c>
      <c r="CO78" s="5">
        <v>202411</v>
      </c>
      <c r="CP78" s="6">
        <v>0</v>
      </c>
      <c r="CQ78" s="6">
        <v>0</v>
      </c>
      <c r="CR78" s="8">
        <v>0</v>
      </c>
      <c r="CS78" s="7">
        <f t="shared" si="220"/>
        <v>0</v>
      </c>
      <c r="CU78" s="5">
        <v>202411</v>
      </c>
      <c r="CV78" s="6">
        <v>0</v>
      </c>
      <c r="CW78" s="6">
        <v>214000</v>
      </c>
      <c r="CX78" s="8">
        <v>0</v>
      </c>
      <c r="CY78" s="7">
        <f t="shared" si="221"/>
        <v>716000</v>
      </c>
      <c r="DA78" s="5">
        <v>202411</v>
      </c>
      <c r="DB78" s="6">
        <v>0</v>
      </c>
      <c r="DC78" s="6">
        <v>0</v>
      </c>
      <c r="DD78" s="8">
        <v>0</v>
      </c>
      <c r="DE78" s="7">
        <f t="shared" si="222"/>
        <v>0</v>
      </c>
      <c r="DG78" s="5">
        <v>202411</v>
      </c>
      <c r="DH78" s="6">
        <v>0</v>
      </c>
      <c r="DI78" s="6">
        <v>0</v>
      </c>
      <c r="DJ78" s="8">
        <v>0</v>
      </c>
      <c r="DK78" s="7">
        <f t="shared" si="223"/>
        <v>0</v>
      </c>
      <c r="DM78" s="5">
        <v>202411</v>
      </c>
      <c r="DN78" s="6">
        <v>0</v>
      </c>
      <c r="DO78" s="6">
        <v>0</v>
      </c>
      <c r="DP78" s="8">
        <v>0</v>
      </c>
      <c r="DQ78" s="7">
        <f t="shared" si="224"/>
        <v>0</v>
      </c>
      <c r="DS78" s="5">
        <v>202411</v>
      </c>
      <c r="DT78" s="6">
        <v>0</v>
      </c>
      <c r="DU78" s="6">
        <v>0</v>
      </c>
      <c r="DV78" s="8">
        <v>0</v>
      </c>
      <c r="DW78" s="7">
        <f t="shared" si="225"/>
        <v>3000000</v>
      </c>
      <c r="DY78" s="5">
        <v>202411</v>
      </c>
      <c r="DZ78" s="6">
        <v>0</v>
      </c>
      <c r="EA78" s="6">
        <v>300000</v>
      </c>
      <c r="EB78" s="8">
        <v>0</v>
      </c>
      <c r="EC78" s="7">
        <f t="shared" si="226"/>
        <v>1000000</v>
      </c>
      <c r="EE78" s="5">
        <v>202411</v>
      </c>
      <c r="EF78" s="6">
        <v>0</v>
      </c>
      <c r="EG78" s="6">
        <v>0</v>
      </c>
      <c r="EH78" s="8">
        <v>0</v>
      </c>
      <c r="EI78" s="7">
        <f t="shared" si="227"/>
        <v>0</v>
      </c>
      <c r="EK78" s="5">
        <v>202411</v>
      </c>
      <c r="EL78" s="6">
        <v>0</v>
      </c>
      <c r="EM78" s="6">
        <v>0</v>
      </c>
      <c r="EN78" s="8">
        <v>0</v>
      </c>
      <c r="EO78" s="7">
        <f t="shared" si="228"/>
        <v>895000</v>
      </c>
      <c r="EQ78" s="5">
        <v>202411</v>
      </c>
      <c r="ER78" s="6">
        <v>0</v>
      </c>
      <c r="ES78" s="6">
        <v>0</v>
      </c>
      <c r="ET78" s="8">
        <v>0</v>
      </c>
      <c r="EU78" s="7">
        <f t="shared" si="229"/>
        <v>1645000</v>
      </c>
      <c r="EW78" s="5">
        <v>202411</v>
      </c>
      <c r="EX78" s="6">
        <v>0</v>
      </c>
      <c r="EY78" s="6">
        <v>0</v>
      </c>
      <c r="EZ78" s="8">
        <v>0</v>
      </c>
      <c r="FA78" s="7">
        <f t="shared" si="230"/>
        <v>860000</v>
      </c>
      <c r="FC78" s="5">
        <v>202411</v>
      </c>
      <c r="FD78" s="6">
        <v>0</v>
      </c>
      <c r="FE78" s="6">
        <v>142500</v>
      </c>
      <c r="FF78" s="8">
        <v>175000</v>
      </c>
      <c r="FG78" s="7">
        <f t="shared" si="231"/>
        <v>0</v>
      </c>
      <c r="FI78" s="5">
        <v>202411</v>
      </c>
      <c r="FJ78" s="6">
        <v>0</v>
      </c>
      <c r="FK78" s="6">
        <v>0</v>
      </c>
      <c r="FL78" s="8">
        <v>0</v>
      </c>
      <c r="FM78" s="7">
        <f t="shared" si="232"/>
        <v>1250000</v>
      </c>
      <c r="FO78" s="5">
        <v>202411</v>
      </c>
      <c r="FP78" s="6">
        <v>0</v>
      </c>
      <c r="FQ78" s="6">
        <v>700000</v>
      </c>
      <c r="FR78" s="8">
        <v>0</v>
      </c>
      <c r="FS78" s="7">
        <f t="shared" si="233"/>
        <v>2300000</v>
      </c>
      <c r="FU78" s="5">
        <v>202411</v>
      </c>
      <c r="FV78" s="6">
        <v>0</v>
      </c>
      <c r="FW78" s="6">
        <v>0</v>
      </c>
      <c r="FX78" s="8">
        <v>0</v>
      </c>
      <c r="FY78" s="7">
        <f t="shared" si="234"/>
        <v>0</v>
      </c>
      <c r="GA78" s="5">
        <v>202411</v>
      </c>
      <c r="GB78" s="6">
        <v>0</v>
      </c>
      <c r="GC78" s="6">
        <v>0</v>
      </c>
      <c r="GD78" s="8">
        <v>0</v>
      </c>
      <c r="GE78" s="7">
        <f t="shared" si="235"/>
        <v>2700000</v>
      </c>
      <c r="GG78" s="5">
        <v>202411</v>
      </c>
      <c r="GH78" s="6">
        <v>0</v>
      </c>
      <c r="GI78" s="6">
        <v>0</v>
      </c>
      <c r="GJ78" s="8">
        <v>0</v>
      </c>
      <c r="GK78" s="7">
        <f t="shared" si="236"/>
        <v>2000000</v>
      </c>
      <c r="GM78" s="5">
        <v>202411</v>
      </c>
      <c r="GN78" s="6">
        <v>0</v>
      </c>
      <c r="GO78" s="6">
        <v>0</v>
      </c>
      <c r="GP78" s="8">
        <v>0</v>
      </c>
      <c r="GQ78" s="7">
        <f t="shared" si="237"/>
        <v>0</v>
      </c>
      <c r="GS78" s="5">
        <v>202411</v>
      </c>
      <c r="GT78" s="6">
        <v>0</v>
      </c>
      <c r="GU78" s="6">
        <v>0</v>
      </c>
      <c r="GV78" s="8">
        <v>0</v>
      </c>
      <c r="GW78" s="7">
        <f t="shared" si="238"/>
        <v>0</v>
      </c>
      <c r="GY78" s="5">
        <v>202411</v>
      </c>
      <c r="GZ78" s="6">
        <v>0</v>
      </c>
      <c r="HA78" s="6">
        <v>0</v>
      </c>
      <c r="HB78" s="8">
        <v>0</v>
      </c>
      <c r="HC78" s="7">
        <f t="shared" si="239"/>
        <v>-696117.68864598079</v>
      </c>
    </row>
    <row r="79" spans="2:211" ht="12.75" hidden="1" outlineLevel="1" thickBot="1" x14ac:dyDescent="0.25">
      <c r="C79" s="10">
        <v>202412</v>
      </c>
      <c r="D79" s="11">
        <v>0</v>
      </c>
      <c r="E79" s="12">
        <v>250000</v>
      </c>
      <c r="F79" s="13">
        <v>0</v>
      </c>
      <c r="G79" s="14">
        <f t="shared" si="205"/>
        <v>3500000</v>
      </c>
      <c r="I79" s="10">
        <v>202412</v>
      </c>
      <c r="J79" s="11">
        <v>0</v>
      </c>
      <c r="K79" s="12">
        <v>0</v>
      </c>
      <c r="L79" s="13">
        <v>0</v>
      </c>
      <c r="M79" s="14">
        <f t="shared" si="206"/>
        <v>0</v>
      </c>
      <c r="O79" s="10">
        <v>202412</v>
      </c>
      <c r="P79" s="11">
        <v>0</v>
      </c>
      <c r="Q79" s="12">
        <v>428000</v>
      </c>
      <c r="R79" s="13">
        <v>0</v>
      </c>
      <c r="S79" s="14">
        <f t="shared" si="207"/>
        <v>287000</v>
      </c>
      <c r="U79" s="10">
        <v>202412</v>
      </c>
      <c r="V79" s="11">
        <v>0</v>
      </c>
      <c r="W79" s="12">
        <v>0</v>
      </c>
      <c r="X79" s="13">
        <v>0</v>
      </c>
      <c r="Y79" s="14">
        <f t="shared" si="208"/>
        <v>0</v>
      </c>
      <c r="AA79" s="10">
        <v>202412</v>
      </c>
      <c r="AB79" s="11">
        <v>0</v>
      </c>
      <c r="AC79" s="12">
        <v>200000</v>
      </c>
      <c r="AD79" s="13">
        <v>0</v>
      </c>
      <c r="AE79" s="14">
        <f t="shared" si="209"/>
        <v>1103000</v>
      </c>
      <c r="AG79" s="10">
        <v>202412</v>
      </c>
      <c r="AH79" s="11">
        <v>0</v>
      </c>
      <c r="AI79" s="12">
        <v>0</v>
      </c>
      <c r="AJ79" s="13">
        <v>0</v>
      </c>
      <c r="AK79" s="14">
        <f t="shared" si="210"/>
        <v>0</v>
      </c>
      <c r="AM79" s="10">
        <v>202412</v>
      </c>
      <c r="AN79" s="11">
        <v>0</v>
      </c>
      <c r="AO79" s="12">
        <v>0</v>
      </c>
      <c r="AP79" s="13">
        <v>0</v>
      </c>
      <c r="AQ79" s="14">
        <f t="shared" si="211"/>
        <v>2769500</v>
      </c>
      <c r="AS79" s="10">
        <v>202412</v>
      </c>
      <c r="AT79" s="11">
        <v>0</v>
      </c>
      <c r="AU79" s="12">
        <v>0</v>
      </c>
      <c r="AV79" s="13">
        <v>0</v>
      </c>
      <c r="AW79" s="14">
        <f t="shared" si="212"/>
        <v>0</v>
      </c>
      <c r="AY79" s="10">
        <v>202412</v>
      </c>
      <c r="AZ79" s="11">
        <v>0</v>
      </c>
      <c r="BA79" s="12">
        <v>535000</v>
      </c>
      <c r="BB79" s="13">
        <v>0</v>
      </c>
      <c r="BC79" s="14">
        <f t="shared" si="213"/>
        <v>2642000</v>
      </c>
      <c r="BE79" s="10">
        <v>202412</v>
      </c>
      <c r="BF79" s="11">
        <v>0</v>
      </c>
      <c r="BG79" s="12">
        <v>856000</v>
      </c>
      <c r="BH79" s="13">
        <v>0</v>
      </c>
      <c r="BI79" s="14">
        <f t="shared" si="214"/>
        <v>576000</v>
      </c>
      <c r="BK79" s="10">
        <v>202412</v>
      </c>
      <c r="BL79" s="11">
        <v>0</v>
      </c>
      <c r="BM79" s="12">
        <v>0</v>
      </c>
      <c r="BN79" s="13">
        <v>0</v>
      </c>
      <c r="BO79" s="14">
        <f t="shared" si="215"/>
        <v>0</v>
      </c>
      <c r="BQ79" s="10">
        <v>202412</v>
      </c>
      <c r="BR79" s="11">
        <v>0</v>
      </c>
      <c r="BS79" s="12">
        <v>0</v>
      </c>
      <c r="BT79" s="13">
        <v>0</v>
      </c>
      <c r="BU79" s="14">
        <f t="shared" si="216"/>
        <v>1822000</v>
      </c>
      <c r="BW79" s="10">
        <v>202412</v>
      </c>
      <c r="BX79" s="11">
        <v>0</v>
      </c>
      <c r="BY79" s="12">
        <v>215000</v>
      </c>
      <c r="BZ79" s="13">
        <v>0</v>
      </c>
      <c r="CA79" s="14">
        <f t="shared" si="217"/>
        <v>1785000</v>
      </c>
      <c r="CC79" s="10">
        <v>202412</v>
      </c>
      <c r="CD79" s="11">
        <v>0</v>
      </c>
      <c r="CE79" s="12">
        <v>0</v>
      </c>
      <c r="CF79" s="13">
        <v>0</v>
      </c>
      <c r="CG79" s="14">
        <f t="shared" si="218"/>
        <v>5000000</v>
      </c>
      <c r="CI79" s="10">
        <v>202412</v>
      </c>
      <c r="CJ79" s="11">
        <v>0</v>
      </c>
      <c r="CK79" s="12">
        <v>1000000</v>
      </c>
      <c r="CL79" s="13">
        <v>0</v>
      </c>
      <c r="CM79" s="14">
        <f t="shared" si="219"/>
        <v>3000000</v>
      </c>
      <c r="CO79" s="10">
        <v>202412</v>
      </c>
      <c r="CP79" s="11">
        <v>0</v>
      </c>
      <c r="CQ79" s="12">
        <v>0</v>
      </c>
      <c r="CR79" s="13">
        <v>0</v>
      </c>
      <c r="CS79" s="14">
        <f t="shared" si="220"/>
        <v>0</v>
      </c>
      <c r="CU79" s="10">
        <v>202412</v>
      </c>
      <c r="CV79" s="11">
        <v>0</v>
      </c>
      <c r="CW79" s="12">
        <v>0</v>
      </c>
      <c r="CX79" s="13">
        <v>0</v>
      </c>
      <c r="CY79" s="14">
        <f t="shared" si="221"/>
        <v>716000</v>
      </c>
      <c r="DA79" s="10">
        <v>202412</v>
      </c>
      <c r="DB79" s="11">
        <v>0</v>
      </c>
      <c r="DC79" s="12">
        <v>0</v>
      </c>
      <c r="DD79" s="13">
        <v>0</v>
      </c>
      <c r="DE79" s="14">
        <f t="shared" si="222"/>
        <v>0</v>
      </c>
      <c r="DG79" s="10">
        <v>202412</v>
      </c>
      <c r="DH79" s="11">
        <v>2500000</v>
      </c>
      <c r="DI79" s="12">
        <v>0</v>
      </c>
      <c r="DJ79" s="13">
        <v>0</v>
      </c>
      <c r="DK79" s="14">
        <f t="shared" si="223"/>
        <v>2500000</v>
      </c>
      <c r="DM79" s="10">
        <v>202412</v>
      </c>
      <c r="DN79" s="11">
        <v>0</v>
      </c>
      <c r="DO79" s="12">
        <v>0</v>
      </c>
      <c r="DP79" s="13">
        <v>0</v>
      </c>
      <c r="DQ79" s="14">
        <f t="shared" si="224"/>
        <v>0</v>
      </c>
      <c r="DS79" s="10">
        <v>202412</v>
      </c>
      <c r="DT79" s="11">
        <v>0</v>
      </c>
      <c r="DU79" s="12">
        <v>0</v>
      </c>
      <c r="DV79" s="13">
        <v>0</v>
      </c>
      <c r="DW79" s="14">
        <f t="shared" si="225"/>
        <v>3000000</v>
      </c>
      <c r="DY79" s="10">
        <v>202412</v>
      </c>
      <c r="DZ79" s="11">
        <v>0</v>
      </c>
      <c r="EA79" s="12">
        <v>300000</v>
      </c>
      <c r="EB79" s="13">
        <v>0</v>
      </c>
      <c r="EC79" s="14">
        <f t="shared" si="226"/>
        <v>700000</v>
      </c>
      <c r="EE79" s="10">
        <v>202412</v>
      </c>
      <c r="EF79" s="11">
        <v>0</v>
      </c>
      <c r="EG79" s="12">
        <v>0</v>
      </c>
      <c r="EH79" s="13">
        <v>0</v>
      </c>
      <c r="EI79" s="14">
        <f t="shared" si="227"/>
        <v>0</v>
      </c>
      <c r="EK79" s="10">
        <v>202412</v>
      </c>
      <c r="EL79" s="11">
        <v>0</v>
      </c>
      <c r="EM79" s="12">
        <v>0</v>
      </c>
      <c r="EN79" s="13">
        <v>0</v>
      </c>
      <c r="EO79" s="14">
        <f t="shared" si="228"/>
        <v>895000</v>
      </c>
      <c r="EQ79" s="10">
        <v>202412</v>
      </c>
      <c r="ER79" s="11">
        <v>0</v>
      </c>
      <c r="ES79" s="12">
        <v>1645000</v>
      </c>
      <c r="ET79" s="13">
        <v>252000</v>
      </c>
      <c r="EU79" s="14">
        <f t="shared" si="229"/>
        <v>0</v>
      </c>
      <c r="EW79" s="10">
        <v>202412</v>
      </c>
      <c r="EX79" s="11">
        <v>0</v>
      </c>
      <c r="EY79" s="12">
        <v>0</v>
      </c>
      <c r="EZ79" s="13">
        <v>0</v>
      </c>
      <c r="FA79" s="14">
        <f t="shared" si="230"/>
        <v>860000</v>
      </c>
      <c r="FC79" s="10">
        <v>202412</v>
      </c>
      <c r="FD79" s="11">
        <v>0</v>
      </c>
      <c r="FE79" s="12">
        <v>0</v>
      </c>
      <c r="FF79" s="13">
        <v>0</v>
      </c>
      <c r="FG79" s="14">
        <f t="shared" si="231"/>
        <v>0</v>
      </c>
      <c r="FI79" s="10">
        <v>202412</v>
      </c>
      <c r="FJ79" s="11">
        <v>0</v>
      </c>
      <c r="FK79" s="12">
        <v>350000</v>
      </c>
      <c r="FL79" s="13">
        <v>0</v>
      </c>
      <c r="FM79" s="14">
        <f t="shared" si="232"/>
        <v>900000</v>
      </c>
      <c r="FO79" s="10">
        <v>202412</v>
      </c>
      <c r="FP79" s="11">
        <v>0</v>
      </c>
      <c r="FQ79" s="12">
        <v>700000</v>
      </c>
      <c r="FR79" s="13">
        <v>0</v>
      </c>
      <c r="FS79" s="14">
        <f t="shared" si="233"/>
        <v>1600000</v>
      </c>
      <c r="FU79" s="10">
        <v>202412</v>
      </c>
      <c r="FV79" s="11">
        <v>0</v>
      </c>
      <c r="FW79" s="12">
        <v>0</v>
      </c>
      <c r="FX79" s="13">
        <v>0</v>
      </c>
      <c r="FY79" s="14">
        <f t="shared" si="234"/>
        <v>0</v>
      </c>
      <c r="GA79" s="10">
        <v>202412</v>
      </c>
      <c r="GB79" s="11">
        <v>0</v>
      </c>
      <c r="GC79" s="12">
        <v>300000</v>
      </c>
      <c r="GD79" s="13">
        <v>0</v>
      </c>
      <c r="GE79" s="14">
        <f t="shared" si="235"/>
        <v>2400000</v>
      </c>
      <c r="GG79" s="10">
        <v>202412</v>
      </c>
      <c r="GH79" s="11">
        <v>0</v>
      </c>
      <c r="GI79" s="12">
        <v>0</v>
      </c>
      <c r="GJ79" s="13">
        <v>0</v>
      </c>
      <c r="GK79" s="14">
        <f t="shared" si="236"/>
        <v>2000000</v>
      </c>
      <c r="GM79" s="10">
        <v>202412</v>
      </c>
      <c r="GN79" s="11">
        <v>0</v>
      </c>
      <c r="GO79" s="12">
        <v>0</v>
      </c>
      <c r="GP79" s="13">
        <v>0</v>
      </c>
      <c r="GQ79" s="14">
        <f t="shared" si="237"/>
        <v>0</v>
      </c>
      <c r="GS79" s="10">
        <v>202412</v>
      </c>
      <c r="GT79" s="11">
        <v>0</v>
      </c>
      <c r="GU79" s="12">
        <v>0</v>
      </c>
      <c r="GV79" s="13">
        <v>0</v>
      </c>
      <c r="GW79" s="14">
        <f t="shared" si="238"/>
        <v>0</v>
      </c>
      <c r="GY79" s="10">
        <v>202412</v>
      </c>
      <c r="GZ79" s="11">
        <v>0</v>
      </c>
      <c r="HA79" s="12">
        <v>0</v>
      </c>
      <c r="HB79" s="13">
        <v>0</v>
      </c>
      <c r="HC79" s="14">
        <f t="shared" si="239"/>
        <v>-696117.68864598079</v>
      </c>
    </row>
    <row r="80" spans="2:211" s="23" customFormat="1" ht="20.100000000000001" hidden="1" customHeight="1" outlineLevel="1" thickTop="1" thickBot="1" x14ac:dyDescent="0.3">
      <c r="C80" s="20"/>
      <c r="D80" s="21">
        <f>SUM(D68:D79)</f>
        <v>5000000</v>
      </c>
      <c r="E80" s="22">
        <f t="shared" ref="E80:F80" si="240">SUM(E68:E79)</f>
        <v>4000000</v>
      </c>
      <c r="F80" s="24">
        <f t="shared" si="240"/>
        <v>210000</v>
      </c>
      <c r="G80" s="25">
        <f>G67+D80-E80</f>
        <v>3500000</v>
      </c>
      <c r="I80" s="20"/>
      <c r="J80" s="21">
        <f>SUM(J68:J79)</f>
        <v>0</v>
      </c>
      <c r="K80" s="22">
        <f t="shared" ref="K80:L80" si="241">SUM(K68:K79)</f>
        <v>0</v>
      </c>
      <c r="L80" s="24">
        <f t="shared" si="241"/>
        <v>0</v>
      </c>
      <c r="M80" s="25">
        <f>M67+J80-K80</f>
        <v>0</v>
      </c>
      <c r="O80" s="20"/>
      <c r="P80" s="21">
        <f>SUM(P68:P79)</f>
        <v>2000000</v>
      </c>
      <c r="Q80" s="22">
        <f t="shared" ref="Q80:R80" si="242">SUM(Q68:Q79)</f>
        <v>3071000</v>
      </c>
      <c r="R80" s="24">
        <f t="shared" si="242"/>
        <v>140000</v>
      </c>
      <c r="S80" s="25">
        <f>S67+P80-Q80</f>
        <v>287000</v>
      </c>
      <c r="U80" s="20"/>
      <c r="V80" s="21">
        <f>SUM(V68:V79)</f>
        <v>0</v>
      </c>
      <c r="W80" s="22">
        <f t="shared" ref="W80:X80" si="243">SUM(W68:W79)</f>
        <v>0</v>
      </c>
      <c r="X80" s="24">
        <f t="shared" si="243"/>
        <v>0</v>
      </c>
      <c r="Y80" s="25">
        <f>Y67+V80-W80</f>
        <v>0</v>
      </c>
      <c r="AA80" s="20"/>
      <c r="AB80" s="21">
        <f>SUM(AB68:AB79)</f>
        <v>3000000</v>
      </c>
      <c r="AC80" s="22">
        <f t="shared" ref="AC80:AD80" si="244">SUM(AC68:AC79)</f>
        <v>3272000</v>
      </c>
      <c r="AD80" s="24">
        <f t="shared" si="244"/>
        <v>210000</v>
      </c>
      <c r="AE80" s="25">
        <f>AE67+AB80-AC80</f>
        <v>1103000</v>
      </c>
      <c r="AG80" s="20"/>
      <c r="AH80" s="21">
        <f>SUM(AH68:AH79)</f>
        <v>0</v>
      </c>
      <c r="AI80" s="22">
        <f t="shared" ref="AI80:AJ80" si="245">SUM(AI68:AI79)</f>
        <v>0</v>
      </c>
      <c r="AJ80" s="24">
        <f t="shared" si="245"/>
        <v>0</v>
      </c>
      <c r="AK80" s="25">
        <f>AK67+AH80-AI80</f>
        <v>0</v>
      </c>
      <c r="AM80" s="20"/>
      <c r="AN80" s="21">
        <f>SUM(AN68:AN79)</f>
        <v>0</v>
      </c>
      <c r="AO80" s="22">
        <f t="shared" ref="AO80:AP80" si="246">SUM(AO68:AO79)</f>
        <v>1338000</v>
      </c>
      <c r="AP80" s="24">
        <f t="shared" si="246"/>
        <v>0</v>
      </c>
      <c r="AQ80" s="25">
        <f>AQ67+AN80-AO80</f>
        <v>2769500</v>
      </c>
      <c r="AS80" s="20"/>
      <c r="AT80" s="21">
        <f>SUM(AT68:AT79)</f>
        <v>0</v>
      </c>
      <c r="AU80" s="22">
        <f t="shared" ref="AU80:AV80" si="247">SUM(AU68:AU79)</f>
        <v>400000</v>
      </c>
      <c r="AV80" s="24">
        <f t="shared" si="247"/>
        <v>0</v>
      </c>
      <c r="AW80" s="25">
        <f>AW67+AT80-AU80</f>
        <v>0</v>
      </c>
      <c r="AY80" s="20"/>
      <c r="AZ80" s="21">
        <f>SUM(AZ68:AZ79)</f>
        <v>5000000</v>
      </c>
      <c r="BA80" s="22">
        <f t="shared" ref="BA80:BB80" si="248">SUM(BA68:BA79)</f>
        <v>3823000</v>
      </c>
      <c r="BB80" s="24">
        <f t="shared" si="248"/>
        <v>135000</v>
      </c>
      <c r="BC80" s="25">
        <f>BC67+AZ80-BA80</f>
        <v>2642000</v>
      </c>
      <c r="BE80" s="20"/>
      <c r="BF80" s="21">
        <f>SUM(BF68:BF79)</f>
        <v>4000000</v>
      </c>
      <c r="BG80" s="22">
        <f t="shared" ref="BG80:BH80" si="249">SUM(BG68:BG79)</f>
        <v>3424000</v>
      </c>
      <c r="BH80" s="24">
        <f t="shared" si="249"/>
        <v>0</v>
      </c>
      <c r="BI80" s="25">
        <f>BI67+BF80-BG80</f>
        <v>576000</v>
      </c>
      <c r="BK80" s="20"/>
      <c r="BL80" s="21">
        <f>SUM(BL68:BL79)</f>
        <v>0</v>
      </c>
      <c r="BM80" s="22">
        <f t="shared" ref="BM80:BN80" si="250">SUM(BM68:BM79)</f>
        <v>0</v>
      </c>
      <c r="BN80" s="24">
        <f t="shared" si="250"/>
        <v>0</v>
      </c>
      <c r="BO80" s="25">
        <f>BO67+BL80-BM80</f>
        <v>0</v>
      </c>
      <c r="BQ80" s="20"/>
      <c r="BR80" s="21">
        <f>SUM(BR68:BR79)</f>
        <v>0</v>
      </c>
      <c r="BS80" s="22">
        <f t="shared" ref="BS80:BT80" si="251">SUM(BS68:BS79)</f>
        <v>678000</v>
      </c>
      <c r="BT80" s="24">
        <f t="shared" si="251"/>
        <v>0</v>
      </c>
      <c r="BU80" s="25">
        <f>BU67+BR80-BS80</f>
        <v>1822000</v>
      </c>
      <c r="BW80" s="20"/>
      <c r="BX80" s="21">
        <f>SUM(BX68:BX79)</f>
        <v>2000000</v>
      </c>
      <c r="BY80" s="22">
        <f t="shared" ref="BY80:BZ80" si="252">SUM(BY68:BY79)</f>
        <v>945000</v>
      </c>
      <c r="BZ80" s="24">
        <f t="shared" si="252"/>
        <v>530000</v>
      </c>
      <c r="CA80" s="25">
        <f>CA67+BX80-BY80</f>
        <v>1785000</v>
      </c>
      <c r="CC80" s="20"/>
      <c r="CD80" s="21">
        <f>SUM(CD68:CD79)</f>
        <v>5000000</v>
      </c>
      <c r="CE80" s="22">
        <f t="shared" ref="CE80:CF80" si="253">SUM(CE68:CE79)</f>
        <v>5092500</v>
      </c>
      <c r="CF80" s="24">
        <f t="shared" si="253"/>
        <v>342000</v>
      </c>
      <c r="CG80" s="25">
        <f>CG67+CD80-CE80</f>
        <v>5000000</v>
      </c>
      <c r="CI80" s="20"/>
      <c r="CJ80" s="21">
        <f>SUM(CJ68:CJ79)</f>
        <v>8000000</v>
      </c>
      <c r="CK80" s="22">
        <f t="shared" ref="CK80:CL80" si="254">SUM(CK68:CK79)</f>
        <v>5100000</v>
      </c>
      <c r="CL80" s="24">
        <f t="shared" si="254"/>
        <v>185000</v>
      </c>
      <c r="CM80" s="25">
        <f>CM67+CJ80-CK80</f>
        <v>3000000</v>
      </c>
      <c r="CO80" s="20"/>
      <c r="CP80" s="21">
        <f>SUM(CP68:CP79)</f>
        <v>0</v>
      </c>
      <c r="CQ80" s="22">
        <f t="shared" ref="CQ80:CR80" si="255">SUM(CQ68:CQ79)</f>
        <v>0</v>
      </c>
      <c r="CR80" s="24">
        <f t="shared" si="255"/>
        <v>0</v>
      </c>
      <c r="CS80" s="25">
        <f>CS67+CP80-CQ80</f>
        <v>0</v>
      </c>
      <c r="CU80" s="20"/>
      <c r="CV80" s="21">
        <f>SUM(CV68:CV79)</f>
        <v>2000000</v>
      </c>
      <c r="CW80" s="22">
        <f t="shared" ref="CW80:CX80" si="256">SUM(CW68:CW79)</f>
        <v>2214000</v>
      </c>
      <c r="CX80" s="24">
        <f t="shared" si="256"/>
        <v>140000</v>
      </c>
      <c r="CY80" s="25">
        <f>CY67+CV80-CW80</f>
        <v>716000</v>
      </c>
      <c r="DA80" s="20"/>
      <c r="DB80" s="21">
        <f>SUM(DB68:DB79)</f>
        <v>0</v>
      </c>
      <c r="DC80" s="22">
        <f t="shared" ref="DC80:DD80" si="257">SUM(DC68:DC79)</f>
        <v>0</v>
      </c>
      <c r="DD80" s="24">
        <f t="shared" si="257"/>
        <v>0</v>
      </c>
      <c r="DE80" s="25">
        <f>DE67+DB80-DC80</f>
        <v>0</v>
      </c>
      <c r="DG80" s="20"/>
      <c r="DH80" s="21">
        <f>SUM(DH68:DH79)</f>
        <v>2500000</v>
      </c>
      <c r="DI80" s="22">
        <f t="shared" ref="DI80:DJ80" si="258">SUM(DI68:DI79)</f>
        <v>0</v>
      </c>
      <c r="DJ80" s="24">
        <f t="shared" si="258"/>
        <v>0</v>
      </c>
      <c r="DK80" s="25">
        <f>DK67+DH80-DI80</f>
        <v>2500000</v>
      </c>
      <c r="DM80" s="20"/>
      <c r="DN80" s="21">
        <f>SUM(DN68:DN79)</f>
        <v>0</v>
      </c>
      <c r="DO80" s="22">
        <f t="shared" ref="DO80:DP80" si="259">SUM(DO68:DO79)</f>
        <v>0</v>
      </c>
      <c r="DP80" s="24">
        <f t="shared" si="259"/>
        <v>0</v>
      </c>
      <c r="DQ80" s="25">
        <f>DQ67+DN80-DO80</f>
        <v>0</v>
      </c>
      <c r="DS80" s="20"/>
      <c r="DT80" s="21">
        <f>SUM(DT68:DT79)</f>
        <v>0</v>
      </c>
      <c r="DU80" s="22">
        <f t="shared" ref="DU80:DV80" si="260">SUM(DU68:DU79)</f>
        <v>0</v>
      </c>
      <c r="DV80" s="24">
        <f t="shared" si="260"/>
        <v>0</v>
      </c>
      <c r="DW80" s="25">
        <f>DW67+DT80-DU80</f>
        <v>3000000</v>
      </c>
      <c r="DY80" s="20"/>
      <c r="DZ80" s="21">
        <f>SUM(DZ68:DZ79)</f>
        <v>2500000</v>
      </c>
      <c r="EA80" s="22">
        <f t="shared" ref="EA80:EB80" si="261">SUM(EA68:EA79)</f>
        <v>3300000</v>
      </c>
      <c r="EB80" s="24">
        <f t="shared" si="261"/>
        <v>140000</v>
      </c>
      <c r="EC80" s="25">
        <f>EC67+DZ80-EA80</f>
        <v>700000</v>
      </c>
      <c r="EE80" s="20"/>
      <c r="EF80" s="21">
        <f>SUM(EF68:EF79)</f>
        <v>0</v>
      </c>
      <c r="EG80" s="22">
        <f t="shared" ref="EG80:EH80" si="262">SUM(EG68:EG79)</f>
        <v>0</v>
      </c>
      <c r="EH80" s="24">
        <f t="shared" si="262"/>
        <v>0</v>
      </c>
      <c r="EI80" s="25">
        <f>EI67+EF80-EG80</f>
        <v>0</v>
      </c>
      <c r="EK80" s="20"/>
      <c r="EL80" s="21">
        <f>SUM(EL68:EL79)</f>
        <v>0</v>
      </c>
      <c r="EM80" s="22">
        <f t="shared" ref="EM80:EN80" si="263">SUM(EM68:EM79)</f>
        <v>1250000</v>
      </c>
      <c r="EN80" s="24">
        <f t="shared" si="263"/>
        <v>0</v>
      </c>
      <c r="EO80" s="25">
        <f>EO67+EL80-EM80</f>
        <v>895000</v>
      </c>
      <c r="EQ80" s="20"/>
      <c r="ER80" s="21">
        <f>SUM(ER68:ER79)</f>
        <v>3000000</v>
      </c>
      <c r="ES80" s="22">
        <f t="shared" ref="ES80:ET80" si="264">SUM(ES68:ES79)</f>
        <v>3000000</v>
      </c>
      <c r="ET80" s="24">
        <f t="shared" si="264"/>
        <v>252000</v>
      </c>
      <c r="EU80" s="25">
        <f>EU67+ER80-ES80</f>
        <v>0</v>
      </c>
      <c r="EW80" s="20"/>
      <c r="EX80" s="21">
        <f>SUM(EX68:EX79)</f>
        <v>0</v>
      </c>
      <c r="EY80" s="22">
        <f t="shared" ref="EY80:EZ80" si="265">SUM(EY68:EY79)</f>
        <v>0</v>
      </c>
      <c r="EZ80" s="24">
        <f t="shared" si="265"/>
        <v>0</v>
      </c>
      <c r="FA80" s="25">
        <f>FA67+EX80-EY80</f>
        <v>860000</v>
      </c>
      <c r="FC80" s="20"/>
      <c r="FD80" s="21">
        <f>SUM(FD68:FD79)</f>
        <v>0</v>
      </c>
      <c r="FE80" s="22">
        <f t="shared" ref="FE80:FF80" si="266">SUM(FE68:FE79)</f>
        <v>3000000</v>
      </c>
      <c r="FF80" s="24">
        <f t="shared" si="266"/>
        <v>175000</v>
      </c>
      <c r="FG80" s="25">
        <f>FG67+FD80-FE80</f>
        <v>0</v>
      </c>
      <c r="FI80" s="20"/>
      <c r="FJ80" s="21">
        <f>SUM(FJ68:FJ79)</f>
        <v>3000000</v>
      </c>
      <c r="FK80" s="22">
        <f t="shared" ref="FK80:FL80" si="267">SUM(FK68:FK79)</f>
        <v>4100000</v>
      </c>
      <c r="FL80" s="24">
        <f t="shared" si="267"/>
        <v>210000</v>
      </c>
      <c r="FM80" s="25">
        <f>FM67+FJ80-FK80</f>
        <v>900000</v>
      </c>
      <c r="FO80" s="20"/>
      <c r="FP80" s="21">
        <f>SUM(FP68:FP79)</f>
        <v>3000000</v>
      </c>
      <c r="FQ80" s="22">
        <f t="shared" ref="FQ80:FR80" si="268">SUM(FQ68:FQ79)</f>
        <v>3400000</v>
      </c>
      <c r="FR80" s="24">
        <f t="shared" si="268"/>
        <v>140000</v>
      </c>
      <c r="FS80" s="25">
        <f>FS67+FP80-FQ80</f>
        <v>1600000</v>
      </c>
      <c r="FU80" s="20"/>
      <c r="FV80" s="21">
        <f>SUM(FV68:FV79)</f>
        <v>0</v>
      </c>
      <c r="FW80" s="22">
        <f t="shared" ref="FW80:FX80" si="269">SUM(FW68:FW79)</f>
        <v>0</v>
      </c>
      <c r="FX80" s="24">
        <f t="shared" si="269"/>
        <v>0</v>
      </c>
      <c r="FY80" s="25">
        <f>FY67+FV80-FW80</f>
        <v>0</v>
      </c>
      <c r="GA80" s="20"/>
      <c r="GB80" s="21">
        <f>SUM(GB68:GB79)</f>
        <v>3000000</v>
      </c>
      <c r="GC80" s="22">
        <f t="shared" ref="GC80:GD80" si="270">SUM(GC68:GC79)</f>
        <v>2172000</v>
      </c>
      <c r="GD80" s="24">
        <f t="shared" si="270"/>
        <v>354000</v>
      </c>
      <c r="GE80" s="25">
        <f>GE67+GB80-GC80</f>
        <v>2400000</v>
      </c>
      <c r="GG80" s="20"/>
      <c r="GH80" s="21">
        <f>SUM(GH68:GH79)</f>
        <v>2000000</v>
      </c>
      <c r="GI80" s="22">
        <f t="shared" ref="GI80:GJ80" si="271">SUM(GI68:GI79)</f>
        <v>1000000</v>
      </c>
      <c r="GJ80" s="24">
        <f t="shared" si="271"/>
        <v>210000</v>
      </c>
      <c r="GK80" s="25">
        <f>GK67+GH80-GI80</f>
        <v>2000000</v>
      </c>
      <c r="GM80" s="20"/>
      <c r="GN80" s="21">
        <f>SUM(GN68:GN79)</f>
        <v>0</v>
      </c>
      <c r="GO80" s="22">
        <f t="shared" ref="GO80:GP80" si="272">SUM(GO68:GO79)</f>
        <v>400000</v>
      </c>
      <c r="GP80" s="24">
        <f t="shared" si="272"/>
        <v>368000</v>
      </c>
      <c r="GQ80" s="25">
        <f>GQ67+GN80-GO80</f>
        <v>0</v>
      </c>
      <c r="GS80" s="20"/>
      <c r="GT80" s="21">
        <f>SUM(GT68:GT79)</f>
        <v>0</v>
      </c>
      <c r="GU80" s="22">
        <f t="shared" ref="GU80:GV80" si="273">SUM(GU68:GU79)</f>
        <v>0</v>
      </c>
      <c r="GV80" s="24">
        <f t="shared" si="273"/>
        <v>0</v>
      </c>
      <c r="GW80" s="25">
        <f>GW67+GT80-GU80</f>
        <v>0</v>
      </c>
      <c r="GY80" s="20"/>
      <c r="GZ80" s="21">
        <f>SUM(GZ68:GZ79)</f>
        <v>0</v>
      </c>
      <c r="HA80" s="22">
        <f t="shared" ref="HA80:HB80" si="274">SUM(HA68:HA79)</f>
        <v>0</v>
      </c>
      <c r="HB80" s="24">
        <f t="shared" si="274"/>
        <v>0</v>
      </c>
      <c r="HC80" s="25">
        <f>HC67+GZ80-HA80</f>
        <v>-696117.68864598079</v>
      </c>
    </row>
    <row r="81" spans="1:211" ht="12.75" hidden="1" outlineLevel="1" thickTop="1" x14ac:dyDescent="0.2"/>
    <row r="82" spans="1:211" s="33" customFormat="1" hidden="1" outlineLevel="2" x14ac:dyDescent="0.2">
      <c r="A82" s="33" t="s">
        <v>77</v>
      </c>
      <c r="B82" s="29">
        <f t="shared" ref="B82:B93" si="275">SUM(C82:XFD82)</f>
        <v>5000000</v>
      </c>
      <c r="C82" s="34"/>
      <c r="D82" s="29">
        <f>D68</f>
        <v>0</v>
      </c>
      <c r="E82" s="29"/>
      <c r="F82" s="29"/>
      <c r="G82" s="29"/>
      <c r="I82" s="34"/>
      <c r="J82" s="29">
        <f>J68</f>
        <v>0</v>
      </c>
      <c r="K82" s="29"/>
      <c r="L82" s="29"/>
      <c r="M82" s="29"/>
      <c r="O82" s="34"/>
      <c r="P82" s="29">
        <f>P68</f>
        <v>0</v>
      </c>
      <c r="Q82" s="29"/>
      <c r="R82" s="29"/>
      <c r="S82" s="29"/>
      <c r="U82" s="34"/>
      <c r="V82" s="29">
        <f>V68</f>
        <v>0</v>
      </c>
      <c r="W82" s="29"/>
      <c r="X82" s="29"/>
      <c r="Y82" s="29"/>
      <c r="AA82" s="34"/>
      <c r="AB82" s="29">
        <f>AB68</f>
        <v>0</v>
      </c>
      <c r="AC82" s="29"/>
      <c r="AD82" s="29"/>
      <c r="AE82" s="29"/>
      <c r="AG82" s="34"/>
      <c r="AH82" s="29">
        <f>AH68</f>
        <v>0</v>
      </c>
      <c r="AI82" s="29"/>
      <c r="AJ82" s="29"/>
      <c r="AK82" s="29"/>
      <c r="AM82" s="34"/>
      <c r="AN82" s="29">
        <f>AN68</f>
        <v>0</v>
      </c>
      <c r="AO82" s="29"/>
      <c r="AP82" s="29"/>
      <c r="AQ82" s="29"/>
      <c r="AS82" s="34"/>
      <c r="AT82" s="29">
        <f>AT68</f>
        <v>0</v>
      </c>
      <c r="AU82" s="29"/>
      <c r="AV82" s="29"/>
      <c r="AW82" s="29"/>
      <c r="AY82" s="34"/>
      <c r="AZ82" s="29">
        <f>AZ68</f>
        <v>0</v>
      </c>
      <c r="BA82" s="29"/>
      <c r="BB82" s="29"/>
      <c r="BC82" s="29"/>
      <c r="BE82" s="34"/>
      <c r="BF82" s="29">
        <f>BF68</f>
        <v>0</v>
      </c>
      <c r="BG82" s="29"/>
      <c r="BH82" s="29"/>
      <c r="BI82" s="29"/>
      <c r="BK82" s="34"/>
      <c r="BL82" s="29">
        <f>BL68</f>
        <v>0</v>
      </c>
      <c r="BM82" s="29"/>
      <c r="BN82" s="29"/>
      <c r="BO82" s="29"/>
      <c r="BQ82" s="34"/>
      <c r="BR82" s="29">
        <f>BR68</f>
        <v>0</v>
      </c>
      <c r="BS82" s="29"/>
      <c r="BT82" s="29"/>
      <c r="BU82" s="29"/>
      <c r="BW82" s="34"/>
      <c r="BX82" s="29">
        <f>BX68</f>
        <v>0</v>
      </c>
      <c r="BY82" s="29"/>
      <c r="BZ82" s="29"/>
      <c r="CA82" s="29"/>
      <c r="CC82" s="34"/>
      <c r="CD82" s="29">
        <f>CD68</f>
        <v>0</v>
      </c>
      <c r="CE82" s="29"/>
      <c r="CF82" s="29"/>
      <c r="CG82" s="29"/>
      <c r="CI82" s="34"/>
      <c r="CJ82" s="29">
        <f>CJ68</f>
        <v>0</v>
      </c>
      <c r="CK82" s="29"/>
      <c r="CL82" s="29"/>
      <c r="CM82" s="29"/>
      <c r="CO82" s="34"/>
      <c r="CP82" s="29">
        <f>CP68</f>
        <v>0</v>
      </c>
      <c r="CQ82" s="29"/>
      <c r="CR82" s="29"/>
      <c r="CS82" s="29"/>
      <c r="CU82" s="34"/>
      <c r="CV82" s="29">
        <f>CV68</f>
        <v>0</v>
      </c>
      <c r="CW82" s="29"/>
      <c r="CX82" s="29"/>
      <c r="CY82" s="29"/>
      <c r="DA82" s="34"/>
      <c r="DB82" s="29">
        <f>DB68</f>
        <v>0</v>
      </c>
      <c r="DC82" s="29"/>
      <c r="DD82" s="29"/>
      <c r="DE82" s="29"/>
      <c r="DG82" s="34"/>
      <c r="DH82" s="29">
        <f>DH68</f>
        <v>0</v>
      </c>
      <c r="DI82" s="29"/>
      <c r="DJ82" s="29"/>
      <c r="DK82" s="29"/>
      <c r="DM82" s="34"/>
      <c r="DN82" s="29">
        <f>DN68</f>
        <v>0</v>
      </c>
      <c r="DO82" s="29"/>
      <c r="DP82" s="29"/>
      <c r="DQ82" s="29"/>
      <c r="DS82" s="34"/>
      <c r="DT82" s="29">
        <f>DT68</f>
        <v>0</v>
      </c>
      <c r="DU82" s="29"/>
      <c r="DV82" s="29"/>
      <c r="DW82" s="29"/>
      <c r="DY82" s="34"/>
      <c r="DZ82" s="29">
        <f>DZ68</f>
        <v>0</v>
      </c>
      <c r="EA82" s="29"/>
      <c r="EB82" s="29"/>
      <c r="EC82" s="29"/>
      <c r="EE82" s="34"/>
      <c r="EF82" s="29">
        <f>EF68</f>
        <v>0</v>
      </c>
      <c r="EG82" s="29"/>
      <c r="EH82" s="29"/>
      <c r="EI82" s="29"/>
      <c r="EK82" s="34"/>
      <c r="EL82" s="29">
        <f>EL68</f>
        <v>0</v>
      </c>
      <c r="EM82" s="29"/>
      <c r="EN82" s="29"/>
      <c r="EO82" s="29"/>
      <c r="EQ82" s="34"/>
      <c r="ER82" s="29">
        <f>ER68</f>
        <v>3000000</v>
      </c>
      <c r="ES82" s="29"/>
      <c r="ET82" s="29"/>
      <c r="EU82" s="29"/>
      <c r="EW82" s="34"/>
      <c r="EX82" s="29">
        <f>EX68</f>
        <v>0</v>
      </c>
      <c r="EY82" s="29"/>
      <c r="EZ82" s="29"/>
      <c r="FA82" s="29"/>
      <c r="FC82" s="34"/>
      <c r="FD82" s="29">
        <f>FD68</f>
        <v>0</v>
      </c>
      <c r="FE82" s="29"/>
      <c r="FF82" s="29"/>
      <c r="FG82" s="29"/>
      <c r="FI82" s="34"/>
      <c r="FJ82" s="29">
        <f>FJ68</f>
        <v>0</v>
      </c>
      <c r="FK82" s="29"/>
      <c r="FL82" s="29"/>
      <c r="FM82" s="29"/>
      <c r="FO82" s="34"/>
      <c r="FP82" s="29">
        <f>FP68</f>
        <v>0</v>
      </c>
      <c r="FQ82" s="29"/>
      <c r="FR82" s="29"/>
      <c r="FS82" s="29"/>
      <c r="FU82" s="34"/>
      <c r="FV82" s="29">
        <f>FV68</f>
        <v>0</v>
      </c>
      <c r="FW82" s="29"/>
      <c r="FX82" s="29"/>
      <c r="FY82" s="29"/>
      <c r="GA82" s="34"/>
      <c r="GB82" s="29">
        <f>GB68</f>
        <v>0</v>
      </c>
      <c r="GC82" s="29"/>
      <c r="GD82" s="29"/>
      <c r="GE82" s="29"/>
      <c r="GG82" s="34"/>
      <c r="GH82" s="29">
        <f>GH68</f>
        <v>2000000</v>
      </c>
      <c r="GI82" s="29"/>
      <c r="GJ82" s="29"/>
      <c r="GK82" s="29"/>
      <c r="GM82" s="34"/>
      <c r="GN82" s="29">
        <f>GN68</f>
        <v>0</v>
      </c>
      <c r="GO82" s="29"/>
      <c r="GP82" s="29"/>
      <c r="GQ82" s="29"/>
      <c r="GS82" s="34"/>
      <c r="GT82" s="29">
        <f>GT68</f>
        <v>0</v>
      </c>
      <c r="GU82" s="29"/>
      <c r="GV82" s="29"/>
      <c r="GW82" s="29"/>
      <c r="GY82" s="34"/>
      <c r="GZ82" s="29">
        <f>GZ68</f>
        <v>0</v>
      </c>
      <c r="HA82" s="29"/>
      <c r="HB82" s="29"/>
      <c r="HC82" s="29"/>
    </row>
    <row r="83" spans="1:211" s="33" customFormat="1" hidden="1" outlineLevel="2" x14ac:dyDescent="0.2">
      <c r="A83" s="33" t="s">
        <v>78</v>
      </c>
      <c r="B83" s="29">
        <f t="shared" si="275"/>
        <v>7000000</v>
      </c>
      <c r="C83" s="34"/>
      <c r="D83" s="29">
        <f t="shared" ref="D83:D93" si="276">D69</f>
        <v>0</v>
      </c>
      <c r="E83" s="29"/>
      <c r="F83" s="29"/>
      <c r="G83" s="29"/>
      <c r="I83" s="34"/>
      <c r="J83" s="29">
        <f t="shared" ref="J83:J93" si="277">J69</f>
        <v>0</v>
      </c>
      <c r="K83" s="29"/>
      <c r="L83" s="29"/>
      <c r="M83" s="29"/>
      <c r="O83" s="34"/>
      <c r="P83" s="29">
        <f t="shared" ref="P83:P93" si="278">P69</f>
        <v>0</v>
      </c>
      <c r="Q83" s="29"/>
      <c r="R83" s="29"/>
      <c r="S83" s="29"/>
      <c r="U83" s="34"/>
      <c r="V83" s="29">
        <f t="shared" ref="V83:V93" si="279">V69</f>
        <v>0</v>
      </c>
      <c r="W83" s="29"/>
      <c r="X83" s="29"/>
      <c r="Y83" s="29"/>
      <c r="AA83" s="34"/>
      <c r="AB83" s="29">
        <f t="shared" ref="AB83:AB93" si="280">AB69</f>
        <v>0</v>
      </c>
      <c r="AC83" s="29"/>
      <c r="AD83" s="29"/>
      <c r="AE83" s="29"/>
      <c r="AG83" s="34"/>
      <c r="AH83" s="29">
        <f t="shared" ref="AH83:AH93" si="281">AH69</f>
        <v>0</v>
      </c>
      <c r="AI83" s="29"/>
      <c r="AJ83" s="29"/>
      <c r="AK83" s="29"/>
      <c r="AM83" s="34"/>
      <c r="AN83" s="29">
        <f t="shared" ref="AN83:AN93" si="282">AN69</f>
        <v>0</v>
      </c>
      <c r="AO83" s="29"/>
      <c r="AP83" s="29"/>
      <c r="AQ83" s="29"/>
      <c r="AS83" s="34"/>
      <c r="AT83" s="29">
        <f t="shared" ref="AT83:AT93" si="283">AT69</f>
        <v>0</v>
      </c>
      <c r="AU83" s="29"/>
      <c r="AV83" s="29"/>
      <c r="AW83" s="29"/>
      <c r="AY83" s="34"/>
      <c r="AZ83" s="29">
        <f t="shared" ref="AZ83:AZ93" si="284">AZ69</f>
        <v>0</v>
      </c>
      <c r="BA83" s="29"/>
      <c r="BB83" s="29"/>
      <c r="BC83" s="29"/>
      <c r="BE83" s="34"/>
      <c r="BF83" s="29">
        <f t="shared" ref="BF83:BF93" si="285">BF69</f>
        <v>4000000</v>
      </c>
      <c r="BG83" s="29"/>
      <c r="BH83" s="29"/>
      <c r="BI83" s="29"/>
      <c r="BK83" s="34"/>
      <c r="BL83" s="29">
        <f t="shared" ref="BL83:BL93" si="286">BL69</f>
        <v>0</v>
      </c>
      <c r="BM83" s="29"/>
      <c r="BN83" s="29"/>
      <c r="BO83" s="29"/>
      <c r="BQ83" s="34"/>
      <c r="BR83" s="29">
        <f t="shared" ref="BR83:BR93" si="287">BR69</f>
        <v>0</v>
      </c>
      <c r="BS83" s="29"/>
      <c r="BT83" s="29"/>
      <c r="BU83" s="29"/>
      <c r="BW83" s="34"/>
      <c r="BX83" s="29">
        <f t="shared" ref="BX83:BX93" si="288">BX69</f>
        <v>0</v>
      </c>
      <c r="BY83" s="29"/>
      <c r="BZ83" s="29"/>
      <c r="CA83" s="29"/>
      <c r="CC83" s="34"/>
      <c r="CD83" s="29">
        <f t="shared" ref="CD83:CD93" si="289">CD69</f>
        <v>0</v>
      </c>
      <c r="CE83" s="29"/>
      <c r="CF83" s="29"/>
      <c r="CG83" s="29"/>
      <c r="CI83" s="34"/>
      <c r="CJ83" s="29">
        <f t="shared" ref="CJ83:CJ93" si="290">CJ69</f>
        <v>3000000</v>
      </c>
      <c r="CK83" s="29"/>
      <c r="CL83" s="29"/>
      <c r="CM83" s="29"/>
      <c r="CO83" s="34"/>
      <c r="CP83" s="29">
        <f t="shared" ref="CP83:CP93" si="291">CP69</f>
        <v>0</v>
      </c>
      <c r="CQ83" s="29"/>
      <c r="CR83" s="29"/>
      <c r="CS83" s="29"/>
      <c r="CU83" s="34"/>
      <c r="CV83" s="29">
        <f t="shared" ref="CV83:CV93" si="292">CV69</f>
        <v>0</v>
      </c>
      <c r="CW83" s="29"/>
      <c r="CX83" s="29"/>
      <c r="CY83" s="29"/>
      <c r="DA83" s="34"/>
      <c r="DB83" s="29">
        <f t="shared" ref="DB83:DB93" si="293">DB69</f>
        <v>0</v>
      </c>
      <c r="DC83" s="29"/>
      <c r="DD83" s="29"/>
      <c r="DE83" s="29"/>
      <c r="DG83" s="34"/>
      <c r="DH83" s="29">
        <f t="shared" ref="DH83:DH93" si="294">DH69</f>
        <v>0</v>
      </c>
      <c r="DI83" s="29"/>
      <c r="DJ83" s="29"/>
      <c r="DK83" s="29"/>
      <c r="DM83" s="34"/>
      <c r="DN83" s="29">
        <f t="shared" ref="DN83:DN93" si="295">DN69</f>
        <v>0</v>
      </c>
      <c r="DO83" s="29"/>
      <c r="DP83" s="29"/>
      <c r="DQ83" s="29"/>
      <c r="DS83" s="34"/>
      <c r="DT83" s="29">
        <f t="shared" ref="DT83:DT93" si="296">DT69</f>
        <v>0</v>
      </c>
      <c r="DU83" s="29"/>
      <c r="DV83" s="29"/>
      <c r="DW83" s="29"/>
      <c r="DY83" s="34"/>
      <c r="DZ83" s="29">
        <f t="shared" ref="DZ83:DZ93" si="297">DZ69</f>
        <v>0</v>
      </c>
      <c r="EA83" s="29"/>
      <c r="EB83" s="29"/>
      <c r="EC83" s="29"/>
      <c r="EE83" s="34"/>
      <c r="EF83" s="29">
        <f t="shared" ref="EF83:EF93" si="298">EF69</f>
        <v>0</v>
      </c>
      <c r="EG83" s="29"/>
      <c r="EH83" s="29"/>
      <c r="EI83" s="29"/>
      <c r="EK83" s="34"/>
      <c r="EL83" s="29">
        <f t="shared" ref="EL83:EL93" si="299">EL69</f>
        <v>0</v>
      </c>
      <c r="EM83" s="29"/>
      <c r="EN83" s="29"/>
      <c r="EO83" s="29"/>
      <c r="EQ83" s="34"/>
      <c r="ER83" s="29">
        <f t="shared" ref="ER83:ER93" si="300">ER69</f>
        <v>0</v>
      </c>
      <c r="ES83" s="29"/>
      <c r="ET83" s="29"/>
      <c r="EU83" s="29"/>
      <c r="EW83" s="34"/>
      <c r="EX83" s="29">
        <f t="shared" ref="EX83:EX93" si="301">EX69</f>
        <v>0</v>
      </c>
      <c r="EY83" s="29"/>
      <c r="EZ83" s="29"/>
      <c r="FA83" s="29"/>
      <c r="FC83" s="34"/>
      <c r="FD83" s="29">
        <f t="shared" ref="FD83:FD93" si="302">FD69</f>
        <v>0</v>
      </c>
      <c r="FE83" s="29"/>
      <c r="FF83" s="29"/>
      <c r="FG83" s="29"/>
      <c r="FI83" s="34"/>
      <c r="FJ83" s="29">
        <f t="shared" ref="FJ83:FJ93" si="303">FJ69</f>
        <v>0</v>
      </c>
      <c r="FK83" s="29"/>
      <c r="FL83" s="29"/>
      <c r="FM83" s="29"/>
      <c r="FO83" s="34"/>
      <c r="FP83" s="29">
        <f t="shared" ref="FP83:FP93" si="304">FP69</f>
        <v>0</v>
      </c>
      <c r="FQ83" s="29"/>
      <c r="FR83" s="29"/>
      <c r="FS83" s="29"/>
      <c r="FU83" s="34"/>
      <c r="FV83" s="29">
        <f t="shared" ref="FV83:FV93" si="305">FV69</f>
        <v>0</v>
      </c>
      <c r="FW83" s="29"/>
      <c r="FX83" s="29"/>
      <c r="FY83" s="29"/>
      <c r="GA83" s="34"/>
      <c r="GB83" s="29">
        <f t="shared" ref="GB83:GB93" si="306">GB69</f>
        <v>0</v>
      </c>
      <c r="GC83" s="29"/>
      <c r="GD83" s="29"/>
      <c r="GE83" s="29"/>
      <c r="GG83" s="34"/>
      <c r="GH83" s="29">
        <f t="shared" ref="GH83:GH93" si="307">GH69</f>
        <v>0</v>
      </c>
      <c r="GI83" s="29"/>
      <c r="GJ83" s="29"/>
      <c r="GK83" s="29"/>
      <c r="GM83" s="34"/>
      <c r="GN83" s="29">
        <f t="shared" ref="GN83:GN93" si="308">GN69</f>
        <v>0</v>
      </c>
      <c r="GO83" s="29"/>
      <c r="GP83" s="29"/>
      <c r="GQ83" s="29"/>
      <c r="GS83" s="34"/>
      <c r="GT83" s="29">
        <f t="shared" ref="GT83:GT93" si="309">GT69</f>
        <v>0</v>
      </c>
      <c r="GU83" s="29"/>
      <c r="GV83" s="29"/>
      <c r="GW83" s="29"/>
      <c r="GY83" s="34"/>
      <c r="GZ83" s="29">
        <f t="shared" ref="GZ83:GZ93" si="310">GZ69</f>
        <v>0</v>
      </c>
      <c r="HA83" s="29"/>
      <c r="HB83" s="29"/>
      <c r="HC83" s="29"/>
    </row>
    <row r="84" spans="1:211" s="33" customFormat="1" hidden="1" outlineLevel="2" x14ac:dyDescent="0.2">
      <c r="A84" s="33" t="s">
        <v>79</v>
      </c>
      <c r="B84" s="29">
        <f t="shared" si="275"/>
        <v>0</v>
      </c>
      <c r="C84" s="34"/>
      <c r="D84" s="29">
        <f t="shared" si="276"/>
        <v>0</v>
      </c>
      <c r="E84" s="29"/>
      <c r="F84" s="29"/>
      <c r="G84" s="29"/>
      <c r="I84" s="34"/>
      <c r="J84" s="29">
        <f t="shared" si="277"/>
        <v>0</v>
      </c>
      <c r="K84" s="29"/>
      <c r="L84" s="29"/>
      <c r="M84" s="29"/>
      <c r="O84" s="34"/>
      <c r="P84" s="29">
        <f t="shared" si="278"/>
        <v>0</v>
      </c>
      <c r="Q84" s="29"/>
      <c r="R84" s="29"/>
      <c r="S84" s="29"/>
      <c r="U84" s="34"/>
      <c r="V84" s="29">
        <f t="shared" si="279"/>
        <v>0</v>
      </c>
      <c r="W84" s="29"/>
      <c r="X84" s="29"/>
      <c r="Y84" s="29"/>
      <c r="AA84" s="34"/>
      <c r="AB84" s="29">
        <f t="shared" si="280"/>
        <v>0</v>
      </c>
      <c r="AC84" s="29"/>
      <c r="AD84" s="29"/>
      <c r="AE84" s="29"/>
      <c r="AG84" s="34"/>
      <c r="AH84" s="29">
        <f t="shared" si="281"/>
        <v>0</v>
      </c>
      <c r="AI84" s="29"/>
      <c r="AJ84" s="29"/>
      <c r="AK84" s="29"/>
      <c r="AM84" s="34"/>
      <c r="AN84" s="29">
        <f t="shared" si="282"/>
        <v>0</v>
      </c>
      <c r="AO84" s="29"/>
      <c r="AP84" s="29"/>
      <c r="AQ84" s="29"/>
      <c r="AS84" s="34"/>
      <c r="AT84" s="29">
        <f t="shared" si="283"/>
        <v>0</v>
      </c>
      <c r="AU84" s="29"/>
      <c r="AV84" s="29"/>
      <c r="AW84" s="29"/>
      <c r="AY84" s="34"/>
      <c r="AZ84" s="29">
        <f t="shared" si="284"/>
        <v>0</v>
      </c>
      <c r="BA84" s="29"/>
      <c r="BB84" s="29"/>
      <c r="BC84" s="29"/>
      <c r="BE84" s="34"/>
      <c r="BF84" s="29">
        <f t="shared" si="285"/>
        <v>0</v>
      </c>
      <c r="BG84" s="29"/>
      <c r="BH84" s="29"/>
      <c r="BI84" s="29"/>
      <c r="BK84" s="34"/>
      <c r="BL84" s="29">
        <f t="shared" si="286"/>
        <v>0</v>
      </c>
      <c r="BM84" s="29"/>
      <c r="BN84" s="29"/>
      <c r="BO84" s="29"/>
      <c r="BQ84" s="34"/>
      <c r="BR84" s="29">
        <f t="shared" si="287"/>
        <v>0</v>
      </c>
      <c r="BS84" s="29"/>
      <c r="BT84" s="29"/>
      <c r="BU84" s="29"/>
      <c r="BW84" s="34"/>
      <c r="BX84" s="29">
        <f t="shared" si="288"/>
        <v>0</v>
      </c>
      <c r="BY84" s="29"/>
      <c r="BZ84" s="29"/>
      <c r="CA84" s="29"/>
      <c r="CC84" s="34"/>
      <c r="CD84" s="29">
        <f t="shared" si="289"/>
        <v>0</v>
      </c>
      <c r="CE84" s="29"/>
      <c r="CF84" s="29"/>
      <c r="CG84" s="29"/>
      <c r="CI84" s="34"/>
      <c r="CJ84" s="29">
        <f t="shared" si="290"/>
        <v>0</v>
      </c>
      <c r="CK84" s="29"/>
      <c r="CL84" s="29"/>
      <c r="CM84" s="29"/>
      <c r="CO84" s="34"/>
      <c r="CP84" s="29">
        <f t="shared" si="291"/>
        <v>0</v>
      </c>
      <c r="CQ84" s="29"/>
      <c r="CR84" s="29"/>
      <c r="CS84" s="29"/>
      <c r="CU84" s="34"/>
      <c r="CV84" s="29">
        <f t="shared" si="292"/>
        <v>0</v>
      </c>
      <c r="CW84" s="29"/>
      <c r="CX84" s="29"/>
      <c r="CY84" s="29"/>
      <c r="DA84" s="34"/>
      <c r="DB84" s="29">
        <f t="shared" si="293"/>
        <v>0</v>
      </c>
      <c r="DC84" s="29"/>
      <c r="DD84" s="29"/>
      <c r="DE84" s="29"/>
      <c r="DG84" s="34"/>
      <c r="DH84" s="29">
        <f t="shared" si="294"/>
        <v>0</v>
      </c>
      <c r="DI84" s="29"/>
      <c r="DJ84" s="29"/>
      <c r="DK84" s="29"/>
      <c r="DM84" s="34"/>
      <c r="DN84" s="29">
        <f t="shared" si="295"/>
        <v>0</v>
      </c>
      <c r="DO84" s="29"/>
      <c r="DP84" s="29"/>
      <c r="DQ84" s="29"/>
      <c r="DS84" s="34"/>
      <c r="DT84" s="29">
        <f t="shared" si="296"/>
        <v>0</v>
      </c>
      <c r="DU84" s="29"/>
      <c r="DV84" s="29"/>
      <c r="DW84" s="29"/>
      <c r="DY84" s="34"/>
      <c r="DZ84" s="29">
        <f t="shared" si="297"/>
        <v>0</v>
      </c>
      <c r="EA84" s="29"/>
      <c r="EB84" s="29"/>
      <c r="EC84" s="29"/>
      <c r="EE84" s="34"/>
      <c r="EF84" s="29">
        <f t="shared" si="298"/>
        <v>0</v>
      </c>
      <c r="EG84" s="29"/>
      <c r="EH84" s="29"/>
      <c r="EI84" s="29"/>
      <c r="EK84" s="34"/>
      <c r="EL84" s="29">
        <f t="shared" si="299"/>
        <v>0</v>
      </c>
      <c r="EM84" s="29"/>
      <c r="EN84" s="29"/>
      <c r="EO84" s="29"/>
      <c r="EQ84" s="34"/>
      <c r="ER84" s="29">
        <f t="shared" si="300"/>
        <v>0</v>
      </c>
      <c r="ES84" s="29"/>
      <c r="ET84" s="29"/>
      <c r="EU84" s="29"/>
      <c r="EW84" s="34"/>
      <c r="EX84" s="29">
        <f t="shared" si="301"/>
        <v>0</v>
      </c>
      <c r="EY84" s="29"/>
      <c r="EZ84" s="29"/>
      <c r="FA84" s="29"/>
      <c r="FC84" s="34"/>
      <c r="FD84" s="29">
        <f t="shared" si="302"/>
        <v>0</v>
      </c>
      <c r="FE84" s="29"/>
      <c r="FF84" s="29"/>
      <c r="FG84" s="29"/>
      <c r="FI84" s="34"/>
      <c r="FJ84" s="29">
        <f t="shared" si="303"/>
        <v>0</v>
      </c>
      <c r="FK84" s="29"/>
      <c r="FL84" s="29"/>
      <c r="FM84" s="29"/>
      <c r="FO84" s="34"/>
      <c r="FP84" s="29">
        <f t="shared" si="304"/>
        <v>0</v>
      </c>
      <c r="FQ84" s="29"/>
      <c r="FR84" s="29"/>
      <c r="FS84" s="29"/>
      <c r="FU84" s="34"/>
      <c r="FV84" s="29">
        <f t="shared" si="305"/>
        <v>0</v>
      </c>
      <c r="FW84" s="29"/>
      <c r="FX84" s="29"/>
      <c r="FY84" s="29"/>
      <c r="GA84" s="34"/>
      <c r="GB84" s="29">
        <f t="shared" si="306"/>
        <v>0</v>
      </c>
      <c r="GC84" s="29"/>
      <c r="GD84" s="29"/>
      <c r="GE84" s="29"/>
      <c r="GG84" s="34"/>
      <c r="GH84" s="29">
        <f t="shared" si="307"/>
        <v>0</v>
      </c>
      <c r="GI84" s="29"/>
      <c r="GJ84" s="29"/>
      <c r="GK84" s="29"/>
      <c r="GM84" s="34"/>
      <c r="GN84" s="29">
        <f t="shared" si="308"/>
        <v>0</v>
      </c>
      <c r="GO84" s="29"/>
      <c r="GP84" s="29"/>
      <c r="GQ84" s="29"/>
      <c r="GS84" s="34"/>
      <c r="GT84" s="29">
        <f t="shared" si="309"/>
        <v>0</v>
      </c>
      <c r="GU84" s="29"/>
      <c r="GV84" s="29"/>
      <c r="GW84" s="29"/>
      <c r="GY84" s="34"/>
      <c r="GZ84" s="29">
        <f t="shared" si="310"/>
        <v>0</v>
      </c>
      <c r="HA84" s="29"/>
      <c r="HB84" s="29"/>
      <c r="HC84" s="29"/>
    </row>
    <row r="85" spans="1:211" s="33" customFormat="1" hidden="1" outlineLevel="2" x14ac:dyDescent="0.2">
      <c r="A85" s="33" t="s">
        <v>80</v>
      </c>
      <c r="B85" s="29">
        <f t="shared" si="275"/>
        <v>4000000</v>
      </c>
      <c r="C85" s="34"/>
      <c r="D85" s="29">
        <f t="shared" si="276"/>
        <v>0</v>
      </c>
      <c r="E85" s="29"/>
      <c r="F85" s="29"/>
      <c r="G85" s="29"/>
      <c r="I85" s="34"/>
      <c r="J85" s="29">
        <f t="shared" si="277"/>
        <v>0</v>
      </c>
      <c r="K85" s="29"/>
      <c r="L85" s="29"/>
      <c r="M85" s="29"/>
      <c r="O85" s="34"/>
      <c r="P85" s="29">
        <f t="shared" si="278"/>
        <v>2000000</v>
      </c>
      <c r="Q85" s="29"/>
      <c r="R85" s="29"/>
      <c r="S85" s="29"/>
      <c r="U85" s="34"/>
      <c r="V85" s="29">
        <f t="shared" si="279"/>
        <v>0</v>
      </c>
      <c r="W85" s="29"/>
      <c r="X85" s="29"/>
      <c r="Y85" s="29"/>
      <c r="AA85" s="34"/>
      <c r="AB85" s="29">
        <f t="shared" si="280"/>
        <v>0</v>
      </c>
      <c r="AC85" s="29"/>
      <c r="AD85" s="29"/>
      <c r="AE85" s="29"/>
      <c r="AG85" s="34"/>
      <c r="AH85" s="29">
        <f t="shared" si="281"/>
        <v>0</v>
      </c>
      <c r="AI85" s="29"/>
      <c r="AJ85" s="29"/>
      <c r="AK85" s="29"/>
      <c r="AM85" s="34"/>
      <c r="AN85" s="29">
        <f t="shared" si="282"/>
        <v>0</v>
      </c>
      <c r="AO85" s="29"/>
      <c r="AP85" s="29"/>
      <c r="AQ85" s="29"/>
      <c r="AS85" s="34"/>
      <c r="AT85" s="29">
        <f t="shared" si="283"/>
        <v>0</v>
      </c>
      <c r="AU85" s="29"/>
      <c r="AV85" s="29"/>
      <c r="AW85" s="29"/>
      <c r="AY85" s="34"/>
      <c r="AZ85" s="29">
        <f t="shared" si="284"/>
        <v>0</v>
      </c>
      <c r="BA85" s="29"/>
      <c r="BB85" s="29"/>
      <c r="BC85" s="29"/>
      <c r="BE85" s="34"/>
      <c r="BF85" s="29">
        <f t="shared" si="285"/>
        <v>0</v>
      </c>
      <c r="BG85" s="29"/>
      <c r="BH85" s="29"/>
      <c r="BI85" s="29"/>
      <c r="BK85" s="34"/>
      <c r="BL85" s="29">
        <f t="shared" si="286"/>
        <v>0</v>
      </c>
      <c r="BM85" s="29"/>
      <c r="BN85" s="29"/>
      <c r="BO85" s="29"/>
      <c r="BQ85" s="34"/>
      <c r="BR85" s="29">
        <f t="shared" si="287"/>
        <v>0</v>
      </c>
      <c r="BS85" s="29"/>
      <c r="BT85" s="29"/>
      <c r="BU85" s="29"/>
      <c r="BW85" s="34"/>
      <c r="BX85" s="29">
        <f t="shared" si="288"/>
        <v>0</v>
      </c>
      <c r="BY85" s="29"/>
      <c r="BZ85" s="29"/>
      <c r="CA85" s="29"/>
      <c r="CC85" s="34"/>
      <c r="CD85" s="29">
        <f t="shared" si="289"/>
        <v>0</v>
      </c>
      <c r="CE85" s="29"/>
      <c r="CF85" s="29"/>
      <c r="CG85" s="29"/>
      <c r="CI85" s="34"/>
      <c r="CJ85" s="29">
        <f t="shared" si="290"/>
        <v>0</v>
      </c>
      <c r="CK85" s="29"/>
      <c r="CL85" s="29"/>
      <c r="CM85" s="29"/>
      <c r="CO85" s="34"/>
      <c r="CP85" s="29">
        <f t="shared" si="291"/>
        <v>0</v>
      </c>
      <c r="CQ85" s="29"/>
      <c r="CR85" s="29"/>
      <c r="CS85" s="29"/>
      <c r="CU85" s="34"/>
      <c r="CV85" s="29">
        <f t="shared" si="292"/>
        <v>2000000</v>
      </c>
      <c r="CW85" s="29"/>
      <c r="CX85" s="29"/>
      <c r="CY85" s="29"/>
      <c r="DA85" s="34"/>
      <c r="DB85" s="29">
        <f t="shared" si="293"/>
        <v>0</v>
      </c>
      <c r="DC85" s="29"/>
      <c r="DD85" s="29"/>
      <c r="DE85" s="29"/>
      <c r="DG85" s="34"/>
      <c r="DH85" s="29">
        <f t="shared" si="294"/>
        <v>0</v>
      </c>
      <c r="DI85" s="29"/>
      <c r="DJ85" s="29"/>
      <c r="DK85" s="29"/>
      <c r="DM85" s="34"/>
      <c r="DN85" s="29">
        <f t="shared" si="295"/>
        <v>0</v>
      </c>
      <c r="DO85" s="29"/>
      <c r="DP85" s="29"/>
      <c r="DQ85" s="29"/>
      <c r="DS85" s="34"/>
      <c r="DT85" s="29">
        <f t="shared" si="296"/>
        <v>0</v>
      </c>
      <c r="DU85" s="29"/>
      <c r="DV85" s="29"/>
      <c r="DW85" s="29"/>
      <c r="DY85" s="34"/>
      <c r="DZ85" s="29">
        <f t="shared" si="297"/>
        <v>0</v>
      </c>
      <c r="EA85" s="29"/>
      <c r="EB85" s="29"/>
      <c r="EC85" s="29"/>
      <c r="EE85" s="34"/>
      <c r="EF85" s="29">
        <f t="shared" si="298"/>
        <v>0</v>
      </c>
      <c r="EG85" s="29"/>
      <c r="EH85" s="29"/>
      <c r="EI85" s="29"/>
      <c r="EK85" s="34"/>
      <c r="EL85" s="29">
        <f t="shared" si="299"/>
        <v>0</v>
      </c>
      <c r="EM85" s="29"/>
      <c r="EN85" s="29"/>
      <c r="EO85" s="29"/>
      <c r="EQ85" s="34"/>
      <c r="ER85" s="29">
        <f t="shared" si="300"/>
        <v>0</v>
      </c>
      <c r="ES85" s="29"/>
      <c r="ET85" s="29"/>
      <c r="EU85" s="29"/>
      <c r="EW85" s="34"/>
      <c r="EX85" s="29">
        <f t="shared" si="301"/>
        <v>0</v>
      </c>
      <c r="EY85" s="29"/>
      <c r="EZ85" s="29"/>
      <c r="FA85" s="29"/>
      <c r="FC85" s="34"/>
      <c r="FD85" s="29">
        <f t="shared" si="302"/>
        <v>0</v>
      </c>
      <c r="FE85" s="29"/>
      <c r="FF85" s="29"/>
      <c r="FG85" s="29"/>
      <c r="FI85" s="34"/>
      <c r="FJ85" s="29">
        <f t="shared" si="303"/>
        <v>0</v>
      </c>
      <c r="FK85" s="29"/>
      <c r="FL85" s="29"/>
      <c r="FM85" s="29"/>
      <c r="FO85" s="34"/>
      <c r="FP85" s="29">
        <f t="shared" si="304"/>
        <v>0</v>
      </c>
      <c r="FQ85" s="29"/>
      <c r="FR85" s="29"/>
      <c r="FS85" s="29"/>
      <c r="FU85" s="34"/>
      <c r="FV85" s="29">
        <f t="shared" si="305"/>
        <v>0</v>
      </c>
      <c r="FW85" s="29"/>
      <c r="FX85" s="29"/>
      <c r="FY85" s="29"/>
      <c r="GA85" s="34"/>
      <c r="GB85" s="29">
        <f t="shared" si="306"/>
        <v>0</v>
      </c>
      <c r="GC85" s="29"/>
      <c r="GD85" s="29"/>
      <c r="GE85" s="29"/>
      <c r="GG85" s="34"/>
      <c r="GH85" s="29">
        <f t="shared" si="307"/>
        <v>0</v>
      </c>
      <c r="GI85" s="29"/>
      <c r="GJ85" s="29"/>
      <c r="GK85" s="29"/>
      <c r="GM85" s="34"/>
      <c r="GN85" s="29">
        <f t="shared" si="308"/>
        <v>0</v>
      </c>
      <c r="GO85" s="29"/>
      <c r="GP85" s="29"/>
      <c r="GQ85" s="29"/>
      <c r="GS85" s="34"/>
      <c r="GT85" s="29">
        <f t="shared" si="309"/>
        <v>0</v>
      </c>
      <c r="GU85" s="29"/>
      <c r="GV85" s="29"/>
      <c r="GW85" s="29"/>
      <c r="GY85" s="34"/>
      <c r="GZ85" s="29">
        <f t="shared" si="310"/>
        <v>0</v>
      </c>
      <c r="HA85" s="29"/>
      <c r="HB85" s="29"/>
      <c r="HC85" s="29"/>
    </row>
    <row r="86" spans="1:211" s="33" customFormat="1" hidden="1" outlineLevel="2" x14ac:dyDescent="0.2">
      <c r="A86" s="33" t="s">
        <v>81</v>
      </c>
      <c r="B86" s="29">
        <f t="shared" si="275"/>
        <v>8500000</v>
      </c>
      <c r="C86" s="34"/>
      <c r="D86" s="29">
        <f t="shared" si="276"/>
        <v>0</v>
      </c>
      <c r="E86" s="29"/>
      <c r="F86" s="29"/>
      <c r="G86" s="29"/>
      <c r="I86" s="34"/>
      <c r="J86" s="29">
        <f t="shared" si="277"/>
        <v>0</v>
      </c>
      <c r="K86" s="29"/>
      <c r="L86" s="29"/>
      <c r="M86" s="29"/>
      <c r="O86" s="34"/>
      <c r="P86" s="29">
        <f t="shared" si="278"/>
        <v>0</v>
      </c>
      <c r="Q86" s="29"/>
      <c r="R86" s="29"/>
      <c r="S86" s="29"/>
      <c r="U86" s="34"/>
      <c r="V86" s="29">
        <f t="shared" si="279"/>
        <v>0</v>
      </c>
      <c r="W86" s="29"/>
      <c r="X86" s="29"/>
      <c r="Y86" s="29"/>
      <c r="AA86" s="34"/>
      <c r="AB86" s="29">
        <f t="shared" si="280"/>
        <v>3000000</v>
      </c>
      <c r="AC86" s="29"/>
      <c r="AD86" s="29"/>
      <c r="AE86" s="29"/>
      <c r="AG86" s="34"/>
      <c r="AH86" s="29">
        <f t="shared" si="281"/>
        <v>0</v>
      </c>
      <c r="AI86" s="29"/>
      <c r="AJ86" s="29"/>
      <c r="AK86" s="29"/>
      <c r="AM86" s="34"/>
      <c r="AN86" s="29">
        <f t="shared" si="282"/>
        <v>0</v>
      </c>
      <c r="AO86" s="29"/>
      <c r="AP86" s="29"/>
      <c r="AQ86" s="29"/>
      <c r="AS86" s="34"/>
      <c r="AT86" s="29">
        <f t="shared" si="283"/>
        <v>0</v>
      </c>
      <c r="AU86" s="29"/>
      <c r="AV86" s="29"/>
      <c r="AW86" s="29"/>
      <c r="AY86" s="34"/>
      <c r="AZ86" s="29">
        <f t="shared" si="284"/>
        <v>0</v>
      </c>
      <c r="BA86" s="29"/>
      <c r="BB86" s="29"/>
      <c r="BC86" s="29"/>
      <c r="BE86" s="34"/>
      <c r="BF86" s="29">
        <f t="shared" si="285"/>
        <v>0</v>
      </c>
      <c r="BG86" s="29"/>
      <c r="BH86" s="29"/>
      <c r="BI86" s="29"/>
      <c r="BK86" s="34"/>
      <c r="BL86" s="29">
        <f t="shared" si="286"/>
        <v>0</v>
      </c>
      <c r="BM86" s="29"/>
      <c r="BN86" s="29"/>
      <c r="BO86" s="29"/>
      <c r="BQ86" s="34"/>
      <c r="BR86" s="29">
        <f t="shared" si="287"/>
        <v>0</v>
      </c>
      <c r="BS86" s="29"/>
      <c r="BT86" s="29"/>
      <c r="BU86" s="29"/>
      <c r="BW86" s="34"/>
      <c r="BX86" s="29">
        <f t="shared" si="288"/>
        <v>0</v>
      </c>
      <c r="BY86" s="29"/>
      <c r="BZ86" s="29"/>
      <c r="CA86" s="29"/>
      <c r="CC86" s="34"/>
      <c r="CD86" s="29">
        <f t="shared" si="289"/>
        <v>0</v>
      </c>
      <c r="CE86" s="29"/>
      <c r="CF86" s="29"/>
      <c r="CG86" s="29"/>
      <c r="CI86" s="34"/>
      <c r="CJ86" s="29">
        <f t="shared" si="290"/>
        <v>0</v>
      </c>
      <c r="CK86" s="29"/>
      <c r="CL86" s="29"/>
      <c r="CM86" s="29"/>
      <c r="CO86" s="34"/>
      <c r="CP86" s="29">
        <f t="shared" si="291"/>
        <v>0</v>
      </c>
      <c r="CQ86" s="29"/>
      <c r="CR86" s="29"/>
      <c r="CS86" s="29"/>
      <c r="CU86" s="34"/>
      <c r="CV86" s="29">
        <f t="shared" si="292"/>
        <v>0</v>
      </c>
      <c r="CW86" s="29"/>
      <c r="CX86" s="29"/>
      <c r="CY86" s="29"/>
      <c r="DA86" s="34"/>
      <c r="DB86" s="29">
        <f t="shared" si="293"/>
        <v>0</v>
      </c>
      <c r="DC86" s="29"/>
      <c r="DD86" s="29"/>
      <c r="DE86" s="29"/>
      <c r="DG86" s="34"/>
      <c r="DH86" s="29">
        <f t="shared" si="294"/>
        <v>0</v>
      </c>
      <c r="DI86" s="29"/>
      <c r="DJ86" s="29"/>
      <c r="DK86" s="29"/>
      <c r="DM86" s="34"/>
      <c r="DN86" s="29">
        <f t="shared" si="295"/>
        <v>0</v>
      </c>
      <c r="DO86" s="29"/>
      <c r="DP86" s="29"/>
      <c r="DQ86" s="29"/>
      <c r="DS86" s="34"/>
      <c r="DT86" s="29">
        <f t="shared" si="296"/>
        <v>0</v>
      </c>
      <c r="DU86" s="29"/>
      <c r="DV86" s="29"/>
      <c r="DW86" s="29"/>
      <c r="DY86" s="34"/>
      <c r="DZ86" s="29">
        <f t="shared" si="297"/>
        <v>2500000</v>
      </c>
      <c r="EA86" s="29"/>
      <c r="EB86" s="29"/>
      <c r="EC86" s="29"/>
      <c r="EE86" s="34"/>
      <c r="EF86" s="29">
        <f t="shared" si="298"/>
        <v>0</v>
      </c>
      <c r="EG86" s="29"/>
      <c r="EH86" s="29"/>
      <c r="EI86" s="29"/>
      <c r="EK86" s="34"/>
      <c r="EL86" s="29">
        <f t="shared" si="299"/>
        <v>0</v>
      </c>
      <c r="EM86" s="29"/>
      <c r="EN86" s="29"/>
      <c r="EO86" s="29"/>
      <c r="EQ86" s="34"/>
      <c r="ER86" s="29">
        <f t="shared" si="300"/>
        <v>0</v>
      </c>
      <c r="ES86" s="29"/>
      <c r="ET86" s="29"/>
      <c r="EU86" s="29"/>
      <c r="EW86" s="34"/>
      <c r="EX86" s="29">
        <f t="shared" si="301"/>
        <v>0</v>
      </c>
      <c r="EY86" s="29"/>
      <c r="EZ86" s="29"/>
      <c r="FA86" s="29"/>
      <c r="FC86" s="34"/>
      <c r="FD86" s="29">
        <f t="shared" si="302"/>
        <v>0</v>
      </c>
      <c r="FE86" s="29"/>
      <c r="FF86" s="29"/>
      <c r="FG86" s="29"/>
      <c r="FI86" s="34"/>
      <c r="FJ86" s="29">
        <f t="shared" si="303"/>
        <v>3000000</v>
      </c>
      <c r="FK86" s="29"/>
      <c r="FL86" s="29"/>
      <c r="FM86" s="29"/>
      <c r="FO86" s="34"/>
      <c r="FP86" s="29">
        <f t="shared" si="304"/>
        <v>0</v>
      </c>
      <c r="FQ86" s="29"/>
      <c r="FR86" s="29"/>
      <c r="FS86" s="29"/>
      <c r="FU86" s="34"/>
      <c r="FV86" s="29">
        <f t="shared" si="305"/>
        <v>0</v>
      </c>
      <c r="FW86" s="29"/>
      <c r="FX86" s="29"/>
      <c r="FY86" s="29"/>
      <c r="GA86" s="34"/>
      <c r="GB86" s="29">
        <f t="shared" si="306"/>
        <v>0</v>
      </c>
      <c r="GC86" s="29"/>
      <c r="GD86" s="29"/>
      <c r="GE86" s="29"/>
      <c r="GG86" s="34"/>
      <c r="GH86" s="29">
        <f t="shared" si="307"/>
        <v>0</v>
      </c>
      <c r="GI86" s="29"/>
      <c r="GJ86" s="29"/>
      <c r="GK86" s="29"/>
      <c r="GM86" s="34"/>
      <c r="GN86" s="29">
        <f t="shared" si="308"/>
        <v>0</v>
      </c>
      <c r="GO86" s="29"/>
      <c r="GP86" s="29"/>
      <c r="GQ86" s="29"/>
      <c r="GS86" s="34"/>
      <c r="GT86" s="29">
        <f t="shared" si="309"/>
        <v>0</v>
      </c>
      <c r="GU86" s="29"/>
      <c r="GV86" s="29"/>
      <c r="GW86" s="29"/>
      <c r="GY86" s="34"/>
      <c r="GZ86" s="29">
        <f t="shared" si="310"/>
        <v>0</v>
      </c>
      <c r="HA86" s="29"/>
      <c r="HB86" s="29"/>
      <c r="HC86" s="29"/>
    </row>
    <row r="87" spans="1:211" s="33" customFormat="1" hidden="1" outlineLevel="2" x14ac:dyDescent="0.2">
      <c r="A87" s="33" t="s">
        <v>82</v>
      </c>
      <c r="B87" s="29">
        <f t="shared" si="275"/>
        <v>3000000</v>
      </c>
      <c r="C87" s="34"/>
      <c r="D87" s="29">
        <f t="shared" si="276"/>
        <v>0</v>
      </c>
      <c r="E87" s="29"/>
      <c r="F87" s="29"/>
      <c r="G87" s="29"/>
      <c r="I87" s="34"/>
      <c r="J87" s="29">
        <f t="shared" si="277"/>
        <v>0</v>
      </c>
      <c r="K87" s="29"/>
      <c r="L87" s="29"/>
      <c r="M87" s="29"/>
      <c r="O87" s="34"/>
      <c r="P87" s="29">
        <f t="shared" si="278"/>
        <v>0</v>
      </c>
      <c r="Q87" s="29"/>
      <c r="R87" s="29"/>
      <c r="S87" s="29"/>
      <c r="U87" s="34"/>
      <c r="V87" s="29">
        <f t="shared" si="279"/>
        <v>0</v>
      </c>
      <c r="W87" s="29"/>
      <c r="X87" s="29"/>
      <c r="Y87" s="29"/>
      <c r="AA87" s="34"/>
      <c r="AB87" s="29">
        <f t="shared" si="280"/>
        <v>0</v>
      </c>
      <c r="AC87" s="29"/>
      <c r="AD87" s="29"/>
      <c r="AE87" s="29"/>
      <c r="AG87" s="34"/>
      <c r="AH87" s="29">
        <f t="shared" si="281"/>
        <v>0</v>
      </c>
      <c r="AI87" s="29"/>
      <c r="AJ87" s="29"/>
      <c r="AK87" s="29"/>
      <c r="AM87" s="34"/>
      <c r="AN87" s="29">
        <f t="shared" si="282"/>
        <v>0</v>
      </c>
      <c r="AO87" s="29"/>
      <c r="AP87" s="29"/>
      <c r="AQ87" s="29"/>
      <c r="AS87" s="34"/>
      <c r="AT87" s="29">
        <f t="shared" si="283"/>
        <v>0</v>
      </c>
      <c r="AU87" s="29"/>
      <c r="AV87" s="29"/>
      <c r="AW87" s="29"/>
      <c r="AY87" s="34"/>
      <c r="AZ87" s="29">
        <f t="shared" si="284"/>
        <v>3000000</v>
      </c>
      <c r="BA87" s="29"/>
      <c r="BB87" s="29"/>
      <c r="BC87" s="29"/>
      <c r="BE87" s="34"/>
      <c r="BF87" s="29">
        <f t="shared" si="285"/>
        <v>0</v>
      </c>
      <c r="BG87" s="29"/>
      <c r="BH87" s="29"/>
      <c r="BI87" s="29"/>
      <c r="BK87" s="34"/>
      <c r="BL87" s="29">
        <f t="shared" si="286"/>
        <v>0</v>
      </c>
      <c r="BM87" s="29"/>
      <c r="BN87" s="29"/>
      <c r="BO87" s="29"/>
      <c r="BQ87" s="34"/>
      <c r="BR87" s="29">
        <f t="shared" si="287"/>
        <v>0</v>
      </c>
      <c r="BS87" s="29"/>
      <c r="BT87" s="29"/>
      <c r="BU87" s="29"/>
      <c r="BW87" s="34"/>
      <c r="BX87" s="29">
        <f t="shared" si="288"/>
        <v>0</v>
      </c>
      <c r="BY87" s="29"/>
      <c r="BZ87" s="29"/>
      <c r="CA87" s="29"/>
      <c r="CC87" s="34"/>
      <c r="CD87" s="29">
        <f t="shared" si="289"/>
        <v>0</v>
      </c>
      <c r="CE87" s="29"/>
      <c r="CF87" s="29"/>
      <c r="CG87" s="29"/>
      <c r="CI87" s="34"/>
      <c r="CJ87" s="29">
        <f t="shared" si="290"/>
        <v>0</v>
      </c>
      <c r="CK87" s="29"/>
      <c r="CL87" s="29"/>
      <c r="CM87" s="29"/>
      <c r="CO87" s="34"/>
      <c r="CP87" s="29">
        <f t="shared" si="291"/>
        <v>0</v>
      </c>
      <c r="CQ87" s="29"/>
      <c r="CR87" s="29"/>
      <c r="CS87" s="29"/>
      <c r="CU87" s="34"/>
      <c r="CV87" s="29">
        <f t="shared" si="292"/>
        <v>0</v>
      </c>
      <c r="CW87" s="29"/>
      <c r="CX87" s="29"/>
      <c r="CY87" s="29"/>
      <c r="DA87" s="34"/>
      <c r="DB87" s="29">
        <f t="shared" si="293"/>
        <v>0</v>
      </c>
      <c r="DC87" s="29"/>
      <c r="DD87" s="29"/>
      <c r="DE87" s="29"/>
      <c r="DG87" s="34"/>
      <c r="DH87" s="29">
        <f t="shared" si="294"/>
        <v>0</v>
      </c>
      <c r="DI87" s="29"/>
      <c r="DJ87" s="29"/>
      <c r="DK87" s="29"/>
      <c r="DM87" s="34"/>
      <c r="DN87" s="29">
        <f t="shared" si="295"/>
        <v>0</v>
      </c>
      <c r="DO87" s="29"/>
      <c r="DP87" s="29"/>
      <c r="DQ87" s="29"/>
      <c r="DS87" s="34"/>
      <c r="DT87" s="29">
        <f t="shared" si="296"/>
        <v>0</v>
      </c>
      <c r="DU87" s="29"/>
      <c r="DV87" s="29"/>
      <c r="DW87" s="29"/>
      <c r="DY87" s="34"/>
      <c r="DZ87" s="29">
        <f t="shared" si="297"/>
        <v>0</v>
      </c>
      <c r="EA87" s="29"/>
      <c r="EB87" s="29"/>
      <c r="EC87" s="29"/>
      <c r="EE87" s="34"/>
      <c r="EF87" s="29">
        <f t="shared" si="298"/>
        <v>0</v>
      </c>
      <c r="EG87" s="29"/>
      <c r="EH87" s="29"/>
      <c r="EI87" s="29"/>
      <c r="EK87" s="34"/>
      <c r="EL87" s="29">
        <f t="shared" si="299"/>
        <v>0</v>
      </c>
      <c r="EM87" s="29"/>
      <c r="EN87" s="29"/>
      <c r="EO87" s="29"/>
      <c r="EQ87" s="34"/>
      <c r="ER87" s="29">
        <f t="shared" si="300"/>
        <v>0</v>
      </c>
      <c r="ES87" s="29"/>
      <c r="ET87" s="29"/>
      <c r="EU87" s="29"/>
      <c r="EW87" s="34"/>
      <c r="EX87" s="29">
        <f t="shared" si="301"/>
        <v>0</v>
      </c>
      <c r="EY87" s="29"/>
      <c r="EZ87" s="29"/>
      <c r="FA87" s="29"/>
      <c r="FC87" s="34"/>
      <c r="FD87" s="29">
        <f t="shared" si="302"/>
        <v>0</v>
      </c>
      <c r="FE87" s="29"/>
      <c r="FF87" s="29"/>
      <c r="FG87" s="29"/>
      <c r="FI87" s="34"/>
      <c r="FJ87" s="29">
        <f t="shared" si="303"/>
        <v>0</v>
      </c>
      <c r="FK87" s="29"/>
      <c r="FL87" s="29"/>
      <c r="FM87" s="29"/>
      <c r="FO87" s="34"/>
      <c r="FP87" s="29">
        <f t="shared" si="304"/>
        <v>0</v>
      </c>
      <c r="FQ87" s="29"/>
      <c r="FR87" s="29"/>
      <c r="FS87" s="29"/>
      <c r="FU87" s="34"/>
      <c r="FV87" s="29">
        <f t="shared" si="305"/>
        <v>0</v>
      </c>
      <c r="FW87" s="29"/>
      <c r="FX87" s="29"/>
      <c r="FY87" s="29"/>
      <c r="GA87" s="34"/>
      <c r="GB87" s="29">
        <f t="shared" si="306"/>
        <v>0</v>
      </c>
      <c r="GC87" s="29"/>
      <c r="GD87" s="29"/>
      <c r="GE87" s="29"/>
      <c r="GG87" s="34"/>
      <c r="GH87" s="29">
        <f t="shared" si="307"/>
        <v>0</v>
      </c>
      <c r="GI87" s="29"/>
      <c r="GJ87" s="29"/>
      <c r="GK87" s="29"/>
      <c r="GM87" s="34"/>
      <c r="GN87" s="29">
        <f t="shared" si="308"/>
        <v>0</v>
      </c>
      <c r="GO87" s="29"/>
      <c r="GP87" s="29"/>
      <c r="GQ87" s="29"/>
      <c r="GS87" s="34"/>
      <c r="GT87" s="29">
        <f t="shared" si="309"/>
        <v>0</v>
      </c>
      <c r="GU87" s="29"/>
      <c r="GV87" s="29"/>
      <c r="GW87" s="29"/>
      <c r="GY87" s="34"/>
      <c r="GZ87" s="29">
        <f t="shared" si="310"/>
        <v>0</v>
      </c>
      <c r="HA87" s="29"/>
      <c r="HB87" s="29"/>
      <c r="HC87" s="29"/>
    </row>
    <row r="88" spans="1:211" s="33" customFormat="1" hidden="1" outlineLevel="2" x14ac:dyDescent="0.2">
      <c r="A88" s="33" t="s">
        <v>83</v>
      </c>
      <c r="B88" s="29">
        <f t="shared" si="275"/>
        <v>0</v>
      </c>
      <c r="C88" s="34"/>
      <c r="D88" s="29">
        <f t="shared" si="276"/>
        <v>0</v>
      </c>
      <c r="E88" s="29"/>
      <c r="F88" s="29"/>
      <c r="G88" s="29"/>
      <c r="I88" s="34"/>
      <c r="J88" s="29">
        <f t="shared" si="277"/>
        <v>0</v>
      </c>
      <c r="K88" s="29"/>
      <c r="L88" s="29"/>
      <c r="M88" s="29"/>
      <c r="O88" s="34"/>
      <c r="P88" s="29">
        <f t="shared" si="278"/>
        <v>0</v>
      </c>
      <c r="Q88" s="29"/>
      <c r="R88" s="29"/>
      <c r="S88" s="29"/>
      <c r="U88" s="34"/>
      <c r="V88" s="29">
        <f t="shared" si="279"/>
        <v>0</v>
      </c>
      <c r="W88" s="29"/>
      <c r="X88" s="29"/>
      <c r="Y88" s="29"/>
      <c r="AA88" s="34"/>
      <c r="AB88" s="29">
        <f t="shared" si="280"/>
        <v>0</v>
      </c>
      <c r="AC88" s="29"/>
      <c r="AD88" s="29"/>
      <c r="AE88" s="29"/>
      <c r="AG88" s="34"/>
      <c r="AH88" s="29">
        <f t="shared" si="281"/>
        <v>0</v>
      </c>
      <c r="AI88" s="29"/>
      <c r="AJ88" s="29"/>
      <c r="AK88" s="29"/>
      <c r="AM88" s="34"/>
      <c r="AN88" s="29">
        <f t="shared" si="282"/>
        <v>0</v>
      </c>
      <c r="AO88" s="29"/>
      <c r="AP88" s="29"/>
      <c r="AQ88" s="29"/>
      <c r="AS88" s="34"/>
      <c r="AT88" s="29">
        <f t="shared" si="283"/>
        <v>0</v>
      </c>
      <c r="AU88" s="29"/>
      <c r="AV88" s="29"/>
      <c r="AW88" s="29"/>
      <c r="AY88" s="34"/>
      <c r="AZ88" s="29">
        <f t="shared" si="284"/>
        <v>0</v>
      </c>
      <c r="BA88" s="29"/>
      <c r="BB88" s="29"/>
      <c r="BC88" s="29"/>
      <c r="BE88" s="34"/>
      <c r="BF88" s="29">
        <f t="shared" si="285"/>
        <v>0</v>
      </c>
      <c r="BG88" s="29"/>
      <c r="BH88" s="29"/>
      <c r="BI88" s="29"/>
      <c r="BK88" s="34"/>
      <c r="BL88" s="29">
        <f t="shared" si="286"/>
        <v>0</v>
      </c>
      <c r="BM88" s="29"/>
      <c r="BN88" s="29"/>
      <c r="BO88" s="29"/>
      <c r="BQ88" s="34"/>
      <c r="BR88" s="29">
        <f t="shared" si="287"/>
        <v>0</v>
      </c>
      <c r="BS88" s="29"/>
      <c r="BT88" s="29"/>
      <c r="BU88" s="29"/>
      <c r="BW88" s="34"/>
      <c r="BX88" s="29">
        <f t="shared" si="288"/>
        <v>0</v>
      </c>
      <c r="BY88" s="29"/>
      <c r="BZ88" s="29"/>
      <c r="CA88" s="29"/>
      <c r="CC88" s="34"/>
      <c r="CD88" s="29">
        <f t="shared" si="289"/>
        <v>0</v>
      </c>
      <c r="CE88" s="29"/>
      <c r="CF88" s="29"/>
      <c r="CG88" s="29"/>
      <c r="CI88" s="34"/>
      <c r="CJ88" s="29">
        <f t="shared" si="290"/>
        <v>0</v>
      </c>
      <c r="CK88" s="29"/>
      <c r="CL88" s="29"/>
      <c r="CM88" s="29"/>
      <c r="CO88" s="34"/>
      <c r="CP88" s="29">
        <f t="shared" si="291"/>
        <v>0</v>
      </c>
      <c r="CQ88" s="29"/>
      <c r="CR88" s="29"/>
      <c r="CS88" s="29"/>
      <c r="CU88" s="34"/>
      <c r="CV88" s="29">
        <f t="shared" si="292"/>
        <v>0</v>
      </c>
      <c r="CW88" s="29"/>
      <c r="CX88" s="29"/>
      <c r="CY88" s="29"/>
      <c r="DA88" s="34"/>
      <c r="DB88" s="29">
        <f t="shared" si="293"/>
        <v>0</v>
      </c>
      <c r="DC88" s="29"/>
      <c r="DD88" s="29"/>
      <c r="DE88" s="29"/>
      <c r="DG88" s="34"/>
      <c r="DH88" s="29">
        <f t="shared" si="294"/>
        <v>0</v>
      </c>
      <c r="DI88" s="29"/>
      <c r="DJ88" s="29"/>
      <c r="DK88" s="29"/>
      <c r="DM88" s="34"/>
      <c r="DN88" s="29">
        <f t="shared" si="295"/>
        <v>0</v>
      </c>
      <c r="DO88" s="29"/>
      <c r="DP88" s="29"/>
      <c r="DQ88" s="29"/>
      <c r="DS88" s="34"/>
      <c r="DT88" s="29">
        <f t="shared" si="296"/>
        <v>0</v>
      </c>
      <c r="DU88" s="29"/>
      <c r="DV88" s="29"/>
      <c r="DW88" s="29"/>
      <c r="DY88" s="34"/>
      <c r="DZ88" s="29">
        <f t="shared" si="297"/>
        <v>0</v>
      </c>
      <c r="EA88" s="29"/>
      <c r="EB88" s="29"/>
      <c r="EC88" s="29"/>
      <c r="EE88" s="34"/>
      <c r="EF88" s="29">
        <f t="shared" si="298"/>
        <v>0</v>
      </c>
      <c r="EG88" s="29"/>
      <c r="EH88" s="29"/>
      <c r="EI88" s="29"/>
      <c r="EK88" s="34"/>
      <c r="EL88" s="29">
        <f t="shared" si="299"/>
        <v>0</v>
      </c>
      <c r="EM88" s="29"/>
      <c r="EN88" s="29"/>
      <c r="EO88" s="29"/>
      <c r="EQ88" s="34"/>
      <c r="ER88" s="29">
        <f t="shared" si="300"/>
        <v>0</v>
      </c>
      <c r="ES88" s="29"/>
      <c r="ET88" s="29"/>
      <c r="EU88" s="29"/>
      <c r="EW88" s="34"/>
      <c r="EX88" s="29">
        <f t="shared" si="301"/>
        <v>0</v>
      </c>
      <c r="EY88" s="29"/>
      <c r="EZ88" s="29"/>
      <c r="FA88" s="29"/>
      <c r="FC88" s="34"/>
      <c r="FD88" s="29">
        <f t="shared" si="302"/>
        <v>0</v>
      </c>
      <c r="FE88" s="29"/>
      <c r="FF88" s="29"/>
      <c r="FG88" s="29"/>
      <c r="FI88" s="34"/>
      <c r="FJ88" s="29">
        <f t="shared" si="303"/>
        <v>0</v>
      </c>
      <c r="FK88" s="29"/>
      <c r="FL88" s="29"/>
      <c r="FM88" s="29"/>
      <c r="FO88" s="34"/>
      <c r="FP88" s="29">
        <f t="shared" si="304"/>
        <v>0</v>
      </c>
      <c r="FQ88" s="29"/>
      <c r="FR88" s="29"/>
      <c r="FS88" s="29"/>
      <c r="FU88" s="34"/>
      <c r="FV88" s="29">
        <f t="shared" si="305"/>
        <v>0</v>
      </c>
      <c r="FW88" s="29"/>
      <c r="FX88" s="29"/>
      <c r="FY88" s="29"/>
      <c r="GA88" s="34"/>
      <c r="GB88" s="29">
        <f t="shared" si="306"/>
        <v>0</v>
      </c>
      <c r="GC88" s="29"/>
      <c r="GD88" s="29"/>
      <c r="GE88" s="29"/>
      <c r="GG88" s="34"/>
      <c r="GH88" s="29">
        <f t="shared" si="307"/>
        <v>0</v>
      </c>
      <c r="GI88" s="29"/>
      <c r="GJ88" s="29"/>
      <c r="GK88" s="29"/>
      <c r="GM88" s="34"/>
      <c r="GN88" s="29">
        <f t="shared" si="308"/>
        <v>0</v>
      </c>
      <c r="GO88" s="29"/>
      <c r="GP88" s="29"/>
      <c r="GQ88" s="29"/>
      <c r="GS88" s="34"/>
      <c r="GT88" s="29">
        <f t="shared" si="309"/>
        <v>0</v>
      </c>
      <c r="GU88" s="29"/>
      <c r="GV88" s="29"/>
      <c r="GW88" s="29"/>
      <c r="GY88" s="34"/>
      <c r="GZ88" s="29">
        <f t="shared" si="310"/>
        <v>0</v>
      </c>
      <c r="HA88" s="29"/>
      <c r="HB88" s="29"/>
      <c r="HC88" s="29"/>
    </row>
    <row r="89" spans="1:211" s="33" customFormat="1" hidden="1" outlineLevel="2" x14ac:dyDescent="0.2">
      <c r="A89" s="33" t="s">
        <v>84</v>
      </c>
      <c r="B89" s="29">
        <f t="shared" si="275"/>
        <v>10000000</v>
      </c>
      <c r="C89" s="34"/>
      <c r="D89" s="29">
        <f t="shared" si="276"/>
        <v>5000000</v>
      </c>
      <c r="E89" s="29"/>
      <c r="F89" s="29"/>
      <c r="G89" s="29"/>
      <c r="I89" s="34"/>
      <c r="J89" s="29">
        <f t="shared" si="277"/>
        <v>0</v>
      </c>
      <c r="K89" s="29"/>
      <c r="L89" s="29"/>
      <c r="M89" s="29"/>
      <c r="O89" s="34"/>
      <c r="P89" s="29">
        <f t="shared" si="278"/>
        <v>0</v>
      </c>
      <c r="Q89" s="29"/>
      <c r="R89" s="29"/>
      <c r="S89" s="29"/>
      <c r="U89" s="34"/>
      <c r="V89" s="29">
        <f t="shared" si="279"/>
        <v>0</v>
      </c>
      <c r="W89" s="29"/>
      <c r="X89" s="29"/>
      <c r="Y89" s="29"/>
      <c r="AA89" s="34"/>
      <c r="AB89" s="29">
        <f t="shared" si="280"/>
        <v>0</v>
      </c>
      <c r="AC89" s="29"/>
      <c r="AD89" s="29"/>
      <c r="AE89" s="29"/>
      <c r="AG89" s="34"/>
      <c r="AH89" s="29">
        <f t="shared" si="281"/>
        <v>0</v>
      </c>
      <c r="AI89" s="29"/>
      <c r="AJ89" s="29"/>
      <c r="AK89" s="29"/>
      <c r="AM89" s="34"/>
      <c r="AN89" s="29">
        <f t="shared" si="282"/>
        <v>0</v>
      </c>
      <c r="AO89" s="29"/>
      <c r="AP89" s="29"/>
      <c r="AQ89" s="29"/>
      <c r="AS89" s="34"/>
      <c r="AT89" s="29">
        <f t="shared" si="283"/>
        <v>0</v>
      </c>
      <c r="AU89" s="29"/>
      <c r="AV89" s="29"/>
      <c r="AW89" s="29"/>
      <c r="AY89" s="34"/>
      <c r="AZ89" s="29">
        <f t="shared" si="284"/>
        <v>0</v>
      </c>
      <c r="BA89" s="29"/>
      <c r="BB89" s="29"/>
      <c r="BC89" s="29"/>
      <c r="BE89" s="34"/>
      <c r="BF89" s="29">
        <f t="shared" si="285"/>
        <v>0</v>
      </c>
      <c r="BG89" s="29"/>
      <c r="BH89" s="29"/>
      <c r="BI89" s="29"/>
      <c r="BK89" s="34"/>
      <c r="BL89" s="29">
        <f t="shared" si="286"/>
        <v>0</v>
      </c>
      <c r="BM89" s="29"/>
      <c r="BN89" s="29"/>
      <c r="BO89" s="29"/>
      <c r="BQ89" s="34"/>
      <c r="BR89" s="29">
        <f t="shared" si="287"/>
        <v>0</v>
      </c>
      <c r="BS89" s="29"/>
      <c r="BT89" s="29"/>
      <c r="BU89" s="29"/>
      <c r="BW89" s="34"/>
      <c r="BX89" s="29">
        <f t="shared" si="288"/>
        <v>0</v>
      </c>
      <c r="BY89" s="29"/>
      <c r="BZ89" s="29"/>
      <c r="CA89" s="29"/>
      <c r="CC89" s="34"/>
      <c r="CD89" s="29">
        <f t="shared" si="289"/>
        <v>0</v>
      </c>
      <c r="CE89" s="29"/>
      <c r="CF89" s="29"/>
      <c r="CG89" s="29"/>
      <c r="CI89" s="34"/>
      <c r="CJ89" s="29">
        <f t="shared" si="290"/>
        <v>5000000</v>
      </c>
      <c r="CK89" s="29"/>
      <c r="CL89" s="29"/>
      <c r="CM89" s="29"/>
      <c r="CO89" s="34"/>
      <c r="CP89" s="29">
        <f t="shared" si="291"/>
        <v>0</v>
      </c>
      <c r="CQ89" s="29"/>
      <c r="CR89" s="29"/>
      <c r="CS89" s="29"/>
      <c r="CU89" s="34"/>
      <c r="CV89" s="29">
        <f t="shared" si="292"/>
        <v>0</v>
      </c>
      <c r="CW89" s="29"/>
      <c r="CX89" s="29"/>
      <c r="CY89" s="29"/>
      <c r="DA89" s="34"/>
      <c r="DB89" s="29">
        <f t="shared" si="293"/>
        <v>0</v>
      </c>
      <c r="DC89" s="29"/>
      <c r="DD89" s="29"/>
      <c r="DE89" s="29"/>
      <c r="DG89" s="34"/>
      <c r="DH89" s="29">
        <f t="shared" si="294"/>
        <v>0</v>
      </c>
      <c r="DI89" s="29"/>
      <c r="DJ89" s="29"/>
      <c r="DK89" s="29"/>
      <c r="DM89" s="34"/>
      <c r="DN89" s="29">
        <f t="shared" si="295"/>
        <v>0</v>
      </c>
      <c r="DO89" s="29"/>
      <c r="DP89" s="29"/>
      <c r="DQ89" s="29"/>
      <c r="DS89" s="34"/>
      <c r="DT89" s="29">
        <f t="shared" si="296"/>
        <v>0</v>
      </c>
      <c r="DU89" s="29"/>
      <c r="DV89" s="29"/>
      <c r="DW89" s="29"/>
      <c r="DY89" s="34"/>
      <c r="DZ89" s="29">
        <f t="shared" si="297"/>
        <v>0</v>
      </c>
      <c r="EA89" s="29"/>
      <c r="EB89" s="29"/>
      <c r="EC89" s="29"/>
      <c r="EE89" s="34"/>
      <c r="EF89" s="29">
        <f t="shared" si="298"/>
        <v>0</v>
      </c>
      <c r="EG89" s="29"/>
      <c r="EH89" s="29"/>
      <c r="EI89" s="29"/>
      <c r="EK89" s="34"/>
      <c r="EL89" s="29">
        <f t="shared" si="299"/>
        <v>0</v>
      </c>
      <c r="EM89" s="29"/>
      <c r="EN89" s="29"/>
      <c r="EO89" s="29"/>
      <c r="EQ89" s="34"/>
      <c r="ER89" s="29">
        <f t="shared" si="300"/>
        <v>0</v>
      </c>
      <c r="ES89" s="29"/>
      <c r="ET89" s="29"/>
      <c r="EU89" s="29"/>
      <c r="EW89" s="34"/>
      <c r="EX89" s="29">
        <f t="shared" si="301"/>
        <v>0</v>
      </c>
      <c r="EY89" s="29"/>
      <c r="EZ89" s="29"/>
      <c r="FA89" s="29"/>
      <c r="FC89" s="34"/>
      <c r="FD89" s="29">
        <f t="shared" si="302"/>
        <v>0</v>
      </c>
      <c r="FE89" s="29"/>
      <c r="FF89" s="29"/>
      <c r="FG89" s="29"/>
      <c r="FI89" s="34"/>
      <c r="FJ89" s="29">
        <f t="shared" si="303"/>
        <v>0</v>
      </c>
      <c r="FK89" s="29"/>
      <c r="FL89" s="29"/>
      <c r="FM89" s="29"/>
      <c r="FO89" s="34"/>
      <c r="FP89" s="29">
        <f t="shared" si="304"/>
        <v>0</v>
      </c>
      <c r="FQ89" s="29"/>
      <c r="FR89" s="29"/>
      <c r="FS89" s="29"/>
      <c r="FU89" s="34"/>
      <c r="FV89" s="29">
        <f t="shared" si="305"/>
        <v>0</v>
      </c>
      <c r="FW89" s="29"/>
      <c r="FX89" s="29"/>
      <c r="FY89" s="29"/>
      <c r="GA89" s="34"/>
      <c r="GB89" s="29">
        <f t="shared" si="306"/>
        <v>0</v>
      </c>
      <c r="GC89" s="29"/>
      <c r="GD89" s="29"/>
      <c r="GE89" s="29"/>
      <c r="GG89" s="34"/>
      <c r="GH89" s="29">
        <f t="shared" si="307"/>
        <v>0</v>
      </c>
      <c r="GI89" s="29"/>
      <c r="GJ89" s="29"/>
      <c r="GK89" s="29"/>
      <c r="GM89" s="34"/>
      <c r="GN89" s="29">
        <f t="shared" si="308"/>
        <v>0</v>
      </c>
      <c r="GO89" s="29"/>
      <c r="GP89" s="29"/>
      <c r="GQ89" s="29"/>
      <c r="GS89" s="34"/>
      <c r="GT89" s="29">
        <f t="shared" si="309"/>
        <v>0</v>
      </c>
      <c r="GU89" s="29"/>
      <c r="GV89" s="29"/>
      <c r="GW89" s="29"/>
      <c r="GY89" s="34"/>
      <c r="GZ89" s="29">
        <f t="shared" si="310"/>
        <v>0</v>
      </c>
      <c r="HA89" s="29"/>
      <c r="HB89" s="29"/>
      <c r="HC89" s="29"/>
    </row>
    <row r="90" spans="1:211" s="33" customFormat="1" hidden="1" outlineLevel="2" x14ac:dyDescent="0.2">
      <c r="A90" s="33" t="s">
        <v>85</v>
      </c>
      <c r="B90" s="29">
        <f t="shared" si="275"/>
        <v>8000000</v>
      </c>
      <c r="C90" s="34"/>
      <c r="D90" s="29">
        <f t="shared" si="276"/>
        <v>0</v>
      </c>
      <c r="E90" s="29"/>
      <c r="F90" s="29"/>
      <c r="G90" s="29"/>
      <c r="I90" s="34"/>
      <c r="J90" s="29">
        <f t="shared" si="277"/>
        <v>0</v>
      </c>
      <c r="K90" s="29"/>
      <c r="L90" s="29"/>
      <c r="M90" s="29"/>
      <c r="O90" s="34"/>
      <c r="P90" s="29">
        <f t="shared" si="278"/>
        <v>0</v>
      </c>
      <c r="Q90" s="29"/>
      <c r="R90" s="29"/>
      <c r="S90" s="29"/>
      <c r="U90" s="34"/>
      <c r="V90" s="29">
        <f t="shared" si="279"/>
        <v>0</v>
      </c>
      <c r="W90" s="29"/>
      <c r="X90" s="29"/>
      <c r="Y90" s="29"/>
      <c r="AA90" s="34"/>
      <c r="AB90" s="29">
        <f t="shared" si="280"/>
        <v>0</v>
      </c>
      <c r="AC90" s="29"/>
      <c r="AD90" s="29"/>
      <c r="AE90" s="29"/>
      <c r="AG90" s="34"/>
      <c r="AH90" s="29">
        <f t="shared" si="281"/>
        <v>0</v>
      </c>
      <c r="AI90" s="29"/>
      <c r="AJ90" s="29"/>
      <c r="AK90" s="29"/>
      <c r="AM90" s="34"/>
      <c r="AN90" s="29">
        <f t="shared" si="282"/>
        <v>0</v>
      </c>
      <c r="AO90" s="29"/>
      <c r="AP90" s="29"/>
      <c r="AQ90" s="29"/>
      <c r="AS90" s="34"/>
      <c r="AT90" s="29">
        <f t="shared" si="283"/>
        <v>0</v>
      </c>
      <c r="AU90" s="29"/>
      <c r="AV90" s="29"/>
      <c r="AW90" s="29"/>
      <c r="AY90" s="34"/>
      <c r="AZ90" s="29">
        <f t="shared" si="284"/>
        <v>0</v>
      </c>
      <c r="BA90" s="29"/>
      <c r="BB90" s="29"/>
      <c r="BC90" s="29"/>
      <c r="BE90" s="34"/>
      <c r="BF90" s="29">
        <f t="shared" si="285"/>
        <v>0</v>
      </c>
      <c r="BG90" s="29"/>
      <c r="BH90" s="29"/>
      <c r="BI90" s="29"/>
      <c r="BK90" s="34"/>
      <c r="BL90" s="29">
        <f t="shared" si="286"/>
        <v>0</v>
      </c>
      <c r="BM90" s="29"/>
      <c r="BN90" s="29"/>
      <c r="BO90" s="29"/>
      <c r="BQ90" s="34"/>
      <c r="BR90" s="29">
        <f t="shared" si="287"/>
        <v>0</v>
      </c>
      <c r="BS90" s="29"/>
      <c r="BT90" s="29"/>
      <c r="BU90" s="29"/>
      <c r="BW90" s="34"/>
      <c r="BX90" s="29">
        <f t="shared" si="288"/>
        <v>0</v>
      </c>
      <c r="BY90" s="29"/>
      <c r="BZ90" s="29"/>
      <c r="CA90" s="29"/>
      <c r="CC90" s="34"/>
      <c r="CD90" s="29">
        <f t="shared" si="289"/>
        <v>5000000</v>
      </c>
      <c r="CE90" s="29"/>
      <c r="CF90" s="29"/>
      <c r="CG90" s="29"/>
      <c r="CI90" s="34"/>
      <c r="CJ90" s="29">
        <f t="shared" si="290"/>
        <v>0</v>
      </c>
      <c r="CK90" s="29"/>
      <c r="CL90" s="29"/>
      <c r="CM90" s="29"/>
      <c r="CO90" s="34"/>
      <c r="CP90" s="29">
        <f t="shared" si="291"/>
        <v>0</v>
      </c>
      <c r="CQ90" s="29"/>
      <c r="CR90" s="29"/>
      <c r="CS90" s="29"/>
      <c r="CU90" s="34"/>
      <c r="CV90" s="29">
        <f t="shared" si="292"/>
        <v>0</v>
      </c>
      <c r="CW90" s="29"/>
      <c r="CX90" s="29"/>
      <c r="CY90" s="29"/>
      <c r="DA90" s="34"/>
      <c r="DB90" s="29">
        <f t="shared" si="293"/>
        <v>0</v>
      </c>
      <c r="DC90" s="29"/>
      <c r="DD90" s="29"/>
      <c r="DE90" s="29"/>
      <c r="DG90" s="34"/>
      <c r="DH90" s="29">
        <f t="shared" si="294"/>
        <v>0</v>
      </c>
      <c r="DI90" s="29"/>
      <c r="DJ90" s="29"/>
      <c r="DK90" s="29"/>
      <c r="DM90" s="34"/>
      <c r="DN90" s="29">
        <f t="shared" si="295"/>
        <v>0</v>
      </c>
      <c r="DO90" s="29"/>
      <c r="DP90" s="29"/>
      <c r="DQ90" s="29"/>
      <c r="DS90" s="34"/>
      <c r="DT90" s="29">
        <f t="shared" si="296"/>
        <v>0</v>
      </c>
      <c r="DU90" s="29"/>
      <c r="DV90" s="29"/>
      <c r="DW90" s="29"/>
      <c r="DY90" s="34"/>
      <c r="DZ90" s="29">
        <f t="shared" si="297"/>
        <v>0</v>
      </c>
      <c r="EA90" s="29"/>
      <c r="EB90" s="29"/>
      <c r="EC90" s="29"/>
      <c r="EE90" s="34"/>
      <c r="EF90" s="29">
        <f t="shared" si="298"/>
        <v>0</v>
      </c>
      <c r="EG90" s="29"/>
      <c r="EH90" s="29"/>
      <c r="EI90" s="29"/>
      <c r="EK90" s="34"/>
      <c r="EL90" s="29">
        <f t="shared" si="299"/>
        <v>0</v>
      </c>
      <c r="EM90" s="29"/>
      <c r="EN90" s="29"/>
      <c r="EO90" s="29"/>
      <c r="EQ90" s="34"/>
      <c r="ER90" s="29">
        <f t="shared" si="300"/>
        <v>0</v>
      </c>
      <c r="ES90" s="29"/>
      <c r="ET90" s="29"/>
      <c r="EU90" s="29"/>
      <c r="EW90" s="34"/>
      <c r="EX90" s="29">
        <f t="shared" si="301"/>
        <v>0</v>
      </c>
      <c r="EY90" s="29"/>
      <c r="EZ90" s="29"/>
      <c r="FA90" s="29"/>
      <c r="FC90" s="34"/>
      <c r="FD90" s="29">
        <f t="shared" si="302"/>
        <v>0</v>
      </c>
      <c r="FE90" s="29"/>
      <c r="FF90" s="29"/>
      <c r="FG90" s="29"/>
      <c r="FI90" s="34"/>
      <c r="FJ90" s="29">
        <f t="shared" si="303"/>
        <v>0</v>
      </c>
      <c r="FK90" s="29"/>
      <c r="FL90" s="29"/>
      <c r="FM90" s="29"/>
      <c r="FO90" s="34"/>
      <c r="FP90" s="29">
        <f t="shared" si="304"/>
        <v>0</v>
      </c>
      <c r="FQ90" s="29"/>
      <c r="FR90" s="29"/>
      <c r="FS90" s="29"/>
      <c r="FU90" s="34"/>
      <c r="FV90" s="29">
        <f t="shared" si="305"/>
        <v>0</v>
      </c>
      <c r="FW90" s="29"/>
      <c r="FX90" s="29"/>
      <c r="FY90" s="29"/>
      <c r="GA90" s="34"/>
      <c r="GB90" s="29">
        <f t="shared" si="306"/>
        <v>3000000</v>
      </c>
      <c r="GC90" s="29"/>
      <c r="GD90" s="29"/>
      <c r="GE90" s="29"/>
      <c r="GG90" s="34"/>
      <c r="GH90" s="29">
        <f t="shared" si="307"/>
        <v>0</v>
      </c>
      <c r="GI90" s="29"/>
      <c r="GJ90" s="29"/>
      <c r="GK90" s="29"/>
      <c r="GM90" s="34"/>
      <c r="GN90" s="29">
        <f t="shared" si="308"/>
        <v>0</v>
      </c>
      <c r="GO90" s="29"/>
      <c r="GP90" s="29"/>
      <c r="GQ90" s="29"/>
      <c r="GS90" s="34"/>
      <c r="GT90" s="29">
        <f t="shared" si="309"/>
        <v>0</v>
      </c>
      <c r="GU90" s="29"/>
      <c r="GV90" s="29"/>
      <c r="GW90" s="29"/>
      <c r="GY90" s="34"/>
      <c r="GZ90" s="29">
        <f t="shared" si="310"/>
        <v>0</v>
      </c>
      <c r="HA90" s="29"/>
      <c r="HB90" s="29"/>
      <c r="HC90" s="29"/>
    </row>
    <row r="91" spans="1:211" s="33" customFormat="1" hidden="1" outlineLevel="2" x14ac:dyDescent="0.2">
      <c r="A91" s="33" t="s">
        <v>86</v>
      </c>
      <c r="B91" s="29">
        <f t="shared" si="275"/>
        <v>4000000</v>
      </c>
      <c r="C91" s="34"/>
      <c r="D91" s="29">
        <f t="shared" si="276"/>
        <v>0</v>
      </c>
      <c r="E91" s="29"/>
      <c r="F91" s="29"/>
      <c r="G91" s="29"/>
      <c r="I91" s="34"/>
      <c r="J91" s="29">
        <f t="shared" si="277"/>
        <v>0</v>
      </c>
      <c r="K91" s="29"/>
      <c r="L91" s="29"/>
      <c r="M91" s="29"/>
      <c r="O91" s="34"/>
      <c r="P91" s="29">
        <f t="shared" si="278"/>
        <v>0</v>
      </c>
      <c r="Q91" s="29"/>
      <c r="R91" s="29"/>
      <c r="S91" s="29"/>
      <c r="U91" s="34"/>
      <c r="V91" s="29">
        <f t="shared" si="279"/>
        <v>0</v>
      </c>
      <c r="W91" s="29"/>
      <c r="X91" s="29"/>
      <c r="Y91" s="29"/>
      <c r="AA91" s="34"/>
      <c r="AB91" s="29">
        <f t="shared" si="280"/>
        <v>0</v>
      </c>
      <c r="AC91" s="29"/>
      <c r="AD91" s="29"/>
      <c r="AE91" s="29"/>
      <c r="AG91" s="34"/>
      <c r="AH91" s="29">
        <f t="shared" si="281"/>
        <v>0</v>
      </c>
      <c r="AI91" s="29"/>
      <c r="AJ91" s="29"/>
      <c r="AK91" s="29"/>
      <c r="AM91" s="34"/>
      <c r="AN91" s="29">
        <f t="shared" si="282"/>
        <v>0</v>
      </c>
      <c r="AO91" s="29"/>
      <c r="AP91" s="29"/>
      <c r="AQ91" s="29"/>
      <c r="AS91" s="34"/>
      <c r="AT91" s="29">
        <f t="shared" si="283"/>
        <v>0</v>
      </c>
      <c r="AU91" s="29"/>
      <c r="AV91" s="29"/>
      <c r="AW91" s="29"/>
      <c r="AY91" s="34"/>
      <c r="AZ91" s="29">
        <f t="shared" si="284"/>
        <v>1000000</v>
      </c>
      <c r="BA91" s="29"/>
      <c r="BB91" s="29"/>
      <c r="BC91" s="29"/>
      <c r="BE91" s="34"/>
      <c r="BF91" s="29">
        <f t="shared" si="285"/>
        <v>0</v>
      </c>
      <c r="BG91" s="29"/>
      <c r="BH91" s="29"/>
      <c r="BI91" s="29"/>
      <c r="BK91" s="34"/>
      <c r="BL91" s="29">
        <f t="shared" si="286"/>
        <v>0</v>
      </c>
      <c r="BM91" s="29"/>
      <c r="BN91" s="29"/>
      <c r="BO91" s="29"/>
      <c r="BQ91" s="34"/>
      <c r="BR91" s="29">
        <f t="shared" si="287"/>
        <v>0</v>
      </c>
      <c r="BS91" s="29"/>
      <c r="BT91" s="29"/>
      <c r="BU91" s="29"/>
      <c r="BW91" s="34"/>
      <c r="BX91" s="29">
        <f t="shared" si="288"/>
        <v>0</v>
      </c>
      <c r="BY91" s="29"/>
      <c r="BZ91" s="29"/>
      <c r="CA91" s="29"/>
      <c r="CC91" s="34"/>
      <c r="CD91" s="29">
        <f t="shared" si="289"/>
        <v>0</v>
      </c>
      <c r="CE91" s="29"/>
      <c r="CF91" s="29"/>
      <c r="CG91" s="29"/>
      <c r="CI91" s="34"/>
      <c r="CJ91" s="29">
        <f t="shared" si="290"/>
        <v>0</v>
      </c>
      <c r="CK91" s="29"/>
      <c r="CL91" s="29"/>
      <c r="CM91" s="29"/>
      <c r="CO91" s="34"/>
      <c r="CP91" s="29">
        <f t="shared" si="291"/>
        <v>0</v>
      </c>
      <c r="CQ91" s="29"/>
      <c r="CR91" s="29"/>
      <c r="CS91" s="29"/>
      <c r="CU91" s="34"/>
      <c r="CV91" s="29">
        <f t="shared" si="292"/>
        <v>0</v>
      </c>
      <c r="CW91" s="29"/>
      <c r="CX91" s="29"/>
      <c r="CY91" s="29"/>
      <c r="DA91" s="34"/>
      <c r="DB91" s="29">
        <f t="shared" si="293"/>
        <v>0</v>
      </c>
      <c r="DC91" s="29"/>
      <c r="DD91" s="29"/>
      <c r="DE91" s="29"/>
      <c r="DG91" s="34"/>
      <c r="DH91" s="29">
        <f t="shared" si="294"/>
        <v>0</v>
      </c>
      <c r="DI91" s="29"/>
      <c r="DJ91" s="29"/>
      <c r="DK91" s="29"/>
      <c r="DM91" s="34"/>
      <c r="DN91" s="29">
        <f t="shared" si="295"/>
        <v>0</v>
      </c>
      <c r="DO91" s="29"/>
      <c r="DP91" s="29"/>
      <c r="DQ91" s="29"/>
      <c r="DS91" s="34"/>
      <c r="DT91" s="29">
        <f t="shared" si="296"/>
        <v>0</v>
      </c>
      <c r="DU91" s="29"/>
      <c r="DV91" s="29"/>
      <c r="DW91" s="29"/>
      <c r="DY91" s="34"/>
      <c r="DZ91" s="29">
        <f t="shared" si="297"/>
        <v>0</v>
      </c>
      <c r="EA91" s="29"/>
      <c r="EB91" s="29"/>
      <c r="EC91" s="29"/>
      <c r="EE91" s="34"/>
      <c r="EF91" s="29">
        <f t="shared" si="298"/>
        <v>0</v>
      </c>
      <c r="EG91" s="29"/>
      <c r="EH91" s="29"/>
      <c r="EI91" s="29"/>
      <c r="EK91" s="34"/>
      <c r="EL91" s="29">
        <f t="shared" si="299"/>
        <v>0</v>
      </c>
      <c r="EM91" s="29"/>
      <c r="EN91" s="29"/>
      <c r="EO91" s="29"/>
      <c r="EQ91" s="34"/>
      <c r="ER91" s="29">
        <f t="shared" si="300"/>
        <v>0</v>
      </c>
      <c r="ES91" s="29"/>
      <c r="ET91" s="29"/>
      <c r="EU91" s="29"/>
      <c r="EW91" s="34"/>
      <c r="EX91" s="29">
        <f t="shared" si="301"/>
        <v>0</v>
      </c>
      <c r="EY91" s="29"/>
      <c r="EZ91" s="29"/>
      <c r="FA91" s="29"/>
      <c r="FC91" s="34"/>
      <c r="FD91" s="29">
        <f t="shared" si="302"/>
        <v>0</v>
      </c>
      <c r="FE91" s="29"/>
      <c r="FF91" s="29"/>
      <c r="FG91" s="29"/>
      <c r="FI91" s="34"/>
      <c r="FJ91" s="29">
        <f t="shared" si="303"/>
        <v>0</v>
      </c>
      <c r="FK91" s="29"/>
      <c r="FL91" s="29"/>
      <c r="FM91" s="29"/>
      <c r="FO91" s="34"/>
      <c r="FP91" s="29">
        <f t="shared" si="304"/>
        <v>3000000</v>
      </c>
      <c r="FQ91" s="29"/>
      <c r="FR91" s="29"/>
      <c r="FS91" s="29"/>
      <c r="FU91" s="34"/>
      <c r="FV91" s="29">
        <f t="shared" si="305"/>
        <v>0</v>
      </c>
      <c r="FW91" s="29"/>
      <c r="FX91" s="29"/>
      <c r="FY91" s="29"/>
      <c r="GA91" s="34"/>
      <c r="GB91" s="29">
        <f t="shared" si="306"/>
        <v>0</v>
      </c>
      <c r="GC91" s="29"/>
      <c r="GD91" s="29"/>
      <c r="GE91" s="29"/>
      <c r="GG91" s="34"/>
      <c r="GH91" s="29">
        <f t="shared" si="307"/>
        <v>0</v>
      </c>
      <c r="GI91" s="29"/>
      <c r="GJ91" s="29"/>
      <c r="GK91" s="29"/>
      <c r="GM91" s="34"/>
      <c r="GN91" s="29">
        <f t="shared" si="308"/>
        <v>0</v>
      </c>
      <c r="GO91" s="29"/>
      <c r="GP91" s="29"/>
      <c r="GQ91" s="29"/>
      <c r="GS91" s="34"/>
      <c r="GT91" s="29">
        <f t="shared" si="309"/>
        <v>0</v>
      </c>
      <c r="GU91" s="29"/>
      <c r="GV91" s="29"/>
      <c r="GW91" s="29"/>
      <c r="GY91" s="34"/>
      <c r="GZ91" s="29">
        <f t="shared" si="310"/>
        <v>0</v>
      </c>
      <c r="HA91" s="29"/>
      <c r="HB91" s="29"/>
      <c r="HC91" s="29"/>
    </row>
    <row r="92" spans="1:211" s="33" customFormat="1" hidden="1" outlineLevel="2" x14ac:dyDescent="0.2">
      <c r="A92" s="33" t="s">
        <v>87</v>
      </c>
      <c r="B92" s="29">
        <f t="shared" si="275"/>
        <v>3000000</v>
      </c>
      <c r="C92" s="34"/>
      <c r="D92" s="29">
        <f t="shared" si="276"/>
        <v>0</v>
      </c>
      <c r="E92" s="29"/>
      <c r="F92" s="29"/>
      <c r="G92" s="29"/>
      <c r="I92" s="34"/>
      <c r="J92" s="29">
        <f t="shared" si="277"/>
        <v>0</v>
      </c>
      <c r="K92" s="29"/>
      <c r="L92" s="29"/>
      <c r="M92" s="29"/>
      <c r="O92" s="34"/>
      <c r="P92" s="29">
        <f t="shared" si="278"/>
        <v>0</v>
      </c>
      <c r="Q92" s="29"/>
      <c r="R92" s="29"/>
      <c r="S92" s="29"/>
      <c r="U92" s="34"/>
      <c r="V92" s="29">
        <f t="shared" si="279"/>
        <v>0</v>
      </c>
      <c r="W92" s="29"/>
      <c r="X92" s="29"/>
      <c r="Y92" s="29"/>
      <c r="AA92" s="34"/>
      <c r="AB92" s="29">
        <f t="shared" si="280"/>
        <v>0</v>
      </c>
      <c r="AC92" s="29"/>
      <c r="AD92" s="29"/>
      <c r="AE92" s="29"/>
      <c r="AG92" s="34"/>
      <c r="AH92" s="29">
        <f t="shared" si="281"/>
        <v>0</v>
      </c>
      <c r="AI92" s="29"/>
      <c r="AJ92" s="29"/>
      <c r="AK92" s="29"/>
      <c r="AM92" s="34"/>
      <c r="AN92" s="29">
        <f t="shared" si="282"/>
        <v>0</v>
      </c>
      <c r="AO92" s="29"/>
      <c r="AP92" s="29"/>
      <c r="AQ92" s="29"/>
      <c r="AS92" s="34"/>
      <c r="AT92" s="29">
        <f t="shared" si="283"/>
        <v>0</v>
      </c>
      <c r="AU92" s="29"/>
      <c r="AV92" s="29"/>
      <c r="AW92" s="29"/>
      <c r="AY92" s="34"/>
      <c r="AZ92" s="29">
        <f t="shared" si="284"/>
        <v>1000000</v>
      </c>
      <c r="BA92" s="29"/>
      <c r="BB92" s="29"/>
      <c r="BC92" s="29"/>
      <c r="BE92" s="34"/>
      <c r="BF92" s="29">
        <f t="shared" si="285"/>
        <v>0</v>
      </c>
      <c r="BG92" s="29"/>
      <c r="BH92" s="29"/>
      <c r="BI92" s="29"/>
      <c r="BK92" s="34"/>
      <c r="BL92" s="29">
        <f t="shared" si="286"/>
        <v>0</v>
      </c>
      <c r="BM92" s="29"/>
      <c r="BN92" s="29"/>
      <c r="BO92" s="29"/>
      <c r="BQ92" s="34"/>
      <c r="BR92" s="29">
        <f t="shared" si="287"/>
        <v>0</v>
      </c>
      <c r="BS92" s="29"/>
      <c r="BT92" s="29"/>
      <c r="BU92" s="29"/>
      <c r="BW92" s="34"/>
      <c r="BX92" s="29">
        <f t="shared" si="288"/>
        <v>2000000</v>
      </c>
      <c r="BY92" s="29"/>
      <c r="BZ92" s="29"/>
      <c r="CA92" s="29"/>
      <c r="CC92" s="34"/>
      <c r="CD92" s="29">
        <f t="shared" si="289"/>
        <v>0</v>
      </c>
      <c r="CE92" s="29"/>
      <c r="CF92" s="29"/>
      <c r="CG92" s="29"/>
      <c r="CI92" s="34"/>
      <c r="CJ92" s="29">
        <f t="shared" si="290"/>
        <v>0</v>
      </c>
      <c r="CK92" s="29"/>
      <c r="CL92" s="29"/>
      <c r="CM92" s="29"/>
      <c r="CO92" s="34"/>
      <c r="CP92" s="29">
        <f t="shared" si="291"/>
        <v>0</v>
      </c>
      <c r="CQ92" s="29"/>
      <c r="CR92" s="29"/>
      <c r="CS92" s="29"/>
      <c r="CU92" s="34"/>
      <c r="CV92" s="29">
        <f t="shared" si="292"/>
        <v>0</v>
      </c>
      <c r="CW92" s="29"/>
      <c r="CX92" s="29"/>
      <c r="CY92" s="29"/>
      <c r="DA92" s="34"/>
      <c r="DB92" s="29">
        <f t="shared" si="293"/>
        <v>0</v>
      </c>
      <c r="DC92" s="29"/>
      <c r="DD92" s="29"/>
      <c r="DE92" s="29"/>
      <c r="DG92" s="34"/>
      <c r="DH92" s="29">
        <f t="shared" si="294"/>
        <v>0</v>
      </c>
      <c r="DI92" s="29"/>
      <c r="DJ92" s="29"/>
      <c r="DK92" s="29"/>
      <c r="DM92" s="34"/>
      <c r="DN92" s="29">
        <f t="shared" si="295"/>
        <v>0</v>
      </c>
      <c r="DO92" s="29"/>
      <c r="DP92" s="29"/>
      <c r="DQ92" s="29"/>
      <c r="DS92" s="34"/>
      <c r="DT92" s="29">
        <f t="shared" si="296"/>
        <v>0</v>
      </c>
      <c r="DU92" s="29"/>
      <c r="DV92" s="29"/>
      <c r="DW92" s="29"/>
      <c r="DY92" s="34"/>
      <c r="DZ92" s="29">
        <f t="shared" si="297"/>
        <v>0</v>
      </c>
      <c r="EA92" s="29"/>
      <c r="EB92" s="29"/>
      <c r="EC92" s="29"/>
      <c r="EE92" s="34"/>
      <c r="EF92" s="29">
        <f t="shared" si="298"/>
        <v>0</v>
      </c>
      <c r="EG92" s="29"/>
      <c r="EH92" s="29"/>
      <c r="EI92" s="29"/>
      <c r="EK92" s="34"/>
      <c r="EL92" s="29">
        <f t="shared" si="299"/>
        <v>0</v>
      </c>
      <c r="EM92" s="29"/>
      <c r="EN92" s="29"/>
      <c r="EO92" s="29"/>
      <c r="EQ92" s="34"/>
      <c r="ER92" s="29">
        <f t="shared" si="300"/>
        <v>0</v>
      </c>
      <c r="ES92" s="29"/>
      <c r="ET92" s="29"/>
      <c r="EU92" s="29"/>
      <c r="EW92" s="34"/>
      <c r="EX92" s="29">
        <f t="shared" si="301"/>
        <v>0</v>
      </c>
      <c r="EY92" s="29"/>
      <c r="EZ92" s="29"/>
      <c r="FA92" s="29"/>
      <c r="FC92" s="34"/>
      <c r="FD92" s="29">
        <f t="shared" si="302"/>
        <v>0</v>
      </c>
      <c r="FE92" s="29"/>
      <c r="FF92" s="29"/>
      <c r="FG92" s="29"/>
      <c r="FI92" s="34"/>
      <c r="FJ92" s="29">
        <f t="shared" si="303"/>
        <v>0</v>
      </c>
      <c r="FK92" s="29"/>
      <c r="FL92" s="29"/>
      <c r="FM92" s="29"/>
      <c r="FO92" s="34"/>
      <c r="FP92" s="29">
        <f t="shared" si="304"/>
        <v>0</v>
      </c>
      <c r="FQ92" s="29"/>
      <c r="FR92" s="29"/>
      <c r="FS92" s="29"/>
      <c r="FU92" s="34"/>
      <c r="FV92" s="29">
        <f t="shared" si="305"/>
        <v>0</v>
      </c>
      <c r="FW92" s="29"/>
      <c r="FX92" s="29"/>
      <c r="FY92" s="29"/>
      <c r="GA92" s="34"/>
      <c r="GB92" s="29">
        <f t="shared" si="306"/>
        <v>0</v>
      </c>
      <c r="GC92" s="29"/>
      <c r="GD92" s="29"/>
      <c r="GE92" s="29"/>
      <c r="GG92" s="34"/>
      <c r="GH92" s="29">
        <f t="shared" si="307"/>
        <v>0</v>
      </c>
      <c r="GI92" s="29"/>
      <c r="GJ92" s="29"/>
      <c r="GK92" s="29"/>
      <c r="GM92" s="34"/>
      <c r="GN92" s="29">
        <f t="shared" si="308"/>
        <v>0</v>
      </c>
      <c r="GO92" s="29"/>
      <c r="GP92" s="29"/>
      <c r="GQ92" s="29"/>
      <c r="GS92" s="34"/>
      <c r="GT92" s="29">
        <f t="shared" si="309"/>
        <v>0</v>
      </c>
      <c r="GU92" s="29"/>
      <c r="GV92" s="29"/>
      <c r="GW92" s="29"/>
      <c r="GY92" s="34"/>
      <c r="GZ92" s="29">
        <f t="shared" si="310"/>
        <v>0</v>
      </c>
      <c r="HA92" s="29"/>
      <c r="HB92" s="29"/>
      <c r="HC92" s="29"/>
    </row>
    <row r="93" spans="1:211" s="33" customFormat="1" hidden="1" outlineLevel="2" x14ac:dyDescent="0.2">
      <c r="A93" s="33" t="s">
        <v>88</v>
      </c>
      <c r="B93" s="29">
        <f t="shared" si="275"/>
        <v>2500000</v>
      </c>
      <c r="C93" s="34"/>
      <c r="D93" s="29">
        <f t="shared" si="276"/>
        <v>0</v>
      </c>
      <c r="E93" s="29"/>
      <c r="F93" s="29"/>
      <c r="G93" s="29"/>
      <c r="I93" s="34"/>
      <c r="J93" s="29">
        <f t="shared" si="277"/>
        <v>0</v>
      </c>
      <c r="K93" s="29"/>
      <c r="L93" s="29"/>
      <c r="M93" s="29"/>
      <c r="O93" s="34"/>
      <c r="P93" s="29">
        <f t="shared" si="278"/>
        <v>0</v>
      </c>
      <c r="Q93" s="29"/>
      <c r="R93" s="29"/>
      <c r="S93" s="29"/>
      <c r="U93" s="34"/>
      <c r="V93" s="29">
        <f t="shared" si="279"/>
        <v>0</v>
      </c>
      <c r="W93" s="29"/>
      <c r="X93" s="29"/>
      <c r="Y93" s="29"/>
      <c r="AA93" s="34"/>
      <c r="AB93" s="29">
        <f t="shared" si="280"/>
        <v>0</v>
      </c>
      <c r="AC93" s="29"/>
      <c r="AD93" s="29"/>
      <c r="AE93" s="29"/>
      <c r="AG93" s="34"/>
      <c r="AH93" s="29">
        <f t="shared" si="281"/>
        <v>0</v>
      </c>
      <c r="AI93" s="29"/>
      <c r="AJ93" s="29"/>
      <c r="AK93" s="29"/>
      <c r="AM93" s="34"/>
      <c r="AN93" s="29">
        <f t="shared" si="282"/>
        <v>0</v>
      </c>
      <c r="AO93" s="29"/>
      <c r="AP93" s="29"/>
      <c r="AQ93" s="29"/>
      <c r="AS93" s="34"/>
      <c r="AT93" s="29">
        <f t="shared" si="283"/>
        <v>0</v>
      </c>
      <c r="AU93" s="29"/>
      <c r="AV93" s="29"/>
      <c r="AW93" s="29"/>
      <c r="AY93" s="34"/>
      <c r="AZ93" s="29">
        <f t="shared" si="284"/>
        <v>0</v>
      </c>
      <c r="BA93" s="29"/>
      <c r="BB93" s="29"/>
      <c r="BC93" s="29"/>
      <c r="BE93" s="34"/>
      <c r="BF93" s="29">
        <f t="shared" si="285"/>
        <v>0</v>
      </c>
      <c r="BG93" s="29"/>
      <c r="BH93" s="29"/>
      <c r="BI93" s="29"/>
      <c r="BK93" s="34"/>
      <c r="BL93" s="29">
        <f t="shared" si="286"/>
        <v>0</v>
      </c>
      <c r="BM93" s="29"/>
      <c r="BN93" s="29"/>
      <c r="BO93" s="29"/>
      <c r="BQ93" s="34"/>
      <c r="BR93" s="29">
        <f t="shared" si="287"/>
        <v>0</v>
      </c>
      <c r="BS93" s="29"/>
      <c r="BT93" s="29"/>
      <c r="BU93" s="29"/>
      <c r="BW93" s="34"/>
      <c r="BX93" s="29">
        <f t="shared" si="288"/>
        <v>0</v>
      </c>
      <c r="BY93" s="29"/>
      <c r="BZ93" s="29"/>
      <c r="CA93" s="29"/>
      <c r="CC93" s="34"/>
      <c r="CD93" s="29">
        <f t="shared" si="289"/>
        <v>0</v>
      </c>
      <c r="CE93" s="29"/>
      <c r="CF93" s="29"/>
      <c r="CG93" s="29"/>
      <c r="CI93" s="34"/>
      <c r="CJ93" s="29">
        <f t="shared" si="290"/>
        <v>0</v>
      </c>
      <c r="CK93" s="29"/>
      <c r="CL93" s="29"/>
      <c r="CM93" s="29"/>
      <c r="CO93" s="34"/>
      <c r="CP93" s="29">
        <f t="shared" si="291"/>
        <v>0</v>
      </c>
      <c r="CQ93" s="29"/>
      <c r="CR93" s="29"/>
      <c r="CS93" s="29"/>
      <c r="CU93" s="34"/>
      <c r="CV93" s="29">
        <f t="shared" si="292"/>
        <v>0</v>
      </c>
      <c r="CW93" s="29"/>
      <c r="CX93" s="29"/>
      <c r="CY93" s="29"/>
      <c r="DA93" s="34"/>
      <c r="DB93" s="29">
        <f t="shared" si="293"/>
        <v>0</v>
      </c>
      <c r="DC93" s="29"/>
      <c r="DD93" s="29"/>
      <c r="DE93" s="29"/>
      <c r="DG93" s="34"/>
      <c r="DH93" s="29">
        <f t="shared" si="294"/>
        <v>2500000</v>
      </c>
      <c r="DI93" s="29"/>
      <c r="DJ93" s="29"/>
      <c r="DK93" s="29"/>
      <c r="DM93" s="34"/>
      <c r="DN93" s="29">
        <f t="shared" si="295"/>
        <v>0</v>
      </c>
      <c r="DO93" s="29"/>
      <c r="DP93" s="29"/>
      <c r="DQ93" s="29"/>
      <c r="DS93" s="34"/>
      <c r="DT93" s="29">
        <f t="shared" si="296"/>
        <v>0</v>
      </c>
      <c r="DU93" s="29"/>
      <c r="DV93" s="29"/>
      <c r="DW93" s="29"/>
      <c r="DY93" s="34"/>
      <c r="DZ93" s="29">
        <f t="shared" si="297"/>
        <v>0</v>
      </c>
      <c r="EA93" s="29"/>
      <c r="EB93" s="29"/>
      <c r="EC93" s="29"/>
      <c r="EE93" s="34"/>
      <c r="EF93" s="29">
        <f t="shared" si="298"/>
        <v>0</v>
      </c>
      <c r="EG93" s="29"/>
      <c r="EH93" s="29"/>
      <c r="EI93" s="29"/>
      <c r="EK93" s="34"/>
      <c r="EL93" s="29">
        <f t="shared" si="299"/>
        <v>0</v>
      </c>
      <c r="EM93" s="29"/>
      <c r="EN93" s="29"/>
      <c r="EO93" s="29"/>
      <c r="EQ93" s="34"/>
      <c r="ER93" s="29">
        <f t="shared" si="300"/>
        <v>0</v>
      </c>
      <c r="ES93" s="29"/>
      <c r="ET93" s="29"/>
      <c r="EU93" s="29"/>
      <c r="EW93" s="34"/>
      <c r="EX93" s="29">
        <f t="shared" si="301"/>
        <v>0</v>
      </c>
      <c r="EY93" s="29"/>
      <c r="EZ93" s="29"/>
      <c r="FA93" s="29"/>
      <c r="FC93" s="34"/>
      <c r="FD93" s="29">
        <f t="shared" si="302"/>
        <v>0</v>
      </c>
      <c r="FE93" s="29"/>
      <c r="FF93" s="29"/>
      <c r="FG93" s="29"/>
      <c r="FI93" s="34"/>
      <c r="FJ93" s="29">
        <f t="shared" si="303"/>
        <v>0</v>
      </c>
      <c r="FK93" s="29"/>
      <c r="FL93" s="29"/>
      <c r="FM93" s="29"/>
      <c r="FO93" s="34"/>
      <c r="FP93" s="29">
        <f t="shared" si="304"/>
        <v>0</v>
      </c>
      <c r="FQ93" s="29"/>
      <c r="FR93" s="29"/>
      <c r="FS93" s="29"/>
      <c r="FU93" s="34"/>
      <c r="FV93" s="29">
        <f t="shared" si="305"/>
        <v>0</v>
      </c>
      <c r="FW93" s="29"/>
      <c r="FX93" s="29"/>
      <c r="FY93" s="29"/>
      <c r="GA93" s="34"/>
      <c r="GB93" s="29">
        <f t="shared" si="306"/>
        <v>0</v>
      </c>
      <c r="GC93" s="29"/>
      <c r="GD93" s="29"/>
      <c r="GE93" s="29"/>
      <c r="GG93" s="34"/>
      <c r="GH93" s="29">
        <f t="shared" si="307"/>
        <v>0</v>
      </c>
      <c r="GI93" s="29"/>
      <c r="GJ93" s="29"/>
      <c r="GK93" s="29"/>
      <c r="GM93" s="34"/>
      <c r="GN93" s="29">
        <f t="shared" si="308"/>
        <v>0</v>
      </c>
      <c r="GO93" s="29"/>
      <c r="GP93" s="29"/>
      <c r="GQ93" s="29"/>
      <c r="GS93" s="34"/>
      <c r="GT93" s="29">
        <f t="shared" si="309"/>
        <v>0</v>
      </c>
      <c r="GU93" s="29"/>
      <c r="GV93" s="29"/>
      <c r="GW93" s="29"/>
      <c r="GY93" s="34"/>
      <c r="GZ93" s="29">
        <f t="shared" si="310"/>
        <v>0</v>
      </c>
      <c r="HA93" s="29"/>
      <c r="HB93" s="29"/>
      <c r="HC93" s="29"/>
    </row>
    <row r="94" spans="1:211" hidden="1" outlineLevel="2" x14ac:dyDescent="0.2"/>
    <row r="95" spans="1:211" s="36" customFormat="1" hidden="1" outlineLevel="2" x14ac:dyDescent="0.2">
      <c r="A95" s="36" t="s">
        <v>89</v>
      </c>
      <c r="B95" s="35">
        <f t="shared" ref="B95:B106" si="311">SUM(C95:XFD95)</f>
        <v>4518500</v>
      </c>
      <c r="C95" s="37"/>
      <c r="D95" s="35"/>
      <c r="E95" s="35">
        <f>E68</f>
        <v>300000</v>
      </c>
      <c r="F95" s="35"/>
      <c r="G95" s="35"/>
      <c r="I95" s="37"/>
      <c r="J95" s="35"/>
      <c r="K95" s="35">
        <f>K68</f>
        <v>0</v>
      </c>
      <c r="L95" s="35"/>
      <c r="M95" s="35"/>
      <c r="O95" s="37"/>
      <c r="P95" s="35"/>
      <c r="Q95" s="35">
        <f>Q68</f>
        <v>428000</v>
      </c>
      <c r="R95" s="35"/>
      <c r="S95" s="35"/>
      <c r="U95" s="37"/>
      <c r="V95" s="35"/>
      <c r="W95" s="35">
        <f>W68</f>
        <v>0</v>
      </c>
      <c r="X95" s="35"/>
      <c r="Y95" s="35"/>
      <c r="AA95" s="37"/>
      <c r="AB95" s="35"/>
      <c r="AC95" s="35">
        <f>AC68</f>
        <v>325000</v>
      </c>
      <c r="AD95" s="35"/>
      <c r="AE95" s="35"/>
      <c r="AG95" s="37"/>
      <c r="AH95" s="35"/>
      <c r="AI95" s="35">
        <f>AI68</f>
        <v>0</v>
      </c>
      <c r="AJ95" s="35"/>
      <c r="AK95" s="35"/>
      <c r="AM95" s="37"/>
      <c r="AN95" s="35"/>
      <c r="AO95" s="35">
        <f>AO68</f>
        <v>0</v>
      </c>
      <c r="AP95" s="35"/>
      <c r="AQ95" s="35"/>
      <c r="AS95" s="37"/>
      <c r="AT95" s="35"/>
      <c r="AU95" s="35">
        <f>AU68</f>
        <v>0</v>
      </c>
      <c r="AV95" s="35"/>
      <c r="AW95" s="35"/>
      <c r="AY95" s="37"/>
      <c r="AZ95" s="35"/>
      <c r="BA95" s="35">
        <f>BA68</f>
        <v>0</v>
      </c>
      <c r="BB95" s="35"/>
      <c r="BC95" s="35"/>
      <c r="BE95" s="37"/>
      <c r="BF95" s="35"/>
      <c r="BG95" s="35">
        <f>BG68</f>
        <v>0</v>
      </c>
      <c r="BH95" s="35"/>
      <c r="BI95" s="35"/>
      <c r="BK95" s="37"/>
      <c r="BL95" s="35"/>
      <c r="BM95" s="35">
        <f>BM68</f>
        <v>0</v>
      </c>
      <c r="BN95" s="35"/>
      <c r="BO95" s="35"/>
      <c r="BQ95" s="37"/>
      <c r="BR95" s="35"/>
      <c r="BS95" s="35">
        <f>BS68</f>
        <v>0</v>
      </c>
      <c r="BT95" s="35"/>
      <c r="BU95" s="35"/>
      <c r="BW95" s="37"/>
      <c r="BX95" s="35"/>
      <c r="BY95" s="35">
        <f>BY68</f>
        <v>300000</v>
      </c>
      <c r="BZ95" s="35"/>
      <c r="CA95" s="35"/>
      <c r="CC95" s="37"/>
      <c r="CD95" s="35"/>
      <c r="CE95" s="35">
        <f>CE68</f>
        <v>0</v>
      </c>
      <c r="CF95" s="35"/>
      <c r="CG95" s="35"/>
      <c r="CI95" s="37"/>
      <c r="CJ95" s="35"/>
      <c r="CK95" s="35">
        <f>CK68</f>
        <v>100000</v>
      </c>
      <c r="CL95" s="35"/>
      <c r="CM95" s="35"/>
      <c r="CO95" s="37"/>
      <c r="CP95" s="35"/>
      <c r="CQ95" s="35">
        <f>CQ68</f>
        <v>0</v>
      </c>
      <c r="CR95" s="35"/>
      <c r="CS95" s="35"/>
      <c r="CU95" s="37"/>
      <c r="CV95" s="35"/>
      <c r="CW95" s="35">
        <f>CW68</f>
        <v>214000</v>
      </c>
      <c r="CX95" s="35"/>
      <c r="CY95" s="35"/>
      <c r="DA95" s="37"/>
      <c r="DB95" s="35"/>
      <c r="DC95" s="35">
        <f>DC68</f>
        <v>0</v>
      </c>
      <c r="DD95" s="35"/>
      <c r="DE95" s="35"/>
      <c r="DG95" s="37"/>
      <c r="DH95" s="35"/>
      <c r="DI95" s="35">
        <f>DI68</f>
        <v>0</v>
      </c>
      <c r="DJ95" s="35"/>
      <c r="DK95" s="35"/>
      <c r="DM95" s="37"/>
      <c r="DN95" s="35"/>
      <c r="DO95" s="35">
        <f>DO68</f>
        <v>0</v>
      </c>
      <c r="DP95" s="35"/>
      <c r="DQ95" s="35"/>
      <c r="DS95" s="37"/>
      <c r="DT95" s="35"/>
      <c r="DU95" s="35">
        <f>DU68</f>
        <v>0</v>
      </c>
      <c r="DV95" s="35"/>
      <c r="DW95" s="35"/>
      <c r="DY95" s="37"/>
      <c r="DZ95" s="35"/>
      <c r="EA95" s="35">
        <f>EA68</f>
        <v>250000</v>
      </c>
      <c r="EB95" s="35"/>
      <c r="EC95" s="35"/>
      <c r="EE95" s="37"/>
      <c r="EF95" s="35"/>
      <c r="EG95" s="35">
        <f>EG68</f>
        <v>0</v>
      </c>
      <c r="EH95" s="35"/>
      <c r="EI95" s="35"/>
      <c r="EK95" s="37"/>
      <c r="EL95" s="35"/>
      <c r="EM95" s="35">
        <f>EM68</f>
        <v>500000</v>
      </c>
      <c r="EN95" s="35"/>
      <c r="EO95" s="35"/>
      <c r="EQ95" s="37"/>
      <c r="ER95" s="35"/>
      <c r="ES95" s="35">
        <f>ES68</f>
        <v>0</v>
      </c>
      <c r="ET95" s="35"/>
      <c r="EU95" s="35"/>
      <c r="EW95" s="37"/>
      <c r="EX95" s="35"/>
      <c r="EY95" s="35">
        <f>EY68</f>
        <v>0</v>
      </c>
      <c r="EZ95" s="35"/>
      <c r="FA95" s="35"/>
      <c r="FC95" s="37"/>
      <c r="FD95" s="35"/>
      <c r="FE95" s="35">
        <f>FE68</f>
        <v>317500</v>
      </c>
      <c r="FF95" s="35"/>
      <c r="FG95" s="35"/>
      <c r="FI95" s="37"/>
      <c r="FJ95" s="35"/>
      <c r="FK95" s="35">
        <f>FK68</f>
        <v>320000</v>
      </c>
      <c r="FL95" s="35"/>
      <c r="FM95" s="35"/>
      <c r="FO95" s="37"/>
      <c r="FP95" s="35"/>
      <c r="FQ95" s="35">
        <f>FQ68</f>
        <v>250000</v>
      </c>
      <c r="FR95" s="35"/>
      <c r="FS95" s="35"/>
      <c r="FU95" s="37"/>
      <c r="FV95" s="35"/>
      <c r="FW95" s="35">
        <f>FW68</f>
        <v>0</v>
      </c>
      <c r="FX95" s="35"/>
      <c r="FY95" s="35"/>
      <c r="GA95" s="37"/>
      <c r="GB95" s="35"/>
      <c r="GC95" s="35">
        <f>GC68</f>
        <v>214000</v>
      </c>
      <c r="GD95" s="35"/>
      <c r="GE95" s="35"/>
      <c r="GG95" s="37"/>
      <c r="GH95" s="35"/>
      <c r="GI95" s="35">
        <f>GI68</f>
        <v>1000000</v>
      </c>
      <c r="GJ95" s="35"/>
      <c r="GK95" s="35"/>
      <c r="GM95" s="37"/>
      <c r="GN95" s="35"/>
      <c r="GO95" s="35">
        <f>GO68</f>
        <v>0</v>
      </c>
      <c r="GP95" s="35"/>
      <c r="GQ95" s="35"/>
      <c r="GS95" s="37"/>
      <c r="GT95" s="35"/>
      <c r="GU95" s="35">
        <f>GU68</f>
        <v>0</v>
      </c>
      <c r="GV95" s="35"/>
      <c r="GW95" s="35"/>
      <c r="GY95" s="37"/>
      <c r="GZ95" s="35"/>
      <c r="HA95" s="35">
        <f>HA68</f>
        <v>0</v>
      </c>
      <c r="HB95" s="35"/>
      <c r="HC95" s="35"/>
    </row>
    <row r="96" spans="1:211" s="36" customFormat="1" hidden="1" outlineLevel="2" x14ac:dyDescent="0.2">
      <c r="A96" s="36" t="s">
        <v>90</v>
      </c>
      <c r="B96" s="35">
        <f t="shared" si="311"/>
        <v>3612500</v>
      </c>
      <c r="C96" s="37"/>
      <c r="D96" s="35"/>
      <c r="E96" s="35">
        <f t="shared" ref="E96:E106" si="312">E69</f>
        <v>600000</v>
      </c>
      <c r="F96" s="35"/>
      <c r="G96" s="35"/>
      <c r="I96" s="37"/>
      <c r="J96" s="35"/>
      <c r="K96" s="35">
        <f t="shared" ref="K96:K106" si="313">K69</f>
        <v>0</v>
      </c>
      <c r="L96" s="35"/>
      <c r="M96" s="35"/>
      <c r="O96" s="37"/>
      <c r="P96" s="35"/>
      <c r="Q96" s="35">
        <f t="shared" ref="Q96:Q106" si="314">Q69</f>
        <v>214000</v>
      </c>
      <c r="R96" s="35"/>
      <c r="S96" s="35"/>
      <c r="U96" s="37"/>
      <c r="V96" s="35"/>
      <c r="W96" s="35">
        <f t="shared" ref="W96:W106" si="315">W69</f>
        <v>0</v>
      </c>
      <c r="X96" s="35"/>
      <c r="Y96" s="35"/>
      <c r="AA96" s="37"/>
      <c r="AB96" s="35"/>
      <c r="AC96" s="35">
        <f t="shared" ref="AC96:AC106" si="316">AC69</f>
        <v>0</v>
      </c>
      <c r="AD96" s="35"/>
      <c r="AE96" s="35"/>
      <c r="AG96" s="37"/>
      <c r="AH96" s="35"/>
      <c r="AI96" s="35">
        <f t="shared" ref="AI96:AI106" si="317">AI69</f>
        <v>0</v>
      </c>
      <c r="AJ96" s="35"/>
      <c r="AK96" s="35"/>
      <c r="AM96" s="37"/>
      <c r="AN96" s="35"/>
      <c r="AO96" s="35">
        <f t="shared" ref="AO96:AO106" si="318">AO69</f>
        <v>0</v>
      </c>
      <c r="AP96" s="35"/>
      <c r="AQ96" s="35"/>
      <c r="AS96" s="37"/>
      <c r="AT96" s="35"/>
      <c r="AU96" s="35">
        <f t="shared" ref="AU96:AU106" si="319">AU69</f>
        <v>0</v>
      </c>
      <c r="AV96" s="35"/>
      <c r="AW96" s="35"/>
      <c r="AY96" s="37"/>
      <c r="AZ96" s="35"/>
      <c r="BA96" s="35">
        <f t="shared" ref="BA96:BA106" si="320">BA69</f>
        <v>644000</v>
      </c>
      <c r="BB96" s="35"/>
      <c r="BC96" s="35"/>
      <c r="BE96" s="37"/>
      <c r="BF96" s="35"/>
      <c r="BG96" s="35">
        <f t="shared" ref="BG96:BG106" si="321">BG69</f>
        <v>0</v>
      </c>
      <c r="BH96" s="35"/>
      <c r="BI96" s="35"/>
      <c r="BK96" s="37"/>
      <c r="BL96" s="35"/>
      <c r="BM96" s="35">
        <f t="shared" ref="BM96:BM106" si="322">BM69</f>
        <v>0</v>
      </c>
      <c r="BN96" s="35"/>
      <c r="BO96" s="35"/>
      <c r="BQ96" s="37"/>
      <c r="BR96" s="35"/>
      <c r="BS96" s="35">
        <f t="shared" ref="BS96:BS106" si="323">BS69</f>
        <v>0</v>
      </c>
      <c r="BT96" s="35"/>
      <c r="BU96" s="35"/>
      <c r="BW96" s="37"/>
      <c r="BX96" s="35"/>
      <c r="BY96" s="35">
        <f t="shared" ref="BY96:BY106" si="324">BY69</f>
        <v>320000</v>
      </c>
      <c r="BZ96" s="35"/>
      <c r="CA96" s="35"/>
      <c r="CC96" s="37"/>
      <c r="CD96" s="35"/>
      <c r="CE96" s="35">
        <f t="shared" ref="CE96:CE106" si="325">CE69</f>
        <v>446000</v>
      </c>
      <c r="CF96" s="35"/>
      <c r="CG96" s="35"/>
      <c r="CI96" s="37"/>
      <c r="CJ96" s="35"/>
      <c r="CK96" s="35">
        <f t="shared" ref="CK96:CK106" si="326">CK69</f>
        <v>0</v>
      </c>
      <c r="CL96" s="35"/>
      <c r="CM96" s="35"/>
      <c r="CO96" s="37"/>
      <c r="CP96" s="35"/>
      <c r="CQ96" s="35">
        <f t="shared" ref="CQ96:CQ106" si="327">CQ69</f>
        <v>0</v>
      </c>
      <c r="CR96" s="35"/>
      <c r="CS96" s="35"/>
      <c r="CU96" s="37"/>
      <c r="CV96" s="35"/>
      <c r="CW96" s="35">
        <f t="shared" ref="CW96:CW106" si="328">CW69</f>
        <v>0</v>
      </c>
      <c r="CX96" s="35"/>
      <c r="CY96" s="35"/>
      <c r="DA96" s="37"/>
      <c r="DB96" s="35"/>
      <c r="DC96" s="35">
        <f t="shared" ref="DC96:DC106" si="329">DC69</f>
        <v>0</v>
      </c>
      <c r="DD96" s="35"/>
      <c r="DE96" s="35"/>
      <c r="DG96" s="37"/>
      <c r="DH96" s="35"/>
      <c r="DI96" s="35">
        <f t="shared" ref="DI96:DI106" si="330">DI69</f>
        <v>0</v>
      </c>
      <c r="DJ96" s="35"/>
      <c r="DK96" s="35"/>
      <c r="DM96" s="37"/>
      <c r="DN96" s="35"/>
      <c r="DO96" s="35">
        <f t="shared" ref="DO96:DO106" si="331">DO69</f>
        <v>0</v>
      </c>
      <c r="DP96" s="35"/>
      <c r="DQ96" s="35"/>
      <c r="DS96" s="37"/>
      <c r="DT96" s="35"/>
      <c r="DU96" s="35">
        <f t="shared" ref="DU96:DU106" si="332">DU69</f>
        <v>0</v>
      </c>
      <c r="DV96" s="35"/>
      <c r="DW96" s="35"/>
      <c r="DY96" s="37"/>
      <c r="DZ96" s="35"/>
      <c r="EA96" s="35">
        <f t="shared" ref="EA96:EA106" si="333">EA69</f>
        <v>250000</v>
      </c>
      <c r="EB96" s="35"/>
      <c r="EC96" s="35"/>
      <c r="EE96" s="37"/>
      <c r="EF96" s="35"/>
      <c r="EG96" s="35">
        <f t="shared" ref="EG96:EG106" si="334">EG69</f>
        <v>0</v>
      </c>
      <c r="EH96" s="35"/>
      <c r="EI96" s="35"/>
      <c r="EK96" s="37"/>
      <c r="EL96" s="35"/>
      <c r="EM96" s="35">
        <f t="shared" ref="EM96:EM106" si="335">EM69</f>
        <v>0</v>
      </c>
      <c r="EN96" s="35"/>
      <c r="EO96" s="35"/>
      <c r="EQ96" s="37"/>
      <c r="ER96" s="35"/>
      <c r="ES96" s="35">
        <f t="shared" ref="ES96:ES106" si="336">ES69</f>
        <v>271000</v>
      </c>
      <c r="ET96" s="35"/>
      <c r="EU96" s="35"/>
      <c r="EW96" s="37"/>
      <c r="EX96" s="35"/>
      <c r="EY96" s="35">
        <f t="shared" ref="EY96:EY106" si="337">EY69</f>
        <v>0</v>
      </c>
      <c r="EZ96" s="35"/>
      <c r="FA96" s="35"/>
      <c r="FC96" s="37"/>
      <c r="FD96" s="35"/>
      <c r="FE96" s="35">
        <f t="shared" ref="FE96:FE106" si="338">FE69</f>
        <v>317500</v>
      </c>
      <c r="FF96" s="35"/>
      <c r="FG96" s="35"/>
      <c r="FI96" s="37"/>
      <c r="FJ96" s="35"/>
      <c r="FK96" s="35">
        <f t="shared" ref="FK96:FK106" si="339">FK69</f>
        <v>350000</v>
      </c>
      <c r="FL96" s="35"/>
      <c r="FM96" s="35"/>
      <c r="FO96" s="37"/>
      <c r="FP96" s="35"/>
      <c r="FQ96" s="35">
        <f t="shared" ref="FQ96:FQ106" si="340">FQ69</f>
        <v>200000</v>
      </c>
      <c r="FR96" s="35"/>
      <c r="FS96" s="35"/>
      <c r="FU96" s="37"/>
      <c r="FV96" s="35"/>
      <c r="FW96" s="35">
        <f t="shared" ref="FW96:FW106" si="341">FW69</f>
        <v>0</v>
      </c>
      <c r="FX96" s="35"/>
      <c r="FY96" s="35"/>
      <c r="GA96" s="37"/>
      <c r="GB96" s="35"/>
      <c r="GC96" s="35">
        <f t="shared" ref="GC96:GC106" si="342">GC69</f>
        <v>0</v>
      </c>
      <c r="GD96" s="35"/>
      <c r="GE96" s="35"/>
      <c r="GG96" s="37"/>
      <c r="GH96" s="35"/>
      <c r="GI96" s="35">
        <f t="shared" ref="GI96:GI106" si="343">GI69</f>
        <v>0</v>
      </c>
      <c r="GJ96" s="35"/>
      <c r="GK96" s="35"/>
      <c r="GM96" s="37"/>
      <c r="GN96" s="35"/>
      <c r="GO96" s="35">
        <f t="shared" ref="GO96:GO106" si="344">GO69</f>
        <v>0</v>
      </c>
      <c r="GP96" s="35"/>
      <c r="GQ96" s="35"/>
      <c r="GS96" s="37"/>
      <c r="GT96" s="35"/>
      <c r="GU96" s="35">
        <f t="shared" ref="GU96:GU106" si="345">GU69</f>
        <v>0</v>
      </c>
      <c r="GV96" s="35"/>
      <c r="GW96" s="35"/>
      <c r="GY96" s="37"/>
      <c r="GZ96" s="35"/>
      <c r="HA96" s="35">
        <f t="shared" ref="HA96:HA106" si="346">HA69</f>
        <v>0</v>
      </c>
      <c r="HB96" s="35"/>
      <c r="HC96" s="35"/>
    </row>
    <row r="97" spans="1:211" s="36" customFormat="1" hidden="1" outlineLevel="2" x14ac:dyDescent="0.2">
      <c r="A97" s="36" t="s">
        <v>91</v>
      </c>
      <c r="B97" s="35">
        <f t="shared" si="311"/>
        <v>3015500</v>
      </c>
      <c r="C97" s="37"/>
      <c r="D97" s="35"/>
      <c r="E97" s="35">
        <f t="shared" si="312"/>
        <v>0</v>
      </c>
      <c r="F97" s="35"/>
      <c r="G97" s="35"/>
      <c r="I97" s="37"/>
      <c r="J97" s="35"/>
      <c r="K97" s="35">
        <f t="shared" si="313"/>
        <v>0</v>
      </c>
      <c r="L97" s="35"/>
      <c r="M97" s="35"/>
      <c r="O97" s="37"/>
      <c r="P97" s="35"/>
      <c r="Q97" s="35">
        <f t="shared" si="314"/>
        <v>214000</v>
      </c>
      <c r="R97" s="35"/>
      <c r="S97" s="35"/>
      <c r="U97" s="37"/>
      <c r="V97" s="35"/>
      <c r="W97" s="35">
        <f t="shared" si="315"/>
        <v>0</v>
      </c>
      <c r="X97" s="35"/>
      <c r="Y97" s="35"/>
      <c r="AA97" s="37"/>
      <c r="AB97" s="35"/>
      <c r="AC97" s="35">
        <f t="shared" si="316"/>
        <v>325000</v>
      </c>
      <c r="AD97" s="35"/>
      <c r="AE97" s="35"/>
      <c r="AG97" s="37"/>
      <c r="AH97" s="35"/>
      <c r="AI97" s="35">
        <f t="shared" si="317"/>
        <v>0</v>
      </c>
      <c r="AJ97" s="35"/>
      <c r="AK97" s="35"/>
      <c r="AM97" s="37"/>
      <c r="AN97" s="35"/>
      <c r="AO97" s="35">
        <f t="shared" si="318"/>
        <v>446000</v>
      </c>
      <c r="AP97" s="35"/>
      <c r="AQ97" s="35"/>
      <c r="AS97" s="37"/>
      <c r="AT97" s="35"/>
      <c r="AU97" s="35">
        <f t="shared" si="319"/>
        <v>0</v>
      </c>
      <c r="AV97" s="35"/>
      <c r="AW97" s="35"/>
      <c r="AY97" s="37"/>
      <c r="AZ97" s="35"/>
      <c r="BA97" s="35">
        <f t="shared" si="320"/>
        <v>0</v>
      </c>
      <c r="BB97" s="35"/>
      <c r="BC97" s="35"/>
      <c r="BE97" s="37"/>
      <c r="BF97" s="35"/>
      <c r="BG97" s="35">
        <f t="shared" si="321"/>
        <v>0</v>
      </c>
      <c r="BH97" s="35"/>
      <c r="BI97" s="35"/>
      <c r="BK97" s="37"/>
      <c r="BL97" s="35"/>
      <c r="BM97" s="35">
        <f t="shared" si="322"/>
        <v>0</v>
      </c>
      <c r="BN97" s="35"/>
      <c r="BO97" s="35"/>
      <c r="BQ97" s="37"/>
      <c r="BR97" s="35"/>
      <c r="BS97" s="35">
        <f t="shared" si="323"/>
        <v>0</v>
      </c>
      <c r="BT97" s="35"/>
      <c r="BU97" s="35"/>
      <c r="BW97" s="37"/>
      <c r="BX97" s="35"/>
      <c r="BY97" s="35">
        <f t="shared" si="324"/>
        <v>110000</v>
      </c>
      <c r="BZ97" s="35"/>
      <c r="CA97" s="35"/>
      <c r="CC97" s="37"/>
      <c r="CD97" s="35"/>
      <c r="CE97" s="35">
        <f t="shared" si="325"/>
        <v>454000</v>
      </c>
      <c r="CF97" s="35"/>
      <c r="CG97" s="35"/>
      <c r="CI97" s="37"/>
      <c r="CJ97" s="35"/>
      <c r="CK97" s="35">
        <f t="shared" si="326"/>
        <v>0</v>
      </c>
      <c r="CL97" s="35"/>
      <c r="CM97" s="35"/>
      <c r="CO97" s="37"/>
      <c r="CP97" s="35"/>
      <c r="CQ97" s="35">
        <f t="shared" si="327"/>
        <v>0</v>
      </c>
      <c r="CR97" s="35"/>
      <c r="CS97" s="35"/>
      <c r="CU97" s="37"/>
      <c r="CV97" s="35"/>
      <c r="CW97" s="35">
        <f t="shared" si="328"/>
        <v>214000</v>
      </c>
      <c r="CX97" s="35"/>
      <c r="CY97" s="35"/>
      <c r="DA97" s="37"/>
      <c r="DB97" s="35"/>
      <c r="DC97" s="35">
        <f t="shared" si="329"/>
        <v>0</v>
      </c>
      <c r="DD97" s="35"/>
      <c r="DE97" s="35"/>
      <c r="DG97" s="37"/>
      <c r="DH97" s="35"/>
      <c r="DI97" s="35">
        <f t="shared" si="330"/>
        <v>0</v>
      </c>
      <c r="DJ97" s="35"/>
      <c r="DK97" s="35"/>
      <c r="DM97" s="37"/>
      <c r="DN97" s="35"/>
      <c r="DO97" s="35">
        <f t="shared" si="331"/>
        <v>0</v>
      </c>
      <c r="DP97" s="35"/>
      <c r="DQ97" s="35"/>
      <c r="DS97" s="37"/>
      <c r="DT97" s="35"/>
      <c r="DU97" s="35">
        <f t="shared" si="332"/>
        <v>0</v>
      </c>
      <c r="DV97" s="35"/>
      <c r="DW97" s="35"/>
      <c r="DY97" s="37"/>
      <c r="DZ97" s="35"/>
      <c r="EA97" s="35">
        <f t="shared" si="333"/>
        <v>250000</v>
      </c>
      <c r="EB97" s="35"/>
      <c r="EC97" s="35"/>
      <c r="EE97" s="37"/>
      <c r="EF97" s="35"/>
      <c r="EG97" s="35">
        <f t="shared" si="334"/>
        <v>0</v>
      </c>
      <c r="EH97" s="35"/>
      <c r="EI97" s="35"/>
      <c r="EK97" s="37"/>
      <c r="EL97" s="35"/>
      <c r="EM97" s="35">
        <f t="shared" si="335"/>
        <v>0</v>
      </c>
      <c r="EN97" s="35"/>
      <c r="EO97" s="35"/>
      <c r="EQ97" s="37"/>
      <c r="ER97" s="35"/>
      <c r="ES97" s="35">
        <f t="shared" si="336"/>
        <v>271000</v>
      </c>
      <c r="ET97" s="35"/>
      <c r="EU97" s="35"/>
      <c r="EW97" s="37"/>
      <c r="EX97" s="35"/>
      <c r="EY97" s="35">
        <f t="shared" si="337"/>
        <v>0</v>
      </c>
      <c r="EZ97" s="35"/>
      <c r="FA97" s="35"/>
      <c r="FC97" s="37"/>
      <c r="FD97" s="35"/>
      <c r="FE97" s="35">
        <f t="shared" si="338"/>
        <v>317500</v>
      </c>
      <c r="FF97" s="35"/>
      <c r="FG97" s="35"/>
      <c r="FI97" s="37"/>
      <c r="FJ97" s="35"/>
      <c r="FK97" s="35">
        <f t="shared" si="339"/>
        <v>0</v>
      </c>
      <c r="FL97" s="35"/>
      <c r="FM97" s="35"/>
      <c r="FO97" s="37"/>
      <c r="FP97" s="35"/>
      <c r="FQ97" s="35">
        <f t="shared" si="340"/>
        <v>200000</v>
      </c>
      <c r="FR97" s="35"/>
      <c r="FS97" s="35"/>
      <c r="FU97" s="37"/>
      <c r="FV97" s="35"/>
      <c r="FW97" s="35">
        <f t="shared" si="341"/>
        <v>0</v>
      </c>
      <c r="FX97" s="35"/>
      <c r="FY97" s="35"/>
      <c r="GA97" s="37"/>
      <c r="GB97" s="35"/>
      <c r="GC97" s="35">
        <f t="shared" si="342"/>
        <v>214000</v>
      </c>
      <c r="GD97" s="35"/>
      <c r="GE97" s="35"/>
      <c r="GG97" s="37"/>
      <c r="GH97" s="35"/>
      <c r="GI97" s="35">
        <f t="shared" si="343"/>
        <v>0</v>
      </c>
      <c r="GJ97" s="35"/>
      <c r="GK97" s="35"/>
      <c r="GM97" s="37"/>
      <c r="GN97" s="35"/>
      <c r="GO97" s="35">
        <f t="shared" si="344"/>
        <v>0</v>
      </c>
      <c r="GP97" s="35"/>
      <c r="GQ97" s="35"/>
      <c r="GS97" s="37"/>
      <c r="GT97" s="35"/>
      <c r="GU97" s="35">
        <f t="shared" si="345"/>
        <v>0</v>
      </c>
      <c r="GV97" s="35"/>
      <c r="GW97" s="35"/>
      <c r="GY97" s="37"/>
      <c r="GZ97" s="35"/>
      <c r="HA97" s="35">
        <f t="shared" si="346"/>
        <v>0</v>
      </c>
      <c r="HB97" s="35"/>
      <c r="HC97" s="35"/>
    </row>
    <row r="98" spans="1:211" s="36" customFormat="1" hidden="1" outlineLevel="2" x14ac:dyDescent="0.2">
      <c r="A98" s="36" t="s">
        <v>92</v>
      </c>
      <c r="B98" s="35">
        <f t="shared" si="311"/>
        <v>5108500</v>
      </c>
      <c r="C98" s="37"/>
      <c r="D98" s="35"/>
      <c r="E98" s="35">
        <f t="shared" si="312"/>
        <v>250000</v>
      </c>
      <c r="F98" s="35"/>
      <c r="G98" s="35"/>
      <c r="I98" s="37"/>
      <c r="J98" s="35"/>
      <c r="K98" s="35">
        <f t="shared" si="313"/>
        <v>0</v>
      </c>
      <c r="L98" s="35"/>
      <c r="M98" s="35"/>
      <c r="O98" s="37"/>
      <c r="P98" s="35"/>
      <c r="Q98" s="35">
        <f t="shared" si="314"/>
        <v>502000</v>
      </c>
      <c r="R98" s="35"/>
      <c r="S98" s="35"/>
      <c r="U98" s="37"/>
      <c r="V98" s="35"/>
      <c r="W98" s="35">
        <f t="shared" si="315"/>
        <v>0</v>
      </c>
      <c r="X98" s="35"/>
      <c r="Y98" s="35"/>
      <c r="AA98" s="37"/>
      <c r="AB98" s="35"/>
      <c r="AC98" s="35">
        <f t="shared" si="316"/>
        <v>325000</v>
      </c>
      <c r="AD98" s="35"/>
      <c r="AE98" s="35"/>
      <c r="AG98" s="37"/>
      <c r="AH98" s="35"/>
      <c r="AI98" s="35">
        <f t="shared" si="317"/>
        <v>0</v>
      </c>
      <c r="AJ98" s="35"/>
      <c r="AK98" s="35"/>
      <c r="AM98" s="37"/>
      <c r="AN98" s="35"/>
      <c r="AO98" s="35">
        <f t="shared" si="318"/>
        <v>0</v>
      </c>
      <c r="AP98" s="35"/>
      <c r="AQ98" s="35"/>
      <c r="AS98" s="37"/>
      <c r="AT98" s="35"/>
      <c r="AU98" s="35">
        <f t="shared" si="319"/>
        <v>400000</v>
      </c>
      <c r="AV98" s="35"/>
      <c r="AW98" s="35"/>
      <c r="AY98" s="37"/>
      <c r="AZ98" s="35"/>
      <c r="BA98" s="35">
        <f t="shared" si="320"/>
        <v>644000</v>
      </c>
      <c r="BB98" s="35"/>
      <c r="BC98" s="35"/>
      <c r="BE98" s="37"/>
      <c r="BF98" s="35"/>
      <c r="BG98" s="35">
        <f t="shared" si="321"/>
        <v>0</v>
      </c>
      <c r="BH98" s="35"/>
      <c r="BI98" s="35"/>
      <c r="BK98" s="37"/>
      <c r="BL98" s="35"/>
      <c r="BM98" s="35">
        <f t="shared" si="322"/>
        <v>0</v>
      </c>
      <c r="BN98" s="35"/>
      <c r="BO98" s="35"/>
      <c r="BQ98" s="37"/>
      <c r="BR98" s="35"/>
      <c r="BS98" s="35">
        <f t="shared" si="323"/>
        <v>0</v>
      </c>
      <c r="BT98" s="35"/>
      <c r="BU98" s="35"/>
      <c r="BW98" s="37"/>
      <c r="BX98" s="35"/>
      <c r="BY98" s="35">
        <f t="shared" si="324"/>
        <v>0</v>
      </c>
      <c r="BZ98" s="35"/>
      <c r="CA98" s="35"/>
      <c r="CC98" s="37"/>
      <c r="CD98" s="35"/>
      <c r="CE98" s="35">
        <f t="shared" si="325"/>
        <v>454000</v>
      </c>
      <c r="CF98" s="35"/>
      <c r="CG98" s="35"/>
      <c r="CI98" s="37"/>
      <c r="CJ98" s="35"/>
      <c r="CK98" s="35">
        <f t="shared" si="326"/>
        <v>500000</v>
      </c>
      <c r="CL98" s="35"/>
      <c r="CM98" s="35"/>
      <c r="CO98" s="37"/>
      <c r="CP98" s="35"/>
      <c r="CQ98" s="35">
        <f t="shared" si="327"/>
        <v>0</v>
      </c>
      <c r="CR98" s="35"/>
      <c r="CS98" s="35"/>
      <c r="CU98" s="37"/>
      <c r="CV98" s="35"/>
      <c r="CW98" s="35">
        <f t="shared" si="328"/>
        <v>502000</v>
      </c>
      <c r="CX98" s="35"/>
      <c r="CY98" s="35"/>
      <c r="DA98" s="37"/>
      <c r="DB98" s="35"/>
      <c r="DC98" s="35">
        <f t="shared" si="329"/>
        <v>0</v>
      </c>
      <c r="DD98" s="35"/>
      <c r="DE98" s="35"/>
      <c r="DG98" s="37"/>
      <c r="DH98" s="35"/>
      <c r="DI98" s="35">
        <f t="shared" si="330"/>
        <v>0</v>
      </c>
      <c r="DJ98" s="35"/>
      <c r="DK98" s="35"/>
      <c r="DM98" s="37"/>
      <c r="DN98" s="35"/>
      <c r="DO98" s="35">
        <f t="shared" si="331"/>
        <v>0</v>
      </c>
      <c r="DP98" s="35"/>
      <c r="DQ98" s="35"/>
      <c r="DS98" s="37"/>
      <c r="DT98" s="35"/>
      <c r="DU98" s="35">
        <f t="shared" si="332"/>
        <v>0</v>
      </c>
      <c r="DV98" s="35"/>
      <c r="DW98" s="35"/>
      <c r="DY98" s="37"/>
      <c r="DZ98" s="35"/>
      <c r="EA98" s="35">
        <f t="shared" si="333"/>
        <v>250000</v>
      </c>
      <c r="EB98" s="35"/>
      <c r="EC98" s="35"/>
      <c r="EE98" s="37"/>
      <c r="EF98" s="35"/>
      <c r="EG98" s="35">
        <f t="shared" si="334"/>
        <v>0</v>
      </c>
      <c r="EH98" s="35"/>
      <c r="EI98" s="35"/>
      <c r="EK98" s="37"/>
      <c r="EL98" s="35"/>
      <c r="EM98" s="35">
        <f t="shared" si="335"/>
        <v>0</v>
      </c>
      <c r="EN98" s="35"/>
      <c r="EO98" s="35"/>
      <c r="EQ98" s="37"/>
      <c r="ER98" s="35"/>
      <c r="ES98" s="35">
        <f t="shared" si="336"/>
        <v>0</v>
      </c>
      <c r="ET98" s="35"/>
      <c r="EU98" s="35"/>
      <c r="EW98" s="37"/>
      <c r="EX98" s="35"/>
      <c r="EY98" s="35">
        <f t="shared" si="337"/>
        <v>0</v>
      </c>
      <c r="EZ98" s="35"/>
      <c r="FA98" s="35"/>
      <c r="FC98" s="37"/>
      <c r="FD98" s="35"/>
      <c r="FE98" s="35">
        <f t="shared" si="338"/>
        <v>317500</v>
      </c>
      <c r="FF98" s="35"/>
      <c r="FG98" s="35"/>
      <c r="FI98" s="37"/>
      <c r="FJ98" s="35"/>
      <c r="FK98" s="35">
        <f t="shared" si="339"/>
        <v>350000</v>
      </c>
      <c r="FL98" s="35"/>
      <c r="FM98" s="35"/>
      <c r="FO98" s="37"/>
      <c r="FP98" s="35"/>
      <c r="FQ98" s="35">
        <f t="shared" si="340"/>
        <v>400000</v>
      </c>
      <c r="FR98" s="35"/>
      <c r="FS98" s="35"/>
      <c r="FU98" s="37"/>
      <c r="FV98" s="35"/>
      <c r="FW98" s="35">
        <f t="shared" si="341"/>
        <v>0</v>
      </c>
      <c r="FX98" s="35"/>
      <c r="FY98" s="35"/>
      <c r="GA98" s="37"/>
      <c r="GB98" s="35"/>
      <c r="GC98" s="35">
        <f t="shared" si="342"/>
        <v>214000</v>
      </c>
      <c r="GD98" s="35"/>
      <c r="GE98" s="35"/>
      <c r="GG98" s="37"/>
      <c r="GH98" s="35"/>
      <c r="GI98" s="35">
        <f t="shared" si="343"/>
        <v>0</v>
      </c>
      <c r="GJ98" s="35"/>
      <c r="GK98" s="35"/>
      <c r="GM98" s="37"/>
      <c r="GN98" s="35"/>
      <c r="GO98" s="35">
        <f t="shared" si="344"/>
        <v>0</v>
      </c>
      <c r="GP98" s="35"/>
      <c r="GQ98" s="35"/>
      <c r="GS98" s="37"/>
      <c r="GT98" s="35"/>
      <c r="GU98" s="35">
        <f t="shared" si="345"/>
        <v>0</v>
      </c>
      <c r="GV98" s="35"/>
      <c r="GW98" s="35"/>
      <c r="GY98" s="37"/>
      <c r="GZ98" s="35"/>
      <c r="HA98" s="35">
        <f t="shared" si="346"/>
        <v>0</v>
      </c>
      <c r="HB98" s="35"/>
      <c r="HC98" s="35"/>
    </row>
    <row r="99" spans="1:211" s="36" customFormat="1" hidden="1" outlineLevel="2" x14ac:dyDescent="0.2">
      <c r="A99" s="36" t="s">
        <v>93</v>
      </c>
      <c r="B99" s="35">
        <f t="shared" si="311"/>
        <v>5688500</v>
      </c>
      <c r="C99" s="37"/>
      <c r="D99" s="35"/>
      <c r="E99" s="35">
        <f t="shared" si="312"/>
        <v>450000</v>
      </c>
      <c r="F99" s="35"/>
      <c r="G99" s="35"/>
      <c r="I99" s="37"/>
      <c r="J99" s="35"/>
      <c r="K99" s="35">
        <f t="shared" si="313"/>
        <v>0</v>
      </c>
      <c r="L99" s="35"/>
      <c r="M99" s="35"/>
      <c r="O99" s="37"/>
      <c r="P99" s="35"/>
      <c r="Q99" s="35">
        <f t="shared" si="314"/>
        <v>214000</v>
      </c>
      <c r="R99" s="35"/>
      <c r="S99" s="35"/>
      <c r="U99" s="37"/>
      <c r="V99" s="35"/>
      <c r="W99" s="35">
        <f t="shared" si="315"/>
        <v>0</v>
      </c>
      <c r="X99" s="35"/>
      <c r="Y99" s="35"/>
      <c r="AA99" s="37"/>
      <c r="AB99" s="35"/>
      <c r="AC99" s="35">
        <f t="shared" si="316"/>
        <v>400000</v>
      </c>
      <c r="AD99" s="35"/>
      <c r="AE99" s="35"/>
      <c r="AG99" s="37"/>
      <c r="AH99" s="35"/>
      <c r="AI99" s="35">
        <f t="shared" si="317"/>
        <v>0</v>
      </c>
      <c r="AJ99" s="35"/>
      <c r="AK99" s="35"/>
      <c r="AM99" s="37"/>
      <c r="AN99" s="35"/>
      <c r="AO99" s="35">
        <f t="shared" si="318"/>
        <v>446000</v>
      </c>
      <c r="AP99" s="35"/>
      <c r="AQ99" s="35"/>
      <c r="AS99" s="37"/>
      <c r="AT99" s="35"/>
      <c r="AU99" s="35">
        <f t="shared" si="319"/>
        <v>0</v>
      </c>
      <c r="AV99" s="35"/>
      <c r="AW99" s="35"/>
      <c r="AY99" s="37"/>
      <c r="AZ99" s="35"/>
      <c r="BA99" s="35">
        <f t="shared" si="320"/>
        <v>0</v>
      </c>
      <c r="BB99" s="35"/>
      <c r="BC99" s="35"/>
      <c r="BE99" s="37"/>
      <c r="BF99" s="35"/>
      <c r="BG99" s="35">
        <f t="shared" si="321"/>
        <v>0</v>
      </c>
      <c r="BH99" s="35"/>
      <c r="BI99" s="35"/>
      <c r="BK99" s="37"/>
      <c r="BL99" s="35"/>
      <c r="BM99" s="35">
        <f t="shared" si="322"/>
        <v>0</v>
      </c>
      <c r="BN99" s="35"/>
      <c r="BO99" s="35"/>
      <c r="BQ99" s="37"/>
      <c r="BR99" s="35"/>
      <c r="BS99" s="35">
        <f t="shared" si="323"/>
        <v>678000</v>
      </c>
      <c r="BT99" s="35"/>
      <c r="BU99" s="35"/>
      <c r="BW99" s="37"/>
      <c r="BX99" s="35"/>
      <c r="BY99" s="35">
        <f t="shared" si="324"/>
        <v>0</v>
      </c>
      <c r="BZ99" s="35"/>
      <c r="CA99" s="35"/>
      <c r="CC99" s="37"/>
      <c r="CD99" s="35"/>
      <c r="CE99" s="35">
        <f t="shared" si="325"/>
        <v>454000</v>
      </c>
      <c r="CF99" s="35"/>
      <c r="CG99" s="35"/>
      <c r="CI99" s="37"/>
      <c r="CJ99" s="35"/>
      <c r="CK99" s="35">
        <f t="shared" si="326"/>
        <v>0</v>
      </c>
      <c r="CL99" s="35"/>
      <c r="CM99" s="35"/>
      <c r="CO99" s="37"/>
      <c r="CP99" s="35"/>
      <c r="CQ99" s="35">
        <f t="shared" si="327"/>
        <v>0</v>
      </c>
      <c r="CR99" s="35"/>
      <c r="CS99" s="35"/>
      <c r="CU99" s="37"/>
      <c r="CV99" s="35"/>
      <c r="CW99" s="35">
        <f t="shared" si="328"/>
        <v>214000</v>
      </c>
      <c r="CX99" s="35"/>
      <c r="CY99" s="35"/>
      <c r="DA99" s="37"/>
      <c r="DB99" s="35"/>
      <c r="DC99" s="35">
        <f t="shared" si="329"/>
        <v>0</v>
      </c>
      <c r="DD99" s="35"/>
      <c r="DE99" s="35"/>
      <c r="DG99" s="37"/>
      <c r="DH99" s="35"/>
      <c r="DI99" s="35">
        <f t="shared" si="330"/>
        <v>0</v>
      </c>
      <c r="DJ99" s="35"/>
      <c r="DK99" s="35"/>
      <c r="DM99" s="37"/>
      <c r="DN99" s="35"/>
      <c r="DO99" s="35">
        <f t="shared" si="331"/>
        <v>0</v>
      </c>
      <c r="DP99" s="35"/>
      <c r="DQ99" s="35"/>
      <c r="DS99" s="37"/>
      <c r="DT99" s="35"/>
      <c r="DU99" s="35">
        <f t="shared" si="332"/>
        <v>0</v>
      </c>
      <c r="DV99" s="35"/>
      <c r="DW99" s="35"/>
      <c r="DY99" s="37"/>
      <c r="DZ99" s="35"/>
      <c r="EA99" s="35">
        <f t="shared" si="333"/>
        <v>500000</v>
      </c>
      <c r="EB99" s="35"/>
      <c r="EC99" s="35"/>
      <c r="EE99" s="37"/>
      <c r="EF99" s="35"/>
      <c r="EG99" s="35">
        <f t="shared" si="334"/>
        <v>0</v>
      </c>
      <c r="EH99" s="35"/>
      <c r="EI99" s="35"/>
      <c r="EK99" s="37"/>
      <c r="EL99" s="35"/>
      <c r="EM99" s="35">
        <f t="shared" si="335"/>
        <v>0</v>
      </c>
      <c r="EN99" s="35"/>
      <c r="EO99" s="35"/>
      <c r="EQ99" s="37"/>
      <c r="ER99" s="35"/>
      <c r="ES99" s="35">
        <f t="shared" si="336"/>
        <v>271000</v>
      </c>
      <c r="ET99" s="35"/>
      <c r="EU99" s="35"/>
      <c r="EW99" s="37"/>
      <c r="EX99" s="35"/>
      <c r="EY99" s="35">
        <f t="shared" si="337"/>
        <v>0</v>
      </c>
      <c r="EZ99" s="35"/>
      <c r="FA99" s="35"/>
      <c r="FC99" s="37"/>
      <c r="FD99" s="35"/>
      <c r="FE99" s="35">
        <f t="shared" si="338"/>
        <v>317500</v>
      </c>
      <c r="FF99" s="35"/>
      <c r="FG99" s="35"/>
      <c r="FI99" s="37"/>
      <c r="FJ99" s="35"/>
      <c r="FK99" s="35">
        <f t="shared" si="339"/>
        <v>1330000</v>
      </c>
      <c r="FL99" s="35"/>
      <c r="FM99" s="35"/>
      <c r="FO99" s="37"/>
      <c r="FP99" s="35"/>
      <c r="FQ99" s="35">
        <f t="shared" si="340"/>
        <v>200000</v>
      </c>
      <c r="FR99" s="35"/>
      <c r="FS99" s="35"/>
      <c r="FU99" s="37"/>
      <c r="FV99" s="35"/>
      <c r="FW99" s="35">
        <f t="shared" si="341"/>
        <v>0</v>
      </c>
      <c r="FX99" s="35"/>
      <c r="FY99" s="35"/>
      <c r="GA99" s="37"/>
      <c r="GB99" s="35"/>
      <c r="GC99" s="35">
        <f t="shared" si="342"/>
        <v>214000</v>
      </c>
      <c r="GD99" s="35"/>
      <c r="GE99" s="35"/>
      <c r="GG99" s="37"/>
      <c r="GH99" s="35"/>
      <c r="GI99" s="35">
        <f t="shared" si="343"/>
        <v>0</v>
      </c>
      <c r="GJ99" s="35"/>
      <c r="GK99" s="35"/>
      <c r="GM99" s="37"/>
      <c r="GN99" s="35"/>
      <c r="GO99" s="35">
        <f t="shared" si="344"/>
        <v>0</v>
      </c>
      <c r="GP99" s="35"/>
      <c r="GQ99" s="35"/>
      <c r="GS99" s="37"/>
      <c r="GT99" s="35"/>
      <c r="GU99" s="35">
        <f t="shared" si="345"/>
        <v>0</v>
      </c>
      <c r="GV99" s="35"/>
      <c r="GW99" s="35"/>
      <c r="GY99" s="37"/>
      <c r="GZ99" s="35"/>
      <c r="HA99" s="35">
        <f t="shared" si="346"/>
        <v>0</v>
      </c>
      <c r="HB99" s="35"/>
      <c r="HC99" s="35"/>
    </row>
    <row r="100" spans="1:211" s="36" customFormat="1" hidden="1" outlineLevel="2" x14ac:dyDescent="0.2">
      <c r="A100" s="36" t="s">
        <v>94</v>
      </c>
      <c r="B100" s="35">
        <f t="shared" si="311"/>
        <v>4001000</v>
      </c>
      <c r="C100" s="37"/>
      <c r="D100" s="35"/>
      <c r="E100" s="35">
        <f t="shared" si="312"/>
        <v>550000</v>
      </c>
      <c r="F100" s="35"/>
      <c r="G100" s="35"/>
      <c r="I100" s="37"/>
      <c r="J100" s="35"/>
      <c r="K100" s="35">
        <f t="shared" si="313"/>
        <v>0</v>
      </c>
      <c r="L100" s="35"/>
      <c r="M100" s="35"/>
      <c r="O100" s="37"/>
      <c r="P100" s="35"/>
      <c r="Q100" s="35">
        <f t="shared" si="314"/>
        <v>214000</v>
      </c>
      <c r="R100" s="35"/>
      <c r="S100" s="35"/>
      <c r="U100" s="37"/>
      <c r="V100" s="35"/>
      <c r="W100" s="35">
        <f t="shared" si="315"/>
        <v>0</v>
      </c>
      <c r="X100" s="35"/>
      <c r="Y100" s="35"/>
      <c r="AA100" s="37"/>
      <c r="AB100" s="35"/>
      <c r="AC100" s="35">
        <f t="shared" si="316"/>
        <v>322000</v>
      </c>
      <c r="AD100" s="35"/>
      <c r="AE100" s="35"/>
      <c r="AG100" s="37"/>
      <c r="AH100" s="35"/>
      <c r="AI100" s="35">
        <f t="shared" si="317"/>
        <v>0</v>
      </c>
      <c r="AJ100" s="35"/>
      <c r="AK100" s="35"/>
      <c r="AM100" s="37"/>
      <c r="AN100" s="35"/>
      <c r="AO100" s="35">
        <f t="shared" si="318"/>
        <v>0</v>
      </c>
      <c r="AP100" s="35"/>
      <c r="AQ100" s="35"/>
      <c r="AS100" s="37"/>
      <c r="AT100" s="35"/>
      <c r="AU100" s="35">
        <f t="shared" si="319"/>
        <v>0</v>
      </c>
      <c r="AV100" s="35"/>
      <c r="AW100" s="35"/>
      <c r="AY100" s="37"/>
      <c r="AZ100" s="35"/>
      <c r="BA100" s="35">
        <f t="shared" si="320"/>
        <v>177000</v>
      </c>
      <c r="BB100" s="35"/>
      <c r="BC100" s="35"/>
      <c r="BE100" s="37"/>
      <c r="BF100" s="35"/>
      <c r="BG100" s="35">
        <f t="shared" si="321"/>
        <v>856000</v>
      </c>
      <c r="BH100" s="35"/>
      <c r="BI100" s="35"/>
      <c r="BK100" s="37"/>
      <c r="BL100" s="35"/>
      <c r="BM100" s="35">
        <f t="shared" si="322"/>
        <v>0</v>
      </c>
      <c r="BN100" s="35"/>
      <c r="BO100" s="35"/>
      <c r="BQ100" s="37"/>
      <c r="BR100" s="35"/>
      <c r="BS100" s="35">
        <f t="shared" si="323"/>
        <v>0</v>
      </c>
      <c r="BT100" s="35"/>
      <c r="BU100" s="35"/>
      <c r="BW100" s="37"/>
      <c r="BX100" s="35"/>
      <c r="BY100" s="35">
        <f t="shared" si="324"/>
        <v>0</v>
      </c>
      <c r="BZ100" s="35"/>
      <c r="CA100" s="35"/>
      <c r="CC100" s="37"/>
      <c r="CD100" s="35"/>
      <c r="CE100" s="35">
        <f t="shared" si="325"/>
        <v>454000</v>
      </c>
      <c r="CF100" s="35"/>
      <c r="CG100" s="35"/>
      <c r="CI100" s="37"/>
      <c r="CJ100" s="35"/>
      <c r="CK100" s="35">
        <f t="shared" si="326"/>
        <v>1000000</v>
      </c>
      <c r="CL100" s="35"/>
      <c r="CM100" s="35"/>
      <c r="CO100" s="37"/>
      <c r="CP100" s="35"/>
      <c r="CQ100" s="35">
        <f t="shared" si="327"/>
        <v>0</v>
      </c>
      <c r="CR100" s="35"/>
      <c r="CS100" s="35"/>
      <c r="CU100" s="37"/>
      <c r="CV100" s="35"/>
      <c r="CW100" s="35">
        <f t="shared" si="328"/>
        <v>214000</v>
      </c>
      <c r="CX100" s="35"/>
      <c r="CY100" s="35"/>
      <c r="DA100" s="37"/>
      <c r="DB100" s="35"/>
      <c r="DC100" s="35">
        <f t="shared" si="329"/>
        <v>0</v>
      </c>
      <c r="DD100" s="35"/>
      <c r="DE100" s="35"/>
      <c r="DG100" s="37"/>
      <c r="DH100" s="35"/>
      <c r="DI100" s="35">
        <f t="shared" si="330"/>
        <v>0</v>
      </c>
      <c r="DJ100" s="35"/>
      <c r="DK100" s="35"/>
      <c r="DM100" s="37"/>
      <c r="DN100" s="35"/>
      <c r="DO100" s="35">
        <f t="shared" si="331"/>
        <v>0</v>
      </c>
      <c r="DP100" s="35"/>
      <c r="DQ100" s="35"/>
      <c r="DS100" s="37"/>
      <c r="DT100" s="35"/>
      <c r="DU100" s="35">
        <f t="shared" si="332"/>
        <v>0</v>
      </c>
      <c r="DV100" s="35"/>
      <c r="DW100" s="35"/>
      <c r="DY100" s="37"/>
      <c r="DZ100" s="35"/>
      <c r="EA100" s="35">
        <f t="shared" si="333"/>
        <v>0</v>
      </c>
      <c r="EB100" s="35"/>
      <c r="EC100" s="35"/>
      <c r="EE100" s="37"/>
      <c r="EF100" s="35"/>
      <c r="EG100" s="35">
        <f t="shared" si="334"/>
        <v>0</v>
      </c>
      <c r="EH100" s="35"/>
      <c r="EI100" s="35"/>
      <c r="EK100" s="37"/>
      <c r="EL100" s="35"/>
      <c r="EM100" s="35">
        <f t="shared" si="335"/>
        <v>0</v>
      </c>
      <c r="EN100" s="35"/>
      <c r="EO100" s="35"/>
      <c r="EQ100" s="37"/>
      <c r="ER100" s="35"/>
      <c r="ES100" s="35">
        <f t="shared" si="336"/>
        <v>0</v>
      </c>
      <c r="ET100" s="35"/>
      <c r="EU100" s="35"/>
      <c r="EW100" s="37"/>
      <c r="EX100" s="35"/>
      <c r="EY100" s="35">
        <f t="shared" si="337"/>
        <v>0</v>
      </c>
      <c r="EZ100" s="35"/>
      <c r="FA100" s="35"/>
      <c r="FC100" s="37"/>
      <c r="FD100" s="35"/>
      <c r="FE100" s="35">
        <f t="shared" si="338"/>
        <v>0</v>
      </c>
      <c r="FF100" s="35"/>
      <c r="FG100" s="35"/>
      <c r="FI100" s="37"/>
      <c r="FJ100" s="35"/>
      <c r="FK100" s="35">
        <f t="shared" si="339"/>
        <v>0</v>
      </c>
      <c r="FL100" s="35"/>
      <c r="FM100" s="35"/>
      <c r="FO100" s="37"/>
      <c r="FP100" s="35"/>
      <c r="FQ100" s="35">
        <f t="shared" si="340"/>
        <v>0</v>
      </c>
      <c r="FR100" s="35"/>
      <c r="FS100" s="35"/>
      <c r="FU100" s="37"/>
      <c r="FV100" s="35"/>
      <c r="FW100" s="35">
        <f t="shared" si="341"/>
        <v>0</v>
      </c>
      <c r="FX100" s="35"/>
      <c r="FY100" s="35"/>
      <c r="GA100" s="37"/>
      <c r="GB100" s="35"/>
      <c r="GC100" s="35">
        <f t="shared" si="342"/>
        <v>214000</v>
      </c>
      <c r="GD100" s="35"/>
      <c r="GE100" s="35"/>
      <c r="GG100" s="37"/>
      <c r="GH100" s="35"/>
      <c r="GI100" s="35">
        <f t="shared" si="343"/>
        <v>0</v>
      </c>
      <c r="GJ100" s="35"/>
      <c r="GK100" s="35"/>
      <c r="GM100" s="37"/>
      <c r="GN100" s="35"/>
      <c r="GO100" s="35">
        <f t="shared" si="344"/>
        <v>0</v>
      </c>
      <c r="GP100" s="35"/>
      <c r="GQ100" s="35"/>
      <c r="GS100" s="37"/>
      <c r="GT100" s="35"/>
      <c r="GU100" s="35">
        <f t="shared" si="345"/>
        <v>0</v>
      </c>
      <c r="GV100" s="35"/>
      <c r="GW100" s="35"/>
      <c r="GY100" s="37"/>
      <c r="GZ100" s="35"/>
      <c r="HA100" s="35">
        <f t="shared" si="346"/>
        <v>0</v>
      </c>
      <c r="HB100" s="35"/>
      <c r="HC100" s="35"/>
    </row>
    <row r="101" spans="1:211" s="36" customFormat="1" hidden="1" outlineLevel="2" x14ac:dyDescent="0.2">
      <c r="A101" s="36" t="s">
        <v>95</v>
      </c>
      <c r="B101" s="35">
        <f t="shared" si="311"/>
        <v>5577500</v>
      </c>
      <c r="C101" s="37"/>
      <c r="D101" s="35"/>
      <c r="E101" s="35">
        <f t="shared" si="312"/>
        <v>350000</v>
      </c>
      <c r="F101" s="35"/>
      <c r="G101" s="35"/>
      <c r="I101" s="37"/>
      <c r="J101" s="35"/>
      <c r="K101" s="35">
        <f t="shared" si="313"/>
        <v>0</v>
      </c>
      <c r="L101" s="35"/>
      <c r="M101" s="35"/>
      <c r="O101" s="37"/>
      <c r="P101" s="35"/>
      <c r="Q101" s="35">
        <f t="shared" si="314"/>
        <v>214000</v>
      </c>
      <c r="R101" s="35"/>
      <c r="S101" s="35"/>
      <c r="U101" s="37"/>
      <c r="V101" s="35"/>
      <c r="W101" s="35">
        <f t="shared" si="315"/>
        <v>0</v>
      </c>
      <c r="X101" s="35"/>
      <c r="Y101" s="35"/>
      <c r="AA101" s="37"/>
      <c r="AB101" s="35"/>
      <c r="AC101" s="35">
        <f t="shared" si="316"/>
        <v>325000</v>
      </c>
      <c r="AD101" s="35"/>
      <c r="AE101" s="35"/>
      <c r="AG101" s="37"/>
      <c r="AH101" s="35"/>
      <c r="AI101" s="35">
        <f t="shared" si="317"/>
        <v>0</v>
      </c>
      <c r="AJ101" s="35"/>
      <c r="AK101" s="35"/>
      <c r="AM101" s="37"/>
      <c r="AN101" s="35"/>
      <c r="AO101" s="35">
        <f t="shared" si="318"/>
        <v>446000</v>
      </c>
      <c r="AP101" s="35"/>
      <c r="AQ101" s="35"/>
      <c r="AS101" s="37"/>
      <c r="AT101" s="35"/>
      <c r="AU101" s="35">
        <f t="shared" si="319"/>
        <v>0</v>
      </c>
      <c r="AV101" s="35"/>
      <c r="AW101" s="35"/>
      <c r="AY101" s="37"/>
      <c r="AZ101" s="35"/>
      <c r="BA101" s="35">
        <f t="shared" si="320"/>
        <v>322000</v>
      </c>
      <c r="BB101" s="35"/>
      <c r="BC101" s="35"/>
      <c r="BE101" s="37"/>
      <c r="BF101" s="35"/>
      <c r="BG101" s="35">
        <f t="shared" si="321"/>
        <v>0</v>
      </c>
      <c r="BH101" s="35"/>
      <c r="BI101" s="35"/>
      <c r="BK101" s="37"/>
      <c r="BL101" s="35"/>
      <c r="BM101" s="35">
        <f t="shared" si="322"/>
        <v>0</v>
      </c>
      <c r="BN101" s="35"/>
      <c r="BO101" s="35"/>
      <c r="BQ101" s="37"/>
      <c r="BR101" s="35"/>
      <c r="BS101" s="35">
        <f t="shared" si="323"/>
        <v>0</v>
      </c>
      <c r="BT101" s="35"/>
      <c r="BU101" s="35"/>
      <c r="BW101" s="37"/>
      <c r="BX101" s="35"/>
      <c r="BY101" s="35">
        <f t="shared" si="324"/>
        <v>0</v>
      </c>
      <c r="BZ101" s="35"/>
      <c r="CA101" s="35"/>
      <c r="CC101" s="37"/>
      <c r="CD101" s="35"/>
      <c r="CE101" s="35">
        <f t="shared" si="325"/>
        <v>454000</v>
      </c>
      <c r="CF101" s="35"/>
      <c r="CG101" s="35"/>
      <c r="CI101" s="37"/>
      <c r="CJ101" s="35"/>
      <c r="CK101" s="35">
        <f t="shared" si="326"/>
        <v>0</v>
      </c>
      <c r="CL101" s="35"/>
      <c r="CM101" s="35"/>
      <c r="CO101" s="37"/>
      <c r="CP101" s="35"/>
      <c r="CQ101" s="35">
        <f t="shared" si="327"/>
        <v>0</v>
      </c>
      <c r="CR101" s="35"/>
      <c r="CS101" s="35"/>
      <c r="CU101" s="37"/>
      <c r="CV101" s="35"/>
      <c r="CW101" s="35">
        <f t="shared" si="328"/>
        <v>428000</v>
      </c>
      <c r="CX101" s="35"/>
      <c r="CY101" s="35"/>
      <c r="DA101" s="37"/>
      <c r="DB101" s="35"/>
      <c r="DC101" s="35">
        <f t="shared" si="329"/>
        <v>0</v>
      </c>
      <c r="DD101" s="35"/>
      <c r="DE101" s="35"/>
      <c r="DG101" s="37"/>
      <c r="DH101" s="35"/>
      <c r="DI101" s="35">
        <f t="shared" si="330"/>
        <v>0</v>
      </c>
      <c r="DJ101" s="35"/>
      <c r="DK101" s="35"/>
      <c r="DM101" s="37"/>
      <c r="DN101" s="35"/>
      <c r="DO101" s="35">
        <f t="shared" si="331"/>
        <v>0</v>
      </c>
      <c r="DP101" s="35"/>
      <c r="DQ101" s="35"/>
      <c r="DS101" s="37"/>
      <c r="DT101" s="35"/>
      <c r="DU101" s="35">
        <f t="shared" si="332"/>
        <v>0</v>
      </c>
      <c r="DV101" s="35"/>
      <c r="DW101" s="35"/>
      <c r="DY101" s="37"/>
      <c r="DZ101" s="35"/>
      <c r="EA101" s="35">
        <f t="shared" si="333"/>
        <v>300000</v>
      </c>
      <c r="EB101" s="35"/>
      <c r="EC101" s="35"/>
      <c r="EE101" s="37"/>
      <c r="EF101" s="35"/>
      <c r="EG101" s="35">
        <f t="shared" si="334"/>
        <v>0</v>
      </c>
      <c r="EH101" s="35"/>
      <c r="EI101" s="35"/>
      <c r="EK101" s="37"/>
      <c r="EL101" s="35"/>
      <c r="EM101" s="35">
        <f t="shared" si="335"/>
        <v>500000</v>
      </c>
      <c r="EN101" s="35"/>
      <c r="EO101" s="35"/>
      <c r="EQ101" s="37"/>
      <c r="ER101" s="35"/>
      <c r="ES101" s="35">
        <f t="shared" si="336"/>
        <v>271000</v>
      </c>
      <c r="ET101" s="35"/>
      <c r="EU101" s="35"/>
      <c r="EW101" s="37"/>
      <c r="EX101" s="35"/>
      <c r="EY101" s="35">
        <f t="shared" si="337"/>
        <v>0</v>
      </c>
      <c r="EZ101" s="35"/>
      <c r="FA101" s="35"/>
      <c r="FC101" s="37"/>
      <c r="FD101" s="35"/>
      <c r="FE101" s="35">
        <f t="shared" si="338"/>
        <v>317500</v>
      </c>
      <c r="FF101" s="35"/>
      <c r="FG101" s="35"/>
      <c r="FI101" s="37"/>
      <c r="FJ101" s="35"/>
      <c r="FK101" s="35">
        <f t="shared" si="339"/>
        <v>350000</v>
      </c>
      <c r="FL101" s="35"/>
      <c r="FM101" s="35"/>
      <c r="FO101" s="37"/>
      <c r="FP101" s="35"/>
      <c r="FQ101" s="35">
        <f t="shared" si="340"/>
        <v>400000</v>
      </c>
      <c r="FR101" s="35"/>
      <c r="FS101" s="35"/>
      <c r="FU101" s="37"/>
      <c r="FV101" s="35"/>
      <c r="FW101" s="35">
        <f t="shared" si="341"/>
        <v>0</v>
      </c>
      <c r="FX101" s="35"/>
      <c r="FY101" s="35"/>
      <c r="GA101" s="37"/>
      <c r="GB101" s="35"/>
      <c r="GC101" s="35">
        <f t="shared" si="342"/>
        <v>500000</v>
      </c>
      <c r="GD101" s="35"/>
      <c r="GE101" s="35"/>
      <c r="GG101" s="37"/>
      <c r="GH101" s="35"/>
      <c r="GI101" s="35">
        <f t="shared" si="343"/>
        <v>0</v>
      </c>
      <c r="GJ101" s="35"/>
      <c r="GK101" s="35"/>
      <c r="GM101" s="37"/>
      <c r="GN101" s="35"/>
      <c r="GO101" s="35">
        <f t="shared" si="344"/>
        <v>400000</v>
      </c>
      <c r="GP101" s="35"/>
      <c r="GQ101" s="35"/>
      <c r="GS101" s="37"/>
      <c r="GT101" s="35"/>
      <c r="GU101" s="35">
        <f t="shared" si="345"/>
        <v>0</v>
      </c>
      <c r="GV101" s="35"/>
      <c r="GW101" s="35"/>
      <c r="GY101" s="37"/>
      <c r="GZ101" s="35"/>
      <c r="HA101" s="35">
        <f t="shared" si="346"/>
        <v>0</v>
      </c>
      <c r="HB101" s="35"/>
      <c r="HC101" s="35"/>
    </row>
    <row r="102" spans="1:211" s="36" customFormat="1" hidden="1" outlineLevel="2" x14ac:dyDescent="0.2">
      <c r="A102" s="36" t="s">
        <v>96</v>
      </c>
      <c r="B102" s="35">
        <f t="shared" si="311"/>
        <v>4282500</v>
      </c>
      <c r="C102" s="37"/>
      <c r="D102" s="35"/>
      <c r="E102" s="35">
        <f t="shared" si="312"/>
        <v>0</v>
      </c>
      <c r="F102" s="35"/>
      <c r="G102" s="35"/>
      <c r="I102" s="37"/>
      <c r="J102" s="35"/>
      <c r="K102" s="35">
        <f t="shared" si="313"/>
        <v>0</v>
      </c>
      <c r="L102" s="35"/>
      <c r="M102" s="35"/>
      <c r="O102" s="37"/>
      <c r="P102" s="35"/>
      <c r="Q102" s="35">
        <f t="shared" si="314"/>
        <v>214000</v>
      </c>
      <c r="R102" s="35"/>
      <c r="S102" s="35"/>
      <c r="U102" s="37"/>
      <c r="V102" s="35"/>
      <c r="W102" s="35">
        <f t="shared" si="315"/>
        <v>0</v>
      </c>
      <c r="X102" s="35"/>
      <c r="Y102" s="35"/>
      <c r="AA102" s="37"/>
      <c r="AB102" s="35"/>
      <c r="AC102" s="35">
        <f t="shared" si="316"/>
        <v>325000</v>
      </c>
      <c r="AD102" s="35"/>
      <c r="AE102" s="35"/>
      <c r="AG102" s="37"/>
      <c r="AH102" s="35"/>
      <c r="AI102" s="35">
        <f t="shared" si="317"/>
        <v>0</v>
      </c>
      <c r="AJ102" s="35"/>
      <c r="AK102" s="35"/>
      <c r="AM102" s="37"/>
      <c r="AN102" s="35"/>
      <c r="AO102" s="35">
        <f t="shared" si="318"/>
        <v>0</v>
      </c>
      <c r="AP102" s="35"/>
      <c r="AQ102" s="35"/>
      <c r="AS102" s="37"/>
      <c r="AT102" s="35"/>
      <c r="AU102" s="35">
        <f t="shared" si="319"/>
        <v>0</v>
      </c>
      <c r="AV102" s="35"/>
      <c r="AW102" s="35"/>
      <c r="AY102" s="37"/>
      <c r="AZ102" s="35"/>
      <c r="BA102" s="35">
        <f t="shared" si="320"/>
        <v>322000</v>
      </c>
      <c r="BB102" s="35"/>
      <c r="BC102" s="35"/>
      <c r="BE102" s="37"/>
      <c r="BF102" s="35"/>
      <c r="BG102" s="35">
        <f t="shared" si="321"/>
        <v>0</v>
      </c>
      <c r="BH102" s="35"/>
      <c r="BI102" s="35"/>
      <c r="BK102" s="37"/>
      <c r="BL102" s="35"/>
      <c r="BM102" s="35">
        <f t="shared" si="322"/>
        <v>0</v>
      </c>
      <c r="BN102" s="35"/>
      <c r="BO102" s="35"/>
      <c r="BQ102" s="37"/>
      <c r="BR102" s="35"/>
      <c r="BS102" s="35">
        <f t="shared" si="323"/>
        <v>0</v>
      </c>
      <c r="BT102" s="35"/>
      <c r="BU102" s="35"/>
      <c r="BW102" s="37"/>
      <c r="BX102" s="35"/>
      <c r="BY102" s="35">
        <f t="shared" si="324"/>
        <v>0</v>
      </c>
      <c r="BZ102" s="35"/>
      <c r="CA102" s="35"/>
      <c r="CC102" s="37"/>
      <c r="CD102" s="35"/>
      <c r="CE102" s="35">
        <f t="shared" si="325"/>
        <v>454000</v>
      </c>
      <c r="CF102" s="35"/>
      <c r="CG102" s="35"/>
      <c r="CI102" s="37"/>
      <c r="CJ102" s="35"/>
      <c r="CK102" s="35">
        <f t="shared" si="326"/>
        <v>1500000</v>
      </c>
      <c r="CL102" s="35"/>
      <c r="CM102" s="35"/>
      <c r="CO102" s="37"/>
      <c r="CP102" s="35"/>
      <c r="CQ102" s="35">
        <f t="shared" si="327"/>
        <v>0</v>
      </c>
      <c r="CR102" s="35"/>
      <c r="CS102" s="35"/>
      <c r="CU102" s="37"/>
      <c r="CV102" s="35"/>
      <c r="CW102" s="35">
        <f t="shared" si="328"/>
        <v>0</v>
      </c>
      <c r="CX102" s="35"/>
      <c r="CY102" s="35"/>
      <c r="DA102" s="37"/>
      <c r="DB102" s="35"/>
      <c r="DC102" s="35">
        <f t="shared" si="329"/>
        <v>0</v>
      </c>
      <c r="DD102" s="35"/>
      <c r="DE102" s="35"/>
      <c r="DG102" s="37"/>
      <c r="DH102" s="35"/>
      <c r="DI102" s="35">
        <f t="shared" si="330"/>
        <v>0</v>
      </c>
      <c r="DJ102" s="35"/>
      <c r="DK102" s="35"/>
      <c r="DM102" s="37"/>
      <c r="DN102" s="35"/>
      <c r="DO102" s="35">
        <f t="shared" si="331"/>
        <v>0</v>
      </c>
      <c r="DP102" s="35"/>
      <c r="DQ102" s="35"/>
      <c r="DS102" s="37"/>
      <c r="DT102" s="35"/>
      <c r="DU102" s="35">
        <f t="shared" si="332"/>
        <v>0</v>
      </c>
      <c r="DV102" s="35"/>
      <c r="DW102" s="35"/>
      <c r="DY102" s="37"/>
      <c r="DZ102" s="35"/>
      <c r="EA102" s="35">
        <f t="shared" si="333"/>
        <v>600000</v>
      </c>
      <c r="EB102" s="35"/>
      <c r="EC102" s="35"/>
      <c r="EE102" s="37"/>
      <c r="EF102" s="35"/>
      <c r="EG102" s="35">
        <f t="shared" si="334"/>
        <v>0</v>
      </c>
      <c r="EH102" s="35"/>
      <c r="EI102" s="35"/>
      <c r="EK102" s="37"/>
      <c r="EL102" s="35"/>
      <c r="EM102" s="35">
        <f t="shared" si="335"/>
        <v>0</v>
      </c>
      <c r="EN102" s="35"/>
      <c r="EO102" s="35"/>
      <c r="EQ102" s="37"/>
      <c r="ER102" s="35"/>
      <c r="ES102" s="35">
        <f t="shared" si="336"/>
        <v>0</v>
      </c>
      <c r="ET102" s="35"/>
      <c r="EU102" s="35"/>
      <c r="EW102" s="37"/>
      <c r="EX102" s="35"/>
      <c r="EY102" s="35">
        <f t="shared" si="337"/>
        <v>0</v>
      </c>
      <c r="EZ102" s="35"/>
      <c r="FA102" s="35"/>
      <c r="FC102" s="37"/>
      <c r="FD102" s="35"/>
      <c r="FE102" s="35">
        <f t="shared" si="338"/>
        <v>317500</v>
      </c>
      <c r="FF102" s="35"/>
      <c r="FG102" s="35"/>
      <c r="FI102" s="37"/>
      <c r="FJ102" s="35"/>
      <c r="FK102" s="35">
        <f t="shared" si="339"/>
        <v>350000</v>
      </c>
      <c r="FL102" s="35"/>
      <c r="FM102" s="35"/>
      <c r="FO102" s="37"/>
      <c r="FP102" s="35"/>
      <c r="FQ102" s="35">
        <f t="shared" si="340"/>
        <v>200000</v>
      </c>
      <c r="FR102" s="35"/>
      <c r="FS102" s="35"/>
      <c r="FU102" s="37"/>
      <c r="FV102" s="35"/>
      <c r="FW102" s="35">
        <f t="shared" si="341"/>
        <v>0</v>
      </c>
      <c r="FX102" s="35"/>
      <c r="FY102" s="35"/>
      <c r="GA102" s="37"/>
      <c r="GB102" s="35"/>
      <c r="GC102" s="35">
        <f t="shared" si="342"/>
        <v>0</v>
      </c>
      <c r="GD102" s="35"/>
      <c r="GE102" s="35"/>
      <c r="GG102" s="37"/>
      <c r="GH102" s="35"/>
      <c r="GI102" s="35">
        <f t="shared" si="343"/>
        <v>0</v>
      </c>
      <c r="GJ102" s="35"/>
      <c r="GK102" s="35"/>
      <c r="GM102" s="37"/>
      <c r="GN102" s="35"/>
      <c r="GO102" s="35">
        <f t="shared" si="344"/>
        <v>0</v>
      </c>
      <c r="GP102" s="35"/>
      <c r="GQ102" s="35"/>
      <c r="GS102" s="37"/>
      <c r="GT102" s="35"/>
      <c r="GU102" s="35">
        <f t="shared" si="345"/>
        <v>0</v>
      </c>
      <c r="GV102" s="35"/>
      <c r="GW102" s="35"/>
      <c r="GY102" s="37"/>
      <c r="GZ102" s="35"/>
      <c r="HA102" s="35">
        <f t="shared" si="346"/>
        <v>0</v>
      </c>
      <c r="HB102" s="35"/>
      <c r="HC102" s="35"/>
    </row>
    <row r="103" spans="1:211" s="36" customFormat="1" hidden="1" outlineLevel="2" x14ac:dyDescent="0.2">
      <c r="A103" s="36" t="s">
        <v>97</v>
      </c>
      <c r="B103" s="35">
        <f t="shared" si="311"/>
        <v>5344000</v>
      </c>
      <c r="C103" s="37"/>
      <c r="D103" s="35"/>
      <c r="E103" s="35">
        <f t="shared" si="312"/>
        <v>500000</v>
      </c>
      <c r="F103" s="35"/>
      <c r="G103" s="35"/>
      <c r="I103" s="37"/>
      <c r="J103" s="35"/>
      <c r="K103" s="35">
        <f t="shared" si="313"/>
        <v>0</v>
      </c>
      <c r="L103" s="35"/>
      <c r="M103" s="35"/>
      <c r="O103" s="37"/>
      <c r="P103" s="35"/>
      <c r="Q103" s="35">
        <f t="shared" si="314"/>
        <v>214000</v>
      </c>
      <c r="R103" s="35"/>
      <c r="S103" s="35"/>
      <c r="U103" s="37"/>
      <c r="V103" s="35"/>
      <c r="W103" s="35">
        <f t="shared" si="315"/>
        <v>0</v>
      </c>
      <c r="X103" s="35"/>
      <c r="Y103" s="35"/>
      <c r="AA103" s="37"/>
      <c r="AB103" s="35"/>
      <c r="AC103" s="35">
        <f t="shared" si="316"/>
        <v>325000</v>
      </c>
      <c r="AD103" s="35"/>
      <c r="AE103" s="35"/>
      <c r="AG103" s="37"/>
      <c r="AH103" s="35"/>
      <c r="AI103" s="35">
        <f t="shared" si="317"/>
        <v>0</v>
      </c>
      <c r="AJ103" s="35"/>
      <c r="AK103" s="35"/>
      <c r="AM103" s="37"/>
      <c r="AN103" s="35"/>
      <c r="AO103" s="35">
        <f t="shared" si="318"/>
        <v>0</v>
      </c>
      <c r="AP103" s="35"/>
      <c r="AQ103" s="35"/>
      <c r="AS103" s="37"/>
      <c r="AT103" s="35"/>
      <c r="AU103" s="35">
        <f t="shared" si="319"/>
        <v>0</v>
      </c>
      <c r="AV103" s="35"/>
      <c r="AW103" s="35"/>
      <c r="AY103" s="37"/>
      <c r="AZ103" s="35"/>
      <c r="BA103" s="35">
        <f t="shared" si="320"/>
        <v>322000</v>
      </c>
      <c r="BB103" s="35"/>
      <c r="BC103" s="35"/>
      <c r="BE103" s="37"/>
      <c r="BF103" s="35"/>
      <c r="BG103" s="35">
        <f t="shared" si="321"/>
        <v>856000</v>
      </c>
      <c r="BH103" s="35"/>
      <c r="BI103" s="35"/>
      <c r="BK103" s="37"/>
      <c r="BL103" s="35"/>
      <c r="BM103" s="35">
        <f t="shared" si="322"/>
        <v>0</v>
      </c>
      <c r="BN103" s="35"/>
      <c r="BO103" s="35"/>
      <c r="BQ103" s="37"/>
      <c r="BR103" s="35"/>
      <c r="BS103" s="35">
        <f t="shared" si="323"/>
        <v>0</v>
      </c>
      <c r="BT103" s="35"/>
      <c r="BU103" s="35"/>
      <c r="BW103" s="37"/>
      <c r="BX103" s="35"/>
      <c r="BY103" s="35">
        <f t="shared" si="324"/>
        <v>0</v>
      </c>
      <c r="BZ103" s="35"/>
      <c r="CA103" s="35"/>
      <c r="CC103" s="37"/>
      <c r="CD103" s="35"/>
      <c r="CE103" s="35">
        <f t="shared" si="325"/>
        <v>1922500</v>
      </c>
      <c r="CF103" s="35"/>
      <c r="CG103" s="35"/>
      <c r="CI103" s="37"/>
      <c r="CJ103" s="35"/>
      <c r="CK103" s="35">
        <f t="shared" si="326"/>
        <v>0</v>
      </c>
      <c r="CL103" s="35"/>
      <c r="CM103" s="35"/>
      <c r="CO103" s="37"/>
      <c r="CP103" s="35"/>
      <c r="CQ103" s="35">
        <f t="shared" si="327"/>
        <v>0</v>
      </c>
      <c r="CR103" s="35"/>
      <c r="CS103" s="35"/>
      <c r="CU103" s="37"/>
      <c r="CV103" s="35"/>
      <c r="CW103" s="35">
        <f t="shared" si="328"/>
        <v>214000</v>
      </c>
      <c r="CX103" s="35"/>
      <c r="CY103" s="35"/>
      <c r="DA103" s="37"/>
      <c r="DB103" s="35"/>
      <c r="DC103" s="35">
        <f t="shared" si="329"/>
        <v>0</v>
      </c>
      <c r="DD103" s="35"/>
      <c r="DE103" s="35"/>
      <c r="DG103" s="37"/>
      <c r="DH103" s="35"/>
      <c r="DI103" s="35">
        <f t="shared" si="330"/>
        <v>0</v>
      </c>
      <c r="DJ103" s="35"/>
      <c r="DK103" s="35"/>
      <c r="DM103" s="37"/>
      <c r="DN103" s="35"/>
      <c r="DO103" s="35">
        <f t="shared" si="331"/>
        <v>0</v>
      </c>
      <c r="DP103" s="35"/>
      <c r="DQ103" s="35"/>
      <c r="DS103" s="37"/>
      <c r="DT103" s="35"/>
      <c r="DU103" s="35">
        <f t="shared" si="332"/>
        <v>0</v>
      </c>
      <c r="DV103" s="35"/>
      <c r="DW103" s="35"/>
      <c r="DY103" s="37"/>
      <c r="DZ103" s="35"/>
      <c r="EA103" s="35">
        <f t="shared" si="333"/>
        <v>0</v>
      </c>
      <c r="EB103" s="35"/>
      <c r="EC103" s="35"/>
      <c r="EE103" s="37"/>
      <c r="EF103" s="35"/>
      <c r="EG103" s="35">
        <f t="shared" si="334"/>
        <v>0</v>
      </c>
      <c r="EH103" s="35"/>
      <c r="EI103" s="35"/>
      <c r="EK103" s="37"/>
      <c r="EL103" s="35"/>
      <c r="EM103" s="35">
        <f t="shared" si="335"/>
        <v>250000</v>
      </c>
      <c r="EN103" s="35"/>
      <c r="EO103" s="35"/>
      <c r="EQ103" s="37"/>
      <c r="ER103" s="35"/>
      <c r="ES103" s="35">
        <f t="shared" si="336"/>
        <v>271000</v>
      </c>
      <c r="ET103" s="35"/>
      <c r="EU103" s="35"/>
      <c r="EW103" s="37"/>
      <c r="EX103" s="35"/>
      <c r="EY103" s="35">
        <f t="shared" si="337"/>
        <v>0</v>
      </c>
      <c r="EZ103" s="35"/>
      <c r="FA103" s="35"/>
      <c r="FC103" s="37"/>
      <c r="FD103" s="35"/>
      <c r="FE103" s="35">
        <f t="shared" si="338"/>
        <v>317500</v>
      </c>
      <c r="FF103" s="35"/>
      <c r="FG103" s="35"/>
      <c r="FI103" s="37"/>
      <c r="FJ103" s="35"/>
      <c r="FK103" s="35">
        <f t="shared" si="339"/>
        <v>0</v>
      </c>
      <c r="FL103" s="35"/>
      <c r="FM103" s="35"/>
      <c r="FO103" s="37"/>
      <c r="FP103" s="35"/>
      <c r="FQ103" s="35">
        <f t="shared" si="340"/>
        <v>150000</v>
      </c>
      <c r="FR103" s="35"/>
      <c r="FS103" s="35"/>
      <c r="FU103" s="37"/>
      <c r="FV103" s="35"/>
      <c r="FW103" s="35">
        <f t="shared" si="341"/>
        <v>0</v>
      </c>
      <c r="FX103" s="35"/>
      <c r="FY103" s="35"/>
      <c r="GA103" s="37"/>
      <c r="GB103" s="35"/>
      <c r="GC103" s="35">
        <f t="shared" si="342"/>
        <v>2000</v>
      </c>
      <c r="GD103" s="35"/>
      <c r="GE103" s="35"/>
      <c r="GG103" s="37"/>
      <c r="GH103" s="35"/>
      <c r="GI103" s="35">
        <f t="shared" si="343"/>
        <v>0</v>
      </c>
      <c r="GJ103" s="35"/>
      <c r="GK103" s="35"/>
      <c r="GM103" s="37"/>
      <c r="GN103" s="35"/>
      <c r="GO103" s="35">
        <f t="shared" si="344"/>
        <v>0</v>
      </c>
      <c r="GP103" s="35"/>
      <c r="GQ103" s="35"/>
      <c r="GS103" s="37"/>
      <c r="GT103" s="35"/>
      <c r="GU103" s="35">
        <f t="shared" si="345"/>
        <v>0</v>
      </c>
      <c r="GV103" s="35"/>
      <c r="GW103" s="35"/>
      <c r="GY103" s="37"/>
      <c r="GZ103" s="35"/>
      <c r="HA103" s="35">
        <f t="shared" si="346"/>
        <v>0</v>
      </c>
      <c r="HB103" s="35"/>
      <c r="HC103" s="35"/>
    </row>
    <row r="104" spans="1:211" s="36" customFormat="1" hidden="1" outlineLevel="2" x14ac:dyDescent="0.2">
      <c r="A104" s="36" t="s">
        <v>98</v>
      </c>
      <c r="B104" s="35">
        <f t="shared" si="311"/>
        <v>4960500</v>
      </c>
      <c r="C104" s="37"/>
      <c r="D104" s="35"/>
      <c r="E104" s="35">
        <f t="shared" si="312"/>
        <v>750000</v>
      </c>
      <c r="F104" s="35"/>
      <c r="G104" s="35"/>
      <c r="I104" s="37"/>
      <c r="J104" s="35"/>
      <c r="K104" s="35">
        <f t="shared" si="313"/>
        <v>0</v>
      </c>
      <c r="L104" s="35"/>
      <c r="M104" s="35"/>
      <c r="O104" s="37"/>
      <c r="P104" s="35"/>
      <c r="Q104" s="35">
        <f t="shared" si="314"/>
        <v>215000</v>
      </c>
      <c r="R104" s="35"/>
      <c r="S104" s="35"/>
      <c r="U104" s="37"/>
      <c r="V104" s="35"/>
      <c r="W104" s="35">
        <f t="shared" si="315"/>
        <v>0</v>
      </c>
      <c r="X104" s="35"/>
      <c r="Y104" s="35"/>
      <c r="AA104" s="37"/>
      <c r="AB104" s="35"/>
      <c r="AC104" s="35">
        <f t="shared" si="316"/>
        <v>200000</v>
      </c>
      <c r="AD104" s="35"/>
      <c r="AE104" s="35"/>
      <c r="AG104" s="37"/>
      <c r="AH104" s="35"/>
      <c r="AI104" s="35">
        <f t="shared" si="317"/>
        <v>0</v>
      </c>
      <c r="AJ104" s="35"/>
      <c r="AK104" s="35"/>
      <c r="AM104" s="37"/>
      <c r="AN104" s="35"/>
      <c r="AO104" s="35">
        <f t="shared" si="318"/>
        <v>0</v>
      </c>
      <c r="AP104" s="35"/>
      <c r="AQ104" s="35"/>
      <c r="AS104" s="37"/>
      <c r="AT104" s="35"/>
      <c r="AU104" s="35">
        <f t="shared" si="319"/>
        <v>0</v>
      </c>
      <c r="AV104" s="35"/>
      <c r="AW104" s="35"/>
      <c r="AY104" s="37"/>
      <c r="AZ104" s="35"/>
      <c r="BA104" s="35">
        <f t="shared" si="320"/>
        <v>322000</v>
      </c>
      <c r="BB104" s="35"/>
      <c r="BC104" s="35"/>
      <c r="BE104" s="37"/>
      <c r="BF104" s="35"/>
      <c r="BG104" s="35">
        <f t="shared" si="321"/>
        <v>856000</v>
      </c>
      <c r="BH104" s="35"/>
      <c r="BI104" s="35"/>
      <c r="BK104" s="37"/>
      <c r="BL104" s="35"/>
      <c r="BM104" s="35">
        <f t="shared" si="322"/>
        <v>0</v>
      </c>
      <c r="BN104" s="35"/>
      <c r="BO104" s="35"/>
      <c r="BQ104" s="37"/>
      <c r="BR104" s="35"/>
      <c r="BS104" s="35">
        <f t="shared" si="323"/>
        <v>0</v>
      </c>
      <c r="BT104" s="35"/>
      <c r="BU104" s="35"/>
      <c r="BW104" s="37"/>
      <c r="BX104" s="35"/>
      <c r="BY104" s="35">
        <f t="shared" si="324"/>
        <v>0</v>
      </c>
      <c r="BZ104" s="35"/>
      <c r="CA104" s="35"/>
      <c r="CC104" s="37"/>
      <c r="CD104" s="35"/>
      <c r="CE104" s="35">
        <f t="shared" si="325"/>
        <v>0</v>
      </c>
      <c r="CF104" s="35"/>
      <c r="CG104" s="35"/>
      <c r="CI104" s="37"/>
      <c r="CJ104" s="35"/>
      <c r="CK104" s="35">
        <f t="shared" si="326"/>
        <v>1000000</v>
      </c>
      <c r="CL104" s="35"/>
      <c r="CM104" s="35"/>
      <c r="CO104" s="37"/>
      <c r="CP104" s="35"/>
      <c r="CQ104" s="35">
        <f t="shared" si="327"/>
        <v>0</v>
      </c>
      <c r="CR104" s="35"/>
      <c r="CS104" s="35"/>
      <c r="CU104" s="37"/>
      <c r="CV104" s="35"/>
      <c r="CW104" s="35">
        <f t="shared" si="328"/>
        <v>0</v>
      </c>
      <c r="CX104" s="35"/>
      <c r="CY104" s="35"/>
      <c r="DA104" s="37"/>
      <c r="DB104" s="35"/>
      <c r="DC104" s="35">
        <f t="shared" si="329"/>
        <v>0</v>
      </c>
      <c r="DD104" s="35"/>
      <c r="DE104" s="35"/>
      <c r="DG104" s="37"/>
      <c r="DH104" s="35"/>
      <c r="DI104" s="35">
        <f t="shared" si="330"/>
        <v>0</v>
      </c>
      <c r="DJ104" s="35"/>
      <c r="DK104" s="35"/>
      <c r="DM104" s="37"/>
      <c r="DN104" s="35"/>
      <c r="DO104" s="35">
        <f t="shared" si="331"/>
        <v>0</v>
      </c>
      <c r="DP104" s="35"/>
      <c r="DQ104" s="35"/>
      <c r="DS104" s="37"/>
      <c r="DT104" s="35"/>
      <c r="DU104" s="35">
        <f t="shared" si="332"/>
        <v>0</v>
      </c>
      <c r="DV104" s="35"/>
      <c r="DW104" s="35"/>
      <c r="DY104" s="37"/>
      <c r="DZ104" s="35"/>
      <c r="EA104" s="35">
        <f t="shared" si="333"/>
        <v>300000</v>
      </c>
      <c r="EB104" s="35"/>
      <c r="EC104" s="35"/>
      <c r="EE104" s="37"/>
      <c r="EF104" s="35"/>
      <c r="EG104" s="35">
        <f t="shared" si="334"/>
        <v>0</v>
      </c>
      <c r="EH104" s="35"/>
      <c r="EI104" s="35"/>
      <c r="EK104" s="37"/>
      <c r="EL104" s="35"/>
      <c r="EM104" s="35">
        <f t="shared" si="335"/>
        <v>0</v>
      </c>
      <c r="EN104" s="35"/>
      <c r="EO104" s="35"/>
      <c r="EQ104" s="37"/>
      <c r="ER104" s="35"/>
      <c r="ES104" s="35">
        <f t="shared" si="336"/>
        <v>0</v>
      </c>
      <c r="ET104" s="35"/>
      <c r="EU104" s="35"/>
      <c r="EW104" s="37"/>
      <c r="EX104" s="35"/>
      <c r="EY104" s="35">
        <f t="shared" si="337"/>
        <v>0</v>
      </c>
      <c r="EZ104" s="35"/>
      <c r="FA104" s="35"/>
      <c r="FC104" s="37"/>
      <c r="FD104" s="35"/>
      <c r="FE104" s="35">
        <f t="shared" si="338"/>
        <v>317500</v>
      </c>
      <c r="FF104" s="35"/>
      <c r="FG104" s="35"/>
      <c r="FI104" s="37"/>
      <c r="FJ104" s="35"/>
      <c r="FK104" s="35">
        <f t="shared" si="339"/>
        <v>700000</v>
      </c>
      <c r="FL104" s="35"/>
      <c r="FM104" s="35"/>
      <c r="FO104" s="37"/>
      <c r="FP104" s="35"/>
      <c r="FQ104" s="35">
        <f t="shared" si="340"/>
        <v>0</v>
      </c>
      <c r="FR104" s="35"/>
      <c r="FS104" s="35"/>
      <c r="FU104" s="37"/>
      <c r="FV104" s="35"/>
      <c r="FW104" s="35">
        <f t="shared" si="341"/>
        <v>0</v>
      </c>
      <c r="FX104" s="35"/>
      <c r="FY104" s="35"/>
      <c r="GA104" s="37"/>
      <c r="GB104" s="35"/>
      <c r="GC104" s="35">
        <f t="shared" si="342"/>
        <v>300000</v>
      </c>
      <c r="GD104" s="35"/>
      <c r="GE104" s="35"/>
      <c r="GG104" s="37"/>
      <c r="GH104" s="35"/>
      <c r="GI104" s="35">
        <f t="shared" si="343"/>
        <v>0</v>
      </c>
      <c r="GJ104" s="35"/>
      <c r="GK104" s="35"/>
      <c r="GM104" s="37"/>
      <c r="GN104" s="35"/>
      <c r="GO104" s="35">
        <f t="shared" si="344"/>
        <v>0</v>
      </c>
      <c r="GP104" s="35"/>
      <c r="GQ104" s="35"/>
      <c r="GS104" s="37"/>
      <c r="GT104" s="35"/>
      <c r="GU104" s="35">
        <f t="shared" si="345"/>
        <v>0</v>
      </c>
      <c r="GV104" s="35"/>
      <c r="GW104" s="35"/>
      <c r="GY104" s="37"/>
      <c r="GZ104" s="35"/>
      <c r="HA104" s="35">
        <f t="shared" si="346"/>
        <v>0</v>
      </c>
      <c r="HB104" s="35"/>
      <c r="HC104" s="35"/>
    </row>
    <row r="105" spans="1:211" s="36" customFormat="1" hidden="1" outlineLevel="2" x14ac:dyDescent="0.2">
      <c r="A105" s="36" t="s">
        <v>99</v>
      </c>
      <c r="B105" s="35">
        <f t="shared" si="311"/>
        <v>2091500</v>
      </c>
      <c r="C105" s="37"/>
      <c r="D105" s="35"/>
      <c r="E105" s="35">
        <f t="shared" si="312"/>
        <v>0</v>
      </c>
      <c r="F105" s="35"/>
      <c r="G105" s="35"/>
      <c r="I105" s="37"/>
      <c r="J105" s="35"/>
      <c r="K105" s="35">
        <f t="shared" si="313"/>
        <v>0</v>
      </c>
      <c r="L105" s="35"/>
      <c r="M105" s="35"/>
      <c r="O105" s="37"/>
      <c r="P105" s="35"/>
      <c r="Q105" s="35">
        <f t="shared" si="314"/>
        <v>0</v>
      </c>
      <c r="R105" s="35"/>
      <c r="S105" s="35"/>
      <c r="U105" s="37"/>
      <c r="V105" s="35"/>
      <c r="W105" s="35">
        <f t="shared" si="315"/>
        <v>0</v>
      </c>
      <c r="X105" s="35"/>
      <c r="Y105" s="35"/>
      <c r="AA105" s="37"/>
      <c r="AB105" s="35"/>
      <c r="AC105" s="35">
        <f t="shared" si="316"/>
        <v>200000</v>
      </c>
      <c r="AD105" s="35"/>
      <c r="AE105" s="35"/>
      <c r="AG105" s="37"/>
      <c r="AH105" s="35"/>
      <c r="AI105" s="35">
        <f t="shared" si="317"/>
        <v>0</v>
      </c>
      <c r="AJ105" s="35"/>
      <c r="AK105" s="35"/>
      <c r="AM105" s="37"/>
      <c r="AN105" s="35"/>
      <c r="AO105" s="35">
        <f t="shared" si="318"/>
        <v>0</v>
      </c>
      <c r="AP105" s="35"/>
      <c r="AQ105" s="35"/>
      <c r="AS105" s="37"/>
      <c r="AT105" s="35"/>
      <c r="AU105" s="35">
        <f t="shared" si="319"/>
        <v>0</v>
      </c>
      <c r="AV105" s="35"/>
      <c r="AW105" s="35"/>
      <c r="AY105" s="37"/>
      <c r="AZ105" s="35"/>
      <c r="BA105" s="35">
        <f t="shared" si="320"/>
        <v>535000</v>
      </c>
      <c r="BB105" s="35"/>
      <c r="BC105" s="35"/>
      <c r="BE105" s="37"/>
      <c r="BF105" s="35"/>
      <c r="BG105" s="35">
        <f t="shared" si="321"/>
        <v>0</v>
      </c>
      <c r="BH105" s="35"/>
      <c r="BI105" s="35"/>
      <c r="BK105" s="37"/>
      <c r="BL105" s="35"/>
      <c r="BM105" s="35">
        <f t="shared" si="322"/>
        <v>0</v>
      </c>
      <c r="BN105" s="35"/>
      <c r="BO105" s="35"/>
      <c r="BQ105" s="37"/>
      <c r="BR105" s="35"/>
      <c r="BS105" s="35">
        <f t="shared" si="323"/>
        <v>0</v>
      </c>
      <c r="BT105" s="35"/>
      <c r="BU105" s="35"/>
      <c r="BW105" s="37"/>
      <c r="BX105" s="35"/>
      <c r="BY105" s="35">
        <f t="shared" si="324"/>
        <v>0</v>
      </c>
      <c r="BZ105" s="35"/>
      <c r="CA105" s="35"/>
      <c r="CC105" s="37"/>
      <c r="CD105" s="35"/>
      <c r="CE105" s="35">
        <f t="shared" si="325"/>
        <v>0</v>
      </c>
      <c r="CF105" s="35"/>
      <c r="CG105" s="35"/>
      <c r="CI105" s="37"/>
      <c r="CJ105" s="35"/>
      <c r="CK105" s="35">
        <f t="shared" si="326"/>
        <v>0</v>
      </c>
      <c r="CL105" s="35"/>
      <c r="CM105" s="35"/>
      <c r="CO105" s="37"/>
      <c r="CP105" s="35"/>
      <c r="CQ105" s="35">
        <f t="shared" si="327"/>
        <v>0</v>
      </c>
      <c r="CR105" s="35"/>
      <c r="CS105" s="35"/>
      <c r="CU105" s="37"/>
      <c r="CV105" s="35"/>
      <c r="CW105" s="35">
        <f t="shared" si="328"/>
        <v>214000</v>
      </c>
      <c r="CX105" s="35"/>
      <c r="CY105" s="35"/>
      <c r="DA105" s="37"/>
      <c r="DB105" s="35"/>
      <c r="DC105" s="35">
        <f t="shared" si="329"/>
        <v>0</v>
      </c>
      <c r="DD105" s="35"/>
      <c r="DE105" s="35"/>
      <c r="DG105" s="37"/>
      <c r="DH105" s="35"/>
      <c r="DI105" s="35">
        <f t="shared" si="330"/>
        <v>0</v>
      </c>
      <c r="DJ105" s="35"/>
      <c r="DK105" s="35"/>
      <c r="DM105" s="37"/>
      <c r="DN105" s="35"/>
      <c r="DO105" s="35">
        <f t="shared" si="331"/>
        <v>0</v>
      </c>
      <c r="DP105" s="35"/>
      <c r="DQ105" s="35"/>
      <c r="DS105" s="37"/>
      <c r="DT105" s="35"/>
      <c r="DU105" s="35">
        <f t="shared" si="332"/>
        <v>0</v>
      </c>
      <c r="DV105" s="35"/>
      <c r="DW105" s="35"/>
      <c r="DY105" s="37"/>
      <c r="DZ105" s="35"/>
      <c r="EA105" s="35">
        <f t="shared" si="333"/>
        <v>300000</v>
      </c>
      <c r="EB105" s="35"/>
      <c r="EC105" s="35"/>
      <c r="EE105" s="37"/>
      <c r="EF105" s="35"/>
      <c r="EG105" s="35">
        <f t="shared" si="334"/>
        <v>0</v>
      </c>
      <c r="EH105" s="35"/>
      <c r="EI105" s="35"/>
      <c r="EK105" s="37"/>
      <c r="EL105" s="35"/>
      <c r="EM105" s="35">
        <f t="shared" si="335"/>
        <v>0</v>
      </c>
      <c r="EN105" s="35"/>
      <c r="EO105" s="35"/>
      <c r="EQ105" s="37"/>
      <c r="ER105" s="35"/>
      <c r="ES105" s="35">
        <f t="shared" si="336"/>
        <v>0</v>
      </c>
      <c r="ET105" s="35"/>
      <c r="EU105" s="35"/>
      <c r="EW105" s="37"/>
      <c r="EX105" s="35"/>
      <c r="EY105" s="35">
        <f t="shared" si="337"/>
        <v>0</v>
      </c>
      <c r="EZ105" s="35"/>
      <c r="FA105" s="35"/>
      <c r="FC105" s="37"/>
      <c r="FD105" s="35"/>
      <c r="FE105" s="35">
        <f t="shared" si="338"/>
        <v>142500</v>
      </c>
      <c r="FF105" s="35"/>
      <c r="FG105" s="35"/>
      <c r="FI105" s="37"/>
      <c r="FJ105" s="35"/>
      <c r="FK105" s="35">
        <f t="shared" si="339"/>
        <v>0</v>
      </c>
      <c r="FL105" s="35"/>
      <c r="FM105" s="35"/>
      <c r="FO105" s="37"/>
      <c r="FP105" s="35"/>
      <c r="FQ105" s="35">
        <f t="shared" si="340"/>
        <v>700000</v>
      </c>
      <c r="FR105" s="35"/>
      <c r="FS105" s="35"/>
      <c r="FU105" s="37"/>
      <c r="FV105" s="35"/>
      <c r="FW105" s="35">
        <f t="shared" si="341"/>
        <v>0</v>
      </c>
      <c r="FX105" s="35"/>
      <c r="FY105" s="35"/>
      <c r="GA105" s="37"/>
      <c r="GB105" s="35"/>
      <c r="GC105" s="35">
        <f t="shared" si="342"/>
        <v>0</v>
      </c>
      <c r="GD105" s="35"/>
      <c r="GE105" s="35"/>
      <c r="GG105" s="37"/>
      <c r="GH105" s="35"/>
      <c r="GI105" s="35">
        <f t="shared" si="343"/>
        <v>0</v>
      </c>
      <c r="GJ105" s="35"/>
      <c r="GK105" s="35"/>
      <c r="GM105" s="37"/>
      <c r="GN105" s="35"/>
      <c r="GO105" s="35">
        <f t="shared" si="344"/>
        <v>0</v>
      </c>
      <c r="GP105" s="35"/>
      <c r="GQ105" s="35"/>
      <c r="GS105" s="37"/>
      <c r="GT105" s="35"/>
      <c r="GU105" s="35">
        <f t="shared" si="345"/>
        <v>0</v>
      </c>
      <c r="GV105" s="35"/>
      <c r="GW105" s="35"/>
      <c r="GY105" s="37"/>
      <c r="GZ105" s="35"/>
      <c r="HA105" s="35">
        <f t="shared" si="346"/>
        <v>0</v>
      </c>
      <c r="HB105" s="35"/>
      <c r="HC105" s="35"/>
    </row>
    <row r="106" spans="1:211" s="36" customFormat="1" hidden="1" outlineLevel="2" x14ac:dyDescent="0.2">
      <c r="A106" s="36" t="s">
        <v>100</v>
      </c>
      <c r="B106" s="35">
        <f t="shared" si="311"/>
        <v>6779000</v>
      </c>
      <c r="C106" s="37"/>
      <c r="D106" s="35"/>
      <c r="E106" s="35">
        <f t="shared" si="312"/>
        <v>250000</v>
      </c>
      <c r="F106" s="35"/>
      <c r="G106" s="35"/>
      <c r="I106" s="37"/>
      <c r="J106" s="35"/>
      <c r="K106" s="35">
        <f t="shared" si="313"/>
        <v>0</v>
      </c>
      <c r="L106" s="35"/>
      <c r="M106" s="35"/>
      <c r="O106" s="37"/>
      <c r="P106" s="35"/>
      <c r="Q106" s="35">
        <f t="shared" si="314"/>
        <v>428000</v>
      </c>
      <c r="R106" s="35"/>
      <c r="S106" s="35"/>
      <c r="U106" s="37"/>
      <c r="V106" s="35"/>
      <c r="W106" s="35">
        <f t="shared" si="315"/>
        <v>0</v>
      </c>
      <c r="X106" s="35"/>
      <c r="Y106" s="35"/>
      <c r="AA106" s="37"/>
      <c r="AB106" s="35"/>
      <c r="AC106" s="35">
        <f t="shared" si="316"/>
        <v>200000</v>
      </c>
      <c r="AD106" s="35"/>
      <c r="AE106" s="35"/>
      <c r="AG106" s="37"/>
      <c r="AH106" s="35"/>
      <c r="AI106" s="35">
        <f t="shared" si="317"/>
        <v>0</v>
      </c>
      <c r="AJ106" s="35"/>
      <c r="AK106" s="35"/>
      <c r="AM106" s="37"/>
      <c r="AN106" s="35"/>
      <c r="AO106" s="35">
        <f t="shared" si="318"/>
        <v>0</v>
      </c>
      <c r="AP106" s="35"/>
      <c r="AQ106" s="35"/>
      <c r="AS106" s="37"/>
      <c r="AT106" s="35"/>
      <c r="AU106" s="35">
        <f t="shared" si="319"/>
        <v>0</v>
      </c>
      <c r="AV106" s="35"/>
      <c r="AW106" s="35"/>
      <c r="AY106" s="37"/>
      <c r="AZ106" s="35"/>
      <c r="BA106" s="35">
        <f t="shared" si="320"/>
        <v>535000</v>
      </c>
      <c r="BB106" s="35"/>
      <c r="BC106" s="35"/>
      <c r="BE106" s="37"/>
      <c r="BF106" s="35"/>
      <c r="BG106" s="35">
        <f t="shared" si="321"/>
        <v>856000</v>
      </c>
      <c r="BH106" s="35"/>
      <c r="BI106" s="35"/>
      <c r="BK106" s="37"/>
      <c r="BL106" s="35"/>
      <c r="BM106" s="35">
        <f t="shared" si="322"/>
        <v>0</v>
      </c>
      <c r="BN106" s="35"/>
      <c r="BO106" s="35"/>
      <c r="BQ106" s="37"/>
      <c r="BR106" s="35"/>
      <c r="BS106" s="35">
        <f t="shared" si="323"/>
        <v>0</v>
      </c>
      <c r="BT106" s="35"/>
      <c r="BU106" s="35"/>
      <c r="BW106" s="37"/>
      <c r="BX106" s="35"/>
      <c r="BY106" s="35">
        <f t="shared" si="324"/>
        <v>215000</v>
      </c>
      <c r="BZ106" s="35"/>
      <c r="CA106" s="35"/>
      <c r="CC106" s="37"/>
      <c r="CD106" s="35"/>
      <c r="CE106" s="35">
        <f t="shared" si="325"/>
        <v>0</v>
      </c>
      <c r="CF106" s="35"/>
      <c r="CG106" s="35"/>
      <c r="CI106" s="37"/>
      <c r="CJ106" s="35"/>
      <c r="CK106" s="35">
        <f t="shared" si="326"/>
        <v>1000000</v>
      </c>
      <c r="CL106" s="35"/>
      <c r="CM106" s="35"/>
      <c r="CO106" s="37"/>
      <c r="CP106" s="35"/>
      <c r="CQ106" s="35">
        <f t="shared" si="327"/>
        <v>0</v>
      </c>
      <c r="CR106" s="35"/>
      <c r="CS106" s="35"/>
      <c r="CU106" s="37"/>
      <c r="CV106" s="35"/>
      <c r="CW106" s="35">
        <f t="shared" si="328"/>
        <v>0</v>
      </c>
      <c r="CX106" s="35"/>
      <c r="CY106" s="35"/>
      <c r="DA106" s="37"/>
      <c r="DB106" s="35"/>
      <c r="DC106" s="35">
        <f t="shared" si="329"/>
        <v>0</v>
      </c>
      <c r="DD106" s="35"/>
      <c r="DE106" s="35"/>
      <c r="DG106" s="37"/>
      <c r="DH106" s="35"/>
      <c r="DI106" s="35">
        <f t="shared" si="330"/>
        <v>0</v>
      </c>
      <c r="DJ106" s="35"/>
      <c r="DK106" s="35"/>
      <c r="DM106" s="37"/>
      <c r="DN106" s="35"/>
      <c r="DO106" s="35">
        <f t="shared" si="331"/>
        <v>0</v>
      </c>
      <c r="DP106" s="35"/>
      <c r="DQ106" s="35"/>
      <c r="DS106" s="37"/>
      <c r="DT106" s="35"/>
      <c r="DU106" s="35">
        <f t="shared" si="332"/>
        <v>0</v>
      </c>
      <c r="DV106" s="35"/>
      <c r="DW106" s="35"/>
      <c r="DY106" s="37"/>
      <c r="DZ106" s="35"/>
      <c r="EA106" s="35">
        <f t="shared" si="333"/>
        <v>300000</v>
      </c>
      <c r="EB106" s="35"/>
      <c r="EC106" s="35"/>
      <c r="EE106" s="37"/>
      <c r="EF106" s="35"/>
      <c r="EG106" s="35">
        <f t="shared" si="334"/>
        <v>0</v>
      </c>
      <c r="EH106" s="35"/>
      <c r="EI106" s="35"/>
      <c r="EK106" s="37"/>
      <c r="EL106" s="35"/>
      <c r="EM106" s="35">
        <f t="shared" si="335"/>
        <v>0</v>
      </c>
      <c r="EN106" s="35"/>
      <c r="EO106" s="35"/>
      <c r="EQ106" s="37"/>
      <c r="ER106" s="35"/>
      <c r="ES106" s="35">
        <f t="shared" si="336"/>
        <v>1645000</v>
      </c>
      <c r="ET106" s="35"/>
      <c r="EU106" s="35"/>
      <c r="EW106" s="37"/>
      <c r="EX106" s="35"/>
      <c r="EY106" s="35">
        <f t="shared" si="337"/>
        <v>0</v>
      </c>
      <c r="EZ106" s="35"/>
      <c r="FA106" s="35"/>
      <c r="FC106" s="37"/>
      <c r="FD106" s="35"/>
      <c r="FE106" s="35">
        <f t="shared" si="338"/>
        <v>0</v>
      </c>
      <c r="FF106" s="35"/>
      <c r="FG106" s="35"/>
      <c r="FI106" s="37"/>
      <c r="FJ106" s="35"/>
      <c r="FK106" s="35">
        <f t="shared" si="339"/>
        <v>350000</v>
      </c>
      <c r="FL106" s="35"/>
      <c r="FM106" s="35"/>
      <c r="FO106" s="37"/>
      <c r="FP106" s="35"/>
      <c r="FQ106" s="35">
        <f t="shared" si="340"/>
        <v>700000</v>
      </c>
      <c r="FR106" s="35"/>
      <c r="FS106" s="35"/>
      <c r="FU106" s="37"/>
      <c r="FV106" s="35"/>
      <c r="FW106" s="35">
        <f t="shared" si="341"/>
        <v>0</v>
      </c>
      <c r="FX106" s="35"/>
      <c r="FY106" s="35"/>
      <c r="GA106" s="37"/>
      <c r="GB106" s="35"/>
      <c r="GC106" s="35">
        <f t="shared" si="342"/>
        <v>300000</v>
      </c>
      <c r="GD106" s="35"/>
      <c r="GE106" s="35"/>
      <c r="GG106" s="37"/>
      <c r="GH106" s="35"/>
      <c r="GI106" s="35">
        <f t="shared" si="343"/>
        <v>0</v>
      </c>
      <c r="GJ106" s="35"/>
      <c r="GK106" s="35"/>
      <c r="GM106" s="37"/>
      <c r="GN106" s="35"/>
      <c r="GO106" s="35">
        <f t="shared" si="344"/>
        <v>0</v>
      </c>
      <c r="GP106" s="35"/>
      <c r="GQ106" s="35"/>
      <c r="GS106" s="37"/>
      <c r="GT106" s="35"/>
      <c r="GU106" s="35">
        <f t="shared" si="345"/>
        <v>0</v>
      </c>
      <c r="GV106" s="35"/>
      <c r="GW106" s="35"/>
      <c r="GY106" s="37"/>
      <c r="GZ106" s="35"/>
      <c r="HA106" s="35">
        <f t="shared" si="346"/>
        <v>0</v>
      </c>
      <c r="HB106" s="35"/>
      <c r="HC106" s="35"/>
    </row>
    <row r="107" spans="1:211" hidden="1" outlineLevel="2" x14ac:dyDescent="0.2"/>
    <row r="108" spans="1:211" s="32" customFormat="1" hidden="1" outlineLevel="2" x14ac:dyDescent="0.2">
      <c r="A108" s="32" t="s">
        <v>101</v>
      </c>
      <c r="B108" s="30">
        <f t="shared" ref="B108:B119" si="347">SUM(C108:XFD108)</f>
        <v>410000</v>
      </c>
      <c r="C108" s="31"/>
      <c r="D108" s="30"/>
      <c r="E108" s="30"/>
      <c r="F108" s="30">
        <f>F68</f>
        <v>0</v>
      </c>
      <c r="G108" s="30"/>
      <c r="I108" s="31"/>
      <c r="J108" s="30"/>
      <c r="K108" s="30"/>
      <c r="L108" s="30">
        <f>L68</f>
        <v>0</v>
      </c>
      <c r="M108" s="30"/>
      <c r="O108" s="31"/>
      <c r="P108" s="30"/>
      <c r="Q108" s="30"/>
      <c r="R108" s="30">
        <f>R68</f>
        <v>0</v>
      </c>
      <c r="S108" s="30"/>
      <c r="U108" s="31"/>
      <c r="V108" s="30"/>
      <c r="W108" s="30"/>
      <c r="X108" s="30">
        <f>X68</f>
        <v>0</v>
      </c>
      <c r="Y108" s="30"/>
      <c r="AA108" s="31"/>
      <c r="AB108" s="30"/>
      <c r="AC108" s="30"/>
      <c r="AD108" s="30">
        <f>AD68</f>
        <v>0</v>
      </c>
      <c r="AE108" s="30"/>
      <c r="AG108" s="31"/>
      <c r="AH108" s="30"/>
      <c r="AI108" s="30"/>
      <c r="AJ108" s="30">
        <f>AJ68</f>
        <v>0</v>
      </c>
      <c r="AK108" s="30"/>
      <c r="AM108" s="31"/>
      <c r="AN108" s="30"/>
      <c r="AO108" s="30"/>
      <c r="AP108" s="30">
        <f>AP68</f>
        <v>0</v>
      </c>
      <c r="AQ108" s="30"/>
      <c r="AS108" s="31"/>
      <c r="AT108" s="30"/>
      <c r="AU108" s="30"/>
      <c r="AV108" s="30">
        <f>AV68</f>
        <v>0</v>
      </c>
      <c r="AW108" s="30"/>
      <c r="AY108" s="31"/>
      <c r="AZ108" s="30"/>
      <c r="BA108" s="30"/>
      <c r="BB108" s="30">
        <f>BB68</f>
        <v>0</v>
      </c>
      <c r="BC108" s="30"/>
      <c r="BE108" s="31"/>
      <c r="BF108" s="30"/>
      <c r="BG108" s="30"/>
      <c r="BH108" s="30">
        <f>BH68</f>
        <v>0</v>
      </c>
      <c r="BI108" s="30"/>
      <c r="BK108" s="31"/>
      <c r="BL108" s="30"/>
      <c r="BM108" s="30"/>
      <c r="BN108" s="30">
        <f>BN68</f>
        <v>0</v>
      </c>
      <c r="BO108" s="30"/>
      <c r="BQ108" s="31"/>
      <c r="BR108" s="30"/>
      <c r="BS108" s="30"/>
      <c r="BT108" s="30">
        <f>BT68</f>
        <v>0</v>
      </c>
      <c r="BU108" s="30"/>
      <c r="BW108" s="31"/>
      <c r="BX108" s="30"/>
      <c r="BY108" s="30"/>
      <c r="BZ108" s="30">
        <f>BZ68</f>
        <v>0</v>
      </c>
      <c r="CA108" s="30"/>
      <c r="CC108" s="31"/>
      <c r="CD108" s="30"/>
      <c r="CE108" s="30"/>
      <c r="CF108" s="30">
        <f>CF68</f>
        <v>0</v>
      </c>
      <c r="CG108" s="30"/>
      <c r="CI108" s="31"/>
      <c r="CJ108" s="30"/>
      <c r="CK108" s="30"/>
      <c r="CL108" s="30">
        <f>CL68</f>
        <v>200000</v>
      </c>
      <c r="CM108" s="30"/>
      <c r="CO108" s="31"/>
      <c r="CP108" s="30"/>
      <c r="CQ108" s="30"/>
      <c r="CR108" s="30">
        <f>CR68</f>
        <v>0</v>
      </c>
      <c r="CS108" s="30"/>
      <c r="CU108" s="31"/>
      <c r="CV108" s="30"/>
      <c r="CW108" s="30"/>
      <c r="CX108" s="30">
        <f>CX68</f>
        <v>0</v>
      </c>
      <c r="CY108" s="30"/>
      <c r="DA108" s="31"/>
      <c r="DB108" s="30"/>
      <c r="DC108" s="30"/>
      <c r="DD108" s="30">
        <f>DD68</f>
        <v>0</v>
      </c>
      <c r="DE108" s="30"/>
      <c r="DG108" s="31"/>
      <c r="DH108" s="30"/>
      <c r="DI108" s="30"/>
      <c r="DJ108" s="30">
        <f>DJ68</f>
        <v>0</v>
      </c>
      <c r="DK108" s="30"/>
      <c r="DM108" s="31"/>
      <c r="DN108" s="30"/>
      <c r="DO108" s="30"/>
      <c r="DP108" s="30">
        <f>DP68</f>
        <v>0</v>
      </c>
      <c r="DQ108" s="30"/>
      <c r="DS108" s="31"/>
      <c r="DT108" s="30"/>
      <c r="DU108" s="30"/>
      <c r="DV108" s="30">
        <f>DV68</f>
        <v>0</v>
      </c>
      <c r="DW108" s="30"/>
      <c r="DY108" s="31"/>
      <c r="DZ108" s="30"/>
      <c r="EA108" s="30"/>
      <c r="EB108" s="30">
        <f>EB68</f>
        <v>0</v>
      </c>
      <c r="EC108" s="30"/>
      <c r="EE108" s="31"/>
      <c r="EF108" s="30"/>
      <c r="EG108" s="30"/>
      <c r="EH108" s="30">
        <f>EH68</f>
        <v>0</v>
      </c>
      <c r="EI108" s="30"/>
      <c r="EK108" s="31"/>
      <c r="EL108" s="30"/>
      <c r="EM108" s="30"/>
      <c r="EN108" s="30">
        <f>EN68</f>
        <v>0</v>
      </c>
      <c r="EO108" s="30"/>
      <c r="EQ108" s="31"/>
      <c r="ER108" s="30"/>
      <c r="ES108" s="30"/>
      <c r="ET108" s="30">
        <f>ET68</f>
        <v>0</v>
      </c>
      <c r="EU108" s="30"/>
      <c r="EW108" s="31"/>
      <c r="EX108" s="30"/>
      <c r="EY108" s="30"/>
      <c r="EZ108" s="30">
        <f>EZ68</f>
        <v>0</v>
      </c>
      <c r="FA108" s="30"/>
      <c r="FC108" s="31"/>
      <c r="FD108" s="30"/>
      <c r="FE108" s="30"/>
      <c r="FF108" s="30">
        <f>FF68</f>
        <v>0</v>
      </c>
      <c r="FG108" s="30"/>
      <c r="FI108" s="31"/>
      <c r="FJ108" s="30"/>
      <c r="FK108" s="30"/>
      <c r="FL108" s="30">
        <f>FL68</f>
        <v>0</v>
      </c>
      <c r="FM108" s="30"/>
      <c r="FO108" s="31"/>
      <c r="FP108" s="30"/>
      <c r="FQ108" s="30"/>
      <c r="FR108" s="30">
        <f>FR68</f>
        <v>0</v>
      </c>
      <c r="FS108" s="30"/>
      <c r="FU108" s="31"/>
      <c r="FV108" s="30"/>
      <c r="FW108" s="30"/>
      <c r="FX108" s="30">
        <f>FX68</f>
        <v>0</v>
      </c>
      <c r="FY108" s="30"/>
      <c r="GA108" s="31"/>
      <c r="GB108" s="30"/>
      <c r="GC108" s="30"/>
      <c r="GD108" s="30">
        <f>GD68</f>
        <v>0</v>
      </c>
      <c r="GE108" s="30"/>
      <c r="GG108" s="31"/>
      <c r="GH108" s="30"/>
      <c r="GI108" s="30"/>
      <c r="GJ108" s="30">
        <f>GJ68</f>
        <v>210000</v>
      </c>
      <c r="GK108" s="30"/>
      <c r="GM108" s="31"/>
      <c r="GN108" s="30"/>
      <c r="GO108" s="30"/>
      <c r="GP108" s="30">
        <f>GP68</f>
        <v>0</v>
      </c>
      <c r="GQ108" s="30"/>
      <c r="GS108" s="31"/>
      <c r="GT108" s="30"/>
      <c r="GU108" s="30"/>
      <c r="GV108" s="30">
        <f>GV68</f>
        <v>0</v>
      </c>
      <c r="GW108" s="30"/>
      <c r="GY108" s="31"/>
      <c r="GZ108" s="30"/>
      <c r="HA108" s="30"/>
      <c r="HB108" s="30">
        <f>HB68</f>
        <v>0</v>
      </c>
      <c r="HC108" s="30"/>
    </row>
    <row r="109" spans="1:211" s="32" customFormat="1" hidden="1" outlineLevel="2" x14ac:dyDescent="0.2">
      <c r="A109" s="32" t="s">
        <v>102</v>
      </c>
      <c r="B109" s="30">
        <f t="shared" si="347"/>
        <v>-25000</v>
      </c>
      <c r="C109" s="31"/>
      <c r="D109" s="30"/>
      <c r="E109" s="30"/>
      <c r="F109" s="30">
        <f t="shared" ref="F109:F119" si="348">F69</f>
        <v>0</v>
      </c>
      <c r="G109" s="30"/>
      <c r="I109" s="31"/>
      <c r="J109" s="30"/>
      <c r="K109" s="30"/>
      <c r="L109" s="30">
        <f t="shared" ref="L109:L119" si="349">L69</f>
        <v>0</v>
      </c>
      <c r="M109" s="30"/>
      <c r="O109" s="31"/>
      <c r="P109" s="30"/>
      <c r="Q109" s="30"/>
      <c r="R109" s="30">
        <f t="shared" ref="R109:R119" si="350">R69</f>
        <v>0</v>
      </c>
      <c r="S109" s="30"/>
      <c r="U109" s="31"/>
      <c r="V109" s="30"/>
      <c r="W109" s="30"/>
      <c r="X109" s="30">
        <f t="shared" ref="X109:X119" si="351">X69</f>
        <v>0</v>
      </c>
      <c r="Y109" s="30"/>
      <c r="AA109" s="31"/>
      <c r="AB109" s="30"/>
      <c r="AC109" s="30"/>
      <c r="AD109" s="30">
        <f t="shared" ref="AD109:AD119" si="352">AD69</f>
        <v>0</v>
      </c>
      <c r="AE109" s="30"/>
      <c r="AG109" s="31"/>
      <c r="AH109" s="30"/>
      <c r="AI109" s="30"/>
      <c r="AJ109" s="30">
        <f t="shared" ref="AJ109:AJ119" si="353">AJ69</f>
        <v>0</v>
      </c>
      <c r="AK109" s="30"/>
      <c r="AM109" s="31"/>
      <c r="AN109" s="30"/>
      <c r="AO109" s="30"/>
      <c r="AP109" s="30">
        <f t="shared" ref="AP109:AP119" si="354">AP69</f>
        <v>0</v>
      </c>
      <c r="AQ109" s="30"/>
      <c r="AS109" s="31"/>
      <c r="AT109" s="30"/>
      <c r="AU109" s="30"/>
      <c r="AV109" s="30">
        <f t="shared" ref="AV109:AV119" si="355">AV69</f>
        <v>0</v>
      </c>
      <c r="AW109" s="30"/>
      <c r="AY109" s="31"/>
      <c r="AZ109" s="30"/>
      <c r="BA109" s="30"/>
      <c r="BB109" s="30">
        <f t="shared" ref="BB109:BB119" si="356">BB69</f>
        <v>0</v>
      </c>
      <c r="BC109" s="30"/>
      <c r="BE109" s="31"/>
      <c r="BF109" s="30"/>
      <c r="BG109" s="30"/>
      <c r="BH109" s="30">
        <f t="shared" ref="BH109:BH119" si="357">BH69</f>
        <v>0</v>
      </c>
      <c r="BI109" s="30"/>
      <c r="BK109" s="31"/>
      <c r="BL109" s="30"/>
      <c r="BM109" s="30"/>
      <c r="BN109" s="30">
        <f t="shared" ref="BN109:BN119" si="358">BN69</f>
        <v>0</v>
      </c>
      <c r="BO109" s="30"/>
      <c r="BQ109" s="31"/>
      <c r="BR109" s="30"/>
      <c r="BS109" s="30"/>
      <c r="BT109" s="30">
        <f t="shared" ref="BT109:BT119" si="359">BT69</f>
        <v>0</v>
      </c>
      <c r="BU109" s="30"/>
      <c r="BW109" s="31"/>
      <c r="BX109" s="30"/>
      <c r="BY109" s="30"/>
      <c r="BZ109" s="30">
        <f t="shared" ref="BZ109:BZ119" si="360">BZ69</f>
        <v>0</v>
      </c>
      <c r="CA109" s="30"/>
      <c r="CC109" s="31"/>
      <c r="CD109" s="30"/>
      <c r="CE109" s="30"/>
      <c r="CF109" s="30">
        <f t="shared" ref="CF109:CF119" si="361">CF69</f>
        <v>0</v>
      </c>
      <c r="CG109" s="30"/>
      <c r="CI109" s="31"/>
      <c r="CJ109" s="30"/>
      <c r="CK109" s="30"/>
      <c r="CL109" s="30">
        <f t="shared" ref="CL109:CL119" si="362">CL69</f>
        <v>-25000</v>
      </c>
      <c r="CM109" s="30"/>
      <c r="CO109" s="31"/>
      <c r="CP109" s="30"/>
      <c r="CQ109" s="30"/>
      <c r="CR109" s="30">
        <f t="shared" ref="CR109:CR119" si="363">CR69</f>
        <v>0</v>
      </c>
      <c r="CS109" s="30"/>
      <c r="CU109" s="31"/>
      <c r="CV109" s="30"/>
      <c r="CW109" s="30"/>
      <c r="CX109" s="30">
        <f t="shared" ref="CX109:CX119" si="364">CX69</f>
        <v>0</v>
      </c>
      <c r="CY109" s="30"/>
      <c r="DA109" s="31"/>
      <c r="DB109" s="30"/>
      <c r="DC109" s="30"/>
      <c r="DD109" s="30">
        <f t="shared" ref="DD109:DD119" si="365">DD69</f>
        <v>0</v>
      </c>
      <c r="DE109" s="30"/>
      <c r="DG109" s="31"/>
      <c r="DH109" s="30"/>
      <c r="DI109" s="30"/>
      <c r="DJ109" s="30">
        <f t="shared" ref="DJ109:DJ119" si="366">DJ69</f>
        <v>0</v>
      </c>
      <c r="DK109" s="30"/>
      <c r="DM109" s="31"/>
      <c r="DN109" s="30"/>
      <c r="DO109" s="30"/>
      <c r="DP109" s="30">
        <f t="shared" ref="DP109:DP119" si="367">DP69</f>
        <v>0</v>
      </c>
      <c r="DQ109" s="30"/>
      <c r="DS109" s="31"/>
      <c r="DT109" s="30"/>
      <c r="DU109" s="30"/>
      <c r="DV109" s="30">
        <f t="shared" ref="DV109:DV119" si="368">DV69</f>
        <v>0</v>
      </c>
      <c r="DW109" s="30"/>
      <c r="DY109" s="31"/>
      <c r="DZ109" s="30"/>
      <c r="EA109" s="30"/>
      <c r="EB109" s="30">
        <f t="shared" ref="EB109:EB119" si="369">EB69</f>
        <v>0</v>
      </c>
      <c r="EC109" s="30"/>
      <c r="EE109" s="31"/>
      <c r="EF109" s="30"/>
      <c r="EG109" s="30"/>
      <c r="EH109" s="30">
        <f t="shared" ref="EH109:EH119" si="370">EH69</f>
        <v>0</v>
      </c>
      <c r="EI109" s="30"/>
      <c r="EK109" s="31"/>
      <c r="EL109" s="30"/>
      <c r="EM109" s="30"/>
      <c r="EN109" s="30">
        <f t="shared" ref="EN109:EN119" si="371">EN69</f>
        <v>0</v>
      </c>
      <c r="EO109" s="30"/>
      <c r="EQ109" s="31"/>
      <c r="ER109" s="30"/>
      <c r="ES109" s="30"/>
      <c r="ET109" s="30">
        <f t="shared" ref="ET109:ET119" si="372">ET69</f>
        <v>0</v>
      </c>
      <c r="EU109" s="30"/>
      <c r="EW109" s="31"/>
      <c r="EX109" s="30"/>
      <c r="EY109" s="30"/>
      <c r="EZ109" s="30">
        <f t="shared" ref="EZ109:EZ119" si="373">EZ69</f>
        <v>0</v>
      </c>
      <c r="FA109" s="30"/>
      <c r="FC109" s="31"/>
      <c r="FD109" s="30"/>
      <c r="FE109" s="30"/>
      <c r="FF109" s="30">
        <f t="shared" ref="FF109:FF119" si="374">FF69</f>
        <v>0</v>
      </c>
      <c r="FG109" s="30"/>
      <c r="FI109" s="31"/>
      <c r="FJ109" s="30"/>
      <c r="FK109" s="30"/>
      <c r="FL109" s="30">
        <f t="shared" ref="FL109:FL119" si="375">FL69</f>
        <v>0</v>
      </c>
      <c r="FM109" s="30"/>
      <c r="FO109" s="31"/>
      <c r="FP109" s="30"/>
      <c r="FQ109" s="30"/>
      <c r="FR109" s="30">
        <f t="shared" ref="FR109:FR119" si="376">FR69</f>
        <v>0</v>
      </c>
      <c r="FS109" s="30"/>
      <c r="FU109" s="31"/>
      <c r="FV109" s="30"/>
      <c r="FW109" s="30"/>
      <c r="FX109" s="30">
        <f t="shared" ref="FX109:FX119" si="377">FX69</f>
        <v>0</v>
      </c>
      <c r="FY109" s="30"/>
      <c r="GA109" s="31"/>
      <c r="GB109" s="30"/>
      <c r="GC109" s="30"/>
      <c r="GD109" s="30">
        <f t="shared" ref="GD109:GD119" si="378">GD69</f>
        <v>0</v>
      </c>
      <c r="GE109" s="30"/>
      <c r="GG109" s="31"/>
      <c r="GH109" s="30"/>
      <c r="GI109" s="30"/>
      <c r="GJ109" s="30">
        <f t="shared" ref="GJ109:GJ119" si="379">GJ69</f>
        <v>0</v>
      </c>
      <c r="GK109" s="30"/>
      <c r="GM109" s="31"/>
      <c r="GN109" s="30"/>
      <c r="GO109" s="30"/>
      <c r="GP109" s="30">
        <f t="shared" ref="GP109:GP119" si="380">GP69</f>
        <v>0</v>
      </c>
      <c r="GQ109" s="30"/>
      <c r="GS109" s="31"/>
      <c r="GT109" s="30"/>
      <c r="GU109" s="30"/>
      <c r="GV109" s="30">
        <f t="shared" ref="GV109:GV119" si="381">GV69</f>
        <v>0</v>
      </c>
      <c r="GW109" s="30"/>
      <c r="GY109" s="31"/>
      <c r="GZ109" s="30"/>
      <c r="HA109" s="30"/>
      <c r="HB109" s="30">
        <f t="shared" ref="HB109:HB119" si="382">HB69</f>
        <v>0</v>
      </c>
      <c r="HC109" s="30"/>
    </row>
    <row r="110" spans="1:211" s="32" customFormat="1" hidden="1" outlineLevel="2" x14ac:dyDescent="0.2">
      <c r="A110" s="32" t="s">
        <v>103</v>
      </c>
      <c r="B110" s="30">
        <f t="shared" si="347"/>
        <v>530000</v>
      </c>
      <c r="C110" s="31"/>
      <c r="D110" s="30"/>
      <c r="E110" s="30"/>
      <c r="F110" s="30">
        <f t="shared" si="348"/>
        <v>0</v>
      </c>
      <c r="G110" s="30"/>
      <c r="I110" s="31"/>
      <c r="J110" s="30"/>
      <c r="K110" s="30"/>
      <c r="L110" s="30">
        <f t="shared" si="349"/>
        <v>0</v>
      </c>
      <c r="M110" s="30"/>
      <c r="O110" s="31"/>
      <c r="P110" s="30"/>
      <c r="Q110" s="30"/>
      <c r="R110" s="30">
        <f t="shared" si="350"/>
        <v>0</v>
      </c>
      <c r="S110" s="30"/>
      <c r="U110" s="31"/>
      <c r="V110" s="30"/>
      <c r="W110" s="30"/>
      <c r="X110" s="30">
        <f t="shared" si="351"/>
        <v>0</v>
      </c>
      <c r="Y110" s="30"/>
      <c r="AA110" s="31"/>
      <c r="AB110" s="30"/>
      <c r="AC110" s="30"/>
      <c r="AD110" s="30">
        <f t="shared" si="352"/>
        <v>0</v>
      </c>
      <c r="AE110" s="30"/>
      <c r="AG110" s="31"/>
      <c r="AH110" s="30"/>
      <c r="AI110" s="30"/>
      <c r="AJ110" s="30">
        <f t="shared" si="353"/>
        <v>0</v>
      </c>
      <c r="AK110" s="30"/>
      <c r="AM110" s="31"/>
      <c r="AN110" s="30"/>
      <c r="AO110" s="30"/>
      <c r="AP110" s="30">
        <f t="shared" si="354"/>
        <v>0</v>
      </c>
      <c r="AQ110" s="30"/>
      <c r="AS110" s="31"/>
      <c r="AT110" s="30"/>
      <c r="AU110" s="30"/>
      <c r="AV110" s="30">
        <f t="shared" si="355"/>
        <v>0</v>
      </c>
      <c r="AW110" s="30"/>
      <c r="AY110" s="31"/>
      <c r="AZ110" s="30"/>
      <c r="BA110" s="30"/>
      <c r="BB110" s="30">
        <f t="shared" si="356"/>
        <v>0</v>
      </c>
      <c r="BC110" s="30"/>
      <c r="BE110" s="31"/>
      <c r="BF110" s="30"/>
      <c r="BG110" s="30"/>
      <c r="BH110" s="30">
        <f t="shared" si="357"/>
        <v>0</v>
      </c>
      <c r="BI110" s="30"/>
      <c r="BK110" s="31"/>
      <c r="BL110" s="30"/>
      <c r="BM110" s="30"/>
      <c r="BN110" s="30">
        <f t="shared" si="358"/>
        <v>0</v>
      </c>
      <c r="BO110" s="30"/>
      <c r="BQ110" s="31"/>
      <c r="BR110" s="30"/>
      <c r="BS110" s="30"/>
      <c r="BT110" s="30">
        <f t="shared" si="359"/>
        <v>0</v>
      </c>
      <c r="BU110" s="30"/>
      <c r="BW110" s="31"/>
      <c r="BX110" s="30"/>
      <c r="BY110" s="30"/>
      <c r="BZ110" s="30">
        <f t="shared" si="360"/>
        <v>530000</v>
      </c>
      <c r="CA110" s="30"/>
      <c r="CC110" s="31"/>
      <c r="CD110" s="30"/>
      <c r="CE110" s="30"/>
      <c r="CF110" s="30">
        <f t="shared" si="361"/>
        <v>0</v>
      </c>
      <c r="CG110" s="30"/>
      <c r="CI110" s="31"/>
      <c r="CJ110" s="30"/>
      <c r="CK110" s="30"/>
      <c r="CL110" s="30">
        <f t="shared" si="362"/>
        <v>0</v>
      </c>
      <c r="CM110" s="30"/>
      <c r="CO110" s="31"/>
      <c r="CP110" s="30"/>
      <c r="CQ110" s="30"/>
      <c r="CR110" s="30">
        <f t="shared" si="363"/>
        <v>0</v>
      </c>
      <c r="CS110" s="30"/>
      <c r="CU110" s="31"/>
      <c r="CV110" s="30"/>
      <c r="CW110" s="30"/>
      <c r="CX110" s="30">
        <f t="shared" si="364"/>
        <v>0</v>
      </c>
      <c r="CY110" s="30"/>
      <c r="DA110" s="31"/>
      <c r="DB110" s="30"/>
      <c r="DC110" s="30"/>
      <c r="DD110" s="30">
        <f t="shared" si="365"/>
        <v>0</v>
      </c>
      <c r="DE110" s="30"/>
      <c r="DG110" s="31"/>
      <c r="DH110" s="30"/>
      <c r="DI110" s="30"/>
      <c r="DJ110" s="30">
        <f t="shared" si="366"/>
        <v>0</v>
      </c>
      <c r="DK110" s="30"/>
      <c r="DM110" s="31"/>
      <c r="DN110" s="30"/>
      <c r="DO110" s="30"/>
      <c r="DP110" s="30">
        <f t="shared" si="367"/>
        <v>0</v>
      </c>
      <c r="DQ110" s="30"/>
      <c r="DS110" s="31"/>
      <c r="DT110" s="30"/>
      <c r="DU110" s="30"/>
      <c r="DV110" s="30">
        <f t="shared" si="368"/>
        <v>0</v>
      </c>
      <c r="DW110" s="30"/>
      <c r="DY110" s="31"/>
      <c r="DZ110" s="30"/>
      <c r="EA110" s="30"/>
      <c r="EB110" s="30">
        <f t="shared" si="369"/>
        <v>0</v>
      </c>
      <c r="EC110" s="30"/>
      <c r="EE110" s="31"/>
      <c r="EF110" s="30"/>
      <c r="EG110" s="30"/>
      <c r="EH110" s="30">
        <f t="shared" si="370"/>
        <v>0</v>
      </c>
      <c r="EI110" s="30"/>
      <c r="EK110" s="31"/>
      <c r="EL110" s="30"/>
      <c r="EM110" s="30"/>
      <c r="EN110" s="30">
        <f t="shared" si="371"/>
        <v>0</v>
      </c>
      <c r="EO110" s="30"/>
      <c r="EQ110" s="31"/>
      <c r="ER110" s="30"/>
      <c r="ES110" s="30"/>
      <c r="ET110" s="30">
        <f t="shared" si="372"/>
        <v>0</v>
      </c>
      <c r="EU110" s="30"/>
      <c r="EW110" s="31"/>
      <c r="EX110" s="30"/>
      <c r="EY110" s="30"/>
      <c r="EZ110" s="30">
        <f t="shared" si="373"/>
        <v>0</v>
      </c>
      <c r="FA110" s="30"/>
      <c r="FC110" s="31"/>
      <c r="FD110" s="30"/>
      <c r="FE110" s="30"/>
      <c r="FF110" s="30">
        <f t="shared" si="374"/>
        <v>0</v>
      </c>
      <c r="FG110" s="30"/>
      <c r="FI110" s="31"/>
      <c r="FJ110" s="30"/>
      <c r="FK110" s="30"/>
      <c r="FL110" s="30">
        <f t="shared" si="375"/>
        <v>0</v>
      </c>
      <c r="FM110" s="30"/>
      <c r="FO110" s="31"/>
      <c r="FP110" s="30"/>
      <c r="FQ110" s="30"/>
      <c r="FR110" s="30">
        <f t="shared" si="376"/>
        <v>0</v>
      </c>
      <c r="FS110" s="30"/>
      <c r="FU110" s="31"/>
      <c r="FV110" s="30"/>
      <c r="FW110" s="30"/>
      <c r="FX110" s="30">
        <f t="shared" si="377"/>
        <v>0</v>
      </c>
      <c r="FY110" s="30"/>
      <c r="GA110" s="31"/>
      <c r="GB110" s="30"/>
      <c r="GC110" s="30"/>
      <c r="GD110" s="30">
        <f t="shared" si="378"/>
        <v>0</v>
      </c>
      <c r="GE110" s="30"/>
      <c r="GG110" s="31"/>
      <c r="GH110" s="30"/>
      <c r="GI110" s="30"/>
      <c r="GJ110" s="30">
        <f t="shared" si="379"/>
        <v>0</v>
      </c>
      <c r="GK110" s="30"/>
      <c r="GM110" s="31"/>
      <c r="GN110" s="30"/>
      <c r="GO110" s="30"/>
      <c r="GP110" s="30">
        <f t="shared" si="380"/>
        <v>0</v>
      </c>
      <c r="GQ110" s="30"/>
      <c r="GS110" s="31"/>
      <c r="GT110" s="30"/>
      <c r="GU110" s="30"/>
      <c r="GV110" s="30">
        <f t="shared" si="381"/>
        <v>0</v>
      </c>
      <c r="GW110" s="30"/>
      <c r="GY110" s="31"/>
      <c r="GZ110" s="30"/>
      <c r="HA110" s="30"/>
      <c r="HB110" s="30">
        <f t="shared" si="382"/>
        <v>0</v>
      </c>
      <c r="HC110" s="30"/>
    </row>
    <row r="111" spans="1:211" s="32" customFormat="1" hidden="1" outlineLevel="2" x14ac:dyDescent="0.2">
      <c r="A111" s="32" t="s">
        <v>104</v>
      </c>
      <c r="B111" s="30">
        <f t="shared" si="347"/>
        <v>280000</v>
      </c>
      <c r="C111" s="31"/>
      <c r="D111" s="30"/>
      <c r="E111" s="30"/>
      <c r="F111" s="30">
        <f t="shared" si="348"/>
        <v>0</v>
      </c>
      <c r="G111" s="30"/>
      <c r="I111" s="31"/>
      <c r="J111" s="30"/>
      <c r="K111" s="30"/>
      <c r="L111" s="30">
        <f t="shared" si="349"/>
        <v>0</v>
      </c>
      <c r="M111" s="30"/>
      <c r="O111" s="31"/>
      <c r="P111" s="30"/>
      <c r="Q111" s="30"/>
      <c r="R111" s="30">
        <f t="shared" si="350"/>
        <v>140000</v>
      </c>
      <c r="S111" s="30"/>
      <c r="U111" s="31"/>
      <c r="V111" s="30"/>
      <c r="W111" s="30"/>
      <c r="X111" s="30">
        <f t="shared" si="351"/>
        <v>0</v>
      </c>
      <c r="Y111" s="30"/>
      <c r="AA111" s="31"/>
      <c r="AB111" s="30"/>
      <c r="AC111" s="30"/>
      <c r="AD111" s="30">
        <f t="shared" si="352"/>
        <v>0</v>
      </c>
      <c r="AE111" s="30"/>
      <c r="AG111" s="31"/>
      <c r="AH111" s="30"/>
      <c r="AI111" s="30"/>
      <c r="AJ111" s="30">
        <f t="shared" si="353"/>
        <v>0</v>
      </c>
      <c r="AK111" s="30"/>
      <c r="AM111" s="31"/>
      <c r="AN111" s="30"/>
      <c r="AO111" s="30"/>
      <c r="AP111" s="30">
        <f t="shared" si="354"/>
        <v>0</v>
      </c>
      <c r="AQ111" s="30"/>
      <c r="AS111" s="31"/>
      <c r="AT111" s="30"/>
      <c r="AU111" s="30"/>
      <c r="AV111" s="30">
        <f t="shared" si="355"/>
        <v>0</v>
      </c>
      <c r="AW111" s="30"/>
      <c r="AY111" s="31"/>
      <c r="AZ111" s="30"/>
      <c r="BA111" s="30"/>
      <c r="BB111" s="30">
        <f t="shared" si="356"/>
        <v>0</v>
      </c>
      <c r="BC111" s="30"/>
      <c r="BE111" s="31"/>
      <c r="BF111" s="30"/>
      <c r="BG111" s="30"/>
      <c r="BH111" s="30">
        <f t="shared" si="357"/>
        <v>0</v>
      </c>
      <c r="BI111" s="30"/>
      <c r="BK111" s="31"/>
      <c r="BL111" s="30"/>
      <c r="BM111" s="30"/>
      <c r="BN111" s="30">
        <f t="shared" si="358"/>
        <v>0</v>
      </c>
      <c r="BO111" s="30"/>
      <c r="BQ111" s="31"/>
      <c r="BR111" s="30"/>
      <c r="BS111" s="30"/>
      <c r="BT111" s="30">
        <f t="shared" si="359"/>
        <v>0</v>
      </c>
      <c r="BU111" s="30"/>
      <c r="BW111" s="31"/>
      <c r="BX111" s="30"/>
      <c r="BY111" s="30"/>
      <c r="BZ111" s="30">
        <f t="shared" si="360"/>
        <v>0</v>
      </c>
      <c r="CA111" s="30"/>
      <c r="CC111" s="31"/>
      <c r="CD111" s="30"/>
      <c r="CE111" s="30"/>
      <c r="CF111" s="30">
        <f t="shared" si="361"/>
        <v>0</v>
      </c>
      <c r="CG111" s="30"/>
      <c r="CI111" s="31"/>
      <c r="CJ111" s="30"/>
      <c r="CK111" s="30"/>
      <c r="CL111" s="30">
        <f t="shared" si="362"/>
        <v>0</v>
      </c>
      <c r="CM111" s="30"/>
      <c r="CO111" s="31"/>
      <c r="CP111" s="30"/>
      <c r="CQ111" s="30"/>
      <c r="CR111" s="30">
        <f t="shared" si="363"/>
        <v>0</v>
      </c>
      <c r="CS111" s="30"/>
      <c r="CU111" s="31"/>
      <c r="CV111" s="30"/>
      <c r="CW111" s="30"/>
      <c r="CX111" s="30">
        <f t="shared" si="364"/>
        <v>140000</v>
      </c>
      <c r="CY111" s="30"/>
      <c r="DA111" s="31"/>
      <c r="DB111" s="30"/>
      <c r="DC111" s="30"/>
      <c r="DD111" s="30">
        <f t="shared" si="365"/>
        <v>0</v>
      </c>
      <c r="DE111" s="30"/>
      <c r="DG111" s="31"/>
      <c r="DH111" s="30"/>
      <c r="DI111" s="30"/>
      <c r="DJ111" s="30">
        <f t="shared" si="366"/>
        <v>0</v>
      </c>
      <c r="DK111" s="30"/>
      <c r="DM111" s="31"/>
      <c r="DN111" s="30"/>
      <c r="DO111" s="30"/>
      <c r="DP111" s="30">
        <f t="shared" si="367"/>
        <v>0</v>
      </c>
      <c r="DQ111" s="30"/>
      <c r="DS111" s="31"/>
      <c r="DT111" s="30"/>
      <c r="DU111" s="30"/>
      <c r="DV111" s="30">
        <f t="shared" si="368"/>
        <v>0</v>
      </c>
      <c r="DW111" s="30"/>
      <c r="DY111" s="31"/>
      <c r="DZ111" s="30"/>
      <c r="EA111" s="30"/>
      <c r="EB111" s="30">
        <f t="shared" si="369"/>
        <v>0</v>
      </c>
      <c r="EC111" s="30"/>
      <c r="EE111" s="31"/>
      <c r="EF111" s="30"/>
      <c r="EG111" s="30"/>
      <c r="EH111" s="30">
        <f t="shared" si="370"/>
        <v>0</v>
      </c>
      <c r="EI111" s="30"/>
      <c r="EK111" s="31"/>
      <c r="EL111" s="30"/>
      <c r="EM111" s="30"/>
      <c r="EN111" s="30">
        <f t="shared" si="371"/>
        <v>0</v>
      </c>
      <c r="EO111" s="30"/>
      <c r="EQ111" s="31"/>
      <c r="ER111" s="30"/>
      <c r="ES111" s="30"/>
      <c r="ET111" s="30">
        <f t="shared" si="372"/>
        <v>0</v>
      </c>
      <c r="EU111" s="30"/>
      <c r="EW111" s="31"/>
      <c r="EX111" s="30"/>
      <c r="EY111" s="30"/>
      <c r="EZ111" s="30">
        <f t="shared" si="373"/>
        <v>0</v>
      </c>
      <c r="FA111" s="30"/>
      <c r="FC111" s="31"/>
      <c r="FD111" s="30"/>
      <c r="FE111" s="30"/>
      <c r="FF111" s="30">
        <f t="shared" si="374"/>
        <v>0</v>
      </c>
      <c r="FG111" s="30"/>
      <c r="FI111" s="31"/>
      <c r="FJ111" s="30"/>
      <c r="FK111" s="30"/>
      <c r="FL111" s="30">
        <f t="shared" si="375"/>
        <v>0</v>
      </c>
      <c r="FM111" s="30"/>
      <c r="FO111" s="31"/>
      <c r="FP111" s="30"/>
      <c r="FQ111" s="30"/>
      <c r="FR111" s="30">
        <f t="shared" si="376"/>
        <v>0</v>
      </c>
      <c r="FS111" s="30"/>
      <c r="FU111" s="31"/>
      <c r="FV111" s="30"/>
      <c r="FW111" s="30"/>
      <c r="FX111" s="30">
        <f t="shared" si="377"/>
        <v>0</v>
      </c>
      <c r="FY111" s="30"/>
      <c r="GA111" s="31"/>
      <c r="GB111" s="30"/>
      <c r="GC111" s="30"/>
      <c r="GD111" s="30">
        <f t="shared" si="378"/>
        <v>0</v>
      </c>
      <c r="GE111" s="30"/>
      <c r="GG111" s="31"/>
      <c r="GH111" s="30"/>
      <c r="GI111" s="30"/>
      <c r="GJ111" s="30">
        <f t="shared" si="379"/>
        <v>0</v>
      </c>
      <c r="GK111" s="30"/>
      <c r="GM111" s="31"/>
      <c r="GN111" s="30"/>
      <c r="GO111" s="30"/>
      <c r="GP111" s="30">
        <f t="shared" si="380"/>
        <v>0</v>
      </c>
      <c r="GQ111" s="30"/>
      <c r="GS111" s="31"/>
      <c r="GT111" s="30"/>
      <c r="GU111" s="30"/>
      <c r="GV111" s="30">
        <f t="shared" si="381"/>
        <v>0</v>
      </c>
      <c r="GW111" s="30"/>
      <c r="GY111" s="31"/>
      <c r="GZ111" s="30"/>
      <c r="HA111" s="30"/>
      <c r="HB111" s="30">
        <f t="shared" si="382"/>
        <v>0</v>
      </c>
      <c r="HC111" s="30"/>
    </row>
    <row r="112" spans="1:211" s="32" customFormat="1" hidden="1" outlineLevel="2" x14ac:dyDescent="0.2">
      <c r="A112" s="32" t="s">
        <v>105</v>
      </c>
      <c r="B112" s="30">
        <f t="shared" si="347"/>
        <v>560000</v>
      </c>
      <c r="C112" s="31"/>
      <c r="D112" s="30"/>
      <c r="E112" s="30"/>
      <c r="F112" s="30">
        <f t="shared" si="348"/>
        <v>0</v>
      </c>
      <c r="G112" s="30"/>
      <c r="I112" s="31"/>
      <c r="J112" s="30"/>
      <c r="K112" s="30"/>
      <c r="L112" s="30">
        <f t="shared" si="349"/>
        <v>0</v>
      </c>
      <c r="M112" s="30"/>
      <c r="O112" s="31"/>
      <c r="P112" s="30"/>
      <c r="Q112" s="30"/>
      <c r="R112" s="30">
        <f t="shared" si="350"/>
        <v>0</v>
      </c>
      <c r="S112" s="30"/>
      <c r="U112" s="31"/>
      <c r="V112" s="30"/>
      <c r="W112" s="30"/>
      <c r="X112" s="30">
        <f t="shared" si="351"/>
        <v>0</v>
      </c>
      <c r="Y112" s="30"/>
      <c r="AA112" s="31"/>
      <c r="AB112" s="30"/>
      <c r="AC112" s="30"/>
      <c r="AD112" s="30">
        <f t="shared" si="352"/>
        <v>210000</v>
      </c>
      <c r="AE112" s="30"/>
      <c r="AG112" s="31"/>
      <c r="AH112" s="30"/>
      <c r="AI112" s="30"/>
      <c r="AJ112" s="30">
        <f t="shared" si="353"/>
        <v>0</v>
      </c>
      <c r="AK112" s="30"/>
      <c r="AM112" s="31"/>
      <c r="AN112" s="30"/>
      <c r="AO112" s="30"/>
      <c r="AP112" s="30">
        <f t="shared" si="354"/>
        <v>0</v>
      </c>
      <c r="AQ112" s="30"/>
      <c r="AS112" s="31"/>
      <c r="AT112" s="30"/>
      <c r="AU112" s="30"/>
      <c r="AV112" s="30">
        <f t="shared" si="355"/>
        <v>0</v>
      </c>
      <c r="AW112" s="30"/>
      <c r="AY112" s="31"/>
      <c r="AZ112" s="30"/>
      <c r="BA112" s="30"/>
      <c r="BB112" s="30">
        <f t="shared" si="356"/>
        <v>0</v>
      </c>
      <c r="BC112" s="30"/>
      <c r="BE112" s="31"/>
      <c r="BF112" s="30"/>
      <c r="BG112" s="30"/>
      <c r="BH112" s="30">
        <f t="shared" si="357"/>
        <v>0</v>
      </c>
      <c r="BI112" s="30"/>
      <c r="BK112" s="31"/>
      <c r="BL112" s="30"/>
      <c r="BM112" s="30"/>
      <c r="BN112" s="30">
        <f t="shared" si="358"/>
        <v>0</v>
      </c>
      <c r="BO112" s="30"/>
      <c r="BQ112" s="31"/>
      <c r="BR112" s="30"/>
      <c r="BS112" s="30"/>
      <c r="BT112" s="30">
        <f t="shared" si="359"/>
        <v>0</v>
      </c>
      <c r="BU112" s="30"/>
      <c r="BW112" s="31"/>
      <c r="BX112" s="30"/>
      <c r="BY112" s="30"/>
      <c r="BZ112" s="30">
        <f t="shared" si="360"/>
        <v>0</v>
      </c>
      <c r="CA112" s="30"/>
      <c r="CC112" s="31"/>
      <c r="CD112" s="30"/>
      <c r="CE112" s="30"/>
      <c r="CF112" s="30">
        <f t="shared" si="361"/>
        <v>0</v>
      </c>
      <c r="CG112" s="30"/>
      <c r="CI112" s="31"/>
      <c r="CJ112" s="30"/>
      <c r="CK112" s="30"/>
      <c r="CL112" s="30">
        <f t="shared" si="362"/>
        <v>0</v>
      </c>
      <c r="CM112" s="30"/>
      <c r="CO112" s="31"/>
      <c r="CP112" s="30"/>
      <c r="CQ112" s="30"/>
      <c r="CR112" s="30">
        <f t="shared" si="363"/>
        <v>0</v>
      </c>
      <c r="CS112" s="30"/>
      <c r="CU112" s="31"/>
      <c r="CV112" s="30"/>
      <c r="CW112" s="30"/>
      <c r="CX112" s="30">
        <f t="shared" si="364"/>
        <v>0</v>
      </c>
      <c r="CY112" s="30"/>
      <c r="DA112" s="31"/>
      <c r="DB112" s="30"/>
      <c r="DC112" s="30"/>
      <c r="DD112" s="30">
        <f t="shared" si="365"/>
        <v>0</v>
      </c>
      <c r="DE112" s="30"/>
      <c r="DG112" s="31"/>
      <c r="DH112" s="30"/>
      <c r="DI112" s="30"/>
      <c r="DJ112" s="30">
        <f t="shared" si="366"/>
        <v>0</v>
      </c>
      <c r="DK112" s="30"/>
      <c r="DM112" s="31"/>
      <c r="DN112" s="30"/>
      <c r="DO112" s="30"/>
      <c r="DP112" s="30">
        <f t="shared" si="367"/>
        <v>0</v>
      </c>
      <c r="DQ112" s="30"/>
      <c r="DS112" s="31"/>
      <c r="DT112" s="30"/>
      <c r="DU112" s="30"/>
      <c r="DV112" s="30">
        <f t="shared" si="368"/>
        <v>0</v>
      </c>
      <c r="DW112" s="30"/>
      <c r="DY112" s="31"/>
      <c r="DZ112" s="30"/>
      <c r="EA112" s="30"/>
      <c r="EB112" s="30">
        <f t="shared" si="369"/>
        <v>140000</v>
      </c>
      <c r="EC112" s="30"/>
      <c r="EE112" s="31"/>
      <c r="EF112" s="30"/>
      <c r="EG112" s="30"/>
      <c r="EH112" s="30">
        <f t="shared" si="370"/>
        <v>0</v>
      </c>
      <c r="EI112" s="30"/>
      <c r="EK112" s="31"/>
      <c r="EL112" s="30"/>
      <c r="EM112" s="30"/>
      <c r="EN112" s="30">
        <f t="shared" si="371"/>
        <v>0</v>
      </c>
      <c r="EO112" s="30"/>
      <c r="EQ112" s="31"/>
      <c r="ER112" s="30"/>
      <c r="ES112" s="30"/>
      <c r="ET112" s="30">
        <f t="shared" si="372"/>
        <v>0</v>
      </c>
      <c r="EU112" s="30"/>
      <c r="EW112" s="31"/>
      <c r="EX112" s="30"/>
      <c r="EY112" s="30"/>
      <c r="EZ112" s="30">
        <f t="shared" si="373"/>
        <v>0</v>
      </c>
      <c r="FA112" s="30"/>
      <c r="FC112" s="31"/>
      <c r="FD112" s="30"/>
      <c r="FE112" s="30"/>
      <c r="FF112" s="30">
        <f t="shared" si="374"/>
        <v>0</v>
      </c>
      <c r="FG112" s="30"/>
      <c r="FI112" s="31"/>
      <c r="FJ112" s="30"/>
      <c r="FK112" s="30"/>
      <c r="FL112" s="30">
        <f t="shared" si="375"/>
        <v>210000</v>
      </c>
      <c r="FM112" s="30"/>
      <c r="FO112" s="31"/>
      <c r="FP112" s="30"/>
      <c r="FQ112" s="30"/>
      <c r="FR112" s="30">
        <f t="shared" si="376"/>
        <v>0</v>
      </c>
      <c r="FS112" s="30"/>
      <c r="FU112" s="31"/>
      <c r="FV112" s="30"/>
      <c r="FW112" s="30"/>
      <c r="FX112" s="30">
        <f t="shared" si="377"/>
        <v>0</v>
      </c>
      <c r="FY112" s="30"/>
      <c r="GA112" s="31"/>
      <c r="GB112" s="30"/>
      <c r="GC112" s="30"/>
      <c r="GD112" s="30">
        <f t="shared" si="378"/>
        <v>0</v>
      </c>
      <c r="GE112" s="30"/>
      <c r="GG112" s="31"/>
      <c r="GH112" s="30"/>
      <c r="GI112" s="30"/>
      <c r="GJ112" s="30">
        <f t="shared" si="379"/>
        <v>0</v>
      </c>
      <c r="GK112" s="30"/>
      <c r="GM112" s="31"/>
      <c r="GN112" s="30"/>
      <c r="GO112" s="30"/>
      <c r="GP112" s="30">
        <f t="shared" si="380"/>
        <v>0</v>
      </c>
      <c r="GQ112" s="30"/>
      <c r="GS112" s="31"/>
      <c r="GT112" s="30"/>
      <c r="GU112" s="30"/>
      <c r="GV112" s="30">
        <f t="shared" si="381"/>
        <v>0</v>
      </c>
      <c r="GW112" s="30"/>
      <c r="GY112" s="31"/>
      <c r="GZ112" s="30"/>
      <c r="HA112" s="30"/>
      <c r="HB112" s="30">
        <f t="shared" si="382"/>
        <v>0</v>
      </c>
      <c r="HC112" s="30"/>
    </row>
    <row r="113" spans="1:211" s="32" customFormat="1" hidden="1" outlineLevel="2" x14ac:dyDescent="0.2">
      <c r="A113" s="32" t="s">
        <v>106</v>
      </c>
      <c r="B113" s="30">
        <f t="shared" si="347"/>
        <v>135000</v>
      </c>
      <c r="C113" s="31"/>
      <c r="D113" s="30"/>
      <c r="E113" s="30"/>
      <c r="F113" s="30">
        <f t="shared" si="348"/>
        <v>0</v>
      </c>
      <c r="G113" s="30"/>
      <c r="I113" s="31"/>
      <c r="J113" s="30"/>
      <c r="K113" s="30"/>
      <c r="L113" s="30">
        <f t="shared" si="349"/>
        <v>0</v>
      </c>
      <c r="M113" s="30"/>
      <c r="O113" s="31"/>
      <c r="P113" s="30"/>
      <c r="Q113" s="30"/>
      <c r="R113" s="30">
        <f t="shared" si="350"/>
        <v>0</v>
      </c>
      <c r="S113" s="30"/>
      <c r="U113" s="31"/>
      <c r="V113" s="30"/>
      <c r="W113" s="30"/>
      <c r="X113" s="30">
        <f t="shared" si="351"/>
        <v>0</v>
      </c>
      <c r="Y113" s="30"/>
      <c r="AA113" s="31"/>
      <c r="AB113" s="30"/>
      <c r="AC113" s="30"/>
      <c r="AD113" s="30">
        <f t="shared" si="352"/>
        <v>0</v>
      </c>
      <c r="AE113" s="30"/>
      <c r="AG113" s="31"/>
      <c r="AH113" s="30"/>
      <c r="AI113" s="30"/>
      <c r="AJ113" s="30">
        <f t="shared" si="353"/>
        <v>0</v>
      </c>
      <c r="AK113" s="30"/>
      <c r="AM113" s="31"/>
      <c r="AN113" s="30"/>
      <c r="AO113" s="30"/>
      <c r="AP113" s="30">
        <f t="shared" si="354"/>
        <v>0</v>
      </c>
      <c r="AQ113" s="30"/>
      <c r="AS113" s="31"/>
      <c r="AT113" s="30"/>
      <c r="AU113" s="30"/>
      <c r="AV113" s="30">
        <f t="shared" si="355"/>
        <v>0</v>
      </c>
      <c r="AW113" s="30"/>
      <c r="AY113" s="31"/>
      <c r="AZ113" s="30"/>
      <c r="BA113" s="30"/>
      <c r="BB113" s="30">
        <f t="shared" si="356"/>
        <v>135000</v>
      </c>
      <c r="BC113" s="30"/>
      <c r="BE113" s="31"/>
      <c r="BF113" s="30"/>
      <c r="BG113" s="30"/>
      <c r="BH113" s="30">
        <f t="shared" si="357"/>
        <v>0</v>
      </c>
      <c r="BI113" s="30"/>
      <c r="BK113" s="31"/>
      <c r="BL113" s="30"/>
      <c r="BM113" s="30"/>
      <c r="BN113" s="30">
        <f t="shared" si="358"/>
        <v>0</v>
      </c>
      <c r="BO113" s="30"/>
      <c r="BQ113" s="31"/>
      <c r="BR113" s="30"/>
      <c r="BS113" s="30"/>
      <c r="BT113" s="30">
        <f t="shared" si="359"/>
        <v>0</v>
      </c>
      <c r="BU113" s="30"/>
      <c r="BW113" s="31"/>
      <c r="BX113" s="30"/>
      <c r="BY113" s="30"/>
      <c r="BZ113" s="30">
        <f t="shared" si="360"/>
        <v>0</v>
      </c>
      <c r="CA113" s="30"/>
      <c r="CC113" s="31"/>
      <c r="CD113" s="30"/>
      <c r="CE113" s="30"/>
      <c r="CF113" s="30">
        <f t="shared" si="361"/>
        <v>0</v>
      </c>
      <c r="CG113" s="30"/>
      <c r="CI113" s="31"/>
      <c r="CJ113" s="30"/>
      <c r="CK113" s="30"/>
      <c r="CL113" s="30">
        <f t="shared" si="362"/>
        <v>0</v>
      </c>
      <c r="CM113" s="30"/>
      <c r="CO113" s="31"/>
      <c r="CP113" s="30"/>
      <c r="CQ113" s="30"/>
      <c r="CR113" s="30">
        <f t="shared" si="363"/>
        <v>0</v>
      </c>
      <c r="CS113" s="30"/>
      <c r="CU113" s="31"/>
      <c r="CV113" s="30"/>
      <c r="CW113" s="30"/>
      <c r="CX113" s="30">
        <f t="shared" si="364"/>
        <v>0</v>
      </c>
      <c r="CY113" s="30"/>
      <c r="DA113" s="31"/>
      <c r="DB113" s="30"/>
      <c r="DC113" s="30"/>
      <c r="DD113" s="30">
        <f t="shared" si="365"/>
        <v>0</v>
      </c>
      <c r="DE113" s="30"/>
      <c r="DG113" s="31"/>
      <c r="DH113" s="30"/>
      <c r="DI113" s="30"/>
      <c r="DJ113" s="30">
        <f t="shared" si="366"/>
        <v>0</v>
      </c>
      <c r="DK113" s="30"/>
      <c r="DM113" s="31"/>
      <c r="DN113" s="30"/>
      <c r="DO113" s="30"/>
      <c r="DP113" s="30">
        <f t="shared" si="367"/>
        <v>0</v>
      </c>
      <c r="DQ113" s="30"/>
      <c r="DS113" s="31"/>
      <c r="DT113" s="30"/>
      <c r="DU113" s="30"/>
      <c r="DV113" s="30">
        <f t="shared" si="368"/>
        <v>0</v>
      </c>
      <c r="DW113" s="30"/>
      <c r="DY113" s="31"/>
      <c r="DZ113" s="30"/>
      <c r="EA113" s="30"/>
      <c r="EB113" s="30">
        <f t="shared" si="369"/>
        <v>0</v>
      </c>
      <c r="EC113" s="30"/>
      <c r="EE113" s="31"/>
      <c r="EF113" s="30"/>
      <c r="EG113" s="30"/>
      <c r="EH113" s="30">
        <f t="shared" si="370"/>
        <v>0</v>
      </c>
      <c r="EI113" s="30"/>
      <c r="EK113" s="31"/>
      <c r="EL113" s="30"/>
      <c r="EM113" s="30"/>
      <c r="EN113" s="30">
        <f t="shared" si="371"/>
        <v>0</v>
      </c>
      <c r="EO113" s="30"/>
      <c r="EQ113" s="31"/>
      <c r="ER113" s="30"/>
      <c r="ES113" s="30"/>
      <c r="ET113" s="30">
        <f t="shared" si="372"/>
        <v>0</v>
      </c>
      <c r="EU113" s="30"/>
      <c r="EW113" s="31"/>
      <c r="EX113" s="30"/>
      <c r="EY113" s="30"/>
      <c r="EZ113" s="30">
        <f t="shared" si="373"/>
        <v>0</v>
      </c>
      <c r="FA113" s="30"/>
      <c r="FC113" s="31"/>
      <c r="FD113" s="30"/>
      <c r="FE113" s="30"/>
      <c r="FF113" s="30">
        <f t="shared" si="374"/>
        <v>0</v>
      </c>
      <c r="FG113" s="30"/>
      <c r="FI113" s="31"/>
      <c r="FJ113" s="30"/>
      <c r="FK113" s="30"/>
      <c r="FL113" s="30">
        <f t="shared" si="375"/>
        <v>0</v>
      </c>
      <c r="FM113" s="30"/>
      <c r="FO113" s="31"/>
      <c r="FP113" s="30"/>
      <c r="FQ113" s="30"/>
      <c r="FR113" s="30">
        <f t="shared" si="376"/>
        <v>0</v>
      </c>
      <c r="FS113" s="30"/>
      <c r="FU113" s="31"/>
      <c r="FV113" s="30"/>
      <c r="FW113" s="30"/>
      <c r="FX113" s="30">
        <f t="shared" si="377"/>
        <v>0</v>
      </c>
      <c r="FY113" s="30"/>
      <c r="GA113" s="31"/>
      <c r="GB113" s="30"/>
      <c r="GC113" s="30"/>
      <c r="GD113" s="30">
        <f t="shared" si="378"/>
        <v>0</v>
      </c>
      <c r="GE113" s="30"/>
      <c r="GG113" s="31"/>
      <c r="GH113" s="30"/>
      <c r="GI113" s="30"/>
      <c r="GJ113" s="30">
        <f t="shared" si="379"/>
        <v>0</v>
      </c>
      <c r="GK113" s="30"/>
      <c r="GM113" s="31"/>
      <c r="GN113" s="30"/>
      <c r="GO113" s="30"/>
      <c r="GP113" s="30">
        <f t="shared" si="380"/>
        <v>0</v>
      </c>
      <c r="GQ113" s="30"/>
      <c r="GS113" s="31"/>
      <c r="GT113" s="30"/>
      <c r="GU113" s="30"/>
      <c r="GV113" s="30">
        <f t="shared" si="381"/>
        <v>0</v>
      </c>
      <c r="GW113" s="30"/>
      <c r="GY113" s="31"/>
      <c r="GZ113" s="30"/>
      <c r="HA113" s="30"/>
      <c r="HB113" s="30">
        <f t="shared" si="382"/>
        <v>0</v>
      </c>
      <c r="HC113" s="30"/>
    </row>
    <row r="114" spans="1:211" s="32" customFormat="1" hidden="1" outlineLevel="2" x14ac:dyDescent="0.2">
      <c r="A114" s="32" t="s">
        <v>107</v>
      </c>
      <c r="B114" s="30">
        <f t="shared" si="347"/>
        <v>578000</v>
      </c>
      <c r="C114" s="31"/>
      <c r="D114" s="30"/>
      <c r="E114" s="30"/>
      <c r="F114" s="30">
        <f t="shared" si="348"/>
        <v>210000</v>
      </c>
      <c r="G114" s="30"/>
      <c r="I114" s="31"/>
      <c r="J114" s="30"/>
      <c r="K114" s="30"/>
      <c r="L114" s="30">
        <f t="shared" si="349"/>
        <v>0</v>
      </c>
      <c r="M114" s="30"/>
      <c r="O114" s="31"/>
      <c r="P114" s="30"/>
      <c r="Q114" s="30"/>
      <c r="R114" s="30">
        <f t="shared" si="350"/>
        <v>0</v>
      </c>
      <c r="S114" s="30"/>
      <c r="U114" s="31"/>
      <c r="V114" s="30"/>
      <c r="W114" s="30"/>
      <c r="X114" s="30">
        <f t="shared" si="351"/>
        <v>0</v>
      </c>
      <c r="Y114" s="30"/>
      <c r="AA114" s="31"/>
      <c r="AB114" s="30"/>
      <c r="AC114" s="30"/>
      <c r="AD114" s="30">
        <f t="shared" si="352"/>
        <v>0</v>
      </c>
      <c r="AE114" s="30"/>
      <c r="AG114" s="31"/>
      <c r="AH114" s="30"/>
      <c r="AI114" s="30"/>
      <c r="AJ114" s="30">
        <f t="shared" si="353"/>
        <v>0</v>
      </c>
      <c r="AK114" s="30"/>
      <c r="AM114" s="31"/>
      <c r="AN114" s="30"/>
      <c r="AO114" s="30"/>
      <c r="AP114" s="30">
        <f t="shared" si="354"/>
        <v>0</v>
      </c>
      <c r="AQ114" s="30"/>
      <c r="AS114" s="31"/>
      <c r="AT114" s="30"/>
      <c r="AU114" s="30"/>
      <c r="AV114" s="30">
        <f t="shared" si="355"/>
        <v>0</v>
      </c>
      <c r="AW114" s="30"/>
      <c r="AY114" s="31"/>
      <c r="AZ114" s="30"/>
      <c r="BA114" s="30"/>
      <c r="BB114" s="30">
        <f t="shared" si="356"/>
        <v>0</v>
      </c>
      <c r="BC114" s="30"/>
      <c r="BE114" s="31"/>
      <c r="BF114" s="30"/>
      <c r="BG114" s="30"/>
      <c r="BH114" s="30">
        <f t="shared" si="357"/>
        <v>0</v>
      </c>
      <c r="BI114" s="30"/>
      <c r="BK114" s="31"/>
      <c r="BL114" s="30"/>
      <c r="BM114" s="30"/>
      <c r="BN114" s="30">
        <f t="shared" si="358"/>
        <v>0</v>
      </c>
      <c r="BO114" s="30"/>
      <c r="BQ114" s="31"/>
      <c r="BR114" s="30"/>
      <c r="BS114" s="30"/>
      <c r="BT114" s="30">
        <f t="shared" si="359"/>
        <v>0</v>
      </c>
      <c r="BU114" s="30"/>
      <c r="BW114" s="31"/>
      <c r="BX114" s="30"/>
      <c r="BY114" s="30"/>
      <c r="BZ114" s="30">
        <f t="shared" si="360"/>
        <v>0</v>
      </c>
      <c r="CA114" s="30"/>
      <c r="CC114" s="31"/>
      <c r="CD114" s="30"/>
      <c r="CE114" s="30"/>
      <c r="CF114" s="30">
        <f t="shared" si="361"/>
        <v>0</v>
      </c>
      <c r="CG114" s="30"/>
      <c r="CI114" s="31"/>
      <c r="CJ114" s="30"/>
      <c r="CK114" s="30"/>
      <c r="CL114" s="30">
        <f t="shared" si="362"/>
        <v>0</v>
      </c>
      <c r="CM114" s="30"/>
      <c r="CO114" s="31"/>
      <c r="CP114" s="30"/>
      <c r="CQ114" s="30"/>
      <c r="CR114" s="30">
        <f t="shared" si="363"/>
        <v>0</v>
      </c>
      <c r="CS114" s="30"/>
      <c r="CU114" s="31"/>
      <c r="CV114" s="30"/>
      <c r="CW114" s="30"/>
      <c r="CX114" s="30">
        <f t="shared" si="364"/>
        <v>0</v>
      </c>
      <c r="CY114" s="30"/>
      <c r="DA114" s="31"/>
      <c r="DB114" s="30"/>
      <c r="DC114" s="30"/>
      <c r="DD114" s="30">
        <f t="shared" si="365"/>
        <v>0</v>
      </c>
      <c r="DE114" s="30"/>
      <c r="DG114" s="31"/>
      <c r="DH114" s="30"/>
      <c r="DI114" s="30"/>
      <c r="DJ114" s="30">
        <f t="shared" si="366"/>
        <v>0</v>
      </c>
      <c r="DK114" s="30"/>
      <c r="DM114" s="31"/>
      <c r="DN114" s="30"/>
      <c r="DO114" s="30"/>
      <c r="DP114" s="30">
        <f t="shared" si="367"/>
        <v>0</v>
      </c>
      <c r="DQ114" s="30"/>
      <c r="DS114" s="31"/>
      <c r="DT114" s="30"/>
      <c r="DU114" s="30"/>
      <c r="DV114" s="30">
        <f t="shared" si="368"/>
        <v>0</v>
      </c>
      <c r="DW114" s="30"/>
      <c r="DY114" s="31"/>
      <c r="DZ114" s="30"/>
      <c r="EA114" s="30"/>
      <c r="EB114" s="30">
        <f t="shared" si="369"/>
        <v>0</v>
      </c>
      <c r="EC114" s="30"/>
      <c r="EE114" s="31"/>
      <c r="EF114" s="30"/>
      <c r="EG114" s="30"/>
      <c r="EH114" s="30">
        <f t="shared" si="370"/>
        <v>0</v>
      </c>
      <c r="EI114" s="30"/>
      <c r="EK114" s="31"/>
      <c r="EL114" s="30"/>
      <c r="EM114" s="30"/>
      <c r="EN114" s="30">
        <f t="shared" si="371"/>
        <v>0</v>
      </c>
      <c r="EO114" s="30"/>
      <c r="EQ114" s="31"/>
      <c r="ER114" s="30"/>
      <c r="ES114" s="30"/>
      <c r="ET114" s="30">
        <f t="shared" si="372"/>
        <v>0</v>
      </c>
      <c r="EU114" s="30"/>
      <c r="EW114" s="31"/>
      <c r="EX114" s="30"/>
      <c r="EY114" s="30"/>
      <c r="EZ114" s="30">
        <f t="shared" si="373"/>
        <v>0</v>
      </c>
      <c r="FA114" s="30"/>
      <c r="FC114" s="31"/>
      <c r="FD114" s="30"/>
      <c r="FE114" s="30"/>
      <c r="FF114" s="30">
        <f t="shared" si="374"/>
        <v>0</v>
      </c>
      <c r="FG114" s="30"/>
      <c r="FI114" s="31"/>
      <c r="FJ114" s="30"/>
      <c r="FK114" s="30"/>
      <c r="FL114" s="30">
        <f t="shared" si="375"/>
        <v>0</v>
      </c>
      <c r="FM114" s="30"/>
      <c r="FO114" s="31"/>
      <c r="FP114" s="30"/>
      <c r="FQ114" s="30"/>
      <c r="FR114" s="30">
        <f t="shared" si="376"/>
        <v>0</v>
      </c>
      <c r="FS114" s="30"/>
      <c r="FU114" s="31"/>
      <c r="FV114" s="30"/>
      <c r="FW114" s="30"/>
      <c r="FX114" s="30">
        <f t="shared" si="377"/>
        <v>0</v>
      </c>
      <c r="FY114" s="30"/>
      <c r="GA114" s="31"/>
      <c r="GB114" s="30"/>
      <c r="GC114" s="30"/>
      <c r="GD114" s="30">
        <f t="shared" si="378"/>
        <v>0</v>
      </c>
      <c r="GE114" s="30"/>
      <c r="GG114" s="31"/>
      <c r="GH114" s="30"/>
      <c r="GI114" s="30"/>
      <c r="GJ114" s="30">
        <f t="shared" si="379"/>
        <v>0</v>
      </c>
      <c r="GK114" s="30"/>
      <c r="GM114" s="31"/>
      <c r="GN114" s="30"/>
      <c r="GO114" s="30"/>
      <c r="GP114" s="30">
        <f t="shared" si="380"/>
        <v>368000</v>
      </c>
      <c r="GQ114" s="30"/>
      <c r="GS114" s="31"/>
      <c r="GT114" s="30"/>
      <c r="GU114" s="30"/>
      <c r="GV114" s="30">
        <f t="shared" si="381"/>
        <v>0</v>
      </c>
      <c r="GW114" s="30"/>
      <c r="GY114" s="31"/>
      <c r="GZ114" s="30"/>
      <c r="HA114" s="30"/>
      <c r="HB114" s="30">
        <f t="shared" si="382"/>
        <v>0</v>
      </c>
      <c r="HC114" s="30"/>
    </row>
    <row r="115" spans="1:211" s="32" customFormat="1" hidden="1" outlineLevel="2" x14ac:dyDescent="0.2">
      <c r="A115" s="32" t="s">
        <v>108</v>
      </c>
      <c r="B115" s="30">
        <f t="shared" si="347"/>
        <v>10000</v>
      </c>
      <c r="C115" s="31"/>
      <c r="D115" s="30"/>
      <c r="E115" s="30"/>
      <c r="F115" s="30">
        <f t="shared" si="348"/>
        <v>0</v>
      </c>
      <c r="G115" s="30"/>
      <c r="I115" s="31"/>
      <c r="J115" s="30"/>
      <c r="K115" s="30"/>
      <c r="L115" s="30">
        <f t="shared" si="349"/>
        <v>0</v>
      </c>
      <c r="M115" s="30"/>
      <c r="O115" s="31"/>
      <c r="P115" s="30"/>
      <c r="Q115" s="30"/>
      <c r="R115" s="30">
        <f t="shared" si="350"/>
        <v>0</v>
      </c>
      <c r="S115" s="30"/>
      <c r="U115" s="31"/>
      <c r="V115" s="30"/>
      <c r="W115" s="30"/>
      <c r="X115" s="30">
        <f t="shared" si="351"/>
        <v>0</v>
      </c>
      <c r="Y115" s="30"/>
      <c r="AA115" s="31"/>
      <c r="AB115" s="30"/>
      <c r="AC115" s="30"/>
      <c r="AD115" s="30">
        <f t="shared" si="352"/>
        <v>0</v>
      </c>
      <c r="AE115" s="30"/>
      <c r="AG115" s="31"/>
      <c r="AH115" s="30"/>
      <c r="AI115" s="30"/>
      <c r="AJ115" s="30">
        <f t="shared" si="353"/>
        <v>0</v>
      </c>
      <c r="AK115" s="30"/>
      <c r="AM115" s="31"/>
      <c r="AN115" s="30"/>
      <c r="AO115" s="30"/>
      <c r="AP115" s="30">
        <f t="shared" si="354"/>
        <v>0</v>
      </c>
      <c r="AQ115" s="30"/>
      <c r="AS115" s="31"/>
      <c r="AT115" s="30"/>
      <c r="AU115" s="30"/>
      <c r="AV115" s="30">
        <f t="shared" si="355"/>
        <v>0</v>
      </c>
      <c r="AW115" s="30"/>
      <c r="AY115" s="31"/>
      <c r="AZ115" s="30"/>
      <c r="BA115" s="30"/>
      <c r="BB115" s="30">
        <f t="shared" si="356"/>
        <v>0</v>
      </c>
      <c r="BC115" s="30"/>
      <c r="BE115" s="31"/>
      <c r="BF115" s="30"/>
      <c r="BG115" s="30"/>
      <c r="BH115" s="30">
        <f t="shared" si="357"/>
        <v>0</v>
      </c>
      <c r="BI115" s="30"/>
      <c r="BK115" s="31"/>
      <c r="BL115" s="30"/>
      <c r="BM115" s="30"/>
      <c r="BN115" s="30">
        <f t="shared" si="358"/>
        <v>0</v>
      </c>
      <c r="BO115" s="30"/>
      <c r="BQ115" s="31"/>
      <c r="BR115" s="30"/>
      <c r="BS115" s="30"/>
      <c r="BT115" s="30">
        <f t="shared" si="359"/>
        <v>0</v>
      </c>
      <c r="BU115" s="30"/>
      <c r="BW115" s="31"/>
      <c r="BX115" s="30"/>
      <c r="BY115" s="30"/>
      <c r="BZ115" s="30">
        <f t="shared" si="360"/>
        <v>0</v>
      </c>
      <c r="CA115" s="30"/>
      <c r="CC115" s="31"/>
      <c r="CD115" s="30"/>
      <c r="CE115" s="30"/>
      <c r="CF115" s="30">
        <f t="shared" si="361"/>
        <v>0</v>
      </c>
      <c r="CG115" s="30"/>
      <c r="CI115" s="31"/>
      <c r="CJ115" s="30"/>
      <c r="CK115" s="30"/>
      <c r="CL115" s="30">
        <f t="shared" si="362"/>
        <v>10000</v>
      </c>
      <c r="CM115" s="30"/>
      <c r="CO115" s="31"/>
      <c r="CP115" s="30"/>
      <c r="CQ115" s="30"/>
      <c r="CR115" s="30">
        <f t="shared" si="363"/>
        <v>0</v>
      </c>
      <c r="CS115" s="30"/>
      <c r="CU115" s="31"/>
      <c r="CV115" s="30"/>
      <c r="CW115" s="30"/>
      <c r="CX115" s="30">
        <f t="shared" si="364"/>
        <v>0</v>
      </c>
      <c r="CY115" s="30"/>
      <c r="DA115" s="31"/>
      <c r="DB115" s="30"/>
      <c r="DC115" s="30"/>
      <c r="DD115" s="30">
        <f t="shared" si="365"/>
        <v>0</v>
      </c>
      <c r="DE115" s="30"/>
      <c r="DG115" s="31"/>
      <c r="DH115" s="30"/>
      <c r="DI115" s="30"/>
      <c r="DJ115" s="30">
        <f t="shared" si="366"/>
        <v>0</v>
      </c>
      <c r="DK115" s="30"/>
      <c r="DM115" s="31"/>
      <c r="DN115" s="30"/>
      <c r="DO115" s="30"/>
      <c r="DP115" s="30">
        <f t="shared" si="367"/>
        <v>0</v>
      </c>
      <c r="DQ115" s="30"/>
      <c r="DS115" s="31"/>
      <c r="DT115" s="30"/>
      <c r="DU115" s="30"/>
      <c r="DV115" s="30">
        <f t="shared" si="368"/>
        <v>0</v>
      </c>
      <c r="DW115" s="30"/>
      <c r="DY115" s="31"/>
      <c r="DZ115" s="30"/>
      <c r="EA115" s="30"/>
      <c r="EB115" s="30">
        <f t="shared" si="369"/>
        <v>0</v>
      </c>
      <c r="EC115" s="30"/>
      <c r="EE115" s="31"/>
      <c r="EF115" s="30"/>
      <c r="EG115" s="30"/>
      <c r="EH115" s="30">
        <f t="shared" si="370"/>
        <v>0</v>
      </c>
      <c r="EI115" s="30"/>
      <c r="EK115" s="31"/>
      <c r="EL115" s="30"/>
      <c r="EM115" s="30"/>
      <c r="EN115" s="30">
        <f t="shared" si="371"/>
        <v>0</v>
      </c>
      <c r="EO115" s="30"/>
      <c r="EQ115" s="31"/>
      <c r="ER115" s="30"/>
      <c r="ES115" s="30"/>
      <c r="ET115" s="30">
        <f t="shared" si="372"/>
        <v>0</v>
      </c>
      <c r="EU115" s="30"/>
      <c r="EW115" s="31"/>
      <c r="EX115" s="30"/>
      <c r="EY115" s="30"/>
      <c r="EZ115" s="30">
        <f t="shared" si="373"/>
        <v>0</v>
      </c>
      <c r="FA115" s="30"/>
      <c r="FC115" s="31"/>
      <c r="FD115" s="30"/>
      <c r="FE115" s="30"/>
      <c r="FF115" s="30">
        <f t="shared" si="374"/>
        <v>0</v>
      </c>
      <c r="FG115" s="30"/>
      <c r="FI115" s="31"/>
      <c r="FJ115" s="30"/>
      <c r="FK115" s="30"/>
      <c r="FL115" s="30">
        <f t="shared" si="375"/>
        <v>0</v>
      </c>
      <c r="FM115" s="30"/>
      <c r="FO115" s="31"/>
      <c r="FP115" s="30"/>
      <c r="FQ115" s="30"/>
      <c r="FR115" s="30">
        <f t="shared" si="376"/>
        <v>0</v>
      </c>
      <c r="FS115" s="30"/>
      <c r="FU115" s="31"/>
      <c r="FV115" s="30"/>
      <c r="FW115" s="30"/>
      <c r="FX115" s="30">
        <f t="shared" si="377"/>
        <v>0</v>
      </c>
      <c r="FY115" s="30"/>
      <c r="GA115" s="31"/>
      <c r="GB115" s="30"/>
      <c r="GC115" s="30"/>
      <c r="GD115" s="30">
        <f t="shared" si="378"/>
        <v>0</v>
      </c>
      <c r="GE115" s="30"/>
      <c r="GG115" s="31"/>
      <c r="GH115" s="30"/>
      <c r="GI115" s="30"/>
      <c r="GJ115" s="30">
        <f t="shared" si="379"/>
        <v>0</v>
      </c>
      <c r="GK115" s="30"/>
      <c r="GM115" s="31"/>
      <c r="GN115" s="30"/>
      <c r="GO115" s="30"/>
      <c r="GP115" s="30">
        <f t="shared" si="380"/>
        <v>0</v>
      </c>
      <c r="GQ115" s="30"/>
      <c r="GS115" s="31"/>
      <c r="GT115" s="30"/>
      <c r="GU115" s="30"/>
      <c r="GV115" s="30">
        <f t="shared" si="381"/>
        <v>0</v>
      </c>
      <c r="GW115" s="30"/>
      <c r="GY115" s="31"/>
      <c r="GZ115" s="30"/>
      <c r="HA115" s="30"/>
      <c r="HB115" s="30">
        <f t="shared" si="382"/>
        <v>0</v>
      </c>
      <c r="HC115" s="30"/>
    </row>
    <row r="116" spans="1:211" s="32" customFormat="1" hidden="1" outlineLevel="2" x14ac:dyDescent="0.2">
      <c r="A116" s="32" t="s">
        <v>109</v>
      </c>
      <c r="B116" s="30">
        <f t="shared" si="347"/>
        <v>836000</v>
      </c>
      <c r="C116" s="31"/>
      <c r="D116" s="30"/>
      <c r="E116" s="30"/>
      <c r="F116" s="30">
        <f t="shared" si="348"/>
        <v>0</v>
      </c>
      <c r="G116" s="30"/>
      <c r="I116" s="31"/>
      <c r="J116" s="30"/>
      <c r="K116" s="30"/>
      <c r="L116" s="30">
        <f t="shared" si="349"/>
        <v>0</v>
      </c>
      <c r="M116" s="30"/>
      <c r="O116" s="31"/>
      <c r="P116" s="30"/>
      <c r="Q116" s="30"/>
      <c r="R116" s="30">
        <f t="shared" si="350"/>
        <v>0</v>
      </c>
      <c r="S116" s="30"/>
      <c r="U116" s="31"/>
      <c r="V116" s="30"/>
      <c r="W116" s="30"/>
      <c r="X116" s="30">
        <f t="shared" si="351"/>
        <v>0</v>
      </c>
      <c r="Y116" s="30"/>
      <c r="AA116" s="31"/>
      <c r="AB116" s="30"/>
      <c r="AC116" s="30"/>
      <c r="AD116" s="30">
        <f t="shared" si="352"/>
        <v>0</v>
      </c>
      <c r="AE116" s="30"/>
      <c r="AG116" s="31"/>
      <c r="AH116" s="30"/>
      <c r="AI116" s="30"/>
      <c r="AJ116" s="30">
        <f t="shared" si="353"/>
        <v>0</v>
      </c>
      <c r="AK116" s="30"/>
      <c r="AM116" s="31"/>
      <c r="AN116" s="30"/>
      <c r="AO116" s="30"/>
      <c r="AP116" s="30">
        <f t="shared" si="354"/>
        <v>0</v>
      </c>
      <c r="AQ116" s="30"/>
      <c r="AS116" s="31"/>
      <c r="AT116" s="30"/>
      <c r="AU116" s="30"/>
      <c r="AV116" s="30">
        <f t="shared" si="355"/>
        <v>0</v>
      </c>
      <c r="AW116" s="30"/>
      <c r="AY116" s="31"/>
      <c r="AZ116" s="30"/>
      <c r="BA116" s="30"/>
      <c r="BB116" s="30">
        <f t="shared" si="356"/>
        <v>0</v>
      </c>
      <c r="BC116" s="30"/>
      <c r="BE116" s="31"/>
      <c r="BF116" s="30"/>
      <c r="BG116" s="30"/>
      <c r="BH116" s="30">
        <f t="shared" si="357"/>
        <v>0</v>
      </c>
      <c r="BI116" s="30"/>
      <c r="BK116" s="31"/>
      <c r="BL116" s="30"/>
      <c r="BM116" s="30"/>
      <c r="BN116" s="30">
        <f t="shared" si="358"/>
        <v>0</v>
      </c>
      <c r="BO116" s="30"/>
      <c r="BQ116" s="31"/>
      <c r="BR116" s="30"/>
      <c r="BS116" s="30"/>
      <c r="BT116" s="30">
        <f t="shared" si="359"/>
        <v>0</v>
      </c>
      <c r="BU116" s="30"/>
      <c r="BW116" s="31"/>
      <c r="BX116" s="30"/>
      <c r="BY116" s="30"/>
      <c r="BZ116" s="30">
        <f t="shared" si="360"/>
        <v>0</v>
      </c>
      <c r="CA116" s="30"/>
      <c r="CC116" s="31"/>
      <c r="CD116" s="30"/>
      <c r="CE116" s="30"/>
      <c r="CF116" s="30">
        <f t="shared" si="361"/>
        <v>342000</v>
      </c>
      <c r="CG116" s="30"/>
      <c r="CI116" s="31"/>
      <c r="CJ116" s="30"/>
      <c r="CK116" s="30"/>
      <c r="CL116" s="30">
        <f t="shared" si="362"/>
        <v>0</v>
      </c>
      <c r="CM116" s="30"/>
      <c r="CO116" s="31"/>
      <c r="CP116" s="30"/>
      <c r="CQ116" s="30"/>
      <c r="CR116" s="30">
        <f t="shared" si="363"/>
        <v>0</v>
      </c>
      <c r="CS116" s="30"/>
      <c r="CU116" s="31"/>
      <c r="CV116" s="30"/>
      <c r="CW116" s="30"/>
      <c r="CX116" s="30">
        <f t="shared" si="364"/>
        <v>0</v>
      </c>
      <c r="CY116" s="30"/>
      <c r="DA116" s="31"/>
      <c r="DB116" s="30"/>
      <c r="DC116" s="30"/>
      <c r="DD116" s="30">
        <f t="shared" si="365"/>
        <v>0</v>
      </c>
      <c r="DE116" s="30"/>
      <c r="DG116" s="31"/>
      <c r="DH116" s="30"/>
      <c r="DI116" s="30"/>
      <c r="DJ116" s="30">
        <f t="shared" si="366"/>
        <v>0</v>
      </c>
      <c r="DK116" s="30"/>
      <c r="DM116" s="31"/>
      <c r="DN116" s="30"/>
      <c r="DO116" s="30"/>
      <c r="DP116" s="30">
        <f t="shared" si="367"/>
        <v>0</v>
      </c>
      <c r="DQ116" s="30"/>
      <c r="DS116" s="31"/>
      <c r="DT116" s="30"/>
      <c r="DU116" s="30"/>
      <c r="DV116" s="30">
        <f t="shared" si="368"/>
        <v>0</v>
      </c>
      <c r="DW116" s="30"/>
      <c r="DY116" s="31"/>
      <c r="DZ116" s="30"/>
      <c r="EA116" s="30"/>
      <c r="EB116" s="30">
        <f t="shared" si="369"/>
        <v>0</v>
      </c>
      <c r="EC116" s="30"/>
      <c r="EE116" s="31"/>
      <c r="EF116" s="30"/>
      <c r="EG116" s="30"/>
      <c r="EH116" s="30">
        <f t="shared" si="370"/>
        <v>0</v>
      </c>
      <c r="EI116" s="30"/>
      <c r="EK116" s="31"/>
      <c r="EL116" s="30"/>
      <c r="EM116" s="30"/>
      <c r="EN116" s="30">
        <f t="shared" si="371"/>
        <v>0</v>
      </c>
      <c r="EO116" s="30"/>
      <c r="EQ116" s="31"/>
      <c r="ER116" s="30"/>
      <c r="ES116" s="30"/>
      <c r="ET116" s="30">
        <f t="shared" si="372"/>
        <v>0</v>
      </c>
      <c r="EU116" s="30"/>
      <c r="EW116" s="31"/>
      <c r="EX116" s="30"/>
      <c r="EY116" s="30"/>
      <c r="EZ116" s="30">
        <f t="shared" si="373"/>
        <v>0</v>
      </c>
      <c r="FA116" s="30"/>
      <c r="FC116" s="31"/>
      <c r="FD116" s="30"/>
      <c r="FE116" s="30"/>
      <c r="FF116" s="30">
        <f t="shared" si="374"/>
        <v>0</v>
      </c>
      <c r="FG116" s="30"/>
      <c r="FI116" s="31"/>
      <c r="FJ116" s="30"/>
      <c r="FK116" s="30"/>
      <c r="FL116" s="30">
        <f t="shared" si="375"/>
        <v>0</v>
      </c>
      <c r="FM116" s="30"/>
      <c r="FO116" s="31"/>
      <c r="FP116" s="30"/>
      <c r="FQ116" s="30"/>
      <c r="FR116" s="30">
        <f t="shared" si="376"/>
        <v>140000</v>
      </c>
      <c r="FS116" s="30"/>
      <c r="FU116" s="31"/>
      <c r="FV116" s="30"/>
      <c r="FW116" s="30"/>
      <c r="FX116" s="30">
        <f t="shared" si="377"/>
        <v>0</v>
      </c>
      <c r="FY116" s="30"/>
      <c r="GA116" s="31"/>
      <c r="GB116" s="30"/>
      <c r="GC116" s="30"/>
      <c r="GD116" s="30">
        <f t="shared" si="378"/>
        <v>354000</v>
      </c>
      <c r="GE116" s="30"/>
      <c r="GG116" s="31"/>
      <c r="GH116" s="30"/>
      <c r="GI116" s="30"/>
      <c r="GJ116" s="30">
        <f t="shared" si="379"/>
        <v>0</v>
      </c>
      <c r="GK116" s="30"/>
      <c r="GM116" s="31"/>
      <c r="GN116" s="30"/>
      <c r="GO116" s="30"/>
      <c r="GP116" s="30">
        <f t="shared" si="380"/>
        <v>0</v>
      </c>
      <c r="GQ116" s="30"/>
      <c r="GS116" s="31"/>
      <c r="GT116" s="30"/>
      <c r="GU116" s="30"/>
      <c r="GV116" s="30">
        <f t="shared" si="381"/>
        <v>0</v>
      </c>
      <c r="GW116" s="30"/>
      <c r="GY116" s="31"/>
      <c r="GZ116" s="30"/>
      <c r="HA116" s="30"/>
      <c r="HB116" s="30">
        <f t="shared" si="382"/>
        <v>0</v>
      </c>
      <c r="HC116" s="30"/>
    </row>
    <row r="117" spans="1:211" s="32" customFormat="1" hidden="1" outlineLevel="2" x14ac:dyDescent="0.2">
      <c r="A117" s="32" t="s">
        <v>110</v>
      </c>
      <c r="B117" s="30">
        <f t="shared" si="347"/>
        <v>0</v>
      </c>
      <c r="C117" s="31"/>
      <c r="D117" s="30"/>
      <c r="E117" s="30"/>
      <c r="F117" s="30">
        <f t="shared" si="348"/>
        <v>0</v>
      </c>
      <c r="G117" s="30"/>
      <c r="I117" s="31"/>
      <c r="J117" s="30"/>
      <c r="K117" s="30"/>
      <c r="L117" s="30">
        <f t="shared" si="349"/>
        <v>0</v>
      </c>
      <c r="M117" s="30"/>
      <c r="O117" s="31"/>
      <c r="P117" s="30"/>
      <c r="Q117" s="30"/>
      <c r="R117" s="30">
        <f t="shared" si="350"/>
        <v>0</v>
      </c>
      <c r="S117" s="30"/>
      <c r="U117" s="31"/>
      <c r="V117" s="30"/>
      <c r="W117" s="30"/>
      <c r="X117" s="30">
        <f t="shared" si="351"/>
        <v>0</v>
      </c>
      <c r="Y117" s="30"/>
      <c r="AA117" s="31"/>
      <c r="AB117" s="30"/>
      <c r="AC117" s="30"/>
      <c r="AD117" s="30">
        <f t="shared" si="352"/>
        <v>0</v>
      </c>
      <c r="AE117" s="30"/>
      <c r="AG117" s="31"/>
      <c r="AH117" s="30"/>
      <c r="AI117" s="30"/>
      <c r="AJ117" s="30">
        <f t="shared" si="353"/>
        <v>0</v>
      </c>
      <c r="AK117" s="30"/>
      <c r="AM117" s="31"/>
      <c r="AN117" s="30"/>
      <c r="AO117" s="30"/>
      <c r="AP117" s="30">
        <f t="shared" si="354"/>
        <v>0</v>
      </c>
      <c r="AQ117" s="30"/>
      <c r="AS117" s="31"/>
      <c r="AT117" s="30"/>
      <c r="AU117" s="30"/>
      <c r="AV117" s="30">
        <f t="shared" si="355"/>
        <v>0</v>
      </c>
      <c r="AW117" s="30"/>
      <c r="AY117" s="31"/>
      <c r="AZ117" s="30"/>
      <c r="BA117" s="30"/>
      <c r="BB117" s="30">
        <f t="shared" si="356"/>
        <v>0</v>
      </c>
      <c r="BC117" s="30"/>
      <c r="BE117" s="31"/>
      <c r="BF117" s="30"/>
      <c r="BG117" s="30"/>
      <c r="BH117" s="30">
        <f t="shared" si="357"/>
        <v>0</v>
      </c>
      <c r="BI117" s="30"/>
      <c r="BK117" s="31"/>
      <c r="BL117" s="30"/>
      <c r="BM117" s="30"/>
      <c r="BN117" s="30">
        <f t="shared" si="358"/>
        <v>0</v>
      </c>
      <c r="BO117" s="30"/>
      <c r="BQ117" s="31"/>
      <c r="BR117" s="30"/>
      <c r="BS117" s="30"/>
      <c r="BT117" s="30">
        <f t="shared" si="359"/>
        <v>0</v>
      </c>
      <c r="BU117" s="30"/>
      <c r="BW117" s="31"/>
      <c r="BX117" s="30"/>
      <c r="BY117" s="30"/>
      <c r="BZ117" s="30">
        <f t="shared" si="360"/>
        <v>0</v>
      </c>
      <c r="CA117" s="30"/>
      <c r="CC117" s="31"/>
      <c r="CD117" s="30"/>
      <c r="CE117" s="30"/>
      <c r="CF117" s="30">
        <f t="shared" si="361"/>
        <v>0</v>
      </c>
      <c r="CG117" s="30"/>
      <c r="CI117" s="31"/>
      <c r="CJ117" s="30"/>
      <c r="CK117" s="30"/>
      <c r="CL117" s="30">
        <f t="shared" si="362"/>
        <v>0</v>
      </c>
      <c r="CM117" s="30"/>
      <c r="CO117" s="31"/>
      <c r="CP117" s="30"/>
      <c r="CQ117" s="30"/>
      <c r="CR117" s="30">
        <f t="shared" si="363"/>
        <v>0</v>
      </c>
      <c r="CS117" s="30"/>
      <c r="CU117" s="31"/>
      <c r="CV117" s="30"/>
      <c r="CW117" s="30"/>
      <c r="CX117" s="30">
        <f t="shared" si="364"/>
        <v>0</v>
      </c>
      <c r="CY117" s="30"/>
      <c r="DA117" s="31"/>
      <c r="DB117" s="30"/>
      <c r="DC117" s="30"/>
      <c r="DD117" s="30">
        <f t="shared" si="365"/>
        <v>0</v>
      </c>
      <c r="DE117" s="30"/>
      <c r="DG117" s="31"/>
      <c r="DH117" s="30"/>
      <c r="DI117" s="30"/>
      <c r="DJ117" s="30">
        <f t="shared" si="366"/>
        <v>0</v>
      </c>
      <c r="DK117" s="30"/>
      <c r="DM117" s="31"/>
      <c r="DN117" s="30"/>
      <c r="DO117" s="30"/>
      <c r="DP117" s="30">
        <f t="shared" si="367"/>
        <v>0</v>
      </c>
      <c r="DQ117" s="30"/>
      <c r="DS117" s="31"/>
      <c r="DT117" s="30"/>
      <c r="DU117" s="30"/>
      <c r="DV117" s="30">
        <f t="shared" si="368"/>
        <v>0</v>
      </c>
      <c r="DW117" s="30"/>
      <c r="DY117" s="31"/>
      <c r="DZ117" s="30"/>
      <c r="EA117" s="30"/>
      <c r="EB117" s="30">
        <f t="shared" si="369"/>
        <v>0</v>
      </c>
      <c r="EC117" s="30"/>
      <c r="EE117" s="31"/>
      <c r="EF117" s="30"/>
      <c r="EG117" s="30"/>
      <c r="EH117" s="30">
        <f t="shared" si="370"/>
        <v>0</v>
      </c>
      <c r="EI117" s="30"/>
      <c r="EK117" s="31"/>
      <c r="EL117" s="30"/>
      <c r="EM117" s="30"/>
      <c r="EN117" s="30">
        <f t="shared" si="371"/>
        <v>0</v>
      </c>
      <c r="EO117" s="30"/>
      <c r="EQ117" s="31"/>
      <c r="ER117" s="30"/>
      <c r="ES117" s="30"/>
      <c r="ET117" s="30">
        <f t="shared" si="372"/>
        <v>0</v>
      </c>
      <c r="EU117" s="30"/>
      <c r="EW117" s="31"/>
      <c r="EX117" s="30"/>
      <c r="EY117" s="30"/>
      <c r="EZ117" s="30">
        <f t="shared" si="373"/>
        <v>0</v>
      </c>
      <c r="FA117" s="30"/>
      <c r="FC117" s="31"/>
      <c r="FD117" s="30"/>
      <c r="FE117" s="30"/>
      <c r="FF117" s="30">
        <f t="shared" si="374"/>
        <v>0</v>
      </c>
      <c r="FG117" s="30"/>
      <c r="FI117" s="31"/>
      <c r="FJ117" s="30"/>
      <c r="FK117" s="30"/>
      <c r="FL117" s="30">
        <f t="shared" si="375"/>
        <v>0</v>
      </c>
      <c r="FM117" s="30"/>
      <c r="FO117" s="31"/>
      <c r="FP117" s="30"/>
      <c r="FQ117" s="30"/>
      <c r="FR117" s="30">
        <f t="shared" si="376"/>
        <v>0</v>
      </c>
      <c r="FS117" s="30"/>
      <c r="FU117" s="31"/>
      <c r="FV117" s="30"/>
      <c r="FW117" s="30"/>
      <c r="FX117" s="30">
        <f t="shared" si="377"/>
        <v>0</v>
      </c>
      <c r="FY117" s="30"/>
      <c r="GA117" s="31"/>
      <c r="GB117" s="30"/>
      <c r="GC117" s="30"/>
      <c r="GD117" s="30">
        <f t="shared" si="378"/>
        <v>0</v>
      </c>
      <c r="GE117" s="30"/>
      <c r="GG117" s="31"/>
      <c r="GH117" s="30"/>
      <c r="GI117" s="30"/>
      <c r="GJ117" s="30">
        <f t="shared" si="379"/>
        <v>0</v>
      </c>
      <c r="GK117" s="30"/>
      <c r="GM117" s="31"/>
      <c r="GN117" s="30"/>
      <c r="GO117" s="30"/>
      <c r="GP117" s="30">
        <f t="shared" si="380"/>
        <v>0</v>
      </c>
      <c r="GQ117" s="30"/>
      <c r="GS117" s="31"/>
      <c r="GT117" s="30"/>
      <c r="GU117" s="30"/>
      <c r="GV117" s="30">
        <f t="shared" si="381"/>
        <v>0</v>
      </c>
      <c r="GW117" s="30"/>
      <c r="GY117" s="31"/>
      <c r="GZ117" s="30"/>
      <c r="HA117" s="30"/>
      <c r="HB117" s="30">
        <f t="shared" si="382"/>
        <v>0</v>
      </c>
      <c r="HC117" s="30"/>
    </row>
    <row r="118" spans="1:211" s="32" customFormat="1" hidden="1" outlineLevel="2" x14ac:dyDescent="0.2">
      <c r="A118" s="32" t="s">
        <v>111</v>
      </c>
      <c r="B118" s="30">
        <f t="shared" si="347"/>
        <v>175000</v>
      </c>
      <c r="C118" s="31"/>
      <c r="D118" s="30"/>
      <c r="E118" s="30"/>
      <c r="F118" s="30">
        <f t="shared" si="348"/>
        <v>0</v>
      </c>
      <c r="G118" s="30"/>
      <c r="I118" s="31"/>
      <c r="J118" s="30"/>
      <c r="K118" s="30"/>
      <c r="L118" s="30">
        <f t="shared" si="349"/>
        <v>0</v>
      </c>
      <c r="M118" s="30"/>
      <c r="O118" s="31"/>
      <c r="P118" s="30"/>
      <c r="Q118" s="30"/>
      <c r="R118" s="30">
        <f t="shared" si="350"/>
        <v>0</v>
      </c>
      <c r="S118" s="30"/>
      <c r="U118" s="31"/>
      <c r="V118" s="30"/>
      <c r="W118" s="30"/>
      <c r="X118" s="30">
        <f t="shared" si="351"/>
        <v>0</v>
      </c>
      <c r="Y118" s="30"/>
      <c r="AA118" s="31"/>
      <c r="AB118" s="30"/>
      <c r="AC118" s="30"/>
      <c r="AD118" s="30">
        <f t="shared" si="352"/>
        <v>0</v>
      </c>
      <c r="AE118" s="30"/>
      <c r="AG118" s="31"/>
      <c r="AH118" s="30"/>
      <c r="AI118" s="30"/>
      <c r="AJ118" s="30">
        <f t="shared" si="353"/>
        <v>0</v>
      </c>
      <c r="AK118" s="30"/>
      <c r="AM118" s="31"/>
      <c r="AN118" s="30"/>
      <c r="AO118" s="30"/>
      <c r="AP118" s="30">
        <f t="shared" si="354"/>
        <v>0</v>
      </c>
      <c r="AQ118" s="30"/>
      <c r="AS118" s="31"/>
      <c r="AT118" s="30"/>
      <c r="AU118" s="30"/>
      <c r="AV118" s="30">
        <f t="shared" si="355"/>
        <v>0</v>
      </c>
      <c r="AW118" s="30"/>
      <c r="AY118" s="31"/>
      <c r="AZ118" s="30"/>
      <c r="BA118" s="30"/>
      <c r="BB118" s="30">
        <f t="shared" si="356"/>
        <v>0</v>
      </c>
      <c r="BC118" s="30"/>
      <c r="BE118" s="31"/>
      <c r="BF118" s="30"/>
      <c r="BG118" s="30"/>
      <c r="BH118" s="30">
        <f t="shared" si="357"/>
        <v>0</v>
      </c>
      <c r="BI118" s="30"/>
      <c r="BK118" s="31"/>
      <c r="BL118" s="30"/>
      <c r="BM118" s="30"/>
      <c r="BN118" s="30">
        <f t="shared" si="358"/>
        <v>0</v>
      </c>
      <c r="BO118" s="30"/>
      <c r="BQ118" s="31"/>
      <c r="BR118" s="30"/>
      <c r="BS118" s="30"/>
      <c r="BT118" s="30">
        <f t="shared" si="359"/>
        <v>0</v>
      </c>
      <c r="BU118" s="30"/>
      <c r="BW118" s="31"/>
      <c r="BX118" s="30"/>
      <c r="BY118" s="30"/>
      <c r="BZ118" s="30">
        <f t="shared" si="360"/>
        <v>0</v>
      </c>
      <c r="CA118" s="30"/>
      <c r="CC118" s="31"/>
      <c r="CD118" s="30"/>
      <c r="CE118" s="30"/>
      <c r="CF118" s="30">
        <f t="shared" si="361"/>
        <v>0</v>
      </c>
      <c r="CG118" s="30"/>
      <c r="CI118" s="31"/>
      <c r="CJ118" s="30"/>
      <c r="CK118" s="30"/>
      <c r="CL118" s="30">
        <f t="shared" si="362"/>
        <v>0</v>
      </c>
      <c r="CM118" s="30"/>
      <c r="CO118" s="31"/>
      <c r="CP118" s="30"/>
      <c r="CQ118" s="30"/>
      <c r="CR118" s="30">
        <f t="shared" si="363"/>
        <v>0</v>
      </c>
      <c r="CS118" s="30"/>
      <c r="CU118" s="31"/>
      <c r="CV118" s="30"/>
      <c r="CW118" s="30"/>
      <c r="CX118" s="30">
        <f t="shared" si="364"/>
        <v>0</v>
      </c>
      <c r="CY118" s="30"/>
      <c r="DA118" s="31"/>
      <c r="DB118" s="30"/>
      <c r="DC118" s="30"/>
      <c r="DD118" s="30">
        <f t="shared" si="365"/>
        <v>0</v>
      </c>
      <c r="DE118" s="30"/>
      <c r="DG118" s="31"/>
      <c r="DH118" s="30"/>
      <c r="DI118" s="30"/>
      <c r="DJ118" s="30">
        <f t="shared" si="366"/>
        <v>0</v>
      </c>
      <c r="DK118" s="30"/>
      <c r="DM118" s="31"/>
      <c r="DN118" s="30"/>
      <c r="DO118" s="30"/>
      <c r="DP118" s="30">
        <f t="shared" si="367"/>
        <v>0</v>
      </c>
      <c r="DQ118" s="30"/>
      <c r="DS118" s="31"/>
      <c r="DT118" s="30"/>
      <c r="DU118" s="30"/>
      <c r="DV118" s="30">
        <f t="shared" si="368"/>
        <v>0</v>
      </c>
      <c r="DW118" s="30"/>
      <c r="DY118" s="31"/>
      <c r="DZ118" s="30"/>
      <c r="EA118" s="30"/>
      <c r="EB118" s="30">
        <f t="shared" si="369"/>
        <v>0</v>
      </c>
      <c r="EC118" s="30"/>
      <c r="EE118" s="31"/>
      <c r="EF118" s="30"/>
      <c r="EG118" s="30"/>
      <c r="EH118" s="30">
        <f t="shared" si="370"/>
        <v>0</v>
      </c>
      <c r="EI118" s="30"/>
      <c r="EK118" s="31"/>
      <c r="EL118" s="30"/>
      <c r="EM118" s="30"/>
      <c r="EN118" s="30">
        <f t="shared" si="371"/>
        <v>0</v>
      </c>
      <c r="EO118" s="30"/>
      <c r="EQ118" s="31"/>
      <c r="ER118" s="30"/>
      <c r="ES118" s="30"/>
      <c r="ET118" s="30">
        <f t="shared" si="372"/>
        <v>0</v>
      </c>
      <c r="EU118" s="30"/>
      <c r="EW118" s="31"/>
      <c r="EX118" s="30"/>
      <c r="EY118" s="30"/>
      <c r="EZ118" s="30">
        <f t="shared" si="373"/>
        <v>0</v>
      </c>
      <c r="FA118" s="30"/>
      <c r="FC118" s="31"/>
      <c r="FD118" s="30"/>
      <c r="FE118" s="30"/>
      <c r="FF118" s="30">
        <f t="shared" si="374"/>
        <v>175000</v>
      </c>
      <c r="FG118" s="30"/>
      <c r="FI118" s="31"/>
      <c r="FJ118" s="30"/>
      <c r="FK118" s="30"/>
      <c r="FL118" s="30">
        <f t="shared" si="375"/>
        <v>0</v>
      </c>
      <c r="FM118" s="30"/>
      <c r="FO118" s="31"/>
      <c r="FP118" s="30"/>
      <c r="FQ118" s="30"/>
      <c r="FR118" s="30">
        <f t="shared" si="376"/>
        <v>0</v>
      </c>
      <c r="FS118" s="30"/>
      <c r="FU118" s="31"/>
      <c r="FV118" s="30"/>
      <c r="FW118" s="30"/>
      <c r="FX118" s="30">
        <f t="shared" si="377"/>
        <v>0</v>
      </c>
      <c r="FY118" s="30"/>
      <c r="GA118" s="31"/>
      <c r="GB118" s="30"/>
      <c r="GC118" s="30"/>
      <c r="GD118" s="30">
        <f t="shared" si="378"/>
        <v>0</v>
      </c>
      <c r="GE118" s="30"/>
      <c r="GG118" s="31"/>
      <c r="GH118" s="30"/>
      <c r="GI118" s="30"/>
      <c r="GJ118" s="30">
        <f t="shared" si="379"/>
        <v>0</v>
      </c>
      <c r="GK118" s="30"/>
      <c r="GM118" s="31"/>
      <c r="GN118" s="30"/>
      <c r="GO118" s="30"/>
      <c r="GP118" s="30">
        <f t="shared" si="380"/>
        <v>0</v>
      </c>
      <c r="GQ118" s="30"/>
      <c r="GS118" s="31"/>
      <c r="GT118" s="30"/>
      <c r="GU118" s="30"/>
      <c r="GV118" s="30">
        <f t="shared" si="381"/>
        <v>0</v>
      </c>
      <c r="GW118" s="30"/>
      <c r="GY118" s="31"/>
      <c r="GZ118" s="30"/>
      <c r="HA118" s="30"/>
      <c r="HB118" s="30">
        <f t="shared" si="382"/>
        <v>0</v>
      </c>
      <c r="HC118" s="30"/>
    </row>
    <row r="119" spans="1:211" s="32" customFormat="1" hidden="1" outlineLevel="2" x14ac:dyDescent="0.2">
      <c r="A119" s="32" t="s">
        <v>112</v>
      </c>
      <c r="B119" s="30">
        <f t="shared" si="347"/>
        <v>252000</v>
      </c>
      <c r="C119" s="31"/>
      <c r="D119" s="30"/>
      <c r="E119" s="30"/>
      <c r="F119" s="30">
        <f t="shared" si="348"/>
        <v>0</v>
      </c>
      <c r="G119" s="30"/>
      <c r="I119" s="31"/>
      <c r="J119" s="30"/>
      <c r="K119" s="30"/>
      <c r="L119" s="30">
        <f t="shared" si="349"/>
        <v>0</v>
      </c>
      <c r="M119" s="30"/>
      <c r="O119" s="31"/>
      <c r="P119" s="30"/>
      <c r="Q119" s="30"/>
      <c r="R119" s="30">
        <f t="shared" si="350"/>
        <v>0</v>
      </c>
      <c r="S119" s="30"/>
      <c r="U119" s="31"/>
      <c r="V119" s="30"/>
      <c r="W119" s="30"/>
      <c r="X119" s="30">
        <f t="shared" si="351"/>
        <v>0</v>
      </c>
      <c r="Y119" s="30"/>
      <c r="AA119" s="31"/>
      <c r="AB119" s="30"/>
      <c r="AC119" s="30"/>
      <c r="AD119" s="30">
        <f t="shared" si="352"/>
        <v>0</v>
      </c>
      <c r="AE119" s="30"/>
      <c r="AG119" s="31"/>
      <c r="AH119" s="30"/>
      <c r="AI119" s="30"/>
      <c r="AJ119" s="30">
        <f t="shared" si="353"/>
        <v>0</v>
      </c>
      <c r="AK119" s="30"/>
      <c r="AM119" s="31"/>
      <c r="AN119" s="30"/>
      <c r="AO119" s="30"/>
      <c r="AP119" s="30">
        <f t="shared" si="354"/>
        <v>0</v>
      </c>
      <c r="AQ119" s="30"/>
      <c r="AS119" s="31"/>
      <c r="AT119" s="30"/>
      <c r="AU119" s="30"/>
      <c r="AV119" s="30">
        <f t="shared" si="355"/>
        <v>0</v>
      </c>
      <c r="AW119" s="30"/>
      <c r="AY119" s="31"/>
      <c r="AZ119" s="30"/>
      <c r="BA119" s="30"/>
      <c r="BB119" s="30">
        <f t="shared" si="356"/>
        <v>0</v>
      </c>
      <c r="BC119" s="30"/>
      <c r="BE119" s="31"/>
      <c r="BF119" s="30"/>
      <c r="BG119" s="30"/>
      <c r="BH119" s="30">
        <f t="shared" si="357"/>
        <v>0</v>
      </c>
      <c r="BI119" s="30"/>
      <c r="BK119" s="31"/>
      <c r="BL119" s="30"/>
      <c r="BM119" s="30"/>
      <c r="BN119" s="30">
        <f t="shared" si="358"/>
        <v>0</v>
      </c>
      <c r="BO119" s="30"/>
      <c r="BQ119" s="31"/>
      <c r="BR119" s="30"/>
      <c r="BS119" s="30"/>
      <c r="BT119" s="30">
        <f t="shared" si="359"/>
        <v>0</v>
      </c>
      <c r="BU119" s="30"/>
      <c r="BW119" s="31"/>
      <c r="BX119" s="30"/>
      <c r="BY119" s="30"/>
      <c r="BZ119" s="30">
        <f t="shared" si="360"/>
        <v>0</v>
      </c>
      <c r="CA119" s="30"/>
      <c r="CC119" s="31"/>
      <c r="CD119" s="30"/>
      <c r="CE119" s="30"/>
      <c r="CF119" s="30">
        <f t="shared" si="361"/>
        <v>0</v>
      </c>
      <c r="CG119" s="30"/>
      <c r="CI119" s="31"/>
      <c r="CJ119" s="30"/>
      <c r="CK119" s="30"/>
      <c r="CL119" s="30">
        <f t="shared" si="362"/>
        <v>0</v>
      </c>
      <c r="CM119" s="30"/>
      <c r="CO119" s="31"/>
      <c r="CP119" s="30"/>
      <c r="CQ119" s="30"/>
      <c r="CR119" s="30">
        <f t="shared" si="363"/>
        <v>0</v>
      </c>
      <c r="CS119" s="30"/>
      <c r="CU119" s="31"/>
      <c r="CV119" s="30"/>
      <c r="CW119" s="30"/>
      <c r="CX119" s="30">
        <f t="shared" si="364"/>
        <v>0</v>
      </c>
      <c r="CY119" s="30"/>
      <c r="DA119" s="31"/>
      <c r="DB119" s="30"/>
      <c r="DC119" s="30"/>
      <c r="DD119" s="30">
        <f t="shared" si="365"/>
        <v>0</v>
      </c>
      <c r="DE119" s="30"/>
      <c r="DG119" s="31"/>
      <c r="DH119" s="30"/>
      <c r="DI119" s="30"/>
      <c r="DJ119" s="30">
        <f t="shared" si="366"/>
        <v>0</v>
      </c>
      <c r="DK119" s="30"/>
      <c r="DM119" s="31"/>
      <c r="DN119" s="30"/>
      <c r="DO119" s="30"/>
      <c r="DP119" s="30">
        <f t="shared" si="367"/>
        <v>0</v>
      </c>
      <c r="DQ119" s="30"/>
      <c r="DS119" s="31"/>
      <c r="DT119" s="30"/>
      <c r="DU119" s="30"/>
      <c r="DV119" s="30">
        <f t="shared" si="368"/>
        <v>0</v>
      </c>
      <c r="DW119" s="30"/>
      <c r="DY119" s="31"/>
      <c r="DZ119" s="30"/>
      <c r="EA119" s="30"/>
      <c r="EB119" s="30">
        <f t="shared" si="369"/>
        <v>0</v>
      </c>
      <c r="EC119" s="30"/>
      <c r="EE119" s="31"/>
      <c r="EF119" s="30"/>
      <c r="EG119" s="30"/>
      <c r="EH119" s="30">
        <f t="shared" si="370"/>
        <v>0</v>
      </c>
      <c r="EI119" s="30"/>
      <c r="EK119" s="31"/>
      <c r="EL119" s="30"/>
      <c r="EM119" s="30"/>
      <c r="EN119" s="30">
        <f t="shared" si="371"/>
        <v>0</v>
      </c>
      <c r="EO119" s="30"/>
      <c r="EQ119" s="31"/>
      <c r="ER119" s="30"/>
      <c r="ES119" s="30"/>
      <c r="ET119" s="30">
        <f t="shared" si="372"/>
        <v>252000</v>
      </c>
      <c r="EU119" s="30"/>
      <c r="EW119" s="31"/>
      <c r="EX119" s="30"/>
      <c r="EY119" s="30"/>
      <c r="EZ119" s="30">
        <f t="shared" si="373"/>
        <v>0</v>
      </c>
      <c r="FA119" s="30"/>
      <c r="FC119" s="31"/>
      <c r="FD119" s="30"/>
      <c r="FE119" s="30"/>
      <c r="FF119" s="30">
        <f t="shared" si="374"/>
        <v>0</v>
      </c>
      <c r="FG119" s="30"/>
      <c r="FI119" s="31"/>
      <c r="FJ119" s="30"/>
      <c r="FK119" s="30"/>
      <c r="FL119" s="30">
        <f t="shared" si="375"/>
        <v>0</v>
      </c>
      <c r="FM119" s="30"/>
      <c r="FO119" s="31"/>
      <c r="FP119" s="30"/>
      <c r="FQ119" s="30"/>
      <c r="FR119" s="30">
        <f t="shared" si="376"/>
        <v>0</v>
      </c>
      <c r="FS119" s="30"/>
      <c r="FU119" s="31"/>
      <c r="FV119" s="30"/>
      <c r="FW119" s="30"/>
      <c r="FX119" s="30">
        <f t="shared" si="377"/>
        <v>0</v>
      </c>
      <c r="FY119" s="30"/>
      <c r="GA119" s="31"/>
      <c r="GB119" s="30"/>
      <c r="GC119" s="30"/>
      <c r="GD119" s="30">
        <f t="shared" si="378"/>
        <v>0</v>
      </c>
      <c r="GE119" s="30"/>
      <c r="GG119" s="31"/>
      <c r="GH119" s="30"/>
      <c r="GI119" s="30"/>
      <c r="GJ119" s="30">
        <f t="shared" si="379"/>
        <v>0</v>
      </c>
      <c r="GK119" s="30"/>
      <c r="GM119" s="31"/>
      <c r="GN119" s="30"/>
      <c r="GO119" s="30"/>
      <c r="GP119" s="30">
        <f t="shared" si="380"/>
        <v>0</v>
      </c>
      <c r="GQ119" s="30"/>
      <c r="GS119" s="31"/>
      <c r="GT119" s="30"/>
      <c r="GU119" s="30"/>
      <c r="GV119" s="30">
        <f t="shared" si="381"/>
        <v>0</v>
      </c>
      <c r="GW119" s="30"/>
      <c r="GY119" s="31"/>
      <c r="GZ119" s="30"/>
      <c r="HA119" s="30"/>
      <c r="HB119" s="30">
        <f t="shared" si="382"/>
        <v>0</v>
      </c>
      <c r="HC119" s="30"/>
    </row>
    <row r="120" spans="1:211" hidden="1" outlineLevel="1" x14ac:dyDescent="0.2"/>
    <row r="121" spans="1:211" s="40" customFormat="1" hidden="1" outlineLevel="1" x14ac:dyDescent="0.2">
      <c r="A121" s="39" t="s">
        <v>33</v>
      </c>
      <c r="B121" s="39">
        <f>SUM(C67:XFD67)</f>
        <v>37338882.311354019</v>
      </c>
    </row>
    <row r="122" spans="1:211" s="40" customFormat="1" hidden="1" outlineLevel="1" x14ac:dyDescent="0.2">
      <c r="A122" s="29" t="s">
        <v>34</v>
      </c>
      <c r="B122" s="29">
        <f>SUM(B82:B93)</f>
        <v>55000000</v>
      </c>
    </row>
    <row r="123" spans="1:211" s="40" customFormat="1" hidden="1" outlineLevel="1" x14ac:dyDescent="0.2">
      <c r="A123" s="35" t="s">
        <v>35</v>
      </c>
      <c r="B123" s="35">
        <f>-SUM(B95:B106)</f>
        <v>-54979500</v>
      </c>
    </row>
    <row r="124" spans="1:211" s="40" customFormat="1" hidden="1" outlineLevel="1" x14ac:dyDescent="0.2">
      <c r="A124" s="39" t="s">
        <v>36</v>
      </c>
      <c r="B124" s="39">
        <f>SUM(B121:B123)</f>
        <v>37359382.311354011</v>
      </c>
    </row>
    <row r="125" spans="1:211" s="42" customFormat="1" hidden="1" outlineLevel="1" x14ac:dyDescent="0.2">
      <c r="A125" s="41" t="s">
        <v>32</v>
      </c>
      <c r="B125" s="41">
        <f>SUM(B108:B119)</f>
        <v>3741000</v>
      </c>
    </row>
    <row r="126" spans="1:211" hidden="1" outlineLevel="1" x14ac:dyDescent="0.2">
      <c r="B126" s="43"/>
    </row>
    <row r="127" spans="1:211" ht="12.75" collapsed="1" thickBot="1" x14ac:dyDescent="0.25"/>
    <row r="128" spans="1:211" s="20" customFormat="1" ht="20.100000000000001" customHeight="1" thickTop="1" thickBot="1" x14ac:dyDescent="0.3">
      <c r="C128" s="17" t="s">
        <v>3</v>
      </c>
      <c r="D128" s="18" t="s">
        <v>1</v>
      </c>
      <c r="E128" s="45" t="s">
        <v>2</v>
      </c>
      <c r="F128" s="45"/>
      <c r="G128" s="19" t="s">
        <v>0</v>
      </c>
      <c r="I128" s="17" t="s">
        <v>3</v>
      </c>
      <c r="J128" s="18" t="s">
        <v>1</v>
      </c>
      <c r="K128" s="45" t="s">
        <v>2</v>
      </c>
      <c r="L128" s="45"/>
      <c r="M128" s="19" t="s">
        <v>0</v>
      </c>
      <c r="O128" s="17" t="s">
        <v>3</v>
      </c>
      <c r="P128" s="18" t="s">
        <v>1</v>
      </c>
      <c r="Q128" s="45" t="s">
        <v>2</v>
      </c>
      <c r="R128" s="45"/>
      <c r="S128" s="19" t="s">
        <v>0</v>
      </c>
      <c r="U128" s="17" t="s">
        <v>3</v>
      </c>
      <c r="V128" s="18" t="s">
        <v>1</v>
      </c>
      <c r="W128" s="45" t="s">
        <v>2</v>
      </c>
      <c r="X128" s="45"/>
      <c r="Y128" s="19" t="s">
        <v>0</v>
      </c>
      <c r="AA128" s="17" t="s">
        <v>3</v>
      </c>
      <c r="AB128" s="18" t="s">
        <v>1</v>
      </c>
      <c r="AC128" s="45" t="s">
        <v>2</v>
      </c>
      <c r="AD128" s="45"/>
      <c r="AE128" s="19" t="s">
        <v>0</v>
      </c>
      <c r="AG128" s="17" t="s">
        <v>3</v>
      </c>
      <c r="AH128" s="18" t="s">
        <v>1</v>
      </c>
      <c r="AI128" s="45" t="s">
        <v>2</v>
      </c>
      <c r="AJ128" s="45"/>
      <c r="AK128" s="19" t="s">
        <v>0</v>
      </c>
      <c r="AM128" s="17" t="s">
        <v>3</v>
      </c>
      <c r="AN128" s="18" t="s">
        <v>1</v>
      </c>
      <c r="AO128" s="45" t="s">
        <v>2</v>
      </c>
      <c r="AP128" s="45"/>
      <c r="AQ128" s="19" t="s">
        <v>0</v>
      </c>
      <c r="AS128" s="17" t="s">
        <v>3</v>
      </c>
      <c r="AT128" s="18" t="s">
        <v>1</v>
      </c>
      <c r="AU128" s="45" t="s">
        <v>2</v>
      </c>
      <c r="AV128" s="45"/>
      <c r="AW128" s="19" t="s">
        <v>0</v>
      </c>
      <c r="AY128" s="17" t="s">
        <v>3</v>
      </c>
      <c r="AZ128" s="18" t="s">
        <v>1</v>
      </c>
      <c r="BA128" s="45" t="s">
        <v>2</v>
      </c>
      <c r="BB128" s="45"/>
      <c r="BC128" s="19" t="s">
        <v>0</v>
      </c>
      <c r="BE128" s="17" t="s">
        <v>3</v>
      </c>
      <c r="BF128" s="18" t="s">
        <v>1</v>
      </c>
      <c r="BG128" s="45" t="s">
        <v>2</v>
      </c>
      <c r="BH128" s="45"/>
      <c r="BI128" s="19" t="s">
        <v>0</v>
      </c>
      <c r="BK128" s="17" t="s">
        <v>3</v>
      </c>
      <c r="BL128" s="18" t="s">
        <v>1</v>
      </c>
      <c r="BM128" s="45" t="s">
        <v>2</v>
      </c>
      <c r="BN128" s="45"/>
      <c r="BO128" s="19" t="s">
        <v>0</v>
      </c>
      <c r="BQ128" s="17" t="s">
        <v>3</v>
      </c>
      <c r="BR128" s="18" t="s">
        <v>1</v>
      </c>
      <c r="BS128" s="45" t="s">
        <v>2</v>
      </c>
      <c r="BT128" s="45"/>
      <c r="BU128" s="19" t="s">
        <v>0</v>
      </c>
      <c r="BW128" s="17" t="s">
        <v>3</v>
      </c>
      <c r="BX128" s="18" t="s">
        <v>1</v>
      </c>
      <c r="BY128" s="45" t="s">
        <v>2</v>
      </c>
      <c r="BZ128" s="45"/>
      <c r="CA128" s="19" t="s">
        <v>0</v>
      </c>
      <c r="CC128" s="17" t="s">
        <v>3</v>
      </c>
      <c r="CD128" s="18" t="s">
        <v>1</v>
      </c>
      <c r="CE128" s="45" t="s">
        <v>2</v>
      </c>
      <c r="CF128" s="45"/>
      <c r="CG128" s="19" t="s">
        <v>0</v>
      </c>
      <c r="CI128" s="17" t="s">
        <v>3</v>
      </c>
      <c r="CJ128" s="18" t="s">
        <v>1</v>
      </c>
      <c r="CK128" s="45" t="s">
        <v>2</v>
      </c>
      <c r="CL128" s="45"/>
      <c r="CM128" s="19" t="s">
        <v>0</v>
      </c>
      <c r="CO128" s="17" t="s">
        <v>3</v>
      </c>
      <c r="CP128" s="18" t="s">
        <v>1</v>
      </c>
      <c r="CQ128" s="45" t="s">
        <v>2</v>
      </c>
      <c r="CR128" s="45"/>
      <c r="CS128" s="19" t="s">
        <v>0</v>
      </c>
      <c r="CU128" s="17" t="s">
        <v>3</v>
      </c>
      <c r="CV128" s="18" t="s">
        <v>1</v>
      </c>
      <c r="CW128" s="45" t="s">
        <v>2</v>
      </c>
      <c r="CX128" s="45"/>
      <c r="CY128" s="19" t="s">
        <v>0</v>
      </c>
      <c r="DA128" s="17" t="s">
        <v>3</v>
      </c>
      <c r="DB128" s="18" t="s">
        <v>1</v>
      </c>
      <c r="DC128" s="45" t="s">
        <v>2</v>
      </c>
      <c r="DD128" s="45"/>
      <c r="DE128" s="19" t="s">
        <v>0</v>
      </c>
      <c r="DG128" s="17" t="s">
        <v>3</v>
      </c>
      <c r="DH128" s="18" t="s">
        <v>1</v>
      </c>
      <c r="DI128" s="45" t="s">
        <v>2</v>
      </c>
      <c r="DJ128" s="45"/>
      <c r="DK128" s="19" t="s">
        <v>0</v>
      </c>
      <c r="DM128" s="17" t="s">
        <v>3</v>
      </c>
      <c r="DN128" s="18" t="s">
        <v>1</v>
      </c>
      <c r="DO128" s="45" t="s">
        <v>2</v>
      </c>
      <c r="DP128" s="45"/>
      <c r="DQ128" s="19" t="s">
        <v>0</v>
      </c>
      <c r="DS128" s="17" t="s">
        <v>3</v>
      </c>
      <c r="DT128" s="18" t="s">
        <v>1</v>
      </c>
      <c r="DU128" s="45" t="s">
        <v>2</v>
      </c>
      <c r="DV128" s="45"/>
      <c r="DW128" s="19" t="s">
        <v>0</v>
      </c>
      <c r="DY128" s="17" t="s">
        <v>3</v>
      </c>
      <c r="DZ128" s="18" t="s">
        <v>1</v>
      </c>
      <c r="EA128" s="45" t="s">
        <v>2</v>
      </c>
      <c r="EB128" s="45"/>
      <c r="EC128" s="19" t="s">
        <v>0</v>
      </c>
      <c r="EE128" s="17" t="s">
        <v>3</v>
      </c>
      <c r="EF128" s="18" t="s">
        <v>1</v>
      </c>
      <c r="EG128" s="45" t="s">
        <v>2</v>
      </c>
      <c r="EH128" s="45"/>
      <c r="EI128" s="19" t="s">
        <v>0</v>
      </c>
      <c r="EK128" s="17" t="s">
        <v>3</v>
      </c>
      <c r="EL128" s="18" t="s">
        <v>1</v>
      </c>
      <c r="EM128" s="45" t="s">
        <v>2</v>
      </c>
      <c r="EN128" s="45"/>
      <c r="EO128" s="19" t="s">
        <v>0</v>
      </c>
      <c r="EQ128" s="17" t="s">
        <v>3</v>
      </c>
      <c r="ER128" s="18" t="s">
        <v>1</v>
      </c>
      <c r="ES128" s="45" t="s">
        <v>2</v>
      </c>
      <c r="ET128" s="45"/>
      <c r="EU128" s="19" t="s">
        <v>0</v>
      </c>
      <c r="EW128" s="17" t="s">
        <v>3</v>
      </c>
      <c r="EX128" s="18" t="s">
        <v>1</v>
      </c>
      <c r="EY128" s="45" t="s">
        <v>2</v>
      </c>
      <c r="EZ128" s="45"/>
      <c r="FA128" s="19" t="s">
        <v>0</v>
      </c>
      <c r="FC128" s="17" t="s">
        <v>3</v>
      </c>
      <c r="FD128" s="18" t="s">
        <v>1</v>
      </c>
      <c r="FE128" s="45" t="s">
        <v>2</v>
      </c>
      <c r="FF128" s="45"/>
      <c r="FG128" s="19" t="s">
        <v>0</v>
      </c>
      <c r="FI128" s="17" t="s">
        <v>3</v>
      </c>
      <c r="FJ128" s="18" t="s">
        <v>1</v>
      </c>
      <c r="FK128" s="45" t="s">
        <v>2</v>
      </c>
      <c r="FL128" s="45"/>
      <c r="FM128" s="19" t="s">
        <v>0</v>
      </c>
      <c r="FO128" s="17" t="s">
        <v>3</v>
      </c>
      <c r="FP128" s="18" t="s">
        <v>1</v>
      </c>
      <c r="FQ128" s="45" t="s">
        <v>2</v>
      </c>
      <c r="FR128" s="45"/>
      <c r="FS128" s="19" t="s">
        <v>0</v>
      </c>
      <c r="FU128" s="17" t="s">
        <v>3</v>
      </c>
      <c r="FV128" s="18" t="s">
        <v>1</v>
      </c>
      <c r="FW128" s="45" t="s">
        <v>2</v>
      </c>
      <c r="FX128" s="45"/>
      <c r="FY128" s="19" t="s">
        <v>0</v>
      </c>
      <c r="GA128" s="17" t="s">
        <v>3</v>
      </c>
      <c r="GB128" s="18" t="s">
        <v>1</v>
      </c>
      <c r="GC128" s="45" t="s">
        <v>2</v>
      </c>
      <c r="GD128" s="45"/>
      <c r="GE128" s="19" t="s">
        <v>0</v>
      </c>
      <c r="GG128" s="17" t="s">
        <v>3</v>
      </c>
      <c r="GH128" s="18" t="s">
        <v>1</v>
      </c>
      <c r="GI128" s="45" t="s">
        <v>2</v>
      </c>
      <c r="GJ128" s="45"/>
      <c r="GK128" s="19" t="s">
        <v>0</v>
      </c>
      <c r="GM128" s="17" t="s">
        <v>3</v>
      </c>
      <c r="GN128" s="18" t="s">
        <v>1</v>
      </c>
      <c r="GO128" s="45" t="s">
        <v>2</v>
      </c>
      <c r="GP128" s="45"/>
      <c r="GQ128" s="19" t="s">
        <v>0</v>
      </c>
      <c r="GS128" s="17" t="s">
        <v>3</v>
      </c>
      <c r="GT128" s="18" t="s">
        <v>1</v>
      </c>
      <c r="GU128" s="45" t="s">
        <v>2</v>
      </c>
      <c r="GV128" s="45"/>
      <c r="GW128" s="19" t="s">
        <v>0</v>
      </c>
      <c r="GY128" s="17" t="s">
        <v>3</v>
      </c>
      <c r="GZ128" s="18" t="s">
        <v>1</v>
      </c>
      <c r="HA128" s="45" t="s">
        <v>2</v>
      </c>
      <c r="HB128" s="45"/>
      <c r="HC128" s="19" t="s">
        <v>0</v>
      </c>
    </row>
    <row r="129" spans="1:211" x14ac:dyDescent="0.2">
      <c r="C129" s="15"/>
      <c r="D129" s="16"/>
      <c r="E129" s="16"/>
      <c r="F129" s="16"/>
      <c r="G129" s="26">
        <v>1350000</v>
      </c>
      <c r="I129" s="15"/>
      <c r="J129" s="16"/>
      <c r="K129" s="16"/>
      <c r="L129" s="16"/>
      <c r="M129" s="26">
        <f>M80</f>
        <v>0</v>
      </c>
      <c r="O129" s="15"/>
      <c r="P129" s="16"/>
      <c r="Q129" s="16"/>
      <c r="R129" s="16"/>
      <c r="S129" s="26">
        <v>627500</v>
      </c>
      <c r="U129" s="15"/>
      <c r="V129" s="16"/>
      <c r="W129" s="16"/>
      <c r="X129" s="16"/>
      <c r="Y129" s="26">
        <f>Y80</f>
        <v>0</v>
      </c>
      <c r="AA129" s="15"/>
      <c r="AB129" s="16"/>
      <c r="AC129" s="16"/>
      <c r="AD129" s="16"/>
      <c r="AE129" s="26">
        <v>250000</v>
      </c>
      <c r="AG129" s="15"/>
      <c r="AH129" s="16"/>
      <c r="AI129" s="16"/>
      <c r="AJ129" s="16"/>
      <c r="AK129" s="26">
        <f>AK80</f>
        <v>0</v>
      </c>
      <c r="AM129" s="15"/>
      <c r="AN129" s="16"/>
      <c r="AO129" s="16"/>
      <c r="AP129" s="16"/>
      <c r="AQ129" s="26">
        <v>5000000</v>
      </c>
      <c r="AS129" s="15"/>
      <c r="AT129" s="16"/>
      <c r="AU129" s="16"/>
      <c r="AV129" s="16"/>
      <c r="AW129" s="26">
        <f>AW80</f>
        <v>0</v>
      </c>
      <c r="AY129" s="15"/>
      <c r="AZ129" s="16"/>
      <c r="BA129" s="16"/>
      <c r="BB129" s="16"/>
      <c r="BC129" s="26">
        <v>1716000</v>
      </c>
      <c r="BE129" s="15"/>
      <c r="BF129" s="16"/>
      <c r="BG129" s="16"/>
      <c r="BH129" s="16"/>
      <c r="BI129" s="26">
        <v>0</v>
      </c>
      <c r="BK129" s="15"/>
      <c r="BL129" s="16"/>
      <c r="BM129" s="16"/>
      <c r="BN129" s="16"/>
      <c r="BO129" s="26">
        <f>BO80</f>
        <v>0</v>
      </c>
      <c r="BQ129" s="15"/>
      <c r="BR129" s="16"/>
      <c r="BS129" s="16"/>
      <c r="BT129" s="16"/>
      <c r="BU129" s="26">
        <v>467000</v>
      </c>
      <c r="BW129" s="15"/>
      <c r="BX129" s="16"/>
      <c r="BY129" s="16"/>
      <c r="BZ129" s="16"/>
      <c r="CA129" s="26">
        <v>1390000</v>
      </c>
      <c r="CC129" s="15"/>
      <c r="CD129" s="16"/>
      <c r="CE129" s="16"/>
      <c r="CF129" s="16"/>
      <c r="CG129" s="26">
        <v>2300000</v>
      </c>
      <c r="CI129" s="15"/>
      <c r="CJ129" s="16"/>
      <c r="CK129" s="16"/>
      <c r="CL129" s="16"/>
      <c r="CM129" s="26">
        <v>0</v>
      </c>
      <c r="CO129" s="15"/>
      <c r="CP129" s="16"/>
      <c r="CQ129" s="16"/>
      <c r="CR129" s="16"/>
      <c r="CS129" s="26">
        <f>CS80</f>
        <v>0</v>
      </c>
      <c r="CU129" s="15"/>
      <c r="CV129" s="16"/>
      <c r="CW129" s="16"/>
      <c r="CX129" s="16"/>
      <c r="CY129" s="26">
        <v>895000</v>
      </c>
      <c r="DA129" s="15"/>
      <c r="DB129" s="16"/>
      <c r="DC129" s="16"/>
      <c r="DD129" s="16"/>
      <c r="DE129" s="26">
        <f>DE80</f>
        <v>0</v>
      </c>
      <c r="DG129" s="15"/>
      <c r="DH129" s="16"/>
      <c r="DI129" s="16"/>
      <c r="DJ129" s="16"/>
      <c r="DK129" s="26">
        <v>3500000</v>
      </c>
      <c r="DM129" s="15"/>
      <c r="DN129" s="16"/>
      <c r="DO129" s="16"/>
      <c r="DP129" s="16"/>
      <c r="DQ129" s="26">
        <v>820000</v>
      </c>
      <c r="DS129" s="15"/>
      <c r="DT129" s="16"/>
      <c r="DU129" s="16"/>
      <c r="DV129" s="16"/>
      <c r="DW129" s="26">
        <v>0</v>
      </c>
      <c r="DY129" s="15"/>
      <c r="DZ129" s="16"/>
      <c r="EA129" s="16"/>
      <c r="EB129" s="16"/>
      <c r="EC129" s="26">
        <v>400000</v>
      </c>
      <c r="EE129" s="15"/>
      <c r="EF129" s="16"/>
      <c r="EG129" s="16"/>
      <c r="EH129" s="16"/>
      <c r="EI129" s="26">
        <f>EI80</f>
        <v>0</v>
      </c>
      <c r="EK129" s="15"/>
      <c r="EL129" s="16"/>
      <c r="EM129" s="16"/>
      <c r="EN129" s="16"/>
      <c r="EO129" s="26">
        <v>2150000</v>
      </c>
      <c r="EQ129" s="15"/>
      <c r="ER129" s="16"/>
      <c r="ES129" s="16"/>
      <c r="ET129" s="16"/>
      <c r="EU129" s="26">
        <v>3000000</v>
      </c>
      <c r="EW129" s="15"/>
      <c r="EX129" s="16"/>
      <c r="EY129" s="16"/>
      <c r="EZ129" s="16"/>
      <c r="FA129" s="26">
        <v>0</v>
      </c>
      <c r="FC129" s="15"/>
      <c r="FD129" s="16"/>
      <c r="FE129" s="16"/>
      <c r="FF129" s="16"/>
      <c r="FG129" s="26">
        <v>2128500</v>
      </c>
      <c r="FI129" s="15"/>
      <c r="FJ129" s="16"/>
      <c r="FK129" s="16"/>
      <c r="FL129" s="16"/>
      <c r="FM129" s="26">
        <v>2300000</v>
      </c>
      <c r="FO129" s="15"/>
      <c r="FP129" s="16"/>
      <c r="FQ129" s="16"/>
      <c r="FR129" s="16"/>
      <c r="FS129" s="26">
        <v>0</v>
      </c>
      <c r="FU129" s="15"/>
      <c r="FV129" s="16"/>
      <c r="FW129" s="16"/>
      <c r="FX129" s="16"/>
      <c r="FY129" s="26">
        <f>FY80</f>
        <v>0</v>
      </c>
      <c r="GA129" s="15"/>
      <c r="GB129" s="16"/>
      <c r="GC129" s="16"/>
      <c r="GD129" s="16"/>
      <c r="GE129" s="26">
        <v>400000</v>
      </c>
      <c r="GG129" s="15"/>
      <c r="GH129" s="16"/>
      <c r="GI129" s="16"/>
      <c r="GJ129" s="16"/>
      <c r="GK129" s="26">
        <v>0</v>
      </c>
      <c r="GM129" s="15"/>
      <c r="GN129" s="16"/>
      <c r="GO129" s="16"/>
      <c r="GP129" s="16"/>
      <c r="GQ129" s="26">
        <f>GQ80</f>
        <v>0</v>
      </c>
      <c r="GS129" s="15"/>
      <c r="GT129" s="16"/>
      <c r="GU129" s="16"/>
      <c r="GV129" s="16"/>
      <c r="GW129" s="26">
        <f>GW80</f>
        <v>0</v>
      </c>
      <c r="GY129" s="15"/>
      <c r="GZ129" s="16"/>
      <c r="HA129" s="16"/>
      <c r="HB129" s="16"/>
      <c r="HC129" s="26">
        <f>HC80</f>
        <v>-696117.68864598079</v>
      </c>
    </row>
    <row r="130" spans="1:211" x14ac:dyDescent="0.2">
      <c r="C130" s="5">
        <v>202601</v>
      </c>
      <c r="D130" s="6">
        <v>2500000</v>
      </c>
      <c r="E130" s="6">
        <v>1350000</v>
      </c>
      <c r="F130" s="8">
        <v>350000</v>
      </c>
      <c r="G130" s="7">
        <f>G129+D130-E130</f>
        <v>2500000</v>
      </c>
      <c r="I130" s="5">
        <v>202601</v>
      </c>
      <c r="J130" s="6">
        <v>0</v>
      </c>
      <c r="K130" s="6">
        <v>0</v>
      </c>
      <c r="L130" s="8">
        <v>0</v>
      </c>
      <c r="M130" s="7">
        <f>M129+J130-K130</f>
        <v>0</v>
      </c>
      <c r="O130" s="5">
        <v>202601</v>
      </c>
      <c r="P130" s="6">
        <v>0</v>
      </c>
      <c r="Q130" s="6">
        <v>267500</v>
      </c>
      <c r="R130" s="8">
        <v>0</v>
      </c>
      <c r="S130" s="7">
        <f>S129+P130-Q130</f>
        <v>360000</v>
      </c>
      <c r="U130" s="5">
        <v>202601</v>
      </c>
      <c r="V130" s="6">
        <v>0</v>
      </c>
      <c r="W130" s="6">
        <v>0</v>
      </c>
      <c r="X130" s="8">
        <v>0</v>
      </c>
      <c r="Y130" s="7">
        <f>Y129+V130-W130</f>
        <v>0</v>
      </c>
      <c r="AA130" s="5">
        <v>202601</v>
      </c>
      <c r="AB130" s="6">
        <v>2000000</v>
      </c>
      <c r="AC130" s="6">
        <f>250000+200000</f>
        <v>450000</v>
      </c>
      <c r="AD130" s="8">
        <v>175000</v>
      </c>
      <c r="AE130" s="7">
        <f>AE129+AB130-AC130</f>
        <v>1800000</v>
      </c>
      <c r="AG130" s="5">
        <v>202601</v>
      </c>
      <c r="AH130" s="6">
        <v>0</v>
      </c>
      <c r="AI130" s="6">
        <v>0</v>
      </c>
      <c r="AJ130" s="8">
        <v>0</v>
      </c>
      <c r="AK130" s="7">
        <f>AK129+AH130-AI130</f>
        <v>0</v>
      </c>
      <c r="AM130" s="5">
        <v>202601</v>
      </c>
      <c r="AN130" s="6">
        <v>0</v>
      </c>
      <c r="AO130" s="6">
        <v>0</v>
      </c>
      <c r="AP130" s="8">
        <v>0</v>
      </c>
      <c r="AQ130" s="7">
        <f>AQ129+AN130-AO130</f>
        <v>5000000</v>
      </c>
      <c r="AS130" s="5">
        <v>202601</v>
      </c>
      <c r="AT130" s="6">
        <v>0</v>
      </c>
      <c r="AU130" s="6">
        <v>0</v>
      </c>
      <c r="AV130" s="8">
        <v>0</v>
      </c>
      <c r="AW130" s="7">
        <f>AW129+AT130-AU130</f>
        <v>0</v>
      </c>
      <c r="AY130" s="5">
        <v>202601</v>
      </c>
      <c r="AZ130" s="6">
        <v>0</v>
      </c>
      <c r="BA130" s="6">
        <v>321000</v>
      </c>
      <c r="BB130" s="8">
        <v>0</v>
      </c>
      <c r="BC130" s="7">
        <f>BC129+AZ130-BA130</f>
        <v>1395000</v>
      </c>
      <c r="BE130" s="5">
        <v>202601</v>
      </c>
      <c r="BF130" s="6">
        <v>0</v>
      </c>
      <c r="BG130" s="6">
        <v>0</v>
      </c>
      <c r="BH130" s="8">
        <v>0</v>
      </c>
      <c r="BI130" s="7">
        <f>BI129+BF130-BG130</f>
        <v>0</v>
      </c>
      <c r="BK130" s="5">
        <v>202601</v>
      </c>
      <c r="BL130" s="6">
        <v>0</v>
      </c>
      <c r="BM130" s="6">
        <v>0</v>
      </c>
      <c r="BN130" s="8">
        <v>0</v>
      </c>
      <c r="BO130" s="7">
        <f>BO129+BL130-BM130</f>
        <v>0</v>
      </c>
      <c r="BQ130" s="5">
        <v>202601</v>
      </c>
      <c r="BR130" s="6">
        <v>0</v>
      </c>
      <c r="BS130" s="6">
        <v>0</v>
      </c>
      <c r="BT130" s="8">
        <v>0</v>
      </c>
      <c r="BU130" s="7">
        <f>BU129+BR130-BS130</f>
        <v>467000</v>
      </c>
      <c r="BW130" s="5">
        <v>202601</v>
      </c>
      <c r="BX130" s="6">
        <v>0</v>
      </c>
      <c r="BY130" s="6">
        <v>320000</v>
      </c>
      <c r="BZ130" s="8">
        <v>0</v>
      </c>
      <c r="CA130" s="7">
        <f>CA129+BX130-BY130</f>
        <v>1070000</v>
      </c>
      <c r="CC130" s="5">
        <v>202601</v>
      </c>
      <c r="CD130" s="6">
        <v>0</v>
      </c>
      <c r="CE130" s="6">
        <v>0</v>
      </c>
      <c r="CF130" s="8">
        <v>0</v>
      </c>
      <c r="CG130" s="7">
        <f>CG129+CD130-CE130</f>
        <v>2300000</v>
      </c>
      <c r="CI130" s="5">
        <v>202601</v>
      </c>
      <c r="CJ130" s="6">
        <v>0</v>
      </c>
      <c r="CK130" s="6">
        <v>0</v>
      </c>
      <c r="CL130" s="8">
        <v>0</v>
      </c>
      <c r="CM130" s="7">
        <f>CM129+CJ130-CK130</f>
        <v>0</v>
      </c>
      <c r="CO130" s="5">
        <v>202601</v>
      </c>
      <c r="CP130" s="6">
        <v>0</v>
      </c>
      <c r="CQ130" s="6">
        <v>0</v>
      </c>
      <c r="CR130" s="8">
        <v>0</v>
      </c>
      <c r="CS130" s="7">
        <f>CS129+CP130-CQ130</f>
        <v>0</v>
      </c>
      <c r="CU130" s="5">
        <v>202601</v>
      </c>
      <c r="CV130" s="6">
        <v>0</v>
      </c>
      <c r="CW130" s="6">
        <v>267500</v>
      </c>
      <c r="CX130" s="8">
        <v>0</v>
      </c>
      <c r="CY130" s="7">
        <f>CY129+CV130-CW130</f>
        <v>627500</v>
      </c>
      <c r="DA130" s="5">
        <v>202601</v>
      </c>
      <c r="DB130" s="6">
        <v>0</v>
      </c>
      <c r="DC130" s="6">
        <v>0</v>
      </c>
      <c r="DD130" s="8">
        <v>0</v>
      </c>
      <c r="DE130" s="7">
        <f>DE129+DB130-DC130</f>
        <v>0</v>
      </c>
      <c r="DG130" s="5">
        <v>202601</v>
      </c>
      <c r="DH130" s="6">
        <v>0</v>
      </c>
      <c r="DI130" s="6">
        <v>500000</v>
      </c>
      <c r="DJ130" s="8">
        <v>0</v>
      </c>
      <c r="DK130" s="7">
        <f>DK129+DH130-DI130</f>
        <v>3000000</v>
      </c>
      <c r="DM130" s="5">
        <v>202601</v>
      </c>
      <c r="DN130" s="6">
        <v>0</v>
      </c>
      <c r="DO130" s="6">
        <v>0</v>
      </c>
      <c r="DP130" s="8">
        <v>0</v>
      </c>
      <c r="DQ130" s="7">
        <f>DQ129+DN130-DO130</f>
        <v>820000</v>
      </c>
      <c r="DS130" s="5">
        <v>202601</v>
      </c>
      <c r="DT130" s="6">
        <v>0</v>
      </c>
      <c r="DU130" s="6">
        <v>0</v>
      </c>
      <c r="DV130" s="8">
        <v>0</v>
      </c>
      <c r="DW130" s="7">
        <f>DW129+DT130-DU130</f>
        <v>0</v>
      </c>
      <c r="DY130" s="5">
        <v>202601</v>
      </c>
      <c r="DZ130" s="6">
        <v>0</v>
      </c>
      <c r="EA130" s="6">
        <v>0</v>
      </c>
      <c r="EB130" s="8">
        <v>0</v>
      </c>
      <c r="EC130" s="7">
        <f>EC129+DZ130-EA130</f>
        <v>400000</v>
      </c>
      <c r="EE130" s="5">
        <v>202601</v>
      </c>
      <c r="EF130" s="6">
        <v>0</v>
      </c>
      <c r="EG130" s="6">
        <v>0</v>
      </c>
      <c r="EH130" s="8">
        <v>0</v>
      </c>
      <c r="EI130" s="7">
        <f>EI129+EF130-EG130</f>
        <v>0</v>
      </c>
      <c r="EK130" s="5">
        <v>202601</v>
      </c>
      <c r="EL130" s="6">
        <v>0</v>
      </c>
      <c r="EM130" s="6">
        <v>0</v>
      </c>
      <c r="EN130" s="8">
        <v>0</v>
      </c>
      <c r="EO130" s="7">
        <f>EO129+EL130-EM130</f>
        <v>2150000</v>
      </c>
      <c r="EQ130" s="5">
        <v>202601</v>
      </c>
      <c r="ER130" s="6">
        <v>0</v>
      </c>
      <c r="ES130" s="6">
        <v>0</v>
      </c>
      <c r="ET130" s="8">
        <v>0</v>
      </c>
      <c r="EU130" s="7">
        <f>EU129+ER130-ES130</f>
        <v>3000000</v>
      </c>
      <c r="EW130" s="5">
        <v>202601</v>
      </c>
      <c r="EX130" s="6">
        <v>0</v>
      </c>
      <c r="EY130" s="6">
        <v>0</v>
      </c>
      <c r="EZ130" s="8">
        <v>0</v>
      </c>
      <c r="FA130" s="7">
        <f>FA129+EX130-EY130</f>
        <v>0</v>
      </c>
      <c r="FC130" s="5">
        <v>202601</v>
      </c>
      <c r="FD130" s="6">
        <v>0</v>
      </c>
      <c r="FE130" s="6">
        <v>214000</v>
      </c>
      <c r="FF130" s="8">
        <v>0</v>
      </c>
      <c r="FG130" s="7">
        <f>FG129+FD130-FE130</f>
        <v>1914500</v>
      </c>
      <c r="FI130" s="5">
        <v>202601</v>
      </c>
      <c r="FJ130" s="6">
        <v>0</v>
      </c>
      <c r="FK130" s="6">
        <f>350000+300000</f>
        <v>650000</v>
      </c>
      <c r="FL130" s="8">
        <v>0</v>
      </c>
      <c r="FM130" s="7">
        <f>FM129+FJ130-FK130</f>
        <v>1650000</v>
      </c>
      <c r="FO130" s="5">
        <v>202601</v>
      </c>
      <c r="FP130" s="6">
        <v>0</v>
      </c>
      <c r="FQ130" s="6">
        <v>0</v>
      </c>
      <c r="FR130" s="8">
        <v>0</v>
      </c>
      <c r="FS130" s="7">
        <f>FS129+FP130-FQ130</f>
        <v>0</v>
      </c>
      <c r="FU130" s="5">
        <v>202601</v>
      </c>
      <c r="FV130" s="6">
        <v>0</v>
      </c>
      <c r="FW130" s="6">
        <v>0</v>
      </c>
      <c r="FX130" s="8">
        <v>0</v>
      </c>
      <c r="FY130" s="7">
        <f>FY129+FV130-FW130</f>
        <v>0</v>
      </c>
      <c r="GA130" s="5">
        <v>202601</v>
      </c>
      <c r="GB130" s="6">
        <v>0</v>
      </c>
      <c r="GC130" s="6">
        <v>0</v>
      </c>
      <c r="GD130" s="8">
        <v>0</v>
      </c>
      <c r="GE130" s="7">
        <f>GE129+GB130-GC130</f>
        <v>400000</v>
      </c>
      <c r="GG130" s="5">
        <v>202601</v>
      </c>
      <c r="GH130" s="6">
        <v>0</v>
      </c>
      <c r="GI130" s="6">
        <v>0</v>
      </c>
      <c r="GJ130" s="8">
        <v>0</v>
      </c>
      <c r="GK130" s="7">
        <f>GK129+GH130-GI130</f>
        <v>0</v>
      </c>
      <c r="GM130" s="5">
        <v>202601</v>
      </c>
      <c r="GN130" s="6">
        <v>0</v>
      </c>
      <c r="GO130" s="6">
        <v>0</v>
      </c>
      <c r="GP130" s="8">
        <v>0</v>
      </c>
      <c r="GQ130" s="7">
        <f>GQ129+GN130-GO130</f>
        <v>0</v>
      </c>
      <c r="GS130" s="5">
        <v>202601</v>
      </c>
      <c r="GT130" s="6">
        <v>0</v>
      </c>
      <c r="GU130" s="6">
        <v>0</v>
      </c>
      <c r="GV130" s="8">
        <v>0</v>
      </c>
      <c r="GW130" s="7">
        <f>GW129+GT130-GU130</f>
        <v>0</v>
      </c>
      <c r="GY130" s="5">
        <v>202601</v>
      </c>
      <c r="GZ130" s="6">
        <v>0</v>
      </c>
      <c r="HA130" s="6">
        <v>0</v>
      </c>
      <c r="HB130" s="8">
        <v>0</v>
      </c>
      <c r="HC130" s="7">
        <f>HC129+GZ130-HA130</f>
        <v>-696117.68864598079</v>
      </c>
    </row>
    <row r="131" spans="1:211" x14ac:dyDescent="0.2">
      <c r="C131" s="5">
        <v>202602</v>
      </c>
      <c r="D131" s="6">
        <v>0</v>
      </c>
      <c r="E131" s="6">
        <v>0</v>
      </c>
      <c r="F131" s="8">
        <v>0</v>
      </c>
      <c r="G131" s="7">
        <f t="shared" ref="G131:G141" si="383">G130+D131-E131</f>
        <v>2500000</v>
      </c>
      <c r="I131" s="5">
        <v>202602</v>
      </c>
      <c r="J131" s="6">
        <v>0</v>
      </c>
      <c r="K131" s="6">
        <v>0</v>
      </c>
      <c r="L131" s="8">
        <v>0</v>
      </c>
      <c r="M131" s="7">
        <f t="shared" ref="M131:M141" si="384">M130+J131-K131</f>
        <v>0</v>
      </c>
      <c r="O131" s="5">
        <v>202602</v>
      </c>
      <c r="P131" s="6">
        <v>0</v>
      </c>
      <c r="Q131" s="6">
        <v>0</v>
      </c>
      <c r="R131" s="8">
        <v>0</v>
      </c>
      <c r="S131" s="7">
        <f t="shared" ref="S131:S141" si="385">S130+P131-Q131</f>
        <v>360000</v>
      </c>
      <c r="U131" s="5">
        <v>202602</v>
      </c>
      <c r="V131" s="6">
        <v>0</v>
      </c>
      <c r="W131" s="6">
        <v>0</v>
      </c>
      <c r="X131" s="8">
        <v>0</v>
      </c>
      <c r="Y131" s="7">
        <f t="shared" ref="Y131:Y141" si="386">Y130+V131-W131</f>
        <v>0</v>
      </c>
      <c r="AA131" s="5">
        <v>202602</v>
      </c>
      <c r="AB131" s="6">
        <v>0</v>
      </c>
      <c r="AC131" s="6">
        <v>200000</v>
      </c>
      <c r="AD131" s="8">
        <v>0</v>
      </c>
      <c r="AE131" s="7">
        <f t="shared" ref="AE131:AE141" si="387">AE130+AB131-AC131</f>
        <v>1600000</v>
      </c>
      <c r="AG131" s="5">
        <v>202602</v>
      </c>
      <c r="AH131" s="6">
        <v>0</v>
      </c>
      <c r="AI131" s="6">
        <v>0</v>
      </c>
      <c r="AJ131" s="8">
        <v>0</v>
      </c>
      <c r="AK131" s="7">
        <f t="shared" ref="AK131:AK141" si="388">AK130+AH131-AI131</f>
        <v>0</v>
      </c>
      <c r="AM131" s="5">
        <v>202602</v>
      </c>
      <c r="AN131" s="6">
        <v>0</v>
      </c>
      <c r="AO131" s="6">
        <v>0</v>
      </c>
      <c r="AP131" s="8">
        <v>0</v>
      </c>
      <c r="AQ131" s="7">
        <f t="shared" ref="AQ131:AQ141" si="389">AQ130+AN131-AO131</f>
        <v>5000000</v>
      </c>
      <c r="AS131" s="5">
        <v>202602</v>
      </c>
      <c r="AT131" s="6">
        <v>0</v>
      </c>
      <c r="AU131" s="6">
        <v>0</v>
      </c>
      <c r="AV131" s="8">
        <v>0</v>
      </c>
      <c r="AW131" s="7">
        <f t="shared" ref="AW131:AW141" si="390">AW130+AT131-AU131</f>
        <v>0</v>
      </c>
      <c r="AY131" s="5">
        <v>202602</v>
      </c>
      <c r="AZ131" s="6">
        <v>0</v>
      </c>
      <c r="BA131" s="6">
        <v>0</v>
      </c>
      <c r="BB131" s="8">
        <v>0</v>
      </c>
      <c r="BC131" s="7">
        <f t="shared" ref="BC131:BC141" si="391">BC130+AZ131-BA131</f>
        <v>1395000</v>
      </c>
      <c r="BE131" s="5">
        <v>202602</v>
      </c>
      <c r="BF131" s="6">
        <v>0</v>
      </c>
      <c r="BG131" s="6">
        <v>0</v>
      </c>
      <c r="BH131" s="8">
        <v>0</v>
      </c>
      <c r="BI131" s="7">
        <f t="shared" ref="BI131:BI141" si="392">BI130+BF131-BG131</f>
        <v>0</v>
      </c>
      <c r="BK131" s="5">
        <v>202602</v>
      </c>
      <c r="BL131" s="6">
        <v>0</v>
      </c>
      <c r="BM131" s="6">
        <v>0</v>
      </c>
      <c r="BN131" s="8">
        <v>0</v>
      </c>
      <c r="BO131" s="7">
        <f t="shared" ref="BO131:BO141" si="393">BO130+BL131-BM131</f>
        <v>0</v>
      </c>
      <c r="BQ131" s="5">
        <v>202602</v>
      </c>
      <c r="BR131" s="6">
        <v>0</v>
      </c>
      <c r="BS131" s="6">
        <v>0</v>
      </c>
      <c r="BT131" s="8">
        <v>0</v>
      </c>
      <c r="BU131" s="7">
        <f t="shared" ref="BU131:BU141" si="394">BU130+BR131-BS131</f>
        <v>467000</v>
      </c>
      <c r="BW131" s="5">
        <v>202602</v>
      </c>
      <c r="BX131" s="6">
        <v>0</v>
      </c>
      <c r="BY131" s="6">
        <v>320000</v>
      </c>
      <c r="BZ131" s="8">
        <v>0</v>
      </c>
      <c r="CA131" s="7">
        <f t="shared" ref="CA131:CA141" si="395">CA130+BX131-BY131</f>
        <v>750000</v>
      </c>
      <c r="CC131" s="5">
        <v>202602</v>
      </c>
      <c r="CD131" s="6">
        <v>0</v>
      </c>
      <c r="CE131" s="6">
        <v>0</v>
      </c>
      <c r="CF131" s="8">
        <v>0</v>
      </c>
      <c r="CG131" s="7">
        <f t="shared" ref="CG131:CG141" si="396">CG130+CD131-CE131</f>
        <v>2300000</v>
      </c>
      <c r="CI131" s="5">
        <v>202602</v>
      </c>
      <c r="CJ131" s="6">
        <v>0</v>
      </c>
      <c r="CK131" s="6">
        <v>0</v>
      </c>
      <c r="CL131" s="8">
        <v>350000</v>
      </c>
      <c r="CM131" s="7">
        <f t="shared" ref="CM131:CM141" si="397">CM130+CJ131-CK131</f>
        <v>0</v>
      </c>
      <c r="CO131" s="5">
        <v>202602</v>
      </c>
      <c r="CP131" s="6">
        <v>0</v>
      </c>
      <c r="CQ131" s="6">
        <v>0</v>
      </c>
      <c r="CR131" s="8">
        <v>0</v>
      </c>
      <c r="CS131" s="7">
        <f t="shared" ref="CS131:CS141" si="398">CS130+CP131-CQ131</f>
        <v>0</v>
      </c>
      <c r="CU131" s="5">
        <v>202602</v>
      </c>
      <c r="CV131" s="6">
        <v>0</v>
      </c>
      <c r="CW131" s="6">
        <v>267500</v>
      </c>
      <c r="CX131" s="8">
        <v>0</v>
      </c>
      <c r="CY131" s="7">
        <f t="shared" ref="CY131:CY141" si="399">CY130+CV131-CW131</f>
        <v>360000</v>
      </c>
      <c r="DA131" s="5">
        <v>202602</v>
      </c>
      <c r="DB131" s="6">
        <v>0</v>
      </c>
      <c r="DC131" s="6">
        <v>0</v>
      </c>
      <c r="DD131" s="8">
        <v>0</v>
      </c>
      <c r="DE131" s="7">
        <f t="shared" ref="DE131:DE141" si="400">DE130+DB131-DC131</f>
        <v>0</v>
      </c>
      <c r="DG131" s="5">
        <v>202602</v>
      </c>
      <c r="DH131" s="6">
        <v>0</v>
      </c>
      <c r="DI131" s="6">
        <v>500000</v>
      </c>
      <c r="DJ131" s="8">
        <v>0</v>
      </c>
      <c r="DK131" s="7">
        <f t="shared" ref="DK131:DK141" si="401">DK130+DH131-DI131</f>
        <v>2500000</v>
      </c>
      <c r="DM131" s="5">
        <v>202602</v>
      </c>
      <c r="DN131" s="6">
        <v>0</v>
      </c>
      <c r="DO131" s="6">
        <v>0</v>
      </c>
      <c r="DP131" s="8">
        <v>0</v>
      </c>
      <c r="DQ131" s="7">
        <f t="shared" ref="DQ131:DQ141" si="402">DQ130+DN131-DO131</f>
        <v>820000</v>
      </c>
      <c r="DS131" s="5">
        <v>202602</v>
      </c>
      <c r="DT131" s="6">
        <v>0</v>
      </c>
      <c r="DU131" s="6">
        <v>0</v>
      </c>
      <c r="DV131" s="8">
        <v>0</v>
      </c>
      <c r="DW131" s="7">
        <f t="shared" ref="DW131:DW141" si="403">DW130+DT131-DU131</f>
        <v>0</v>
      </c>
      <c r="DY131" s="5">
        <v>202602</v>
      </c>
      <c r="DZ131" s="6">
        <v>0</v>
      </c>
      <c r="EA131" s="6">
        <v>0</v>
      </c>
      <c r="EB131" s="8">
        <v>0</v>
      </c>
      <c r="EC131" s="7">
        <f t="shared" ref="EC131:EC141" si="404">EC130+DZ131-EA131</f>
        <v>400000</v>
      </c>
      <c r="EE131" s="5">
        <v>202602</v>
      </c>
      <c r="EF131" s="6">
        <v>0</v>
      </c>
      <c r="EG131" s="6">
        <v>0</v>
      </c>
      <c r="EH131" s="8">
        <v>0</v>
      </c>
      <c r="EI131" s="7">
        <f t="shared" ref="EI131:EI141" si="405">EI130+EF131-EG131</f>
        <v>0</v>
      </c>
      <c r="EK131" s="5">
        <v>202602</v>
      </c>
      <c r="EL131" s="6">
        <v>0</v>
      </c>
      <c r="EM131" s="6">
        <v>0</v>
      </c>
      <c r="EN131" s="8">
        <v>0</v>
      </c>
      <c r="EO131" s="7">
        <f t="shared" ref="EO131:EO141" si="406">EO130+EL131-EM131</f>
        <v>2150000</v>
      </c>
      <c r="EQ131" s="5">
        <v>202602</v>
      </c>
      <c r="ER131" s="6">
        <v>0</v>
      </c>
      <c r="ES131" s="6">
        <v>0</v>
      </c>
      <c r="ET131" s="8">
        <v>0</v>
      </c>
      <c r="EU131" s="7">
        <f t="shared" ref="EU131:EU141" si="407">EU130+ER131-ES131</f>
        <v>3000000</v>
      </c>
      <c r="EW131" s="5">
        <v>202602</v>
      </c>
      <c r="EX131" s="6">
        <v>0</v>
      </c>
      <c r="EY131" s="6">
        <v>0</v>
      </c>
      <c r="EZ131" s="8">
        <v>0</v>
      </c>
      <c r="FA131" s="7">
        <f t="shared" ref="FA131:FA141" si="408">FA130+EX131-EY131</f>
        <v>0</v>
      </c>
      <c r="FC131" s="5">
        <v>202602</v>
      </c>
      <c r="FD131" s="6">
        <v>0</v>
      </c>
      <c r="FE131" s="6">
        <v>214000</v>
      </c>
      <c r="FF131" s="8">
        <v>0</v>
      </c>
      <c r="FG131" s="7">
        <f t="shared" ref="FG131:FG141" si="409">FG130+FD131-FE131</f>
        <v>1700500</v>
      </c>
      <c r="FI131" s="5">
        <v>202602</v>
      </c>
      <c r="FJ131" s="6">
        <v>0</v>
      </c>
      <c r="FK131" s="6">
        <v>0</v>
      </c>
      <c r="FL131" s="8">
        <v>0</v>
      </c>
      <c r="FM131" s="7">
        <f t="shared" ref="FM131:FM141" si="410">FM130+FJ131-FK131</f>
        <v>1650000</v>
      </c>
      <c r="FO131" s="5">
        <v>202602</v>
      </c>
      <c r="FP131" s="6">
        <v>0</v>
      </c>
      <c r="FQ131" s="6">
        <v>0</v>
      </c>
      <c r="FR131" s="8">
        <v>0</v>
      </c>
      <c r="FS131" s="7">
        <f t="shared" ref="FS131:FS141" si="411">FS130+FP131-FQ131</f>
        <v>0</v>
      </c>
      <c r="FU131" s="5">
        <v>202602</v>
      </c>
      <c r="FV131" s="6">
        <v>0</v>
      </c>
      <c r="FW131" s="6">
        <v>0</v>
      </c>
      <c r="FX131" s="8">
        <v>0</v>
      </c>
      <c r="FY131" s="7">
        <f t="shared" ref="FY131:FY141" si="412">FY130+FV131-FW131</f>
        <v>0</v>
      </c>
      <c r="GA131" s="5">
        <v>202602</v>
      </c>
      <c r="GB131" s="6">
        <v>0</v>
      </c>
      <c r="GC131" s="6">
        <v>0</v>
      </c>
      <c r="GD131" s="8">
        <v>0</v>
      </c>
      <c r="GE131" s="7">
        <f t="shared" ref="GE131:GE141" si="413">GE130+GB131-GC131</f>
        <v>400000</v>
      </c>
      <c r="GG131" s="5">
        <v>202602</v>
      </c>
      <c r="GH131" s="6">
        <v>0</v>
      </c>
      <c r="GI131" s="6">
        <v>0</v>
      </c>
      <c r="GJ131" s="8">
        <v>0</v>
      </c>
      <c r="GK131" s="7">
        <f t="shared" ref="GK131:GK141" si="414">GK130+GH131-GI131</f>
        <v>0</v>
      </c>
      <c r="GM131" s="5">
        <v>202602</v>
      </c>
      <c r="GN131" s="6">
        <v>0</v>
      </c>
      <c r="GO131" s="6">
        <v>0</v>
      </c>
      <c r="GP131" s="8">
        <v>0</v>
      </c>
      <c r="GQ131" s="7">
        <f t="shared" ref="GQ131:GQ141" si="415">GQ130+GN131-GO131</f>
        <v>0</v>
      </c>
      <c r="GS131" s="5">
        <v>202602</v>
      </c>
      <c r="GT131" s="6">
        <v>0</v>
      </c>
      <c r="GU131" s="6">
        <v>0</v>
      </c>
      <c r="GV131" s="8">
        <v>0</v>
      </c>
      <c r="GW131" s="7">
        <f t="shared" ref="GW131:GW141" si="416">GW130+GT131-GU131</f>
        <v>0</v>
      </c>
      <c r="GY131" s="5">
        <v>202602</v>
      </c>
      <c r="GZ131" s="6">
        <v>0</v>
      </c>
      <c r="HA131" s="6">
        <v>0</v>
      </c>
      <c r="HB131" s="8">
        <v>0</v>
      </c>
      <c r="HC131" s="7">
        <f t="shared" ref="HC131:HC141" si="417">HC130+GZ131-HA131</f>
        <v>-696117.68864598079</v>
      </c>
    </row>
    <row r="132" spans="1:211" x14ac:dyDescent="0.2">
      <c r="C132" s="5">
        <v>202603</v>
      </c>
      <c r="D132" s="6">
        <v>0</v>
      </c>
      <c r="E132" s="6">
        <v>0</v>
      </c>
      <c r="F132" s="8">
        <v>0</v>
      </c>
      <c r="G132" s="7">
        <f t="shared" si="383"/>
        <v>2500000</v>
      </c>
      <c r="I132" s="5">
        <v>202603</v>
      </c>
      <c r="J132" s="6">
        <v>0</v>
      </c>
      <c r="K132" s="6">
        <v>0</v>
      </c>
      <c r="L132" s="8">
        <v>0</v>
      </c>
      <c r="M132" s="7">
        <f t="shared" si="384"/>
        <v>0</v>
      </c>
      <c r="O132" s="5">
        <v>202603</v>
      </c>
      <c r="P132" s="6">
        <v>0</v>
      </c>
      <c r="Q132" s="6">
        <v>0</v>
      </c>
      <c r="R132" s="8">
        <v>0</v>
      </c>
      <c r="S132" s="7">
        <f t="shared" si="385"/>
        <v>360000</v>
      </c>
      <c r="U132" s="5">
        <v>202603</v>
      </c>
      <c r="V132" s="6">
        <v>0</v>
      </c>
      <c r="W132" s="6">
        <v>0</v>
      </c>
      <c r="X132" s="8">
        <v>0</v>
      </c>
      <c r="Y132" s="7">
        <f t="shared" si="386"/>
        <v>0</v>
      </c>
      <c r="AA132" s="5">
        <v>202603</v>
      </c>
      <c r="AB132" s="6">
        <v>0</v>
      </c>
      <c r="AC132" s="6">
        <v>0</v>
      </c>
      <c r="AD132" s="8">
        <v>0</v>
      </c>
      <c r="AE132" s="7">
        <f t="shared" si="387"/>
        <v>1600000</v>
      </c>
      <c r="AG132" s="5">
        <v>202603</v>
      </c>
      <c r="AH132" s="6">
        <v>0</v>
      </c>
      <c r="AI132" s="6">
        <v>0</v>
      </c>
      <c r="AJ132" s="8">
        <v>0</v>
      </c>
      <c r="AK132" s="7">
        <f t="shared" si="388"/>
        <v>0</v>
      </c>
      <c r="AM132" s="5">
        <v>202603</v>
      </c>
      <c r="AN132" s="6">
        <v>0</v>
      </c>
      <c r="AO132" s="6">
        <v>0</v>
      </c>
      <c r="AP132" s="8">
        <v>0</v>
      </c>
      <c r="AQ132" s="7">
        <f t="shared" si="389"/>
        <v>5000000</v>
      </c>
      <c r="AS132" s="5">
        <v>202603</v>
      </c>
      <c r="AT132" s="6">
        <v>0</v>
      </c>
      <c r="AU132" s="6">
        <v>0</v>
      </c>
      <c r="AV132" s="8">
        <v>0</v>
      </c>
      <c r="AW132" s="7">
        <f t="shared" si="390"/>
        <v>0</v>
      </c>
      <c r="AY132" s="5">
        <v>202603</v>
      </c>
      <c r="AZ132" s="6">
        <v>0</v>
      </c>
      <c r="BA132" s="6">
        <v>0</v>
      </c>
      <c r="BB132" s="8">
        <v>0</v>
      </c>
      <c r="BC132" s="7">
        <f t="shared" si="391"/>
        <v>1395000</v>
      </c>
      <c r="BE132" s="5">
        <v>202603</v>
      </c>
      <c r="BF132" s="6">
        <v>0</v>
      </c>
      <c r="BG132" s="6">
        <v>0</v>
      </c>
      <c r="BH132" s="8">
        <v>0</v>
      </c>
      <c r="BI132" s="7">
        <f t="shared" si="392"/>
        <v>0</v>
      </c>
      <c r="BK132" s="5">
        <v>202603</v>
      </c>
      <c r="BL132" s="6">
        <v>0</v>
      </c>
      <c r="BM132" s="6">
        <v>0</v>
      </c>
      <c r="BN132" s="8">
        <v>0</v>
      </c>
      <c r="BO132" s="7">
        <f t="shared" si="393"/>
        <v>0</v>
      </c>
      <c r="BQ132" s="5">
        <v>202603</v>
      </c>
      <c r="BR132" s="6">
        <v>0</v>
      </c>
      <c r="BS132" s="6">
        <v>0</v>
      </c>
      <c r="BT132" s="8">
        <v>0</v>
      </c>
      <c r="BU132" s="7">
        <f t="shared" si="394"/>
        <v>467000</v>
      </c>
      <c r="BW132" s="5">
        <v>202603</v>
      </c>
      <c r="BX132" s="6">
        <v>0</v>
      </c>
      <c r="BY132" s="6">
        <v>0</v>
      </c>
      <c r="BZ132" s="8">
        <v>0</v>
      </c>
      <c r="CA132" s="7">
        <f t="shared" si="395"/>
        <v>750000</v>
      </c>
      <c r="CC132" s="5">
        <v>202603</v>
      </c>
      <c r="CD132" s="6">
        <v>0</v>
      </c>
      <c r="CE132" s="6">
        <v>0</v>
      </c>
      <c r="CF132" s="8">
        <v>0</v>
      </c>
      <c r="CG132" s="7">
        <f t="shared" si="396"/>
        <v>2300000</v>
      </c>
      <c r="CI132" s="5">
        <v>202603</v>
      </c>
      <c r="CJ132" s="6">
        <v>0</v>
      </c>
      <c r="CK132" s="6">
        <v>0</v>
      </c>
      <c r="CL132" s="8">
        <v>0</v>
      </c>
      <c r="CM132" s="7">
        <f t="shared" si="397"/>
        <v>0</v>
      </c>
      <c r="CO132" s="5">
        <v>202603</v>
      </c>
      <c r="CP132" s="6">
        <v>0</v>
      </c>
      <c r="CQ132" s="6">
        <v>0</v>
      </c>
      <c r="CR132" s="8">
        <v>0</v>
      </c>
      <c r="CS132" s="7">
        <f t="shared" si="398"/>
        <v>0</v>
      </c>
      <c r="CU132" s="5">
        <v>202603</v>
      </c>
      <c r="CV132" s="6">
        <v>0</v>
      </c>
      <c r="CW132" s="6">
        <v>0</v>
      </c>
      <c r="CX132" s="8">
        <v>0</v>
      </c>
      <c r="CY132" s="7">
        <f t="shared" si="399"/>
        <v>360000</v>
      </c>
      <c r="DA132" s="5">
        <v>202603</v>
      </c>
      <c r="DB132" s="6">
        <v>0</v>
      </c>
      <c r="DC132" s="6">
        <v>0</v>
      </c>
      <c r="DD132" s="8">
        <v>0</v>
      </c>
      <c r="DE132" s="7">
        <f t="shared" si="400"/>
        <v>0</v>
      </c>
      <c r="DG132" s="5">
        <v>202603</v>
      </c>
      <c r="DH132" s="6">
        <v>0</v>
      </c>
      <c r="DI132" s="6">
        <v>0</v>
      </c>
      <c r="DJ132" s="8">
        <v>0</v>
      </c>
      <c r="DK132" s="7">
        <f t="shared" si="401"/>
        <v>2500000</v>
      </c>
      <c r="DM132" s="5">
        <v>202603</v>
      </c>
      <c r="DN132" s="6">
        <v>0</v>
      </c>
      <c r="DO132" s="6">
        <v>0</v>
      </c>
      <c r="DP132" s="8">
        <v>0</v>
      </c>
      <c r="DQ132" s="7">
        <f t="shared" si="402"/>
        <v>820000</v>
      </c>
      <c r="DS132" s="5">
        <v>202603</v>
      </c>
      <c r="DT132" s="6">
        <v>0</v>
      </c>
      <c r="DU132" s="6">
        <v>0</v>
      </c>
      <c r="DV132" s="8">
        <v>0</v>
      </c>
      <c r="DW132" s="7">
        <f t="shared" si="403"/>
        <v>0</v>
      </c>
      <c r="DY132" s="5">
        <v>202603</v>
      </c>
      <c r="DZ132" s="6">
        <v>0</v>
      </c>
      <c r="EA132" s="6">
        <v>0</v>
      </c>
      <c r="EB132" s="8">
        <v>0</v>
      </c>
      <c r="EC132" s="7">
        <f t="shared" si="404"/>
        <v>400000</v>
      </c>
      <c r="EE132" s="5">
        <v>202603</v>
      </c>
      <c r="EF132" s="6">
        <v>0</v>
      </c>
      <c r="EG132" s="6">
        <v>0</v>
      </c>
      <c r="EH132" s="8">
        <v>0</v>
      </c>
      <c r="EI132" s="7">
        <f t="shared" si="405"/>
        <v>0</v>
      </c>
      <c r="EK132" s="5">
        <v>202603</v>
      </c>
      <c r="EL132" s="6">
        <v>0</v>
      </c>
      <c r="EM132" s="6">
        <v>0</v>
      </c>
      <c r="EN132" s="8">
        <v>0</v>
      </c>
      <c r="EO132" s="7">
        <f t="shared" si="406"/>
        <v>2150000</v>
      </c>
      <c r="EQ132" s="5">
        <v>202603</v>
      </c>
      <c r="ER132" s="6">
        <v>0</v>
      </c>
      <c r="ES132" s="6">
        <v>0</v>
      </c>
      <c r="ET132" s="8">
        <v>0</v>
      </c>
      <c r="EU132" s="7">
        <f t="shared" si="407"/>
        <v>3000000</v>
      </c>
      <c r="EW132" s="5">
        <v>202603</v>
      </c>
      <c r="EX132" s="6">
        <v>0</v>
      </c>
      <c r="EY132" s="6">
        <v>0</v>
      </c>
      <c r="EZ132" s="8">
        <v>0</v>
      </c>
      <c r="FA132" s="7">
        <f t="shared" si="408"/>
        <v>0</v>
      </c>
      <c r="FC132" s="5">
        <v>202603</v>
      </c>
      <c r="FD132" s="6">
        <v>0</v>
      </c>
      <c r="FE132" s="6">
        <v>0</v>
      </c>
      <c r="FF132" s="8">
        <v>0</v>
      </c>
      <c r="FG132" s="7">
        <f t="shared" si="409"/>
        <v>1700500</v>
      </c>
      <c r="FI132" s="5">
        <v>202603</v>
      </c>
      <c r="FJ132" s="6">
        <v>0</v>
      </c>
      <c r="FK132" s="6">
        <v>0</v>
      </c>
      <c r="FL132" s="8">
        <v>0</v>
      </c>
      <c r="FM132" s="7">
        <f t="shared" si="410"/>
        <v>1650000</v>
      </c>
      <c r="FO132" s="5">
        <v>202603</v>
      </c>
      <c r="FP132" s="6">
        <v>0</v>
      </c>
      <c r="FQ132" s="6">
        <v>0</v>
      </c>
      <c r="FR132" s="8">
        <v>0</v>
      </c>
      <c r="FS132" s="7">
        <f t="shared" si="411"/>
        <v>0</v>
      </c>
      <c r="FU132" s="5">
        <v>202603</v>
      </c>
      <c r="FV132" s="6">
        <v>0</v>
      </c>
      <c r="FW132" s="6">
        <v>0</v>
      </c>
      <c r="FX132" s="8">
        <v>0</v>
      </c>
      <c r="FY132" s="7">
        <f t="shared" si="412"/>
        <v>0</v>
      </c>
      <c r="GA132" s="5">
        <v>202603</v>
      </c>
      <c r="GB132" s="6">
        <v>0</v>
      </c>
      <c r="GC132" s="6">
        <v>0</v>
      </c>
      <c r="GD132" s="8">
        <v>0</v>
      </c>
      <c r="GE132" s="7">
        <f t="shared" si="413"/>
        <v>400000</v>
      </c>
      <c r="GG132" s="5">
        <v>202603</v>
      </c>
      <c r="GH132" s="6">
        <v>0</v>
      </c>
      <c r="GI132" s="6">
        <v>0</v>
      </c>
      <c r="GJ132" s="8">
        <v>0</v>
      </c>
      <c r="GK132" s="7">
        <f t="shared" si="414"/>
        <v>0</v>
      </c>
      <c r="GM132" s="5">
        <v>202603</v>
      </c>
      <c r="GN132" s="6">
        <v>0</v>
      </c>
      <c r="GO132" s="6">
        <v>0</v>
      </c>
      <c r="GP132" s="8">
        <v>0</v>
      </c>
      <c r="GQ132" s="7">
        <f t="shared" si="415"/>
        <v>0</v>
      </c>
      <c r="GS132" s="5">
        <v>202603</v>
      </c>
      <c r="GT132" s="6">
        <v>0</v>
      </c>
      <c r="GU132" s="6">
        <v>0</v>
      </c>
      <c r="GV132" s="8">
        <v>0</v>
      </c>
      <c r="GW132" s="7">
        <f t="shared" si="416"/>
        <v>0</v>
      </c>
      <c r="GY132" s="5">
        <v>202603</v>
      </c>
      <c r="GZ132" s="6">
        <v>0</v>
      </c>
      <c r="HA132" s="6">
        <v>0</v>
      </c>
      <c r="HB132" s="8">
        <v>0</v>
      </c>
      <c r="HC132" s="7">
        <f t="shared" si="417"/>
        <v>-696117.68864598079</v>
      </c>
    </row>
    <row r="133" spans="1:211" x14ac:dyDescent="0.2">
      <c r="C133" s="5">
        <v>202604</v>
      </c>
      <c r="D133" s="6">
        <v>0</v>
      </c>
      <c r="E133" s="6">
        <v>0</v>
      </c>
      <c r="F133" s="8">
        <v>0</v>
      </c>
      <c r="G133" s="7">
        <f t="shared" si="383"/>
        <v>2500000</v>
      </c>
      <c r="I133" s="5">
        <v>202604</v>
      </c>
      <c r="J133" s="6">
        <v>0</v>
      </c>
      <c r="K133" s="6">
        <v>0</v>
      </c>
      <c r="L133" s="8">
        <v>0</v>
      </c>
      <c r="M133" s="7">
        <f t="shared" si="384"/>
        <v>0</v>
      </c>
      <c r="O133" s="5">
        <v>202604</v>
      </c>
      <c r="P133" s="6">
        <v>0</v>
      </c>
      <c r="Q133" s="6">
        <v>0</v>
      </c>
      <c r="R133" s="8">
        <v>0</v>
      </c>
      <c r="S133" s="7">
        <f t="shared" si="385"/>
        <v>360000</v>
      </c>
      <c r="U133" s="5">
        <v>202604</v>
      </c>
      <c r="V133" s="6">
        <v>0</v>
      </c>
      <c r="W133" s="6">
        <v>0</v>
      </c>
      <c r="X133" s="8">
        <v>0</v>
      </c>
      <c r="Y133" s="7">
        <f t="shared" si="386"/>
        <v>0</v>
      </c>
      <c r="AA133" s="5">
        <v>202604</v>
      </c>
      <c r="AB133" s="6">
        <v>0</v>
      </c>
      <c r="AC133" s="6">
        <v>0</v>
      </c>
      <c r="AD133" s="8">
        <v>0</v>
      </c>
      <c r="AE133" s="7">
        <f t="shared" si="387"/>
        <v>1600000</v>
      </c>
      <c r="AG133" s="5">
        <v>202604</v>
      </c>
      <c r="AH133" s="6">
        <v>0</v>
      </c>
      <c r="AI133" s="6">
        <v>0</v>
      </c>
      <c r="AJ133" s="8">
        <v>0</v>
      </c>
      <c r="AK133" s="7">
        <f t="shared" si="388"/>
        <v>0</v>
      </c>
      <c r="AM133" s="5">
        <v>202604</v>
      </c>
      <c r="AN133" s="6">
        <v>0</v>
      </c>
      <c r="AO133" s="6">
        <v>0</v>
      </c>
      <c r="AP133" s="8">
        <v>0</v>
      </c>
      <c r="AQ133" s="7">
        <f t="shared" si="389"/>
        <v>5000000</v>
      </c>
      <c r="AS133" s="5">
        <v>202604</v>
      </c>
      <c r="AT133" s="6">
        <v>0</v>
      </c>
      <c r="AU133" s="6">
        <v>0</v>
      </c>
      <c r="AV133" s="8">
        <v>0</v>
      </c>
      <c r="AW133" s="7">
        <f t="shared" si="390"/>
        <v>0</v>
      </c>
      <c r="AY133" s="5">
        <v>202604</v>
      </c>
      <c r="AZ133" s="6">
        <v>0</v>
      </c>
      <c r="BA133" s="6">
        <v>0</v>
      </c>
      <c r="BB133" s="8">
        <v>0</v>
      </c>
      <c r="BC133" s="7">
        <f t="shared" si="391"/>
        <v>1395000</v>
      </c>
      <c r="BE133" s="5">
        <v>202604</v>
      </c>
      <c r="BF133" s="6">
        <v>0</v>
      </c>
      <c r="BG133" s="6">
        <v>0</v>
      </c>
      <c r="BH133" s="8">
        <v>0</v>
      </c>
      <c r="BI133" s="7">
        <f t="shared" si="392"/>
        <v>0</v>
      </c>
      <c r="BK133" s="5">
        <v>202604</v>
      </c>
      <c r="BL133" s="6">
        <v>0</v>
      </c>
      <c r="BM133" s="6">
        <v>0</v>
      </c>
      <c r="BN133" s="8">
        <v>0</v>
      </c>
      <c r="BO133" s="7">
        <f t="shared" si="393"/>
        <v>0</v>
      </c>
      <c r="BQ133" s="5">
        <v>202604</v>
      </c>
      <c r="BR133" s="6">
        <v>0</v>
      </c>
      <c r="BS133" s="6">
        <v>0</v>
      </c>
      <c r="BT133" s="8">
        <v>0</v>
      </c>
      <c r="BU133" s="7">
        <f t="shared" si="394"/>
        <v>467000</v>
      </c>
      <c r="BW133" s="5">
        <v>202604</v>
      </c>
      <c r="BX133" s="6">
        <v>0</v>
      </c>
      <c r="BY133" s="6">
        <v>0</v>
      </c>
      <c r="BZ133" s="8">
        <v>0</v>
      </c>
      <c r="CA133" s="7">
        <f t="shared" si="395"/>
        <v>750000</v>
      </c>
      <c r="CC133" s="5">
        <v>202604</v>
      </c>
      <c r="CD133" s="6">
        <v>0</v>
      </c>
      <c r="CE133" s="6">
        <v>0</v>
      </c>
      <c r="CF133" s="8">
        <v>0</v>
      </c>
      <c r="CG133" s="7">
        <f t="shared" si="396"/>
        <v>2300000</v>
      </c>
      <c r="CI133" s="5">
        <v>202604</v>
      </c>
      <c r="CJ133" s="6">
        <v>0</v>
      </c>
      <c r="CK133" s="6">
        <v>0</v>
      </c>
      <c r="CL133" s="8">
        <v>0</v>
      </c>
      <c r="CM133" s="7">
        <f t="shared" si="397"/>
        <v>0</v>
      </c>
      <c r="CO133" s="5">
        <v>202604</v>
      </c>
      <c r="CP133" s="6">
        <v>0</v>
      </c>
      <c r="CQ133" s="6">
        <v>0</v>
      </c>
      <c r="CR133" s="8">
        <v>0</v>
      </c>
      <c r="CS133" s="7">
        <f t="shared" si="398"/>
        <v>0</v>
      </c>
      <c r="CU133" s="5">
        <v>202604</v>
      </c>
      <c r="CV133" s="6">
        <v>0</v>
      </c>
      <c r="CW133" s="6">
        <v>0</v>
      </c>
      <c r="CX133" s="8">
        <v>0</v>
      </c>
      <c r="CY133" s="7">
        <f t="shared" si="399"/>
        <v>360000</v>
      </c>
      <c r="DA133" s="5">
        <v>202604</v>
      </c>
      <c r="DB133" s="6">
        <v>0</v>
      </c>
      <c r="DC133" s="6">
        <v>0</v>
      </c>
      <c r="DD133" s="8">
        <v>0</v>
      </c>
      <c r="DE133" s="7">
        <f t="shared" si="400"/>
        <v>0</v>
      </c>
      <c r="DG133" s="5">
        <v>202604</v>
      </c>
      <c r="DH133" s="6">
        <v>0</v>
      </c>
      <c r="DI133" s="6">
        <v>0</v>
      </c>
      <c r="DJ133" s="8">
        <v>0</v>
      </c>
      <c r="DK133" s="7">
        <f t="shared" si="401"/>
        <v>2500000</v>
      </c>
      <c r="DM133" s="5">
        <v>202604</v>
      </c>
      <c r="DN133" s="6">
        <v>0</v>
      </c>
      <c r="DO133" s="6">
        <v>0</v>
      </c>
      <c r="DP133" s="8">
        <v>0</v>
      </c>
      <c r="DQ133" s="7">
        <f t="shared" si="402"/>
        <v>820000</v>
      </c>
      <c r="DS133" s="5">
        <v>202604</v>
      </c>
      <c r="DT133" s="6">
        <v>0</v>
      </c>
      <c r="DU133" s="6">
        <v>0</v>
      </c>
      <c r="DV133" s="8">
        <v>0</v>
      </c>
      <c r="DW133" s="7">
        <f t="shared" si="403"/>
        <v>0</v>
      </c>
      <c r="DY133" s="5">
        <v>202604</v>
      </c>
      <c r="DZ133" s="6">
        <v>0</v>
      </c>
      <c r="EA133" s="6">
        <v>0</v>
      </c>
      <c r="EB133" s="8">
        <v>0</v>
      </c>
      <c r="EC133" s="7">
        <f t="shared" si="404"/>
        <v>400000</v>
      </c>
      <c r="EE133" s="5">
        <v>202604</v>
      </c>
      <c r="EF133" s="6">
        <v>0</v>
      </c>
      <c r="EG133" s="6">
        <v>0</v>
      </c>
      <c r="EH133" s="8">
        <v>0</v>
      </c>
      <c r="EI133" s="7">
        <f t="shared" si="405"/>
        <v>0</v>
      </c>
      <c r="EK133" s="5">
        <v>202604</v>
      </c>
      <c r="EL133" s="6">
        <v>0</v>
      </c>
      <c r="EM133" s="6">
        <v>0</v>
      </c>
      <c r="EN133" s="8">
        <v>0</v>
      </c>
      <c r="EO133" s="7">
        <f t="shared" si="406"/>
        <v>2150000</v>
      </c>
      <c r="EQ133" s="5">
        <v>202604</v>
      </c>
      <c r="ER133" s="6">
        <v>0</v>
      </c>
      <c r="ES133" s="6">
        <v>0</v>
      </c>
      <c r="ET133" s="8">
        <v>0</v>
      </c>
      <c r="EU133" s="7">
        <f t="shared" si="407"/>
        <v>3000000</v>
      </c>
      <c r="EW133" s="5">
        <v>202604</v>
      </c>
      <c r="EX133" s="6">
        <v>0</v>
      </c>
      <c r="EY133" s="6">
        <v>0</v>
      </c>
      <c r="EZ133" s="8">
        <v>0</v>
      </c>
      <c r="FA133" s="7">
        <f t="shared" si="408"/>
        <v>0</v>
      </c>
      <c r="FC133" s="5">
        <v>202604</v>
      </c>
      <c r="FD133" s="6">
        <v>0</v>
      </c>
      <c r="FE133" s="6">
        <v>0</v>
      </c>
      <c r="FF133" s="8">
        <v>0</v>
      </c>
      <c r="FG133" s="7">
        <f t="shared" si="409"/>
        <v>1700500</v>
      </c>
      <c r="FI133" s="5">
        <v>202604</v>
      </c>
      <c r="FJ133" s="6">
        <v>0</v>
      </c>
      <c r="FK133" s="6">
        <v>0</v>
      </c>
      <c r="FL133" s="8">
        <v>0</v>
      </c>
      <c r="FM133" s="7">
        <f t="shared" si="410"/>
        <v>1650000</v>
      </c>
      <c r="FO133" s="5">
        <v>202604</v>
      </c>
      <c r="FP133" s="6">
        <v>0</v>
      </c>
      <c r="FQ133" s="6">
        <v>0</v>
      </c>
      <c r="FR133" s="8">
        <v>0</v>
      </c>
      <c r="FS133" s="7">
        <f t="shared" si="411"/>
        <v>0</v>
      </c>
      <c r="FU133" s="5">
        <v>202604</v>
      </c>
      <c r="FV133" s="6">
        <v>0</v>
      </c>
      <c r="FW133" s="6">
        <v>0</v>
      </c>
      <c r="FX133" s="8">
        <v>0</v>
      </c>
      <c r="FY133" s="7">
        <f t="shared" si="412"/>
        <v>0</v>
      </c>
      <c r="GA133" s="5">
        <v>202604</v>
      </c>
      <c r="GB133" s="6">
        <v>0</v>
      </c>
      <c r="GC133" s="6">
        <v>0</v>
      </c>
      <c r="GD133" s="8">
        <v>0</v>
      </c>
      <c r="GE133" s="7">
        <f t="shared" si="413"/>
        <v>400000</v>
      </c>
      <c r="GG133" s="5">
        <v>202604</v>
      </c>
      <c r="GH133" s="6">
        <v>0</v>
      </c>
      <c r="GI133" s="6">
        <v>0</v>
      </c>
      <c r="GJ133" s="8">
        <v>0</v>
      </c>
      <c r="GK133" s="7">
        <f t="shared" si="414"/>
        <v>0</v>
      </c>
      <c r="GM133" s="5">
        <v>202604</v>
      </c>
      <c r="GN133" s="6">
        <v>0</v>
      </c>
      <c r="GO133" s="6">
        <v>0</v>
      </c>
      <c r="GP133" s="8">
        <v>0</v>
      </c>
      <c r="GQ133" s="7">
        <f t="shared" si="415"/>
        <v>0</v>
      </c>
      <c r="GS133" s="5">
        <v>202604</v>
      </c>
      <c r="GT133" s="6">
        <v>0</v>
      </c>
      <c r="GU133" s="6">
        <v>0</v>
      </c>
      <c r="GV133" s="8">
        <v>0</v>
      </c>
      <c r="GW133" s="7">
        <f t="shared" si="416"/>
        <v>0</v>
      </c>
      <c r="GY133" s="5">
        <v>202604</v>
      </c>
      <c r="GZ133" s="6">
        <v>0</v>
      </c>
      <c r="HA133" s="6">
        <v>0</v>
      </c>
      <c r="HB133" s="8">
        <v>0</v>
      </c>
      <c r="HC133" s="7">
        <f t="shared" si="417"/>
        <v>-696117.68864598079</v>
      </c>
    </row>
    <row r="134" spans="1:211" x14ac:dyDescent="0.2">
      <c r="C134" s="5">
        <v>202605</v>
      </c>
      <c r="D134" s="6">
        <v>0</v>
      </c>
      <c r="E134" s="6">
        <v>0</v>
      </c>
      <c r="F134" s="8">
        <v>0</v>
      </c>
      <c r="G134" s="7">
        <f t="shared" si="383"/>
        <v>2500000</v>
      </c>
      <c r="I134" s="5">
        <v>202605</v>
      </c>
      <c r="J134" s="6">
        <v>0</v>
      </c>
      <c r="K134" s="6">
        <v>0</v>
      </c>
      <c r="L134" s="8">
        <v>0</v>
      </c>
      <c r="M134" s="7">
        <f t="shared" si="384"/>
        <v>0</v>
      </c>
      <c r="O134" s="5">
        <v>202605</v>
      </c>
      <c r="P134" s="6">
        <v>0</v>
      </c>
      <c r="Q134" s="6">
        <v>0</v>
      </c>
      <c r="R134" s="8">
        <v>0</v>
      </c>
      <c r="S134" s="7">
        <f t="shared" si="385"/>
        <v>360000</v>
      </c>
      <c r="U134" s="5">
        <v>202605</v>
      </c>
      <c r="V134" s="6">
        <v>0</v>
      </c>
      <c r="W134" s="6">
        <v>0</v>
      </c>
      <c r="X134" s="8">
        <v>0</v>
      </c>
      <c r="Y134" s="7">
        <f t="shared" si="386"/>
        <v>0</v>
      </c>
      <c r="AA134" s="5">
        <v>202605</v>
      </c>
      <c r="AB134" s="6">
        <v>0</v>
      </c>
      <c r="AC134" s="6">
        <v>0</v>
      </c>
      <c r="AD134" s="8">
        <v>0</v>
      </c>
      <c r="AE134" s="7">
        <f t="shared" si="387"/>
        <v>1600000</v>
      </c>
      <c r="AG134" s="5">
        <v>202605</v>
      </c>
      <c r="AH134" s="6">
        <v>0</v>
      </c>
      <c r="AI134" s="6">
        <v>0</v>
      </c>
      <c r="AJ134" s="8">
        <v>0</v>
      </c>
      <c r="AK134" s="7">
        <f t="shared" si="388"/>
        <v>0</v>
      </c>
      <c r="AM134" s="5">
        <v>202605</v>
      </c>
      <c r="AN134" s="6">
        <v>0</v>
      </c>
      <c r="AO134" s="6">
        <v>0</v>
      </c>
      <c r="AP134" s="8">
        <v>0</v>
      </c>
      <c r="AQ134" s="7">
        <f t="shared" si="389"/>
        <v>5000000</v>
      </c>
      <c r="AS134" s="5">
        <v>202605</v>
      </c>
      <c r="AT134" s="6">
        <v>0</v>
      </c>
      <c r="AU134" s="6">
        <v>0</v>
      </c>
      <c r="AV134" s="8">
        <v>0</v>
      </c>
      <c r="AW134" s="7">
        <f t="shared" si="390"/>
        <v>0</v>
      </c>
      <c r="AY134" s="5">
        <v>202605</v>
      </c>
      <c r="AZ134" s="6">
        <v>0</v>
      </c>
      <c r="BA134" s="6">
        <v>0</v>
      </c>
      <c r="BB134" s="8">
        <v>0</v>
      </c>
      <c r="BC134" s="7">
        <f t="shared" si="391"/>
        <v>1395000</v>
      </c>
      <c r="BE134" s="5">
        <v>202605</v>
      </c>
      <c r="BF134" s="6">
        <v>0</v>
      </c>
      <c r="BG134" s="6">
        <v>0</v>
      </c>
      <c r="BH134" s="8">
        <v>0</v>
      </c>
      <c r="BI134" s="7">
        <f t="shared" si="392"/>
        <v>0</v>
      </c>
      <c r="BK134" s="5">
        <v>202605</v>
      </c>
      <c r="BL134" s="6">
        <v>0</v>
      </c>
      <c r="BM134" s="6">
        <v>0</v>
      </c>
      <c r="BN134" s="8">
        <v>0</v>
      </c>
      <c r="BO134" s="7">
        <f t="shared" si="393"/>
        <v>0</v>
      </c>
      <c r="BQ134" s="5">
        <v>202605</v>
      </c>
      <c r="BR134" s="6">
        <v>0</v>
      </c>
      <c r="BS134" s="6">
        <v>0</v>
      </c>
      <c r="BT134" s="8">
        <v>0</v>
      </c>
      <c r="BU134" s="7">
        <f t="shared" si="394"/>
        <v>467000</v>
      </c>
      <c r="BW134" s="5">
        <v>202605</v>
      </c>
      <c r="BX134" s="6">
        <v>0</v>
      </c>
      <c r="BY134" s="6">
        <v>0</v>
      </c>
      <c r="BZ134" s="8">
        <v>0</v>
      </c>
      <c r="CA134" s="7">
        <f t="shared" si="395"/>
        <v>750000</v>
      </c>
      <c r="CC134" s="5">
        <v>202605</v>
      </c>
      <c r="CD134" s="6">
        <v>0</v>
      </c>
      <c r="CE134" s="6">
        <v>0</v>
      </c>
      <c r="CF134" s="8">
        <v>0</v>
      </c>
      <c r="CG134" s="7">
        <f t="shared" si="396"/>
        <v>2300000</v>
      </c>
      <c r="CI134" s="5">
        <v>202605</v>
      </c>
      <c r="CJ134" s="6">
        <v>0</v>
      </c>
      <c r="CK134" s="6">
        <v>0</v>
      </c>
      <c r="CL134" s="8">
        <v>0</v>
      </c>
      <c r="CM134" s="7">
        <f t="shared" si="397"/>
        <v>0</v>
      </c>
      <c r="CO134" s="5">
        <v>202605</v>
      </c>
      <c r="CP134" s="6">
        <v>0</v>
      </c>
      <c r="CQ134" s="6">
        <v>0</v>
      </c>
      <c r="CR134" s="8">
        <v>0</v>
      </c>
      <c r="CS134" s="7">
        <f t="shared" si="398"/>
        <v>0</v>
      </c>
      <c r="CU134" s="5">
        <v>202605</v>
      </c>
      <c r="CV134" s="6">
        <v>0</v>
      </c>
      <c r="CW134" s="6">
        <v>0</v>
      </c>
      <c r="CX134" s="8">
        <v>0</v>
      </c>
      <c r="CY134" s="7">
        <f t="shared" si="399"/>
        <v>360000</v>
      </c>
      <c r="DA134" s="5">
        <v>202605</v>
      </c>
      <c r="DB134" s="6">
        <v>0</v>
      </c>
      <c r="DC134" s="6">
        <v>0</v>
      </c>
      <c r="DD134" s="8">
        <v>0</v>
      </c>
      <c r="DE134" s="7">
        <f t="shared" si="400"/>
        <v>0</v>
      </c>
      <c r="DG134" s="5">
        <v>202605</v>
      </c>
      <c r="DH134" s="6">
        <v>0</v>
      </c>
      <c r="DI134" s="6">
        <v>0</v>
      </c>
      <c r="DJ134" s="8">
        <v>0</v>
      </c>
      <c r="DK134" s="7">
        <f t="shared" si="401"/>
        <v>2500000</v>
      </c>
      <c r="DM134" s="5">
        <v>202605</v>
      </c>
      <c r="DN134" s="6">
        <v>0</v>
      </c>
      <c r="DO134" s="6">
        <v>0</v>
      </c>
      <c r="DP134" s="8">
        <v>0</v>
      </c>
      <c r="DQ134" s="7">
        <f t="shared" si="402"/>
        <v>820000</v>
      </c>
      <c r="DS134" s="5">
        <v>202605</v>
      </c>
      <c r="DT134" s="6">
        <v>0</v>
      </c>
      <c r="DU134" s="6">
        <v>0</v>
      </c>
      <c r="DV134" s="8">
        <v>0</v>
      </c>
      <c r="DW134" s="7">
        <f t="shared" si="403"/>
        <v>0</v>
      </c>
      <c r="DY134" s="5">
        <v>202605</v>
      </c>
      <c r="DZ134" s="6">
        <v>0</v>
      </c>
      <c r="EA134" s="6">
        <v>0</v>
      </c>
      <c r="EB134" s="8">
        <v>0</v>
      </c>
      <c r="EC134" s="7">
        <f t="shared" si="404"/>
        <v>400000</v>
      </c>
      <c r="EE134" s="5">
        <v>202605</v>
      </c>
      <c r="EF134" s="6">
        <v>0</v>
      </c>
      <c r="EG134" s="6">
        <v>0</v>
      </c>
      <c r="EH134" s="8">
        <v>0</v>
      </c>
      <c r="EI134" s="7">
        <f t="shared" si="405"/>
        <v>0</v>
      </c>
      <c r="EK134" s="5">
        <v>202605</v>
      </c>
      <c r="EL134" s="6">
        <v>0</v>
      </c>
      <c r="EM134" s="6">
        <v>0</v>
      </c>
      <c r="EN134" s="8">
        <v>0</v>
      </c>
      <c r="EO134" s="7">
        <f t="shared" si="406"/>
        <v>2150000</v>
      </c>
      <c r="EQ134" s="5">
        <v>202605</v>
      </c>
      <c r="ER134" s="6">
        <v>0</v>
      </c>
      <c r="ES134" s="6">
        <v>0</v>
      </c>
      <c r="ET134" s="8">
        <v>0</v>
      </c>
      <c r="EU134" s="7">
        <f t="shared" si="407"/>
        <v>3000000</v>
      </c>
      <c r="EW134" s="5">
        <v>202605</v>
      </c>
      <c r="EX134" s="6">
        <v>0</v>
      </c>
      <c r="EY134" s="6">
        <v>0</v>
      </c>
      <c r="EZ134" s="8">
        <v>0</v>
      </c>
      <c r="FA134" s="7">
        <f t="shared" si="408"/>
        <v>0</v>
      </c>
      <c r="FC134" s="5">
        <v>202605</v>
      </c>
      <c r="FD134" s="6">
        <v>0</v>
      </c>
      <c r="FE134" s="6">
        <v>0</v>
      </c>
      <c r="FF134" s="8">
        <v>0</v>
      </c>
      <c r="FG134" s="7">
        <f t="shared" si="409"/>
        <v>1700500</v>
      </c>
      <c r="FI134" s="5">
        <v>202605</v>
      </c>
      <c r="FJ134" s="6">
        <v>0</v>
      </c>
      <c r="FK134" s="6">
        <v>0</v>
      </c>
      <c r="FL134" s="8">
        <v>0</v>
      </c>
      <c r="FM134" s="7">
        <f t="shared" si="410"/>
        <v>1650000</v>
      </c>
      <c r="FO134" s="5">
        <v>202605</v>
      </c>
      <c r="FP134" s="6">
        <v>0</v>
      </c>
      <c r="FQ134" s="6">
        <v>0</v>
      </c>
      <c r="FR134" s="8">
        <v>0</v>
      </c>
      <c r="FS134" s="7">
        <f t="shared" si="411"/>
        <v>0</v>
      </c>
      <c r="FU134" s="5">
        <v>202605</v>
      </c>
      <c r="FV134" s="6">
        <v>0</v>
      </c>
      <c r="FW134" s="6">
        <v>0</v>
      </c>
      <c r="FX134" s="8">
        <v>0</v>
      </c>
      <c r="FY134" s="7">
        <f t="shared" si="412"/>
        <v>0</v>
      </c>
      <c r="GA134" s="5">
        <v>202605</v>
      </c>
      <c r="GB134" s="6">
        <v>0</v>
      </c>
      <c r="GC134" s="6">
        <v>0</v>
      </c>
      <c r="GD134" s="8">
        <v>0</v>
      </c>
      <c r="GE134" s="7">
        <f t="shared" si="413"/>
        <v>400000</v>
      </c>
      <c r="GG134" s="5">
        <v>202605</v>
      </c>
      <c r="GH134" s="6">
        <v>0</v>
      </c>
      <c r="GI134" s="6">
        <v>0</v>
      </c>
      <c r="GJ134" s="8">
        <v>0</v>
      </c>
      <c r="GK134" s="7">
        <f t="shared" si="414"/>
        <v>0</v>
      </c>
      <c r="GM134" s="5">
        <v>202605</v>
      </c>
      <c r="GN134" s="6">
        <v>0</v>
      </c>
      <c r="GO134" s="6">
        <v>0</v>
      </c>
      <c r="GP134" s="8">
        <v>0</v>
      </c>
      <c r="GQ134" s="7">
        <f t="shared" si="415"/>
        <v>0</v>
      </c>
      <c r="GS134" s="5">
        <v>202605</v>
      </c>
      <c r="GT134" s="6">
        <v>0</v>
      </c>
      <c r="GU134" s="6">
        <v>0</v>
      </c>
      <c r="GV134" s="8">
        <v>0</v>
      </c>
      <c r="GW134" s="7">
        <f t="shared" si="416"/>
        <v>0</v>
      </c>
      <c r="GY134" s="5">
        <v>202605</v>
      </c>
      <c r="GZ134" s="6">
        <v>0</v>
      </c>
      <c r="HA134" s="6">
        <v>0</v>
      </c>
      <c r="HB134" s="8">
        <v>0</v>
      </c>
      <c r="HC134" s="7">
        <f t="shared" si="417"/>
        <v>-696117.68864598079</v>
      </c>
    </row>
    <row r="135" spans="1:211" x14ac:dyDescent="0.2">
      <c r="C135" s="5">
        <v>202606</v>
      </c>
      <c r="D135" s="6">
        <v>0</v>
      </c>
      <c r="E135" s="6">
        <v>0</v>
      </c>
      <c r="F135" s="8">
        <v>0</v>
      </c>
      <c r="G135" s="7">
        <f t="shared" si="383"/>
        <v>2500000</v>
      </c>
      <c r="I135" s="5">
        <v>202606</v>
      </c>
      <c r="J135" s="6">
        <v>0</v>
      </c>
      <c r="K135" s="6">
        <v>0</v>
      </c>
      <c r="L135" s="8">
        <v>0</v>
      </c>
      <c r="M135" s="7">
        <f t="shared" si="384"/>
        <v>0</v>
      </c>
      <c r="O135" s="5">
        <v>202606</v>
      </c>
      <c r="P135" s="6">
        <v>0</v>
      </c>
      <c r="Q135" s="6">
        <v>0</v>
      </c>
      <c r="R135" s="8">
        <v>0</v>
      </c>
      <c r="S135" s="7">
        <f t="shared" si="385"/>
        <v>360000</v>
      </c>
      <c r="U135" s="5">
        <v>202606</v>
      </c>
      <c r="V135" s="6">
        <v>0</v>
      </c>
      <c r="W135" s="6">
        <v>0</v>
      </c>
      <c r="X135" s="8">
        <v>0</v>
      </c>
      <c r="Y135" s="7">
        <f t="shared" si="386"/>
        <v>0</v>
      </c>
      <c r="AA135" s="5">
        <v>202606</v>
      </c>
      <c r="AB135" s="6">
        <v>0</v>
      </c>
      <c r="AC135" s="6">
        <v>0</v>
      </c>
      <c r="AD135" s="8">
        <v>0</v>
      </c>
      <c r="AE135" s="7">
        <f t="shared" si="387"/>
        <v>1600000</v>
      </c>
      <c r="AG135" s="5">
        <v>202606</v>
      </c>
      <c r="AH135" s="6">
        <v>0</v>
      </c>
      <c r="AI135" s="6">
        <v>0</v>
      </c>
      <c r="AJ135" s="8">
        <v>0</v>
      </c>
      <c r="AK135" s="7">
        <f t="shared" si="388"/>
        <v>0</v>
      </c>
      <c r="AM135" s="5">
        <v>202606</v>
      </c>
      <c r="AN135" s="6">
        <v>0</v>
      </c>
      <c r="AO135" s="6">
        <v>0</v>
      </c>
      <c r="AP135" s="8">
        <v>0</v>
      </c>
      <c r="AQ135" s="7">
        <f t="shared" si="389"/>
        <v>5000000</v>
      </c>
      <c r="AS135" s="5">
        <v>202606</v>
      </c>
      <c r="AT135" s="6">
        <v>0</v>
      </c>
      <c r="AU135" s="6">
        <v>0</v>
      </c>
      <c r="AV135" s="8">
        <v>0</v>
      </c>
      <c r="AW135" s="7">
        <f t="shared" si="390"/>
        <v>0</v>
      </c>
      <c r="AY135" s="5">
        <v>202606</v>
      </c>
      <c r="AZ135" s="6">
        <v>0</v>
      </c>
      <c r="BA135" s="6">
        <v>0</v>
      </c>
      <c r="BB135" s="8">
        <v>0</v>
      </c>
      <c r="BC135" s="7">
        <f t="shared" si="391"/>
        <v>1395000</v>
      </c>
      <c r="BE135" s="5">
        <v>202606</v>
      </c>
      <c r="BF135" s="6">
        <v>0</v>
      </c>
      <c r="BG135" s="6">
        <v>0</v>
      </c>
      <c r="BH135" s="8">
        <v>0</v>
      </c>
      <c r="BI135" s="7">
        <f t="shared" si="392"/>
        <v>0</v>
      </c>
      <c r="BK135" s="5">
        <v>202606</v>
      </c>
      <c r="BL135" s="6">
        <v>0</v>
      </c>
      <c r="BM135" s="6">
        <v>0</v>
      </c>
      <c r="BN135" s="8">
        <v>0</v>
      </c>
      <c r="BO135" s="7">
        <f t="shared" si="393"/>
        <v>0</v>
      </c>
      <c r="BQ135" s="5">
        <v>202606</v>
      </c>
      <c r="BR135" s="6">
        <v>0</v>
      </c>
      <c r="BS135" s="6">
        <v>0</v>
      </c>
      <c r="BT135" s="8">
        <v>0</v>
      </c>
      <c r="BU135" s="7">
        <f t="shared" si="394"/>
        <v>467000</v>
      </c>
      <c r="BW135" s="5">
        <v>202606</v>
      </c>
      <c r="BX135" s="6">
        <v>0</v>
      </c>
      <c r="BY135" s="6">
        <v>0</v>
      </c>
      <c r="BZ135" s="8">
        <v>0</v>
      </c>
      <c r="CA135" s="7">
        <f t="shared" si="395"/>
        <v>750000</v>
      </c>
      <c r="CC135" s="5">
        <v>202606</v>
      </c>
      <c r="CD135" s="6">
        <v>0</v>
      </c>
      <c r="CE135" s="6">
        <v>0</v>
      </c>
      <c r="CF135" s="8">
        <v>0</v>
      </c>
      <c r="CG135" s="7">
        <f t="shared" si="396"/>
        <v>2300000</v>
      </c>
      <c r="CI135" s="5">
        <v>202606</v>
      </c>
      <c r="CJ135" s="6">
        <v>0</v>
      </c>
      <c r="CK135" s="6">
        <v>0</v>
      </c>
      <c r="CL135" s="8">
        <v>0</v>
      </c>
      <c r="CM135" s="7">
        <f t="shared" si="397"/>
        <v>0</v>
      </c>
      <c r="CO135" s="5">
        <v>202606</v>
      </c>
      <c r="CP135" s="6">
        <v>0</v>
      </c>
      <c r="CQ135" s="6">
        <v>0</v>
      </c>
      <c r="CR135" s="8">
        <v>0</v>
      </c>
      <c r="CS135" s="7">
        <f t="shared" si="398"/>
        <v>0</v>
      </c>
      <c r="CU135" s="5">
        <v>202606</v>
      </c>
      <c r="CV135" s="6">
        <v>0</v>
      </c>
      <c r="CW135" s="6">
        <v>0</v>
      </c>
      <c r="CX135" s="8">
        <v>0</v>
      </c>
      <c r="CY135" s="7">
        <f t="shared" si="399"/>
        <v>360000</v>
      </c>
      <c r="DA135" s="5">
        <v>202606</v>
      </c>
      <c r="DB135" s="6">
        <v>0</v>
      </c>
      <c r="DC135" s="6">
        <v>0</v>
      </c>
      <c r="DD135" s="8">
        <v>0</v>
      </c>
      <c r="DE135" s="7">
        <f t="shared" si="400"/>
        <v>0</v>
      </c>
      <c r="DG135" s="5">
        <v>202606</v>
      </c>
      <c r="DH135" s="6">
        <v>0</v>
      </c>
      <c r="DI135" s="6">
        <v>0</v>
      </c>
      <c r="DJ135" s="8">
        <v>0</v>
      </c>
      <c r="DK135" s="7">
        <f t="shared" si="401"/>
        <v>2500000</v>
      </c>
      <c r="DM135" s="5">
        <v>202606</v>
      </c>
      <c r="DN135" s="6">
        <v>0</v>
      </c>
      <c r="DO135" s="6">
        <v>0</v>
      </c>
      <c r="DP135" s="8">
        <v>0</v>
      </c>
      <c r="DQ135" s="7">
        <f t="shared" si="402"/>
        <v>820000</v>
      </c>
      <c r="DS135" s="5">
        <v>202606</v>
      </c>
      <c r="DT135" s="6">
        <v>0</v>
      </c>
      <c r="DU135" s="6">
        <v>0</v>
      </c>
      <c r="DV135" s="8">
        <v>0</v>
      </c>
      <c r="DW135" s="7">
        <f t="shared" si="403"/>
        <v>0</v>
      </c>
      <c r="DY135" s="5">
        <v>202606</v>
      </c>
      <c r="DZ135" s="6">
        <v>0</v>
      </c>
      <c r="EA135" s="6">
        <v>0</v>
      </c>
      <c r="EB135" s="8">
        <v>0</v>
      </c>
      <c r="EC135" s="7">
        <f t="shared" si="404"/>
        <v>400000</v>
      </c>
      <c r="EE135" s="5">
        <v>202606</v>
      </c>
      <c r="EF135" s="6">
        <v>0</v>
      </c>
      <c r="EG135" s="6">
        <v>0</v>
      </c>
      <c r="EH135" s="8">
        <v>0</v>
      </c>
      <c r="EI135" s="7">
        <f t="shared" si="405"/>
        <v>0</v>
      </c>
      <c r="EK135" s="5">
        <v>202606</v>
      </c>
      <c r="EL135" s="6">
        <v>0</v>
      </c>
      <c r="EM135" s="6">
        <v>0</v>
      </c>
      <c r="EN135" s="8">
        <v>0</v>
      </c>
      <c r="EO135" s="7">
        <f t="shared" si="406"/>
        <v>2150000</v>
      </c>
      <c r="EQ135" s="5">
        <v>202606</v>
      </c>
      <c r="ER135" s="6">
        <v>0</v>
      </c>
      <c r="ES135" s="6">
        <v>0</v>
      </c>
      <c r="ET135" s="8">
        <v>0</v>
      </c>
      <c r="EU135" s="7">
        <f t="shared" si="407"/>
        <v>3000000</v>
      </c>
      <c r="EW135" s="5">
        <v>202606</v>
      </c>
      <c r="EX135" s="6">
        <v>0</v>
      </c>
      <c r="EY135" s="6">
        <v>0</v>
      </c>
      <c r="EZ135" s="8">
        <v>0</v>
      </c>
      <c r="FA135" s="7">
        <f t="shared" si="408"/>
        <v>0</v>
      </c>
      <c r="FC135" s="5">
        <v>202606</v>
      </c>
      <c r="FD135" s="6">
        <v>0</v>
      </c>
      <c r="FE135" s="6">
        <v>0</v>
      </c>
      <c r="FF135" s="8">
        <v>0</v>
      </c>
      <c r="FG135" s="7">
        <f t="shared" si="409"/>
        <v>1700500</v>
      </c>
      <c r="FI135" s="5">
        <v>202606</v>
      </c>
      <c r="FJ135" s="6">
        <v>0</v>
      </c>
      <c r="FK135" s="6">
        <v>0</v>
      </c>
      <c r="FL135" s="8">
        <v>0</v>
      </c>
      <c r="FM135" s="7">
        <f t="shared" si="410"/>
        <v>1650000</v>
      </c>
      <c r="FO135" s="5">
        <v>202606</v>
      </c>
      <c r="FP135" s="6">
        <v>0</v>
      </c>
      <c r="FQ135" s="6">
        <v>0</v>
      </c>
      <c r="FR135" s="8">
        <v>0</v>
      </c>
      <c r="FS135" s="7">
        <f t="shared" si="411"/>
        <v>0</v>
      </c>
      <c r="FU135" s="5">
        <v>202606</v>
      </c>
      <c r="FV135" s="6">
        <v>0</v>
      </c>
      <c r="FW135" s="6">
        <v>0</v>
      </c>
      <c r="FX135" s="8">
        <v>0</v>
      </c>
      <c r="FY135" s="7">
        <f t="shared" si="412"/>
        <v>0</v>
      </c>
      <c r="GA135" s="5">
        <v>202606</v>
      </c>
      <c r="GB135" s="6">
        <v>0</v>
      </c>
      <c r="GC135" s="6">
        <v>0</v>
      </c>
      <c r="GD135" s="8">
        <v>0</v>
      </c>
      <c r="GE135" s="7">
        <f t="shared" si="413"/>
        <v>400000</v>
      </c>
      <c r="GG135" s="5">
        <v>202606</v>
      </c>
      <c r="GH135" s="6">
        <v>0</v>
      </c>
      <c r="GI135" s="6">
        <v>0</v>
      </c>
      <c r="GJ135" s="8">
        <v>0</v>
      </c>
      <c r="GK135" s="7">
        <f t="shared" si="414"/>
        <v>0</v>
      </c>
      <c r="GM135" s="5">
        <v>202606</v>
      </c>
      <c r="GN135" s="6">
        <v>0</v>
      </c>
      <c r="GO135" s="6">
        <v>0</v>
      </c>
      <c r="GP135" s="8">
        <v>0</v>
      </c>
      <c r="GQ135" s="7">
        <f t="shared" si="415"/>
        <v>0</v>
      </c>
      <c r="GS135" s="5">
        <v>202606</v>
      </c>
      <c r="GT135" s="6">
        <v>0</v>
      </c>
      <c r="GU135" s="6">
        <v>0</v>
      </c>
      <c r="GV135" s="8">
        <v>0</v>
      </c>
      <c r="GW135" s="7">
        <f t="shared" si="416"/>
        <v>0</v>
      </c>
      <c r="GY135" s="5">
        <v>202606</v>
      </c>
      <c r="GZ135" s="6">
        <v>0</v>
      </c>
      <c r="HA135" s="6">
        <v>0</v>
      </c>
      <c r="HB135" s="8">
        <v>0</v>
      </c>
      <c r="HC135" s="7">
        <f t="shared" si="417"/>
        <v>-696117.68864598079</v>
      </c>
    </row>
    <row r="136" spans="1:211" x14ac:dyDescent="0.2">
      <c r="C136" s="5">
        <v>202607</v>
      </c>
      <c r="D136" s="6">
        <v>0</v>
      </c>
      <c r="E136" s="9">
        <v>0</v>
      </c>
      <c r="F136" s="8">
        <v>0</v>
      </c>
      <c r="G136" s="7">
        <f t="shared" si="383"/>
        <v>2500000</v>
      </c>
      <c r="I136" s="5">
        <v>202607</v>
      </c>
      <c r="J136" s="6">
        <v>0</v>
      </c>
      <c r="K136" s="6">
        <v>0</v>
      </c>
      <c r="L136" s="8">
        <v>0</v>
      </c>
      <c r="M136" s="7">
        <f t="shared" si="384"/>
        <v>0</v>
      </c>
      <c r="O136" s="5">
        <v>202607</v>
      </c>
      <c r="P136" s="6">
        <v>0</v>
      </c>
      <c r="Q136" s="6">
        <v>0</v>
      </c>
      <c r="R136" s="8">
        <v>0</v>
      </c>
      <c r="S136" s="7">
        <f t="shared" si="385"/>
        <v>360000</v>
      </c>
      <c r="U136" s="5">
        <v>202607</v>
      </c>
      <c r="V136" s="6">
        <v>0</v>
      </c>
      <c r="W136" s="6">
        <v>0</v>
      </c>
      <c r="X136" s="8">
        <v>0</v>
      </c>
      <c r="Y136" s="7">
        <f t="shared" si="386"/>
        <v>0</v>
      </c>
      <c r="AA136" s="5">
        <v>202607</v>
      </c>
      <c r="AB136" s="6">
        <v>0</v>
      </c>
      <c r="AC136" s="6">
        <v>0</v>
      </c>
      <c r="AD136" s="8">
        <v>0</v>
      </c>
      <c r="AE136" s="7">
        <f t="shared" si="387"/>
        <v>1600000</v>
      </c>
      <c r="AG136" s="5">
        <v>202607</v>
      </c>
      <c r="AH136" s="6">
        <v>0</v>
      </c>
      <c r="AI136" s="9">
        <v>0</v>
      </c>
      <c r="AJ136" s="8">
        <v>0</v>
      </c>
      <c r="AK136" s="7">
        <f t="shared" si="388"/>
        <v>0</v>
      </c>
      <c r="AM136" s="5">
        <v>202607</v>
      </c>
      <c r="AN136" s="6">
        <v>0</v>
      </c>
      <c r="AO136" s="9">
        <v>0</v>
      </c>
      <c r="AP136" s="8">
        <v>0</v>
      </c>
      <c r="AQ136" s="7">
        <f t="shared" si="389"/>
        <v>5000000</v>
      </c>
      <c r="AS136" s="5">
        <v>202607</v>
      </c>
      <c r="AT136" s="6">
        <v>0</v>
      </c>
      <c r="AU136" s="9">
        <v>0</v>
      </c>
      <c r="AV136" s="8">
        <v>0</v>
      </c>
      <c r="AW136" s="7">
        <f t="shared" si="390"/>
        <v>0</v>
      </c>
      <c r="AY136" s="5">
        <v>202607</v>
      </c>
      <c r="AZ136" s="6">
        <v>0</v>
      </c>
      <c r="BA136" s="9">
        <v>0</v>
      </c>
      <c r="BB136" s="8">
        <v>0</v>
      </c>
      <c r="BC136" s="7">
        <f t="shared" si="391"/>
        <v>1395000</v>
      </c>
      <c r="BE136" s="5">
        <v>202607</v>
      </c>
      <c r="BF136" s="6">
        <v>0</v>
      </c>
      <c r="BG136" s="9">
        <v>0</v>
      </c>
      <c r="BH136" s="8">
        <v>0</v>
      </c>
      <c r="BI136" s="7">
        <f t="shared" si="392"/>
        <v>0</v>
      </c>
      <c r="BK136" s="5">
        <v>202607</v>
      </c>
      <c r="BL136" s="6">
        <v>0</v>
      </c>
      <c r="BM136" s="9">
        <v>0</v>
      </c>
      <c r="BN136" s="8">
        <v>0</v>
      </c>
      <c r="BO136" s="7">
        <f t="shared" si="393"/>
        <v>0</v>
      </c>
      <c r="BQ136" s="5">
        <v>202607</v>
      </c>
      <c r="BR136" s="6">
        <v>0</v>
      </c>
      <c r="BS136" s="9">
        <v>0</v>
      </c>
      <c r="BT136" s="8">
        <v>0</v>
      </c>
      <c r="BU136" s="7">
        <f t="shared" si="394"/>
        <v>467000</v>
      </c>
      <c r="BW136" s="5">
        <v>202607</v>
      </c>
      <c r="BX136" s="6">
        <v>0</v>
      </c>
      <c r="BY136" s="9">
        <v>0</v>
      </c>
      <c r="BZ136" s="8">
        <v>0</v>
      </c>
      <c r="CA136" s="7">
        <f t="shared" si="395"/>
        <v>750000</v>
      </c>
      <c r="CC136" s="5">
        <v>202607</v>
      </c>
      <c r="CD136" s="6">
        <v>0</v>
      </c>
      <c r="CE136" s="6">
        <v>0</v>
      </c>
      <c r="CF136" s="8">
        <v>0</v>
      </c>
      <c r="CG136" s="7">
        <f t="shared" si="396"/>
        <v>2300000</v>
      </c>
      <c r="CI136" s="5">
        <v>202607</v>
      </c>
      <c r="CJ136" s="6">
        <v>0</v>
      </c>
      <c r="CK136" s="9">
        <v>0</v>
      </c>
      <c r="CL136" s="8">
        <v>0</v>
      </c>
      <c r="CM136" s="7">
        <f t="shared" si="397"/>
        <v>0</v>
      </c>
      <c r="CO136" s="5">
        <v>202607</v>
      </c>
      <c r="CP136" s="6">
        <v>0</v>
      </c>
      <c r="CQ136" s="9">
        <v>0</v>
      </c>
      <c r="CR136" s="8">
        <v>0</v>
      </c>
      <c r="CS136" s="7">
        <f t="shared" si="398"/>
        <v>0</v>
      </c>
      <c r="CU136" s="5">
        <v>202607</v>
      </c>
      <c r="CV136" s="6">
        <v>0</v>
      </c>
      <c r="CW136" s="9">
        <v>0</v>
      </c>
      <c r="CX136" s="8">
        <v>0</v>
      </c>
      <c r="CY136" s="7">
        <f t="shared" si="399"/>
        <v>360000</v>
      </c>
      <c r="DA136" s="5">
        <v>202607</v>
      </c>
      <c r="DB136" s="6">
        <v>0</v>
      </c>
      <c r="DC136" s="9">
        <v>0</v>
      </c>
      <c r="DD136" s="8">
        <v>0</v>
      </c>
      <c r="DE136" s="7">
        <f t="shared" si="400"/>
        <v>0</v>
      </c>
      <c r="DG136" s="5">
        <v>202607</v>
      </c>
      <c r="DH136" s="6">
        <v>0</v>
      </c>
      <c r="DI136" s="9">
        <v>0</v>
      </c>
      <c r="DJ136" s="8">
        <v>0</v>
      </c>
      <c r="DK136" s="7">
        <f t="shared" si="401"/>
        <v>2500000</v>
      </c>
      <c r="DM136" s="5">
        <v>202607</v>
      </c>
      <c r="DN136" s="6">
        <v>0</v>
      </c>
      <c r="DO136" s="9">
        <v>0</v>
      </c>
      <c r="DP136" s="8">
        <v>0</v>
      </c>
      <c r="DQ136" s="7">
        <f t="shared" si="402"/>
        <v>820000</v>
      </c>
      <c r="DS136" s="5">
        <v>202607</v>
      </c>
      <c r="DT136" s="6">
        <v>0</v>
      </c>
      <c r="DU136" s="9">
        <v>0</v>
      </c>
      <c r="DV136" s="8">
        <v>0</v>
      </c>
      <c r="DW136" s="7">
        <f t="shared" si="403"/>
        <v>0</v>
      </c>
      <c r="DY136" s="5">
        <v>202607</v>
      </c>
      <c r="DZ136" s="6">
        <v>0</v>
      </c>
      <c r="EA136" s="9">
        <v>0</v>
      </c>
      <c r="EB136" s="8">
        <v>0</v>
      </c>
      <c r="EC136" s="7">
        <f t="shared" si="404"/>
        <v>400000</v>
      </c>
      <c r="EE136" s="5">
        <v>202607</v>
      </c>
      <c r="EF136" s="6">
        <v>0</v>
      </c>
      <c r="EG136" s="9">
        <v>0</v>
      </c>
      <c r="EH136" s="8">
        <v>0</v>
      </c>
      <c r="EI136" s="7">
        <f t="shared" si="405"/>
        <v>0</v>
      </c>
      <c r="EK136" s="5">
        <v>202607</v>
      </c>
      <c r="EL136" s="6">
        <v>0</v>
      </c>
      <c r="EM136" s="9">
        <v>0</v>
      </c>
      <c r="EN136" s="8">
        <v>0</v>
      </c>
      <c r="EO136" s="7">
        <f t="shared" si="406"/>
        <v>2150000</v>
      </c>
      <c r="EQ136" s="5">
        <v>202607</v>
      </c>
      <c r="ER136" s="6">
        <v>0</v>
      </c>
      <c r="ES136" s="9">
        <v>0</v>
      </c>
      <c r="ET136" s="8">
        <v>0</v>
      </c>
      <c r="EU136" s="7">
        <f t="shared" si="407"/>
        <v>3000000</v>
      </c>
      <c r="EW136" s="5">
        <v>202607</v>
      </c>
      <c r="EX136" s="6">
        <v>0</v>
      </c>
      <c r="EY136" s="9">
        <v>0</v>
      </c>
      <c r="EZ136" s="8">
        <v>0</v>
      </c>
      <c r="FA136" s="7">
        <f t="shared" si="408"/>
        <v>0</v>
      </c>
      <c r="FC136" s="5">
        <v>202607</v>
      </c>
      <c r="FD136" s="6">
        <v>0</v>
      </c>
      <c r="FE136" s="9">
        <v>0</v>
      </c>
      <c r="FF136" s="8">
        <v>0</v>
      </c>
      <c r="FG136" s="7">
        <f t="shared" si="409"/>
        <v>1700500</v>
      </c>
      <c r="FI136" s="5">
        <v>202607</v>
      </c>
      <c r="FJ136" s="6">
        <v>0</v>
      </c>
      <c r="FK136" s="9">
        <v>0</v>
      </c>
      <c r="FL136" s="8">
        <v>0</v>
      </c>
      <c r="FM136" s="7">
        <f t="shared" si="410"/>
        <v>1650000</v>
      </c>
      <c r="FO136" s="5">
        <v>202607</v>
      </c>
      <c r="FP136" s="6">
        <v>0</v>
      </c>
      <c r="FQ136" s="9">
        <v>0</v>
      </c>
      <c r="FR136" s="8">
        <v>0</v>
      </c>
      <c r="FS136" s="7">
        <f t="shared" si="411"/>
        <v>0</v>
      </c>
      <c r="FU136" s="5">
        <v>202607</v>
      </c>
      <c r="FV136" s="6">
        <v>0</v>
      </c>
      <c r="FW136" s="9">
        <v>0</v>
      </c>
      <c r="FX136" s="8">
        <v>0</v>
      </c>
      <c r="FY136" s="7">
        <f t="shared" si="412"/>
        <v>0</v>
      </c>
      <c r="GA136" s="5">
        <v>202607</v>
      </c>
      <c r="GB136" s="6">
        <v>0</v>
      </c>
      <c r="GC136" s="9">
        <v>0</v>
      </c>
      <c r="GD136" s="8">
        <v>0</v>
      </c>
      <c r="GE136" s="7">
        <f t="shared" si="413"/>
        <v>400000</v>
      </c>
      <c r="GG136" s="5">
        <v>202607</v>
      </c>
      <c r="GH136" s="6">
        <v>0</v>
      </c>
      <c r="GI136" s="9">
        <v>0</v>
      </c>
      <c r="GJ136" s="8">
        <v>0</v>
      </c>
      <c r="GK136" s="7">
        <f t="shared" si="414"/>
        <v>0</v>
      </c>
      <c r="GM136" s="5">
        <v>202607</v>
      </c>
      <c r="GN136" s="6">
        <v>0</v>
      </c>
      <c r="GO136" s="9">
        <v>0</v>
      </c>
      <c r="GP136" s="8">
        <v>0</v>
      </c>
      <c r="GQ136" s="7">
        <f t="shared" si="415"/>
        <v>0</v>
      </c>
      <c r="GS136" s="5">
        <v>202607</v>
      </c>
      <c r="GT136" s="6">
        <v>0</v>
      </c>
      <c r="GU136" s="9">
        <v>0</v>
      </c>
      <c r="GV136" s="8">
        <v>0</v>
      </c>
      <c r="GW136" s="7">
        <f t="shared" si="416"/>
        <v>0</v>
      </c>
      <c r="GY136" s="5">
        <v>202607</v>
      </c>
      <c r="GZ136" s="6">
        <v>0</v>
      </c>
      <c r="HA136" s="9">
        <v>0</v>
      </c>
      <c r="HB136" s="8">
        <v>0</v>
      </c>
      <c r="HC136" s="7">
        <f t="shared" si="417"/>
        <v>-696117.68864598079</v>
      </c>
    </row>
    <row r="137" spans="1:211" x14ac:dyDescent="0.2">
      <c r="C137" s="5">
        <v>202608</v>
      </c>
      <c r="D137" s="6">
        <v>0</v>
      </c>
      <c r="E137" s="6">
        <v>0</v>
      </c>
      <c r="F137" s="8">
        <v>0</v>
      </c>
      <c r="G137" s="7">
        <f t="shared" si="383"/>
        <v>2500000</v>
      </c>
      <c r="I137" s="5">
        <v>202608</v>
      </c>
      <c r="J137" s="6">
        <v>0</v>
      </c>
      <c r="K137" s="6">
        <v>0</v>
      </c>
      <c r="L137" s="8">
        <v>0</v>
      </c>
      <c r="M137" s="7">
        <f t="shared" si="384"/>
        <v>0</v>
      </c>
      <c r="O137" s="5">
        <v>202608</v>
      </c>
      <c r="P137" s="6">
        <v>0</v>
      </c>
      <c r="Q137" s="6">
        <v>0</v>
      </c>
      <c r="R137" s="8">
        <v>0</v>
      </c>
      <c r="S137" s="7">
        <f t="shared" si="385"/>
        <v>360000</v>
      </c>
      <c r="U137" s="5">
        <v>202608</v>
      </c>
      <c r="V137" s="6">
        <v>0</v>
      </c>
      <c r="W137" s="6">
        <v>0</v>
      </c>
      <c r="X137" s="8">
        <v>0</v>
      </c>
      <c r="Y137" s="7">
        <f t="shared" si="386"/>
        <v>0</v>
      </c>
      <c r="AA137" s="5">
        <v>202608</v>
      </c>
      <c r="AB137" s="6">
        <v>0</v>
      </c>
      <c r="AC137" s="6">
        <v>0</v>
      </c>
      <c r="AD137" s="8">
        <v>0</v>
      </c>
      <c r="AE137" s="7">
        <f t="shared" si="387"/>
        <v>1600000</v>
      </c>
      <c r="AG137" s="5">
        <v>202608</v>
      </c>
      <c r="AH137" s="6">
        <v>0</v>
      </c>
      <c r="AI137" s="6">
        <v>0</v>
      </c>
      <c r="AJ137" s="8">
        <v>0</v>
      </c>
      <c r="AK137" s="7">
        <f t="shared" si="388"/>
        <v>0</v>
      </c>
      <c r="AM137" s="5">
        <v>202608</v>
      </c>
      <c r="AN137" s="6">
        <v>0</v>
      </c>
      <c r="AO137" s="6">
        <v>0</v>
      </c>
      <c r="AP137" s="8">
        <v>0</v>
      </c>
      <c r="AQ137" s="7">
        <f t="shared" si="389"/>
        <v>5000000</v>
      </c>
      <c r="AS137" s="5">
        <v>202608</v>
      </c>
      <c r="AT137" s="6">
        <v>0</v>
      </c>
      <c r="AU137" s="6">
        <v>0</v>
      </c>
      <c r="AV137" s="8">
        <v>0</v>
      </c>
      <c r="AW137" s="7">
        <f t="shared" si="390"/>
        <v>0</v>
      </c>
      <c r="AY137" s="5">
        <v>202608</v>
      </c>
      <c r="AZ137" s="6">
        <v>0</v>
      </c>
      <c r="BA137" s="6">
        <v>0</v>
      </c>
      <c r="BB137" s="8">
        <v>0</v>
      </c>
      <c r="BC137" s="7">
        <f t="shared" si="391"/>
        <v>1395000</v>
      </c>
      <c r="BE137" s="5">
        <v>202608</v>
      </c>
      <c r="BF137" s="6">
        <v>0</v>
      </c>
      <c r="BG137" s="6">
        <v>0</v>
      </c>
      <c r="BH137" s="8">
        <v>0</v>
      </c>
      <c r="BI137" s="7">
        <f t="shared" si="392"/>
        <v>0</v>
      </c>
      <c r="BK137" s="5">
        <v>202608</v>
      </c>
      <c r="BL137" s="6">
        <v>0</v>
      </c>
      <c r="BM137" s="6">
        <v>0</v>
      </c>
      <c r="BN137" s="8">
        <v>0</v>
      </c>
      <c r="BO137" s="7">
        <f t="shared" si="393"/>
        <v>0</v>
      </c>
      <c r="BQ137" s="5">
        <v>202608</v>
      </c>
      <c r="BR137" s="6">
        <v>0</v>
      </c>
      <c r="BS137" s="6">
        <v>0</v>
      </c>
      <c r="BT137" s="8">
        <v>0</v>
      </c>
      <c r="BU137" s="7">
        <f t="shared" si="394"/>
        <v>467000</v>
      </c>
      <c r="BW137" s="5">
        <v>202608</v>
      </c>
      <c r="BX137" s="6">
        <v>0</v>
      </c>
      <c r="BY137" s="6">
        <v>0</v>
      </c>
      <c r="BZ137" s="8">
        <v>0</v>
      </c>
      <c r="CA137" s="7">
        <f t="shared" si="395"/>
        <v>750000</v>
      </c>
      <c r="CC137" s="5">
        <v>202608</v>
      </c>
      <c r="CD137" s="6">
        <v>0</v>
      </c>
      <c r="CE137" s="6">
        <v>0</v>
      </c>
      <c r="CF137" s="8">
        <v>0</v>
      </c>
      <c r="CG137" s="7">
        <f t="shared" si="396"/>
        <v>2300000</v>
      </c>
      <c r="CI137" s="5">
        <v>202608</v>
      </c>
      <c r="CJ137" s="6">
        <v>0</v>
      </c>
      <c r="CK137" s="6">
        <v>0</v>
      </c>
      <c r="CL137" s="8">
        <v>0</v>
      </c>
      <c r="CM137" s="7">
        <f t="shared" si="397"/>
        <v>0</v>
      </c>
      <c r="CO137" s="5">
        <v>202608</v>
      </c>
      <c r="CP137" s="6">
        <v>0</v>
      </c>
      <c r="CQ137" s="6">
        <v>0</v>
      </c>
      <c r="CR137" s="8">
        <v>0</v>
      </c>
      <c r="CS137" s="7">
        <f t="shared" si="398"/>
        <v>0</v>
      </c>
      <c r="CU137" s="5">
        <v>202608</v>
      </c>
      <c r="CV137" s="6">
        <v>0</v>
      </c>
      <c r="CW137" s="9">
        <v>0</v>
      </c>
      <c r="CX137" s="8">
        <v>0</v>
      </c>
      <c r="CY137" s="7">
        <f t="shared" si="399"/>
        <v>360000</v>
      </c>
      <c r="DA137" s="5">
        <v>202608</v>
      </c>
      <c r="DB137" s="6">
        <v>0</v>
      </c>
      <c r="DC137" s="6">
        <v>0</v>
      </c>
      <c r="DD137" s="8">
        <v>0</v>
      </c>
      <c r="DE137" s="7">
        <f t="shared" si="400"/>
        <v>0</v>
      </c>
      <c r="DG137" s="5">
        <v>202608</v>
      </c>
      <c r="DH137" s="6">
        <v>0</v>
      </c>
      <c r="DI137" s="9">
        <v>0</v>
      </c>
      <c r="DJ137" s="8">
        <v>0</v>
      </c>
      <c r="DK137" s="7">
        <f t="shared" si="401"/>
        <v>2500000</v>
      </c>
      <c r="DM137" s="5">
        <v>202608</v>
      </c>
      <c r="DN137" s="6">
        <v>0</v>
      </c>
      <c r="DO137" s="6">
        <v>0</v>
      </c>
      <c r="DP137" s="8">
        <v>0</v>
      </c>
      <c r="DQ137" s="7">
        <f t="shared" si="402"/>
        <v>820000</v>
      </c>
      <c r="DS137" s="5">
        <v>202608</v>
      </c>
      <c r="DT137" s="6">
        <v>0</v>
      </c>
      <c r="DU137" s="6">
        <v>0</v>
      </c>
      <c r="DV137" s="8">
        <v>0</v>
      </c>
      <c r="DW137" s="7">
        <f t="shared" si="403"/>
        <v>0</v>
      </c>
      <c r="DY137" s="5">
        <v>202608</v>
      </c>
      <c r="DZ137" s="6">
        <v>0</v>
      </c>
      <c r="EA137" s="6">
        <v>0</v>
      </c>
      <c r="EB137" s="8">
        <v>0</v>
      </c>
      <c r="EC137" s="7">
        <f t="shared" si="404"/>
        <v>400000</v>
      </c>
      <c r="EE137" s="5">
        <v>202608</v>
      </c>
      <c r="EF137" s="6">
        <v>0</v>
      </c>
      <c r="EG137" s="6">
        <v>0</v>
      </c>
      <c r="EH137" s="8">
        <v>0</v>
      </c>
      <c r="EI137" s="7">
        <f t="shared" si="405"/>
        <v>0</v>
      </c>
      <c r="EK137" s="5">
        <v>202608</v>
      </c>
      <c r="EL137" s="6">
        <v>0</v>
      </c>
      <c r="EM137" s="6">
        <v>0</v>
      </c>
      <c r="EN137" s="8">
        <v>0</v>
      </c>
      <c r="EO137" s="7">
        <f t="shared" si="406"/>
        <v>2150000</v>
      </c>
      <c r="EQ137" s="5">
        <v>202608</v>
      </c>
      <c r="ER137" s="6">
        <v>0</v>
      </c>
      <c r="ES137" s="6">
        <v>0</v>
      </c>
      <c r="ET137" s="8">
        <v>0</v>
      </c>
      <c r="EU137" s="7">
        <f t="shared" si="407"/>
        <v>3000000</v>
      </c>
      <c r="EW137" s="5">
        <v>202608</v>
      </c>
      <c r="EX137" s="6">
        <v>0</v>
      </c>
      <c r="EY137" s="6">
        <v>0</v>
      </c>
      <c r="EZ137" s="8">
        <v>0</v>
      </c>
      <c r="FA137" s="7">
        <f t="shared" si="408"/>
        <v>0</v>
      </c>
      <c r="FC137" s="5">
        <v>202608</v>
      </c>
      <c r="FD137" s="6">
        <v>0</v>
      </c>
      <c r="FE137" s="6">
        <v>0</v>
      </c>
      <c r="FF137" s="8">
        <v>0</v>
      </c>
      <c r="FG137" s="7">
        <f t="shared" si="409"/>
        <v>1700500</v>
      </c>
      <c r="FI137" s="5">
        <v>202608</v>
      </c>
      <c r="FJ137" s="6">
        <v>0</v>
      </c>
      <c r="FK137" s="6">
        <v>0</v>
      </c>
      <c r="FL137" s="8">
        <v>0</v>
      </c>
      <c r="FM137" s="7">
        <f t="shared" si="410"/>
        <v>1650000</v>
      </c>
      <c r="FO137" s="5">
        <v>202608</v>
      </c>
      <c r="FP137" s="6">
        <v>0</v>
      </c>
      <c r="FQ137" s="6">
        <v>0</v>
      </c>
      <c r="FR137" s="8">
        <v>0</v>
      </c>
      <c r="FS137" s="7">
        <f t="shared" si="411"/>
        <v>0</v>
      </c>
      <c r="FU137" s="5">
        <v>202608</v>
      </c>
      <c r="FV137" s="6">
        <v>0</v>
      </c>
      <c r="FW137" s="6">
        <v>0</v>
      </c>
      <c r="FX137" s="8">
        <v>0</v>
      </c>
      <c r="FY137" s="7">
        <f t="shared" si="412"/>
        <v>0</v>
      </c>
      <c r="GA137" s="5">
        <v>202608</v>
      </c>
      <c r="GB137" s="6">
        <v>0</v>
      </c>
      <c r="GC137" s="6">
        <v>0</v>
      </c>
      <c r="GD137" s="8">
        <v>0</v>
      </c>
      <c r="GE137" s="7">
        <f t="shared" si="413"/>
        <v>400000</v>
      </c>
      <c r="GG137" s="5">
        <v>202608</v>
      </c>
      <c r="GH137" s="6">
        <v>0</v>
      </c>
      <c r="GI137" s="6">
        <v>0</v>
      </c>
      <c r="GJ137" s="8">
        <v>0</v>
      </c>
      <c r="GK137" s="7">
        <f t="shared" si="414"/>
        <v>0</v>
      </c>
      <c r="GM137" s="5">
        <v>202608</v>
      </c>
      <c r="GN137" s="6">
        <v>0</v>
      </c>
      <c r="GO137" s="6">
        <v>0</v>
      </c>
      <c r="GP137" s="8">
        <v>0</v>
      </c>
      <c r="GQ137" s="7">
        <f t="shared" si="415"/>
        <v>0</v>
      </c>
      <c r="GS137" s="5">
        <v>202608</v>
      </c>
      <c r="GT137" s="6">
        <v>0</v>
      </c>
      <c r="GU137" s="6">
        <v>0</v>
      </c>
      <c r="GV137" s="8">
        <v>0</v>
      </c>
      <c r="GW137" s="7">
        <f t="shared" si="416"/>
        <v>0</v>
      </c>
      <c r="GY137" s="5">
        <v>202608</v>
      </c>
      <c r="GZ137" s="6">
        <v>0</v>
      </c>
      <c r="HA137" s="6">
        <v>0</v>
      </c>
      <c r="HB137" s="8">
        <v>0</v>
      </c>
      <c r="HC137" s="7">
        <f t="shared" si="417"/>
        <v>-696117.68864598079</v>
      </c>
    </row>
    <row r="138" spans="1:211" x14ac:dyDescent="0.2">
      <c r="C138" s="5">
        <v>202609</v>
      </c>
      <c r="D138" s="6">
        <v>0</v>
      </c>
      <c r="E138" s="9">
        <v>0</v>
      </c>
      <c r="F138" s="8">
        <v>0</v>
      </c>
      <c r="G138" s="7">
        <f t="shared" si="383"/>
        <v>2500000</v>
      </c>
      <c r="I138" s="5">
        <v>202609</v>
      </c>
      <c r="J138" s="6">
        <v>0</v>
      </c>
      <c r="K138" s="6">
        <v>0</v>
      </c>
      <c r="L138" s="8">
        <v>0</v>
      </c>
      <c r="M138" s="7">
        <f t="shared" si="384"/>
        <v>0</v>
      </c>
      <c r="O138" s="5">
        <v>202609</v>
      </c>
      <c r="P138" s="6">
        <v>0</v>
      </c>
      <c r="Q138" s="6">
        <v>0</v>
      </c>
      <c r="R138" s="8">
        <v>0</v>
      </c>
      <c r="S138" s="7">
        <f t="shared" si="385"/>
        <v>360000</v>
      </c>
      <c r="U138" s="5">
        <v>202609</v>
      </c>
      <c r="V138" s="6">
        <v>0</v>
      </c>
      <c r="W138" s="9">
        <v>0</v>
      </c>
      <c r="X138" s="8">
        <v>0</v>
      </c>
      <c r="Y138" s="7">
        <f t="shared" si="386"/>
        <v>0</v>
      </c>
      <c r="AA138" s="5">
        <v>202609</v>
      </c>
      <c r="AB138" s="6">
        <v>0</v>
      </c>
      <c r="AC138" s="6">
        <v>0</v>
      </c>
      <c r="AD138" s="8">
        <v>0</v>
      </c>
      <c r="AE138" s="7">
        <f t="shared" si="387"/>
        <v>1600000</v>
      </c>
      <c r="AG138" s="5">
        <v>202609</v>
      </c>
      <c r="AH138" s="6">
        <v>0</v>
      </c>
      <c r="AI138" s="9">
        <v>0</v>
      </c>
      <c r="AJ138" s="8">
        <v>0</v>
      </c>
      <c r="AK138" s="7">
        <f t="shared" si="388"/>
        <v>0</v>
      </c>
      <c r="AM138" s="5">
        <v>202609</v>
      </c>
      <c r="AN138" s="6">
        <v>0</v>
      </c>
      <c r="AO138" s="9">
        <v>0</v>
      </c>
      <c r="AP138" s="8">
        <v>0</v>
      </c>
      <c r="AQ138" s="7">
        <f t="shared" si="389"/>
        <v>5000000</v>
      </c>
      <c r="AS138" s="5">
        <v>202609</v>
      </c>
      <c r="AT138" s="6">
        <v>0</v>
      </c>
      <c r="AU138" s="9">
        <v>0</v>
      </c>
      <c r="AV138" s="8">
        <v>0</v>
      </c>
      <c r="AW138" s="7">
        <f t="shared" si="390"/>
        <v>0</v>
      </c>
      <c r="AY138" s="5">
        <v>202609</v>
      </c>
      <c r="AZ138" s="6">
        <v>0</v>
      </c>
      <c r="BA138" s="9">
        <v>0</v>
      </c>
      <c r="BB138" s="8">
        <v>0</v>
      </c>
      <c r="BC138" s="7">
        <f t="shared" si="391"/>
        <v>1395000</v>
      </c>
      <c r="BE138" s="5">
        <v>202609</v>
      </c>
      <c r="BF138" s="6">
        <v>0</v>
      </c>
      <c r="BG138" s="9">
        <v>0</v>
      </c>
      <c r="BH138" s="8">
        <v>0</v>
      </c>
      <c r="BI138" s="7">
        <f t="shared" si="392"/>
        <v>0</v>
      </c>
      <c r="BK138" s="5">
        <v>202609</v>
      </c>
      <c r="BL138" s="6">
        <v>0</v>
      </c>
      <c r="BM138" s="9">
        <v>0</v>
      </c>
      <c r="BN138" s="8">
        <v>0</v>
      </c>
      <c r="BO138" s="7">
        <f t="shared" si="393"/>
        <v>0</v>
      </c>
      <c r="BQ138" s="5">
        <v>202609</v>
      </c>
      <c r="BR138" s="6">
        <v>0</v>
      </c>
      <c r="BS138" s="9">
        <v>0</v>
      </c>
      <c r="BT138" s="8">
        <v>0</v>
      </c>
      <c r="BU138" s="7">
        <f t="shared" si="394"/>
        <v>467000</v>
      </c>
      <c r="BW138" s="5">
        <v>202609</v>
      </c>
      <c r="BX138" s="6">
        <v>0</v>
      </c>
      <c r="BY138" s="9">
        <v>0</v>
      </c>
      <c r="BZ138" s="8">
        <v>0</v>
      </c>
      <c r="CA138" s="7">
        <f t="shared" si="395"/>
        <v>750000</v>
      </c>
      <c r="CC138" s="5">
        <v>202609</v>
      </c>
      <c r="CD138" s="6">
        <v>0</v>
      </c>
      <c r="CE138" s="6">
        <v>0</v>
      </c>
      <c r="CF138" s="8">
        <v>0</v>
      </c>
      <c r="CG138" s="7">
        <f t="shared" si="396"/>
        <v>2300000</v>
      </c>
      <c r="CI138" s="5">
        <v>202609</v>
      </c>
      <c r="CJ138" s="6">
        <v>0</v>
      </c>
      <c r="CK138" s="9">
        <v>0</v>
      </c>
      <c r="CL138" s="8">
        <v>0</v>
      </c>
      <c r="CM138" s="7">
        <f t="shared" si="397"/>
        <v>0</v>
      </c>
      <c r="CO138" s="5">
        <v>202609</v>
      </c>
      <c r="CP138" s="6">
        <v>0</v>
      </c>
      <c r="CQ138" s="9">
        <v>0</v>
      </c>
      <c r="CR138" s="8">
        <v>0</v>
      </c>
      <c r="CS138" s="7">
        <f t="shared" si="398"/>
        <v>0</v>
      </c>
      <c r="CU138" s="5">
        <v>202609</v>
      </c>
      <c r="CV138" s="6">
        <v>0</v>
      </c>
      <c r="CW138" s="9">
        <v>0</v>
      </c>
      <c r="CX138" s="8">
        <v>0</v>
      </c>
      <c r="CY138" s="7">
        <f t="shared" si="399"/>
        <v>360000</v>
      </c>
      <c r="DA138" s="5">
        <v>202609</v>
      </c>
      <c r="DB138" s="6">
        <v>0</v>
      </c>
      <c r="DC138" s="9">
        <v>0</v>
      </c>
      <c r="DD138" s="8">
        <v>0</v>
      </c>
      <c r="DE138" s="7">
        <f t="shared" si="400"/>
        <v>0</v>
      </c>
      <c r="DG138" s="5">
        <v>202609</v>
      </c>
      <c r="DH138" s="6">
        <v>0</v>
      </c>
      <c r="DI138" s="9">
        <v>0</v>
      </c>
      <c r="DJ138" s="8">
        <v>0</v>
      </c>
      <c r="DK138" s="7">
        <f t="shared" si="401"/>
        <v>2500000</v>
      </c>
      <c r="DM138" s="5">
        <v>202609</v>
      </c>
      <c r="DN138" s="6">
        <v>0</v>
      </c>
      <c r="DO138" s="9">
        <v>0</v>
      </c>
      <c r="DP138" s="8">
        <v>0</v>
      </c>
      <c r="DQ138" s="7">
        <f t="shared" si="402"/>
        <v>820000</v>
      </c>
      <c r="DS138" s="5">
        <v>202609</v>
      </c>
      <c r="DT138" s="6">
        <v>0</v>
      </c>
      <c r="DU138" s="9">
        <v>0</v>
      </c>
      <c r="DV138" s="8">
        <v>0</v>
      </c>
      <c r="DW138" s="7">
        <f t="shared" si="403"/>
        <v>0</v>
      </c>
      <c r="DY138" s="5">
        <v>202609</v>
      </c>
      <c r="DZ138" s="6">
        <v>0</v>
      </c>
      <c r="EA138" s="9">
        <v>0</v>
      </c>
      <c r="EB138" s="8">
        <v>0</v>
      </c>
      <c r="EC138" s="7">
        <f t="shared" si="404"/>
        <v>400000</v>
      </c>
      <c r="EE138" s="5">
        <v>202609</v>
      </c>
      <c r="EF138" s="6">
        <v>0</v>
      </c>
      <c r="EG138" s="9">
        <v>0</v>
      </c>
      <c r="EH138" s="8">
        <v>0</v>
      </c>
      <c r="EI138" s="7">
        <f t="shared" si="405"/>
        <v>0</v>
      </c>
      <c r="EK138" s="5">
        <v>202609</v>
      </c>
      <c r="EL138" s="6">
        <v>0</v>
      </c>
      <c r="EM138" s="9">
        <v>0</v>
      </c>
      <c r="EN138" s="8">
        <v>0</v>
      </c>
      <c r="EO138" s="7">
        <f t="shared" si="406"/>
        <v>2150000</v>
      </c>
      <c r="EQ138" s="5">
        <v>202609</v>
      </c>
      <c r="ER138" s="6">
        <v>0</v>
      </c>
      <c r="ES138" s="9">
        <v>0</v>
      </c>
      <c r="ET138" s="8">
        <v>0</v>
      </c>
      <c r="EU138" s="7">
        <f t="shared" si="407"/>
        <v>3000000</v>
      </c>
      <c r="EW138" s="5">
        <v>202609</v>
      </c>
      <c r="EX138" s="6">
        <v>0</v>
      </c>
      <c r="EY138" s="9">
        <v>0</v>
      </c>
      <c r="EZ138" s="8">
        <v>0</v>
      </c>
      <c r="FA138" s="7">
        <f t="shared" si="408"/>
        <v>0</v>
      </c>
      <c r="FC138" s="5">
        <v>202609</v>
      </c>
      <c r="FD138" s="6">
        <v>0</v>
      </c>
      <c r="FE138" s="9">
        <v>0</v>
      </c>
      <c r="FF138" s="8">
        <v>0</v>
      </c>
      <c r="FG138" s="7">
        <f t="shared" si="409"/>
        <v>1700500</v>
      </c>
      <c r="FI138" s="5">
        <v>202609</v>
      </c>
      <c r="FJ138" s="6">
        <v>0</v>
      </c>
      <c r="FK138" s="9">
        <v>0</v>
      </c>
      <c r="FL138" s="8">
        <v>0</v>
      </c>
      <c r="FM138" s="7">
        <f t="shared" si="410"/>
        <v>1650000</v>
      </c>
      <c r="FO138" s="5">
        <v>202609</v>
      </c>
      <c r="FP138" s="6">
        <v>0</v>
      </c>
      <c r="FQ138" s="9">
        <v>0</v>
      </c>
      <c r="FR138" s="8">
        <v>0</v>
      </c>
      <c r="FS138" s="7">
        <f t="shared" si="411"/>
        <v>0</v>
      </c>
      <c r="FU138" s="5">
        <v>202609</v>
      </c>
      <c r="FV138" s="6">
        <v>0</v>
      </c>
      <c r="FW138" s="9">
        <v>0</v>
      </c>
      <c r="FX138" s="8">
        <v>0</v>
      </c>
      <c r="FY138" s="7">
        <f t="shared" si="412"/>
        <v>0</v>
      </c>
      <c r="GA138" s="5">
        <v>202609</v>
      </c>
      <c r="GB138" s="6">
        <v>0</v>
      </c>
      <c r="GC138" s="9">
        <v>0</v>
      </c>
      <c r="GD138" s="8">
        <v>0</v>
      </c>
      <c r="GE138" s="7">
        <f t="shared" si="413"/>
        <v>400000</v>
      </c>
      <c r="GG138" s="5">
        <v>202609</v>
      </c>
      <c r="GH138" s="6">
        <v>0</v>
      </c>
      <c r="GI138" s="9">
        <v>0</v>
      </c>
      <c r="GJ138" s="8">
        <v>0</v>
      </c>
      <c r="GK138" s="7">
        <f t="shared" si="414"/>
        <v>0</v>
      </c>
      <c r="GM138" s="5">
        <v>202609</v>
      </c>
      <c r="GN138" s="6">
        <v>0</v>
      </c>
      <c r="GO138" s="9">
        <v>0</v>
      </c>
      <c r="GP138" s="8">
        <v>0</v>
      </c>
      <c r="GQ138" s="7">
        <f t="shared" si="415"/>
        <v>0</v>
      </c>
      <c r="GS138" s="5">
        <v>202609</v>
      </c>
      <c r="GT138" s="6">
        <v>0</v>
      </c>
      <c r="GU138" s="9">
        <v>0</v>
      </c>
      <c r="GV138" s="8">
        <v>0</v>
      </c>
      <c r="GW138" s="7">
        <f t="shared" si="416"/>
        <v>0</v>
      </c>
      <c r="GY138" s="5">
        <v>202609</v>
      </c>
      <c r="GZ138" s="6">
        <v>0</v>
      </c>
      <c r="HA138" s="9">
        <v>0</v>
      </c>
      <c r="HB138" s="8">
        <v>0</v>
      </c>
      <c r="HC138" s="7">
        <f t="shared" si="417"/>
        <v>-696117.68864598079</v>
      </c>
    </row>
    <row r="139" spans="1:211" x14ac:dyDescent="0.2">
      <c r="B139" s="38"/>
      <c r="C139" s="5">
        <v>202610</v>
      </c>
      <c r="D139" s="6">
        <v>0</v>
      </c>
      <c r="E139" s="6">
        <v>0</v>
      </c>
      <c r="F139" s="8">
        <v>0</v>
      </c>
      <c r="G139" s="7">
        <f t="shared" si="383"/>
        <v>2500000</v>
      </c>
      <c r="I139" s="5">
        <v>202610</v>
      </c>
      <c r="J139" s="6">
        <v>0</v>
      </c>
      <c r="K139" s="6">
        <v>0</v>
      </c>
      <c r="L139" s="8">
        <v>0</v>
      </c>
      <c r="M139" s="7">
        <f t="shared" si="384"/>
        <v>0</v>
      </c>
      <c r="O139" s="5">
        <v>202610</v>
      </c>
      <c r="P139" s="6">
        <v>0</v>
      </c>
      <c r="Q139" s="6">
        <v>0</v>
      </c>
      <c r="R139" s="8">
        <v>0</v>
      </c>
      <c r="S139" s="7">
        <f t="shared" si="385"/>
        <v>360000</v>
      </c>
      <c r="U139" s="5">
        <v>202610</v>
      </c>
      <c r="V139" s="6">
        <v>0</v>
      </c>
      <c r="W139" s="6">
        <v>0</v>
      </c>
      <c r="X139" s="8">
        <v>0</v>
      </c>
      <c r="Y139" s="7">
        <f t="shared" si="386"/>
        <v>0</v>
      </c>
      <c r="AA139" s="5">
        <v>202610</v>
      </c>
      <c r="AB139" s="6">
        <v>0</v>
      </c>
      <c r="AC139" s="6">
        <v>0</v>
      </c>
      <c r="AD139" s="8">
        <v>0</v>
      </c>
      <c r="AE139" s="7">
        <f t="shared" si="387"/>
        <v>1600000</v>
      </c>
      <c r="AG139" s="5">
        <v>202610</v>
      </c>
      <c r="AH139" s="6">
        <v>0</v>
      </c>
      <c r="AI139" s="6">
        <v>0</v>
      </c>
      <c r="AJ139" s="8">
        <v>0</v>
      </c>
      <c r="AK139" s="7">
        <f t="shared" si="388"/>
        <v>0</v>
      </c>
      <c r="AM139" s="5">
        <v>202610</v>
      </c>
      <c r="AN139" s="6">
        <v>0</v>
      </c>
      <c r="AO139" s="6">
        <v>0</v>
      </c>
      <c r="AP139" s="8">
        <v>0</v>
      </c>
      <c r="AQ139" s="7">
        <f t="shared" si="389"/>
        <v>5000000</v>
      </c>
      <c r="AS139" s="5">
        <v>202610</v>
      </c>
      <c r="AT139" s="6">
        <v>0</v>
      </c>
      <c r="AU139" s="6">
        <v>0</v>
      </c>
      <c r="AV139" s="8">
        <v>0</v>
      </c>
      <c r="AW139" s="7">
        <f t="shared" si="390"/>
        <v>0</v>
      </c>
      <c r="AY139" s="5">
        <v>202610</v>
      </c>
      <c r="AZ139" s="6">
        <v>0</v>
      </c>
      <c r="BA139" s="9">
        <v>0</v>
      </c>
      <c r="BB139" s="8">
        <v>0</v>
      </c>
      <c r="BC139" s="7">
        <f t="shared" si="391"/>
        <v>1395000</v>
      </c>
      <c r="BE139" s="5">
        <v>202610</v>
      </c>
      <c r="BF139" s="6">
        <v>0</v>
      </c>
      <c r="BG139" s="6">
        <v>0</v>
      </c>
      <c r="BH139" s="8">
        <v>0</v>
      </c>
      <c r="BI139" s="7">
        <f t="shared" si="392"/>
        <v>0</v>
      </c>
      <c r="BK139" s="5">
        <v>202610</v>
      </c>
      <c r="BL139" s="6">
        <v>0</v>
      </c>
      <c r="BM139" s="6">
        <v>0</v>
      </c>
      <c r="BN139" s="8">
        <v>0</v>
      </c>
      <c r="BO139" s="7">
        <f t="shared" si="393"/>
        <v>0</v>
      </c>
      <c r="BQ139" s="5">
        <v>202610</v>
      </c>
      <c r="BR139" s="6">
        <v>0</v>
      </c>
      <c r="BS139" s="6">
        <v>0</v>
      </c>
      <c r="BT139" s="8">
        <v>0</v>
      </c>
      <c r="BU139" s="7">
        <f t="shared" si="394"/>
        <v>467000</v>
      </c>
      <c r="BW139" s="5">
        <v>202610</v>
      </c>
      <c r="BX139" s="6">
        <v>0</v>
      </c>
      <c r="BY139" s="9">
        <v>0</v>
      </c>
      <c r="BZ139" s="8">
        <v>0</v>
      </c>
      <c r="CA139" s="7">
        <f t="shared" si="395"/>
        <v>750000</v>
      </c>
      <c r="CC139" s="5">
        <v>202610</v>
      </c>
      <c r="CD139" s="6">
        <v>0</v>
      </c>
      <c r="CE139" s="6">
        <v>0</v>
      </c>
      <c r="CF139" s="8">
        <v>0</v>
      </c>
      <c r="CG139" s="7">
        <f t="shared" si="396"/>
        <v>2300000</v>
      </c>
      <c r="CI139" s="5">
        <v>202610</v>
      </c>
      <c r="CJ139" s="6">
        <v>0</v>
      </c>
      <c r="CK139" s="6">
        <v>0</v>
      </c>
      <c r="CL139" s="8">
        <v>0</v>
      </c>
      <c r="CM139" s="7">
        <f t="shared" si="397"/>
        <v>0</v>
      </c>
      <c r="CO139" s="5">
        <v>202610</v>
      </c>
      <c r="CP139" s="6">
        <v>0</v>
      </c>
      <c r="CQ139" s="6">
        <v>0</v>
      </c>
      <c r="CR139" s="8">
        <v>0</v>
      </c>
      <c r="CS139" s="7">
        <f t="shared" si="398"/>
        <v>0</v>
      </c>
      <c r="CU139" s="5">
        <v>202610</v>
      </c>
      <c r="CV139" s="6">
        <v>0</v>
      </c>
      <c r="CW139" s="9">
        <v>0</v>
      </c>
      <c r="CX139" s="8">
        <v>0</v>
      </c>
      <c r="CY139" s="7">
        <f t="shared" si="399"/>
        <v>360000</v>
      </c>
      <c r="DA139" s="5">
        <v>202610</v>
      </c>
      <c r="DB139" s="6">
        <v>0</v>
      </c>
      <c r="DC139" s="6">
        <v>0</v>
      </c>
      <c r="DD139" s="8">
        <v>0</v>
      </c>
      <c r="DE139" s="7">
        <f t="shared" si="400"/>
        <v>0</v>
      </c>
      <c r="DG139" s="5">
        <v>202610</v>
      </c>
      <c r="DH139" s="6">
        <v>0</v>
      </c>
      <c r="DI139" s="6">
        <v>0</v>
      </c>
      <c r="DJ139" s="8">
        <v>0</v>
      </c>
      <c r="DK139" s="7">
        <f t="shared" si="401"/>
        <v>2500000</v>
      </c>
      <c r="DM139" s="5">
        <v>202610</v>
      </c>
      <c r="DN139" s="6">
        <v>0</v>
      </c>
      <c r="DO139" s="6">
        <v>0</v>
      </c>
      <c r="DP139" s="8">
        <v>0</v>
      </c>
      <c r="DQ139" s="7">
        <f t="shared" si="402"/>
        <v>820000</v>
      </c>
      <c r="DS139" s="5">
        <v>202610</v>
      </c>
      <c r="DT139" s="6">
        <v>0</v>
      </c>
      <c r="DU139" s="6">
        <v>0</v>
      </c>
      <c r="DV139" s="8">
        <v>0</v>
      </c>
      <c r="DW139" s="7">
        <f t="shared" si="403"/>
        <v>0</v>
      </c>
      <c r="DY139" s="5">
        <v>202610</v>
      </c>
      <c r="DZ139" s="6">
        <v>0</v>
      </c>
      <c r="EA139" s="6">
        <v>0</v>
      </c>
      <c r="EB139" s="8">
        <v>0</v>
      </c>
      <c r="EC139" s="7">
        <f t="shared" si="404"/>
        <v>400000</v>
      </c>
      <c r="EE139" s="5">
        <v>202610</v>
      </c>
      <c r="EF139" s="6">
        <v>0</v>
      </c>
      <c r="EG139" s="6">
        <v>0</v>
      </c>
      <c r="EH139" s="8">
        <v>0</v>
      </c>
      <c r="EI139" s="7">
        <f t="shared" si="405"/>
        <v>0</v>
      </c>
      <c r="EK139" s="5">
        <v>202610</v>
      </c>
      <c r="EL139" s="6">
        <v>0</v>
      </c>
      <c r="EM139" s="6">
        <v>0</v>
      </c>
      <c r="EN139" s="8">
        <v>0</v>
      </c>
      <c r="EO139" s="7">
        <f t="shared" si="406"/>
        <v>2150000</v>
      </c>
      <c r="EQ139" s="5">
        <v>202610</v>
      </c>
      <c r="ER139" s="6">
        <v>0</v>
      </c>
      <c r="ES139" s="6">
        <v>0</v>
      </c>
      <c r="ET139" s="8">
        <v>0</v>
      </c>
      <c r="EU139" s="7">
        <f t="shared" si="407"/>
        <v>3000000</v>
      </c>
      <c r="EW139" s="5">
        <v>202610</v>
      </c>
      <c r="EX139" s="6">
        <v>0</v>
      </c>
      <c r="EY139" s="6">
        <v>0</v>
      </c>
      <c r="EZ139" s="8">
        <v>0</v>
      </c>
      <c r="FA139" s="7">
        <f t="shared" si="408"/>
        <v>0</v>
      </c>
      <c r="FC139" s="5">
        <v>202610</v>
      </c>
      <c r="FD139" s="6">
        <v>0</v>
      </c>
      <c r="FE139" s="6">
        <v>0</v>
      </c>
      <c r="FF139" s="8">
        <v>0</v>
      </c>
      <c r="FG139" s="7">
        <f t="shared" si="409"/>
        <v>1700500</v>
      </c>
      <c r="FI139" s="5">
        <v>202610</v>
      </c>
      <c r="FJ139" s="6">
        <v>0</v>
      </c>
      <c r="FK139" s="9">
        <v>0</v>
      </c>
      <c r="FL139" s="8">
        <v>0</v>
      </c>
      <c r="FM139" s="7">
        <f t="shared" si="410"/>
        <v>1650000</v>
      </c>
      <c r="FO139" s="5">
        <v>202610</v>
      </c>
      <c r="FP139" s="6">
        <v>0</v>
      </c>
      <c r="FQ139" s="6">
        <v>0</v>
      </c>
      <c r="FR139" s="8">
        <v>0</v>
      </c>
      <c r="FS139" s="7">
        <f t="shared" si="411"/>
        <v>0</v>
      </c>
      <c r="FU139" s="5">
        <v>202610</v>
      </c>
      <c r="FV139" s="6">
        <v>0</v>
      </c>
      <c r="FW139" s="6">
        <v>0</v>
      </c>
      <c r="FX139" s="8">
        <v>0</v>
      </c>
      <c r="FY139" s="7">
        <f t="shared" si="412"/>
        <v>0</v>
      </c>
      <c r="GA139" s="5">
        <v>202610</v>
      </c>
      <c r="GB139" s="6">
        <v>0</v>
      </c>
      <c r="GC139" s="6">
        <v>0</v>
      </c>
      <c r="GD139" s="8">
        <v>0</v>
      </c>
      <c r="GE139" s="7">
        <f t="shared" si="413"/>
        <v>400000</v>
      </c>
      <c r="GG139" s="5">
        <v>202610</v>
      </c>
      <c r="GH139" s="6">
        <v>0</v>
      </c>
      <c r="GI139" s="6">
        <v>0</v>
      </c>
      <c r="GJ139" s="8">
        <v>0</v>
      </c>
      <c r="GK139" s="7">
        <f t="shared" si="414"/>
        <v>0</v>
      </c>
      <c r="GM139" s="5">
        <v>202610</v>
      </c>
      <c r="GN139" s="6">
        <v>0</v>
      </c>
      <c r="GO139" s="6">
        <v>0</v>
      </c>
      <c r="GP139" s="8">
        <v>0</v>
      </c>
      <c r="GQ139" s="7">
        <f t="shared" si="415"/>
        <v>0</v>
      </c>
      <c r="GS139" s="5">
        <v>202610</v>
      </c>
      <c r="GT139" s="6">
        <v>0</v>
      </c>
      <c r="GU139" s="6">
        <v>0</v>
      </c>
      <c r="GV139" s="8">
        <v>0</v>
      </c>
      <c r="GW139" s="7">
        <f t="shared" si="416"/>
        <v>0</v>
      </c>
      <c r="GY139" s="5">
        <v>202610</v>
      </c>
      <c r="GZ139" s="6">
        <v>0</v>
      </c>
      <c r="HA139" s="6">
        <v>0</v>
      </c>
      <c r="HB139" s="8">
        <v>0</v>
      </c>
      <c r="HC139" s="7">
        <f t="shared" si="417"/>
        <v>-696117.68864598079</v>
      </c>
    </row>
    <row r="140" spans="1:211" x14ac:dyDescent="0.2">
      <c r="C140" s="5">
        <v>202611</v>
      </c>
      <c r="D140" s="6">
        <v>0</v>
      </c>
      <c r="E140" s="6">
        <v>0</v>
      </c>
      <c r="F140" s="8">
        <v>0</v>
      </c>
      <c r="G140" s="7">
        <f t="shared" si="383"/>
        <v>2500000</v>
      </c>
      <c r="I140" s="5">
        <v>202611</v>
      </c>
      <c r="J140" s="6">
        <v>0</v>
      </c>
      <c r="K140" s="6">
        <v>0</v>
      </c>
      <c r="L140" s="8">
        <v>0</v>
      </c>
      <c r="M140" s="7">
        <f t="shared" si="384"/>
        <v>0</v>
      </c>
      <c r="O140" s="5">
        <v>202611</v>
      </c>
      <c r="P140" s="6">
        <v>0</v>
      </c>
      <c r="Q140" s="6">
        <v>0</v>
      </c>
      <c r="R140" s="8">
        <v>0</v>
      </c>
      <c r="S140" s="7">
        <f t="shared" si="385"/>
        <v>360000</v>
      </c>
      <c r="U140" s="5">
        <v>202611</v>
      </c>
      <c r="V140" s="6">
        <v>0</v>
      </c>
      <c r="W140" s="6">
        <v>0</v>
      </c>
      <c r="X140" s="8">
        <v>0</v>
      </c>
      <c r="Y140" s="7">
        <f t="shared" si="386"/>
        <v>0</v>
      </c>
      <c r="AA140" s="5">
        <v>202611</v>
      </c>
      <c r="AB140" s="6">
        <v>0</v>
      </c>
      <c r="AC140" s="6">
        <v>0</v>
      </c>
      <c r="AD140" s="8">
        <v>0</v>
      </c>
      <c r="AE140" s="7">
        <f t="shared" si="387"/>
        <v>1600000</v>
      </c>
      <c r="AG140" s="5">
        <v>202611</v>
      </c>
      <c r="AH140" s="6">
        <v>0</v>
      </c>
      <c r="AI140" s="6">
        <v>0</v>
      </c>
      <c r="AJ140" s="8">
        <v>0</v>
      </c>
      <c r="AK140" s="7">
        <f t="shared" si="388"/>
        <v>0</v>
      </c>
      <c r="AM140" s="5">
        <v>202611</v>
      </c>
      <c r="AN140" s="6">
        <v>0</v>
      </c>
      <c r="AO140" s="6">
        <v>0</v>
      </c>
      <c r="AP140" s="8">
        <v>0</v>
      </c>
      <c r="AQ140" s="7">
        <f t="shared" si="389"/>
        <v>5000000</v>
      </c>
      <c r="AS140" s="5">
        <v>202611</v>
      </c>
      <c r="AT140" s="6">
        <v>0</v>
      </c>
      <c r="AU140" s="6">
        <v>0</v>
      </c>
      <c r="AV140" s="8">
        <v>0</v>
      </c>
      <c r="AW140" s="7">
        <f t="shared" si="390"/>
        <v>0</v>
      </c>
      <c r="AY140" s="5">
        <v>202611</v>
      </c>
      <c r="AZ140" s="6">
        <v>0</v>
      </c>
      <c r="BA140" s="6">
        <v>0</v>
      </c>
      <c r="BB140" s="8">
        <v>0</v>
      </c>
      <c r="BC140" s="7">
        <f t="shared" si="391"/>
        <v>1395000</v>
      </c>
      <c r="BE140" s="5">
        <v>202611</v>
      </c>
      <c r="BF140" s="6">
        <v>0</v>
      </c>
      <c r="BG140" s="6">
        <v>0</v>
      </c>
      <c r="BH140" s="8">
        <v>0</v>
      </c>
      <c r="BI140" s="7">
        <f t="shared" si="392"/>
        <v>0</v>
      </c>
      <c r="BK140" s="5">
        <v>202611</v>
      </c>
      <c r="BL140" s="6">
        <v>0</v>
      </c>
      <c r="BM140" s="6">
        <v>0</v>
      </c>
      <c r="BN140" s="8">
        <v>0</v>
      </c>
      <c r="BO140" s="7">
        <f t="shared" si="393"/>
        <v>0</v>
      </c>
      <c r="BQ140" s="5">
        <v>202611</v>
      </c>
      <c r="BR140" s="6">
        <v>0</v>
      </c>
      <c r="BS140" s="6">
        <v>0</v>
      </c>
      <c r="BT140" s="8">
        <v>0</v>
      </c>
      <c r="BU140" s="7">
        <f t="shared" si="394"/>
        <v>467000</v>
      </c>
      <c r="BW140" s="5">
        <v>202611</v>
      </c>
      <c r="BX140" s="6">
        <v>0</v>
      </c>
      <c r="BY140" s="9">
        <v>0</v>
      </c>
      <c r="BZ140" s="8">
        <v>0</v>
      </c>
      <c r="CA140" s="7">
        <f t="shared" si="395"/>
        <v>750000</v>
      </c>
      <c r="CC140" s="5">
        <v>202611</v>
      </c>
      <c r="CD140" s="6">
        <v>0</v>
      </c>
      <c r="CE140" s="6">
        <v>0</v>
      </c>
      <c r="CF140" s="8">
        <v>0</v>
      </c>
      <c r="CG140" s="7">
        <f t="shared" si="396"/>
        <v>2300000</v>
      </c>
      <c r="CI140" s="5">
        <v>202611</v>
      </c>
      <c r="CJ140" s="6">
        <v>0</v>
      </c>
      <c r="CK140" s="6">
        <v>0</v>
      </c>
      <c r="CL140" s="8">
        <v>0</v>
      </c>
      <c r="CM140" s="7">
        <f t="shared" si="397"/>
        <v>0</v>
      </c>
      <c r="CO140" s="5">
        <v>202611</v>
      </c>
      <c r="CP140" s="6">
        <v>0</v>
      </c>
      <c r="CQ140" s="6">
        <v>0</v>
      </c>
      <c r="CR140" s="8">
        <v>0</v>
      </c>
      <c r="CS140" s="7">
        <f t="shared" si="398"/>
        <v>0</v>
      </c>
      <c r="CU140" s="5">
        <v>202611</v>
      </c>
      <c r="CV140" s="6">
        <v>0</v>
      </c>
      <c r="CW140" s="6">
        <v>0</v>
      </c>
      <c r="CX140" s="8">
        <v>0</v>
      </c>
      <c r="CY140" s="7">
        <f t="shared" si="399"/>
        <v>360000</v>
      </c>
      <c r="DA140" s="5">
        <v>202611</v>
      </c>
      <c r="DB140" s="6">
        <v>0</v>
      </c>
      <c r="DC140" s="6">
        <v>0</v>
      </c>
      <c r="DD140" s="8">
        <v>0</v>
      </c>
      <c r="DE140" s="7">
        <f t="shared" si="400"/>
        <v>0</v>
      </c>
      <c r="DG140" s="5">
        <v>202611</v>
      </c>
      <c r="DH140" s="6">
        <v>0</v>
      </c>
      <c r="DI140" s="6">
        <v>0</v>
      </c>
      <c r="DJ140" s="8">
        <v>0</v>
      </c>
      <c r="DK140" s="7">
        <f t="shared" si="401"/>
        <v>2500000</v>
      </c>
      <c r="DM140" s="5">
        <v>202611</v>
      </c>
      <c r="DN140" s="6">
        <v>0</v>
      </c>
      <c r="DO140" s="6">
        <v>0</v>
      </c>
      <c r="DP140" s="8">
        <v>0</v>
      </c>
      <c r="DQ140" s="7">
        <f t="shared" si="402"/>
        <v>820000</v>
      </c>
      <c r="DS140" s="5">
        <v>202611</v>
      </c>
      <c r="DT140" s="6">
        <v>0</v>
      </c>
      <c r="DU140" s="6">
        <v>0</v>
      </c>
      <c r="DV140" s="8">
        <v>0</v>
      </c>
      <c r="DW140" s="7">
        <f t="shared" si="403"/>
        <v>0</v>
      </c>
      <c r="DY140" s="5">
        <v>202611</v>
      </c>
      <c r="DZ140" s="6">
        <v>0</v>
      </c>
      <c r="EA140" s="6">
        <v>0</v>
      </c>
      <c r="EB140" s="8">
        <v>0</v>
      </c>
      <c r="EC140" s="7">
        <f t="shared" si="404"/>
        <v>400000</v>
      </c>
      <c r="EE140" s="5">
        <v>202611</v>
      </c>
      <c r="EF140" s="6">
        <v>0</v>
      </c>
      <c r="EG140" s="6">
        <v>0</v>
      </c>
      <c r="EH140" s="8">
        <v>0</v>
      </c>
      <c r="EI140" s="7">
        <f t="shared" si="405"/>
        <v>0</v>
      </c>
      <c r="EK140" s="5">
        <v>202611</v>
      </c>
      <c r="EL140" s="6">
        <v>0</v>
      </c>
      <c r="EM140" s="6">
        <v>0</v>
      </c>
      <c r="EN140" s="8">
        <v>0</v>
      </c>
      <c r="EO140" s="7">
        <f t="shared" si="406"/>
        <v>2150000</v>
      </c>
      <c r="EQ140" s="5">
        <v>202611</v>
      </c>
      <c r="ER140" s="6">
        <v>0</v>
      </c>
      <c r="ES140" s="6">
        <v>0</v>
      </c>
      <c r="ET140" s="8">
        <v>0</v>
      </c>
      <c r="EU140" s="7">
        <f t="shared" si="407"/>
        <v>3000000</v>
      </c>
      <c r="EW140" s="5">
        <v>202611</v>
      </c>
      <c r="EX140" s="6">
        <v>0</v>
      </c>
      <c r="EY140" s="6">
        <v>0</v>
      </c>
      <c r="EZ140" s="8">
        <v>0</v>
      </c>
      <c r="FA140" s="7">
        <f t="shared" si="408"/>
        <v>0</v>
      </c>
      <c r="FC140" s="5">
        <v>202611</v>
      </c>
      <c r="FD140" s="6">
        <v>0</v>
      </c>
      <c r="FE140" s="6">
        <v>0</v>
      </c>
      <c r="FF140" s="8">
        <v>0</v>
      </c>
      <c r="FG140" s="7">
        <f t="shared" si="409"/>
        <v>1700500</v>
      </c>
      <c r="FI140" s="5">
        <v>202611</v>
      </c>
      <c r="FJ140" s="6">
        <v>0</v>
      </c>
      <c r="FK140" s="6">
        <v>0</v>
      </c>
      <c r="FL140" s="8">
        <v>0</v>
      </c>
      <c r="FM140" s="7">
        <f t="shared" si="410"/>
        <v>1650000</v>
      </c>
      <c r="FO140" s="5">
        <v>202611</v>
      </c>
      <c r="FP140" s="6">
        <v>0</v>
      </c>
      <c r="FQ140" s="6">
        <v>0</v>
      </c>
      <c r="FR140" s="8">
        <v>0</v>
      </c>
      <c r="FS140" s="7">
        <f t="shared" si="411"/>
        <v>0</v>
      </c>
      <c r="FU140" s="5">
        <v>202611</v>
      </c>
      <c r="FV140" s="6">
        <v>0</v>
      </c>
      <c r="FW140" s="6">
        <v>0</v>
      </c>
      <c r="FX140" s="8">
        <v>0</v>
      </c>
      <c r="FY140" s="7">
        <f t="shared" si="412"/>
        <v>0</v>
      </c>
      <c r="GA140" s="5">
        <v>202611</v>
      </c>
      <c r="GB140" s="6">
        <v>0</v>
      </c>
      <c r="GC140" s="6">
        <v>0</v>
      </c>
      <c r="GD140" s="8">
        <v>0</v>
      </c>
      <c r="GE140" s="7">
        <f t="shared" si="413"/>
        <v>400000</v>
      </c>
      <c r="GG140" s="5">
        <v>202611</v>
      </c>
      <c r="GH140" s="6">
        <v>0</v>
      </c>
      <c r="GI140" s="6">
        <v>0</v>
      </c>
      <c r="GJ140" s="8">
        <v>0</v>
      </c>
      <c r="GK140" s="7">
        <f t="shared" si="414"/>
        <v>0</v>
      </c>
      <c r="GM140" s="5">
        <v>202611</v>
      </c>
      <c r="GN140" s="6">
        <v>0</v>
      </c>
      <c r="GO140" s="6">
        <v>0</v>
      </c>
      <c r="GP140" s="8">
        <v>0</v>
      </c>
      <c r="GQ140" s="7">
        <f t="shared" si="415"/>
        <v>0</v>
      </c>
      <c r="GS140" s="5">
        <v>202611</v>
      </c>
      <c r="GT140" s="6">
        <v>0</v>
      </c>
      <c r="GU140" s="6">
        <v>0</v>
      </c>
      <c r="GV140" s="8">
        <v>0</v>
      </c>
      <c r="GW140" s="7">
        <f t="shared" si="416"/>
        <v>0</v>
      </c>
      <c r="GY140" s="5">
        <v>202611</v>
      </c>
      <c r="GZ140" s="6">
        <v>0</v>
      </c>
      <c r="HA140" s="6">
        <v>0</v>
      </c>
      <c r="HB140" s="8">
        <v>0</v>
      </c>
      <c r="HC140" s="7">
        <f t="shared" si="417"/>
        <v>-696117.68864598079</v>
      </c>
    </row>
    <row r="141" spans="1:211" ht="12.75" thickBot="1" x14ac:dyDescent="0.25">
      <c r="C141" s="10">
        <v>202612</v>
      </c>
      <c r="D141" s="11">
        <v>0</v>
      </c>
      <c r="E141" s="12">
        <v>0</v>
      </c>
      <c r="F141" s="13">
        <v>0</v>
      </c>
      <c r="G141" s="14">
        <f t="shared" si="383"/>
        <v>2500000</v>
      </c>
      <c r="I141" s="10">
        <v>202612</v>
      </c>
      <c r="J141" s="11">
        <v>0</v>
      </c>
      <c r="K141" s="12">
        <v>0</v>
      </c>
      <c r="L141" s="13">
        <v>0</v>
      </c>
      <c r="M141" s="14">
        <f t="shared" si="384"/>
        <v>0</v>
      </c>
      <c r="O141" s="10">
        <v>202612</v>
      </c>
      <c r="P141" s="11">
        <v>0</v>
      </c>
      <c r="Q141" s="12">
        <v>0</v>
      </c>
      <c r="R141" s="13">
        <v>0</v>
      </c>
      <c r="S141" s="14">
        <f t="shared" si="385"/>
        <v>360000</v>
      </c>
      <c r="U141" s="10">
        <v>202612</v>
      </c>
      <c r="V141" s="11">
        <v>0</v>
      </c>
      <c r="W141" s="12">
        <v>0</v>
      </c>
      <c r="X141" s="13">
        <v>0</v>
      </c>
      <c r="Y141" s="14">
        <f t="shared" si="386"/>
        <v>0</v>
      </c>
      <c r="AA141" s="10">
        <v>202612</v>
      </c>
      <c r="AB141" s="11">
        <v>0</v>
      </c>
      <c r="AC141" s="12">
        <v>0</v>
      </c>
      <c r="AD141" s="13">
        <v>0</v>
      </c>
      <c r="AE141" s="14">
        <f t="shared" si="387"/>
        <v>1600000</v>
      </c>
      <c r="AG141" s="10">
        <v>202612</v>
      </c>
      <c r="AH141" s="11">
        <v>0</v>
      </c>
      <c r="AI141" s="12">
        <v>0</v>
      </c>
      <c r="AJ141" s="13">
        <v>0</v>
      </c>
      <c r="AK141" s="14">
        <f t="shared" si="388"/>
        <v>0</v>
      </c>
      <c r="AM141" s="10">
        <v>202612</v>
      </c>
      <c r="AN141" s="11">
        <v>0</v>
      </c>
      <c r="AO141" s="12">
        <v>0</v>
      </c>
      <c r="AP141" s="13">
        <v>0</v>
      </c>
      <c r="AQ141" s="14">
        <f t="shared" si="389"/>
        <v>5000000</v>
      </c>
      <c r="AS141" s="10">
        <v>202612</v>
      </c>
      <c r="AT141" s="11">
        <v>0</v>
      </c>
      <c r="AU141" s="12">
        <v>0</v>
      </c>
      <c r="AV141" s="13">
        <v>0</v>
      </c>
      <c r="AW141" s="14">
        <f t="shared" si="390"/>
        <v>0</v>
      </c>
      <c r="AY141" s="10">
        <v>202612</v>
      </c>
      <c r="AZ141" s="11">
        <v>0</v>
      </c>
      <c r="BA141" s="12">
        <v>0</v>
      </c>
      <c r="BB141" s="13">
        <v>0</v>
      </c>
      <c r="BC141" s="14">
        <f t="shared" si="391"/>
        <v>1395000</v>
      </c>
      <c r="BE141" s="10">
        <v>202612</v>
      </c>
      <c r="BF141" s="11">
        <v>0</v>
      </c>
      <c r="BG141" s="12">
        <v>0</v>
      </c>
      <c r="BH141" s="13">
        <v>0</v>
      </c>
      <c r="BI141" s="14">
        <f t="shared" si="392"/>
        <v>0</v>
      </c>
      <c r="BK141" s="10">
        <v>202612</v>
      </c>
      <c r="BL141" s="11">
        <v>0</v>
      </c>
      <c r="BM141" s="12">
        <v>0</v>
      </c>
      <c r="BN141" s="13">
        <v>0</v>
      </c>
      <c r="BO141" s="14">
        <f t="shared" si="393"/>
        <v>0</v>
      </c>
      <c r="BQ141" s="10">
        <v>202612</v>
      </c>
      <c r="BR141" s="11">
        <v>0</v>
      </c>
      <c r="BS141" s="12">
        <v>0</v>
      </c>
      <c r="BT141" s="13">
        <v>0</v>
      </c>
      <c r="BU141" s="14">
        <f t="shared" si="394"/>
        <v>467000</v>
      </c>
      <c r="BW141" s="10">
        <v>202612</v>
      </c>
      <c r="BX141" s="11">
        <v>0</v>
      </c>
      <c r="BY141" s="12">
        <v>0</v>
      </c>
      <c r="BZ141" s="13">
        <v>0</v>
      </c>
      <c r="CA141" s="14">
        <f t="shared" si="395"/>
        <v>750000</v>
      </c>
      <c r="CC141" s="10">
        <v>202612</v>
      </c>
      <c r="CD141" s="11">
        <v>0</v>
      </c>
      <c r="CE141" s="12">
        <v>0</v>
      </c>
      <c r="CF141" s="13">
        <v>0</v>
      </c>
      <c r="CG141" s="14">
        <f t="shared" si="396"/>
        <v>2300000</v>
      </c>
      <c r="CI141" s="10">
        <v>202612</v>
      </c>
      <c r="CJ141" s="11">
        <v>0</v>
      </c>
      <c r="CK141" s="12">
        <v>0</v>
      </c>
      <c r="CL141" s="13">
        <v>0</v>
      </c>
      <c r="CM141" s="14">
        <f t="shared" si="397"/>
        <v>0</v>
      </c>
      <c r="CO141" s="10">
        <v>202612</v>
      </c>
      <c r="CP141" s="11">
        <v>0</v>
      </c>
      <c r="CQ141" s="12">
        <v>0</v>
      </c>
      <c r="CR141" s="13">
        <v>0</v>
      </c>
      <c r="CS141" s="14">
        <f t="shared" si="398"/>
        <v>0</v>
      </c>
      <c r="CU141" s="10">
        <v>202612</v>
      </c>
      <c r="CV141" s="11">
        <v>0</v>
      </c>
      <c r="CW141" s="12">
        <v>0</v>
      </c>
      <c r="CX141" s="13">
        <v>0</v>
      </c>
      <c r="CY141" s="14">
        <f t="shared" si="399"/>
        <v>360000</v>
      </c>
      <c r="DA141" s="10">
        <v>202612</v>
      </c>
      <c r="DB141" s="11">
        <v>0</v>
      </c>
      <c r="DC141" s="12">
        <v>0</v>
      </c>
      <c r="DD141" s="13">
        <v>0</v>
      </c>
      <c r="DE141" s="14">
        <f t="shared" si="400"/>
        <v>0</v>
      </c>
      <c r="DG141" s="10">
        <v>202612</v>
      </c>
      <c r="DH141" s="11">
        <v>0</v>
      </c>
      <c r="DI141" s="12">
        <v>0</v>
      </c>
      <c r="DJ141" s="13">
        <v>0</v>
      </c>
      <c r="DK141" s="14">
        <f t="shared" si="401"/>
        <v>2500000</v>
      </c>
      <c r="DM141" s="10">
        <v>202612</v>
      </c>
      <c r="DN141" s="11">
        <v>0</v>
      </c>
      <c r="DO141" s="12">
        <v>0</v>
      </c>
      <c r="DP141" s="13">
        <v>0</v>
      </c>
      <c r="DQ141" s="14">
        <f t="shared" si="402"/>
        <v>820000</v>
      </c>
      <c r="DS141" s="10">
        <v>202612</v>
      </c>
      <c r="DT141" s="11">
        <v>0</v>
      </c>
      <c r="DU141" s="12">
        <v>0</v>
      </c>
      <c r="DV141" s="13">
        <v>0</v>
      </c>
      <c r="DW141" s="14">
        <f t="shared" si="403"/>
        <v>0</v>
      </c>
      <c r="DY141" s="10">
        <v>202612</v>
      </c>
      <c r="DZ141" s="11">
        <v>0</v>
      </c>
      <c r="EA141" s="12">
        <v>0</v>
      </c>
      <c r="EB141" s="13">
        <v>0</v>
      </c>
      <c r="EC141" s="14">
        <f t="shared" si="404"/>
        <v>400000</v>
      </c>
      <c r="EE141" s="10">
        <v>202612</v>
      </c>
      <c r="EF141" s="11">
        <v>0</v>
      </c>
      <c r="EG141" s="12">
        <v>0</v>
      </c>
      <c r="EH141" s="13">
        <v>0</v>
      </c>
      <c r="EI141" s="14">
        <f t="shared" si="405"/>
        <v>0</v>
      </c>
      <c r="EK141" s="10">
        <v>202612</v>
      </c>
      <c r="EL141" s="11">
        <v>0</v>
      </c>
      <c r="EM141" s="12">
        <v>0</v>
      </c>
      <c r="EN141" s="13">
        <v>0</v>
      </c>
      <c r="EO141" s="14">
        <f t="shared" si="406"/>
        <v>2150000</v>
      </c>
      <c r="EQ141" s="10">
        <v>202612</v>
      </c>
      <c r="ER141" s="11">
        <v>0</v>
      </c>
      <c r="ES141" s="12">
        <v>0</v>
      </c>
      <c r="ET141" s="13">
        <v>0</v>
      </c>
      <c r="EU141" s="14">
        <f t="shared" si="407"/>
        <v>3000000</v>
      </c>
      <c r="EW141" s="10">
        <v>202612</v>
      </c>
      <c r="EX141" s="11">
        <v>0</v>
      </c>
      <c r="EY141" s="12">
        <v>0</v>
      </c>
      <c r="EZ141" s="13">
        <v>0</v>
      </c>
      <c r="FA141" s="14">
        <f t="shared" si="408"/>
        <v>0</v>
      </c>
      <c r="FC141" s="10">
        <v>202612</v>
      </c>
      <c r="FD141" s="11">
        <v>0</v>
      </c>
      <c r="FE141" s="12">
        <v>0</v>
      </c>
      <c r="FF141" s="13">
        <v>0</v>
      </c>
      <c r="FG141" s="14">
        <f t="shared" si="409"/>
        <v>1700500</v>
      </c>
      <c r="FI141" s="10">
        <v>202612</v>
      </c>
      <c r="FJ141" s="11">
        <v>0</v>
      </c>
      <c r="FK141" s="12">
        <v>0</v>
      </c>
      <c r="FL141" s="13">
        <v>0</v>
      </c>
      <c r="FM141" s="14">
        <f t="shared" si="410"/>
        <v>1650000</v>
      </c>
      <c r="FO141" s="10">
        <v>202612</v>
      </c>
      <c r="FP141" s="11">
        <v>0</v>
      </c>
      <c r="FQ141" s="12">
        <v>0</v>
      </c>
      <c r="FR141" s="13">
        <v>0</v>
      </c>
      <c r="FS141" s="14">
        <f t="shared" si="411"/>
        <v>0</v>
      </c>
      <c r="FU141" s="10">
        <v>202612</v>
      </c>
      <c r="FV141" s="11">
        <v>0</v>
      </c>
      <c r="FW141" s="12">
        <v>0</v>
      </c>
      <c r="FX141" s="13">
        <v>0</v>
      </c>
      <c r="FY141" s="14">
        <f t="shared" si="412"/>
        <v>0</v>
      </c>
      <c r="GA141" s="10">
        <v>202612</v>
      </c>
      <c r="GB141" s="11">
        <v>0</v>
      </c>
      <c r="GC141" s="12">
        <v>0</v>
      </c>
      <c r="GD141" s="13">
        <v>0</v>
      </c>
      <c r="GE141" s="14">
        <f t="shared" si="413"/>
        <v>400000</v>
      </c>
      <c r="GG141" s="10">
        <v>202612</v>
      </c>
      <c r="GH141" s="11">
        <v>0</v>
      </c>
      <c r="GI141" s="12">
        <v>0</v>
      </c>
      <c r="GJ141" s="13">
        <v>0</v>
      </c>
      <c r="GK141" s="14">
        <f t="shared" si="414"/>
        <v>0</v>
      </c>
      <c r="GM141" s="10">
        <v>202612</v>
      </c>
      <c r="GN141" s="11">
        <v>0</v>
      </c>
      <c r="GO141" s="12">
        <v>0</v>
      </c>
      <c r="GP141" s="13">
        <v>0</v>
      </c>
      <c r="GQ141" s="14">
        <f t="shared" si="415"/>
        <v>0</v>
      </c>
      <c r="GS141" s="10">
        <v>202612</v>
      </c>
      <c r="GT141" s="11">
        <v>0</v>
      </c>
      <c r="GU141" s="12">
        <v>0</v>
      </c>
      <c r="GV141" s="13">
        <v>0</v>
      </c>
      <c r="GW141" s="14">
        <f t="shared" si="416"/>
        <v>0</v>
      </c>
      <c r="GY141" s="10">
        <v>202612</v>
      </c>
      <c r="GZ141" s="11">
        <v>0</v>
      </c>
      <c r="HA141" s="12">
        <v>0</v>
      </c>
      <c r="HB141" s="13">
        <v>0</v>
      </c>
      <c r="HC141" s="14">
        <f t="shared" si="417"/>
        <v>-696117.68864598079</v>
      </c>
    </row>
    <row r="142" spans="1:211" s="23" customFormat="1" ht="20.100000000000001" customHeight="1" thickTop="1" thickBot="1" x14ac:dyDescent="0.3">
      <c r="C142" s="20"/>
      <c r="D142" s="21">
        <f>SUM(D130:D141)</f>
        <v>2500000</v>
      </c>
      <c r="E142" s="22">
        <f t="shared" ref="E142:F142" si="418">SUM(E130:E141)</f>
        <v>1350000</v>
      </c>
      <c r="F142" s="24">
        <f t="shared" si="418"/>
        <v>350000</v>
      </c>
      <c r="G142" s="25">
        <f>G129+D142-E142</f>
        <v>2500000</v>
      </c>
      <c r="I142" s="20"/>
      <c r="J142" s="21">
        <f>SUM(J130:J141)</f>
        <v>0</v>
      </c>
      <c r="K142" s="22">
        <f t="shared" ref="K142:L142" si="419">SUM(K130:K141)</f>
        <v>0</v>
      </c>
      <c r="L142" s="24">
        <f t="shared" si="419"/>
        <v>0</v>
      </c>
      <c r="M142" s="25">
        <f>M129+J142-K142</f>
        <v>0</v>
      </c>
      <c r="O142" s="20"/>
      <c r="P142" s="21">
        <f>SUM(P130:P141)</f>
        <v>0</v>
      </c>
      <c r="Q142" s="22">
        <f t="shared" ref="Q142:R142" si="420">SUM(Q130:Q141)</f>
        <v>267500</v>
      </c>
      <c r="R142" s="24">
        <f t="shared" si="420"/>
        <v>0</v>
      </c>
      <c r="S142" s="25">
        <f>S129+P142-Q142</f>
        <v>360000</v>
      </c>
      <c r="U142" s="20"/>
      <c r="V142" s="21">
        <f>SUM(V130:V141)</f>
        <v>0</v>
      </c>
      <c r="W142" s="22">
        <f t="shared" ref="W142:X142" si="421">SUM(W130:W141)</f>
        <v>0</v>
      </c>
      <c r="X142" s="24">
        <f t="shared" si="421"/>
        <v>0</v>
      </c>
      <c r="Y142" s="25">
        <f>Y129+V142-W142</f>
        <v>0</v>
      </c>
      <c r="AA142" s="20"/>
      <c r="AB142" s="21">
        <f>SUM(AB130:AB141)</f>
        <v>2000000</v>
      </c>
      <c r="AC142" s="22">
        <f t="shared" ref="AC142:AD142" si="422">SUM(AC130:AC141)</f>
        <v>650000</v>
      </c>
      <c r="AD142" s="24">
        <f t="shared" si="422"/>
        <v>175000</v>
      </c>
      <c r="AE142" s="25">
        <f>AE129+AB142-AC142</f>
        <v>1600000</v>
      </c>
      <c r="AG142" s="20"/>
      <c r="AH142" s="21">
        <f>SUM(AH130:AH141)</f>
        <v>0</v>
      </c>
      <c r="AI142" s="22">
        <f t="shared" ref="AI142:AJ142" si="423">SUM(AI130:AI141)</f>
        <v>0</v>
      </c>
      <c r="AJ142" s="24">
        <f t="shared" si="423"/>
        <v>0</v>
      </c>
      <c r="AK142" s="25">
        <f>AK129+AH142-AI142</f>
        <v>0</v>
      </c>
      <c r="AM142" s="20"/>
      <c r="AN142" s="21">
        <f>SUM(AN130:AN141)</f>
        <v>0</v>
      </c>
      <c r="AO142" s="22">
        <f t="shared" ref="AO142:AP142" si="424">SUM(AO130:AO141)</f>
        <v>0</v>
      </c>
      <c r="AP142" s="24">
        <f t="shared" si="424"/>
        <v>0</v>
      </c>
      <c r="AQ142" s="25">
        <f>AQ129+AN142-AO142</f>
        <v>5000000</v>
      </c>
      <c r="AS142" s="20"/>
      <c r="AT142" s="21">
        <f>SUM(AT130:AT141)</f>
        <v>0</v>
      </c>
      <c r="AU142" s="22">
        <f t="shared" ref="AU142:AV142" si="425">SUM(AU130:AU141)</f>
        <v>0</v>
      </c>
      <c r="AV142" s="24">
        <f t="shared" si="425"/>
        <v>0</v>
      </c>
      <c r="AW142" s="25">
        <f>AW129+AT142-AU142</f>
        <v>0</v>
      </c>
      <c r="AY142" s="20"/>
      <c r="AZ142" s="21">
        <f>SUM(AZ130:AZ141)</f>
        <v>0</v>
      </c>
      <c r="BA142" s="22">
        <f t="shared" ref="BA142:BB142" si="426">SUM(BA130:BA141)</f>
        <v>321000</v>
      </c>
      <c r="BB142" s="24">
        <f t="shared" si="426"/>
        <v>0</v>
      </c>
      <c r="BC142" s="25">
        <f>BC129+AZ142-BA142</f>
        <v>1395000</v>
      </c>
      <c r="BE142" s="20"/>
      <c r="BF142" s="21">
        <f>SUM(BF130:BF141)</f>
        <v>0</v>
      </c>
      <c r="BG142" s="22">
        <f t="shared" ref="BG142:BH142" si="427">SUM(BG130:BG141)</f>
        <v>0</v>
      </c>
      <c r="BH142" s="24">
        <f t="shared" si="427"/>
        <v>0</v>
      </c>
      <c r="BI142" s="25">
        <f>BI129+BF142-BG142</f>
        <v>0</v>
      </c>
      <c r="BK142" s="20"/>
      <c r="BL142" s="21">
        <f>SUM(BL130:BL141)</f>
        <v>0</v>
      </c>
      <c r="BM142" s="22">
        <f t="shared" ref="BM142:BN142" si="428">SUM(BM130:BM141)</f>
        <v>0</v>
      </c>
      <c r="BN142" s="24">
        <f t="shared" si="428"/>
        <v>0</v>
      </c>
      <c r="BO142" s="25">
        <f>BO129+BL142-BM142</f>
        <v>0</v>
      </c>
      <c r="BQ142" s="20"/>
      <c r="BR142" s="21">
        <f>SUM(BR130:BR141)</f>
        <v>0</v>
      </c>
      <c r="BS142" s="22">
        <f t="shared" ref="BS142:BT142" si="429">SUM(BS130:BS141)</f>
        <v>0</v>
      </c>
      <c r="BT142" s="24">
        <f t="shared" si="429"/>
        <v>0</v>
      </c>
      <c r="BU142" s="25">
        <f>BU129+BR142-BS142</f>
        <v>467000</v>
      </c>
      <c r="BW142" s="20"/>
      <c r="BX142" s="21">
        <f>SUM(BX130:BX141)</f>
        <v>0</v>
      </c>
      <c r="BY142" s="22">
        <f t="shared" ref="BY142:BZ142" si="430">SUM(BY130:BY141)</f>
        <v>640000</v>
      </c>
      <c r="BZ142" s="24">
        <f t="shared" si="430"/>
        <v>0</v>
      </c>
      <c r="CA142" s="25">
        <f>CA129+BX142-BY142</f>
        <v>750000</v>
      </c>
      <c r="CC142" s="20"/>
      <c r="CD142" s="21">
        <f>SUM(CD130:CD141)</f>
        <v>0</v>
      </c>
      <c r="CE142" s="22">
        <f t="shared" ref="CE142:CF142" si="431">SUM(CE130:CE141)</f>
        <v>0</v>
      </c>
      <c r="CF142" s="24">
        <f t="shared" si="431"/>
        <v>0</v>
      </c>
      <c r="CG142" s="25">
        <f>CG129+CD142-CE142</f>
        <v>2300000</v>
      </c>
      <c r="CI142" s="20"/>
      <c r="CJ142" s="21">
        <f>SUM(CJ130:CJ141)</f>
        <v>0</v>
      </c>
      <c r="CK142" s="22">
        <f t="shared" ref="CK142:CL142" si="432">SUM(CK130:CK141)</f>
        <v>0</v>
      </c>
      <c r="CL142" s="24">
        <f t="shared" si="432"/>
        <v>350000</v>
      </c>
      <c r="CM142" s="25">
        <f>CM129+CJ142-CK142</f>
        <v>0</v>
      </c>
      <c r="CO142" s="20"/>
      <c r="CP142" s="21">
        <f>SUM(CP130:CP141)</f>
        <v>0</v>
      </c>
      <c r="CQ142" s="22">
        <f t="shared" ref="CQ142:CR142" si="433">SUM(CQ130:CQ141)</f>
        <v>0</v>
      </c>
      <c r="CR142" s="24">
        <f t="shared" si="433"/>
        <v>0</v>
      </c>
      <c r="CS142" s="25">
        <f>CS129+CP142-CQ142</f>
        <v>0</v>
      </c>
      <c r="CU142" s="20"/>
      <c r="CV142" s="21">
        <f>SUM(CV130:CV141)</f>
        <v>0</v>
      </c>
      <c r="CW142" s="22">
        <f t="shared" ref="CW142:CX142" si="434">SUM(CW130:CW141)</f>
        <v>535000</v>
      </c>
      <c r="CX142" s="24">
        <f t="shared" si="434"/>
        <v>0</v>
      </c>
      <c r="CY142" s="25">
        <f>CY129+CV142-CW142</f>
        <v>360000</v>
      </c>
      <c r="DA142" s="20"/>
      <c r="DB142" s="21">
        <f>SUM(DB130:DB141)</f>
        <v>0</v>
      </c>
      <c r="DC142" s="22">
        <f t="shared" ref="DC142:DD142" si="435">SUM(DC130:DC141)</f>
        <v>0</v>
      </c>
      <c r="DD142" s="24">
        <f t="shared" si="435"/>
        <v>0</v>
      </c>
      <c r="DE142" s="25">
        <f>DE129+DB142-DC142</f>
        <v>0</v>
      </c>
      <c r="DG142" s="20"/>
      <c r="DH142" s="21">
        <f>SUM(DH130:DH141)</f>
        <v>0</v>
      </c>
      <c r="DI142" s="22">
        <f t="shared" ref="DI142:DJ142" si="436">SUM(DI130:DI141)</f>
        <v>1000000</v>
      </c>
      <c r="DJ142" s="24">
        <f t="shared" si="436"/>
        <v>0</v>
      </c>
      <c r="DK142" s="25">
        <f>DK129+DH142-DI142</f>
        <v>2500000</v>
      </c>
      <c r="DM142" s="20"/>
      <c r="DN142" s="21">
        <f>SUM(DN130:DN141)</f>
        <v>0</v>
      </c>
      <c r="DO142" s="22">
        <f t="shared" ref="DO142:DP142" si="437">SUM(DO130:DO141)</f>
        <v>0</v>
      </c>
      <c r="DP142" s="24">
        <f t="shared" si="437"/>
        <v>0</v>
      </c>
      <c r="DQ142" s="25">
        <f>DQ129+DN142-DO142</f>
        <v>820000</v>
      </c>
      <c r="DS142" s="20"/>
      <c r="DT142" s="21">
        <f>SUM(DT130:DT141)</f>
        <v>0</v>
      </c>
      <c r="DU142" s="22">
        <f t="shared" ref="DU142:DV142" si="438">SUM(DU130:DU141)</f>
        <v>0</v>
      </c>
      <c r="DV142" s="24">
        <f t="shared" si="438"/>
        <v>0</v>
      </c>
      <c r="DW142" s="25">
        <f>DW129+DT142-DU142</f>
        <v>0</v>
      </c>
      <c r="DY142" s="20"/>
      <c r="DZ142" s="21">
        <f>SUM(DZ130:DZ141)</f>
        <v>0</v>
      </c>
      <c r="EA142" s="22">
        <f t="shared" ref="EA142:EB142" si="439">SUM(EA130:EA141)</f>
        <v>0</v>
      </c>
      <c r="EB142" s="24">
        <f t="shared" si="439"/>
        <v>0</v>
      </c>
      <c r="EC142" s="25">
        <f>EC129+DZ142-EA142</f>
        <v>400000</v>
      </c>
      <c r="EE142" s="20"/>
      <c r="EF142" s="21">
        <f>SUM(EF130:EF141)</f>
        <v>0</v>
      </c>
      <c r="EG142" s="22">
        <f t="shared" ref="EG142:EH142" si="440">SUM(EG130:EG141)</f>
        <v>0</v>
      </c>
      <c r="EH142" s="24">
        <f t="shared" si="440"/>
        <v>0</v>
      </c>
      <c r="EI142" s="25">
        <f>EI129+EF142-EG142</f>
        <v>0</v>
      </c>
      <c r="EK142" s="20"/>
      <c r="EL142" s="21">
        <f>SUM(EL130:EL141)</f>
        <v>0</v>
      </c>
      <c r="EM142" s="22">
        <f t="shared" ref="EM142:EN142" si="441">SUM(EM130:EM141)</f>
        <v>0</v>
      </c>
      <c r="EN142" s="24">
        <f t="shared" si="441"/>
        <v>0</v>
      </c>
      <c r="EO142" s="25">
        <f>EO129+EL142-EM142</f>
        <v>2150000</v>
      </c>
      <c r="EQ142" s="20"/>
      <c r="ER142" s="21">
        <f>SUM(ER130:ER141)</f>
        <v>0</v>
      </c>
      <c r="ES142" s="22">
        <f t="shared" ref="ES142:ET142" si="442">SUM(ES130:ES141)</f>
        <v>0</v>
      </c>
      <c r="ET142" s="24">
        <f t="shared" si="442"/>
        <v>0</v>
      </c>
      <c r="EU142" s="25">
        <f>EU129+ER142-ES142</f>
        <v>3000000</v>
      </c>
      <c r="EW142" s="20"/>
      <c r="EX142" s="21">
        <f>SUM(EX130:EX141)</f>
        <v>0</v>
      </c>
      <c r="EY142" s="22">
        <f t="shared" ref="EY142:EZ142" si="443">SUM(EY130:EY141)</f>
        <v>0</v>
      </c>
      <c r="EZ142" s="24">
        <f t="shared" si="443"/>
        <v>0</v>
      </c>
      <c r="FA142" s="25">
        <f>FA129+EX142-EY142</f>
        <v>0</v>
      </c>
      <c r="FC142" s="20"/>
      <c r="FD142" s="21">
        <f>SUM(FD130:FD141)</f>
        <v>0</v>
      </c>
      <c r="FE142" s="22">
        <f t="shared" ref="FE142:FF142" si="444">SUM(FE130:FE141)</f>
        <v>428000</v>
      </c>
      <c r="FF142" s="24">
        <f t="shared" si="444"/>
        <v>0</v>
      </c>
      <c r="FG142" s="25">
        <f>FG129+FD142-FE142</f>
        <v>1700500</v>
      </c>
      <c r="FI142" s="20"/>
      <c r="FJ142" s="21">
        <f>SUM(FJ130:FJ141)</f>
        <v>0</v>
      </c>
      <c r="FK142" s="22">
        <f t="shared" ref="FK142:FL142" si="445">SUM(FK130:FK141)</f>
        <v>650000</v>
      </c>
      <c r="FL142" s="24">
        <f t="shared" si="445"/>
        <v>0</v>
      </c>
      <c r="FM142" s="25">
        <f>FM129+FJ142-FK142</f>
        <v>1650000</v>
      </c>
      <c r="FO142" s="20"/>
      <c r="FP142" s="21">
        <f>SUM(FP130:FP141)</f>
        <v>0</v>
      </c>
      <c r="FQ142" s="22">
        <f t="shared" ref="FQ142:FR142" si="446">SUM(FQ130:FQ141)</f>
        <v>0</v>
      </c>
      <c r="FR142" s="24">
        <f t="shared" si="446"/>
        <v>0</v>
      </c>
      <c r="FS142" s="25">
        <f>FS129+FP142-FQ142</f>
        <v>0</v>
      </c>
      <c r="FU142" s="20"/>
      <c r="FV142" s="21">
        <f>SUM(FV130:FV141)</f>
        <v>0</v>
      </c>
      <c r="FW142" s="22">
        <f t="shared" ref="FW142:FX142" si="447">SUM(FW130:FW141)</f>
        <v>0</v>
      </c>
      <c r="FX142" s="24">
        <f t="shared" si="447"/>
        <v>0</v>
      </c>
      <c r="FY142" s="25">
        <f>FY129+FV142-FW142</f>
        <v>0</v>
      </c>
      <c r="GA142" s="20"/>
      <c r="GB142" s="21">
        <f>SUM(GB130:GB141)</f>
        <v>0</v>
      </c>
      <c r="GC142" s="22">
        <f t="shared" ref="GC142:GD142" si="448">SUM(GC130:GC141)</f>
        <v>0</v>
      </c>
      <c r="GD142" s="24">
        <f t="shared" si="448"/>
        <v>0</v>
      </c>
      <c r="GE142" s="25">
        <f>GE129+GB142-GC142</f>
        <v>400000</v>
      </c>
      <c r="GG142" s="20"/>
      <c r="GH142" s="21">
        <f>SUM(GH130:GH141)</f>
        <v>0</v>
      </c>
      <c r="GI142" s="22">
        <f t="shared" ref="GI142:GJ142" si="449">SUM(GI130:GI141)</f>
        <v>0</v>
      </c>
      <c r="GJ142" s="24">
        <f t="shared" si="449"/>
        <v>0</v>
      </c>
      <c r="GK142" s="25">
        <f>GK129+GH142-GI142</f>
        <v>0</v>
      </c>
      <c r="GM142" s="20"/>
      <c r="GN142" s="21">
        <f>SUM(GN130:GN141)</f>
        <v>0</v>
      </c>
      <c r="GO142" s="22">
        <f t="shared" ref="GO142:GP142" si="450">SUM(GO130:GO141)</f>
        <v>0</v>
      </c>
      <c r="GP142" s="24">
        <f t="shared" si="450"/>
        <v>0</v>
      </c>
      <c r="GQ142" s="25">
        <f>GQ129+GN142-GO142</f>
        <v>0</v>
      </c>
      <c r="GS142" s="20"/>
      <c r="GT142" s="21">
        <f>SUM(GT130:GT141)</f>
        <v>0</v>
      </c>
      <c r="GU142" s="22">
        <f t="shared" ref="GU142:GV142" si="451">SUM(GU130:GU141)</f>
        <v>0</v>
      </c>
      <c r="GV142" s="24">
        <f t="shared" si="451"/>
        <v>0</v>
      </c>
      <c r="GW142" s="25">
        <f>GW129+GT142-GU142</f>
        <v>0</v>
      </c>
      <c r="GY142" s="20"/>
      <c r="GZ142" s="21">
        <f>SUM(GZ130:GZ141)</f>
        <v>0</v>
      </c>
      <c r="HA142" s="22">
        <f t="shared" ref="HA142:HB142" si="452">SUM(HA130:HA141)</f>
        <v>0</v>
      </c>
      <c r="HB142" s="24">
        <f t="shared" si="452"/>
        <v>0</v>
      </c>
      <c r="HC142" s="25">
        <f>HC129+GZ142-HA142</f>
        <v>-696117.68864598079</v>
      </c>
    </row>
    <row r="143" spans="1:211" ht="12.75" thickTop="1" x14ac:dyDescent="0.2"/>
    <row r="144" spans="1:211" s="33" customFormat="1" outlineLevel="1" x14ac:dyDescent="0.2">
      <c r="A144" s="33" t="s">
        <v>116</v>
      </c>
      <c r="B144" s="29">
        <f t="shared" ref="B144:B155" si="453">SUM(C144:XFD144)</f>
        <v>4500000</v>
      </c>
      <c r="C144" s="34"/>
      <c r="D144" s="29">
        <f>D130</f>
        <v>2500000</v>
      </c>
      <c r="E144" s="29"/>
      <c r="F144" s="29"/>
      <c r="G144" s="29"/>
      <c r="I144" s="34"/>
      <c r="J144" s="29">
        <f>J130</f>
        <v>0</v>
      </c>
      <c r="K144" s="29"/>
      <c r="L144" s="29"/>
      <c r="M144" s="29"/>
      <c r="O144" s="34"/>
      <c r="P144" s="29">
        <f>P130</f>
        <v>0</v>
      </c>
      <c r="Q144" s="29"/>
      <c r="R144" s="29"/>
      <c r="S144" s="29"/>
      <c r="U144" s="34"/>
      <c r="V144" s="29">
        <f>V130</f>
        <v>0</v>
      </c>
      <c r="W144" s="29"/>
      <c r="X144" s="29"/>
      <c r="Y144" s="29"/>
      <c r="AA144" s="34"/>
      <c r="AB144" s="29">
        <f>AB130</f>
        <v>2000000</v>
      </c>
      <c r="AC144" s="29"/>
      <c r="AD144" s="29"/>
      <c r="AE144" s="29"/>
      <c r="AG144" s="34"/>
      <c r="AH144" s="29">
        <f>AH130</f>
        <v>0</v>
      </c>
      <c r="AI144" s="29"/>
      <c r="AJ144" s="29"/>
      <c r="AK144" s="29"/>
      <c r="AM144" s="34"/>
      <c r="AN144" s="29">
        <f>AN130</f>
        <v>0</v>
      </c>
      <c r="AO144" s="29"/>
      <c r="AP144" s="29"/>
      <c r="AQ144" s="29"/>
      <c r="AS144" s="34"/>
      <c r="AT144" s="29">
        <f>AT130</f>
        <v>0</v>
      </c>
      <c r="AU144" s="29"/>
      <c r="AV144" s="29"/>
      <c r="AW144" s="29"/>
      <c r="AY144" s="34"/>
      <c r="AZ144" s="29">
        <f>AZ130</f>
        <v>0</v>
      </c>
      <c r="BA144" s="29"/>
      <c r="BB144" s="29"/>
      <c r="BC144" s="29"/>
      <c r="BE144" s="34"/>
      <c r="BF144" s="29">
        <f>BF130</f>
        <v>0</v>
      </c>
      <c r="BG144" s="29"/>
      <c r="BH144" s="29"/>
      <c r="BI144" s="29"/>
      <c r="BK144" s="34"/>
      <c r="BL144" s="29">
        <f>BL130</f>
        <v>0</v>
      </c>
      <c r="BM144" s="29"/>
      <c r="BN144" s="29"/>
      <c r="BO144" s="29"/>
      <c r="BQ144" s="34"/>
      <c r="BR144" s="29">
        <f>BR130</f>
        <v>0</v>
      </c>
      <c r="BS144" s="29"/>
      <c r="BT144" s="29"/>
      <c r="BU144" s="29"/>
      <c r="BW144" s="34"/>
      <c r="BX144" s="29">
        <f>BX130</f>
        <v>0</v>
      </c>
      <c r="BY144" s="29"/>
      <c r="BZ144" s="29"/>
      <c r="CA144" s="29"/>
      <c r="CC144" s="34"/>
      <c r="CD144" s="29">
        <f>CD130</f>
        <v>0</v>
      </c>
      <c r="CE144" s="29"/>
      <c r="CF144" s="29"/>
      <c r="CG144" s="29"/>
      <c r="CI144" s="34"/>
      <c r="CJ144" s="29">
        <f>CJ130</f>
        <v>0</v>
      </c>
      <c r="CK144" s="29"/>
      <c r="CL144" s="29"/>
      <c r="CM144" s="29"/>
      <c r="CO144" s="34"/>
      <c r="CP144" s="29">
        <f>CP130</f>
        <v>0</v>
      </c>
      <c r="CQ144" s="29"/>
      <c r="CR144" s="29"/>
      <c r="CS144" s="29"/>
      <c r="CU144" s="34"/>
      <c r="CV144" s="29">
        <f>CV130</f>
        <v>0</v>
      </c>
      <c r="CW144" s="29"/>
      <c r="CX144" s="29"/>
      <c r="CY144" s="29"/>
      <c r="DA144" s="34"/>
      <c r="DB144" s="29">
        <f>DB130</f>
        <v>0</v>
      </c>
      <c r="DC144" s="29"/>
      <c r="DD144" s="29"/>
      <c r="DE144" s="29"/>
      <c r="DG144" s="34"/>
      <c r="DH144" s="29">
        <f>DH130</f>
        <v>0</v>
      </c>
      <c r="DI144" s="29"/>
      <c r="DJ144" s="29"/>
      <c r="DK144" s="29"/>
      <c r="DM144" s="34"/>
      <c r="DN144" s="29">
        <f>DN130</f>
        <v>0</v>
      </c>
      <c r="DO144" s="29"/>
      <c r="DP144" s="29"/>
      <c r="DQ144" s="29"/>
      <c r="DS144" s="34"/>
      <c r="DT144" s="29">
        <f>DT130</f>
        <v>0</v>
      </c>
      <c r="DU144" s="29"/>
      <c r="DV144" s="29"/>
      <c r="DW144" s="29"/>
      <c r="DY144" s="34"/>
      <c r="DZ144" s="29">
        <f>DZ130</f>
        <v>0</v>
      </c>
      <c r="EA144" s="29"/>
      <c r="EB144" s="29"/>
      <c r="EC144" s="29"/>
      <c r="EE144" s="34"/>
      <c r="EF144" s="29">
        <f>EF130</f>
        <v>0</v>
      </c>
      <c r="EG144" s="29"/>
      <c r="EH144" s="29"/>
      <c r="EI144" s="29"/>
      <c r="EK144" s="34"/>
      <c r="EL144" s="29">
        <f>EL130</f>
        <v>0</v>
      </c>
      <c r="EM144" s="29"/>
      <c r="EN144" s="29"/>
      <c r="EO144" s="29"/>
      <c r="EQ144" s="34"/>
      <c r="ER144" s="29">
        <f>ER130</f>
        <v>0</v>
      </c>
      <c r="ES144" s="29"/>
      <c r="ET144" s="29"/>
      <c r="EU144" s="29"/>
      <c r="EW144" s="34"/>
      <c r="EX144" s="29">
        <f>EX130</f>
        <v>0</v>
      </c>
      <c r="EY144" s="29"/>
      <c r="EZ144" s="29"/>
      <c r="FA144" s="29"/>
      <c r="FC144" s="34"/>
      <c r="FD144" s="29">
        <f>FD130</f>
        <v>0</v>
      </c>
      <c r="FE144" s="29"/>
      <c r="FF144" s="29"/>
      <c r="FG144" s="29"/>
      <c r="FI144" s="34"/>
      <c r="FJ144" s="29">
        <f>FJ130</f>
        <v>0</v>
      </c>
      <c r="FK144" s="29"/>
      <c r="FL144" s="29"/>
      <c r="FM144" s="29"/>
      <c r="FO144" s="34"/>
      <c r="FP144" s="29">
        <f>FP130</f>
        <v>0</v>
      </c>
      <c r="FQ144" s="29"/>
      <c r="FR144" s="29"/>
      <c r="FS144" s="29"/>
      <c r="FU144" s="34"/>
      <c r="FV144" s="29">
        <f>FV130</f>
        <v>0</v>
      </c>
      <c r="FW144" s="29"/>
      <c r="FX144" s="29"/>
      <c r="FY144" s="29"/>
      <c r="GA144" s="34"/>
      <c r="GB144" s="29">
        <f>GB130</f>
        <v>0</v>
      </c>
      <c r="GC144" s="29"/>
      <c r="GD144" s="29"/>
      <c r="GE144" s="29"/>
      <c r="GG144" s="34"/>
      <c r="GH144" s="29">
        <f>GH130</f>
        <v>0</v>
      </c>
      <c r="GI144" s="29"/>
      <c r="GJ144" s="29"/>
      <c r="GK144" s="29"/>
      <c r="GM144" s="34"/>
      <c r="GN144" s="29">
        <f>GN130</f>
        <v>0</v>
      </c>
      <c r="GO144" s="29"/>
      <c r="GP144" s="29"/>
      <c r="GQ144" s="29"/>
      <c r="GS144" s="34"/>
      <c r="GT144" s="29">
        <f>GT130</f>
        <v>0</v>
      </c>
      <c r="GU144" s="29"/>
      <c r="GV144" s="29"/>
      <c r="GW144" s="29"/>
      <c r="GY144" s="34"/>
      <c r="GZ144" s="29">
        <f>GZ130</f>
        <v>0</v>
      </c>
      <c r="HA144" s="29"/>
      <c r="HB144" s="29"/>
      <c r="HC144" s="29"/>
    </row>
    <row r="145" spans="1:211" s="33" customFormat="1" outlineLevel="1" x14ac:dyDescent="0.2">
      <c r="A145" s="33" t="s">
        <v>117</v>
      </c>
      <c r="B145" s="29">
        <f t="shared" si="453"/>
        <v>0</v>
      </c>
      <c r="C145" s="34"/>
      <c r="D145" s="29">
        <f t="shared" ref="D145:D155" si="454">D131</f>
        <v>0</v>
      </c>
      <c r="E145" s="29"/>
      <c r="F145" s="29"/>
      <c r="G145" s="29"/>
      <c r="I145" s="34"/>
      <c r="J145" s="29">
        <f t="shared" ref="J145:J155" si="455">J131</f>
        <v>0</v>
      </c>
      <c r="K145" s="29"/>
      <c r="L145" s="29"/>
      <c r="M145" s="29"/>
      <c r="O145" s="34"/>
      <c r="P145" s="29">
        <f t="shared" ref="P145:P155" si="456">P131</f>
        <v>0</v>
      </c>
      <c r="Q145" s="29"/>
      <c r="R145" s="29"/>
      <c r="S145" s="29"/>
      <c r="U145" s="34"/>
      <c r="V145" s="29">
        <f t="shared" ref="V145:V155" si="457">V131</f>
        <v>0</v>
      </c>
      <c r="W145" s="29"/>
      <c r="X145" s="29"/>
      <c r="Y145" s="29"/>
      <c r="AA145" s="34"/>
      <c r="AB145" s="29">
        <f t="shared" ref="AB145:AB155" si="458">AB131</f>
        <v>0</v>
      </c>
      <c r="AC145" s="29"/>
      <c r="AD145" s="29"/>
      <c r="AE145" s="29"/>
      <c r="AG145" s="34"/>
      <c r="AH145" s="29">
        <f t="shared" ref="AH145:AH155" si="459">AH131</f>
        <v>0</v>
      </c>
      <c r="AI145" s="29"/>
      <c r="AJ145" s="29"/>
      <c r="AK145" s="29"/>
      <c r="AM145" s="34"/>
      <c r="AN145" s="29">
        <f t="shared" ref="AN145:AN155" si="460">AN131</f>
        <v>0</v>
      </c>
      <c r="AO145" s="29"/>
      <c r="AP145" s="29"/>
      <c r="AQ145" s="29"/>
      <c r="AS145" s="34"/>
      <c r="AT145" s="29">
        <f t="shared" ref="AT145:AT155" si="461">AT131</f>
        <v>0</v>
      </c>
      <c r="AU145" s="29"/>
      <c r="AV145" s="29"/>
      <c r="AW145" s="29"/>
      <c r="AY145" s="34"/>
      <c r="AZ145" s="29">
        <f t="shared" ref="AZ145:AZ155" si="462">AZ131</f>
        <v>0</v>
      </c>
      <c r="BA145" s="29"/>
      <c r="BB145" s="29"/>
      <c r="BC145" s="29"/>
      <c r="BE145" s="34"/>
      <c r="BF145" s="29">
        <f t="shared" ref="BF145:BF155" si="463">BF131</f>
        <v>0</v>
      </c>
      <c r="BG145" s="29"/>
      <c r="BH145" s="29"/>
      <c r="BI145" s="29"/>
      <c r="BK145" s="34"/>
      <c r="BL145" s="29">
        <f t="shared" ref="BL145:BL155" si="464">BL131</f>
        <v>0</v>
      </c>
      <c r="BM145" s="29"/>
      <c r="BN145" s="29"/>
      <c r="BO145" s="29"/>
      <c r="BQ145" s="34"/>
      <c r="BR145" s="29">
        <f t="shared" ref="BR145:BR155" si="465">BR131</f>
        <v>0</v>
      </c>
      <c r="BS145" s="29"/>
      <c r="BT145" s="29"/>
      <c r="BU145" s="29"/>
      <c r="BW145" s="34"/>
      <c r="BX145" s="29">
        <f t="shared" ref="BX145:BX155" si="466">BX131</f>
        <v>0</v>
      </c>
      <c r="BY145" s="29"/>
      <c r="BZ145" s="29"/>
      <c r="CA145" s="29"/>
      <c r="CC145" s="34"/>
      <c r="CD145" s="29">
        <f t="shared" ref="CD145:CD155" si="467">CD131</f>
        <v>0</v>
      </c>
      <c r="CE145" s="29"/>
      <c r="CF145" s="29"/>
      <c r="CG145" s="29"/>
      <c r="CI145" s="34"/>
      <c r="CJ145" s="29">
        <f t="shared" ref="CJ145:CJ155" si="468">CJ131</f>
        <v>0</v>
      </c>
      <c r="CK145" s="29"/>
      <c r="CL145" s="29"/>
      <c r="CM145" s="29"/>
      <c r="CO145" s="34"/>
      <c r="CP145" s="29">
        <f t="shared" ref="CP145:CP155" si="469">CP131</f>
        <v>0</v>
      </c>
      <c r="CQ145" s="29"/>
      <c r="CR145" s="29"/>
      <c r="CS145" s="29"/>
      <c r="CU145" s="34"/>
      <c r="CV145" s="29">
        <f t="shared" ref="CV145:CV155" si="470">CV131</f>
        <v>0</v>
      </c>
      <c r="CW145" s="29"/>
      <c r="CX145" s="29"/>
      <c r="CY145" s="29"/>
      <c r="DA145" s="34"/>
      <c r="DB145" s="29">
        <f t="shared" ref="DB145:DB155" si="471">DB131</f>
        <v>0</v>
      </c>
      <c r="DC145" s="29"/>
      <c r="DD145" s="29"/>
      <c r="DE145" s="29"/>
      <c r="DG145" s="34"/>
      <c r="DH145" s="29">
        <f t="shared" ref="DH145:DH155" si="472">DH131</f>
        <v>0</v>
      </c>
      <c r="DI145" s="29"/>
      <c r="DJ145" s="29"/>
      <c r="DK145" s="29"/>
      <c r="DM145" s="34"/>
      <c r="DN145" s="29">
        <f t="shared" ref="DN145:DN155" si="473">DN131</f>
        <v>0</v>
      </c>
      <c r="DO145" s="29"/>
      <c r="DP145" s="29"/>
      <c r="DQ145" s="29"/>
      <c r="DS145" s="34"/>
      <c r="DT145" s="29">
        <f t="shared" ref="DT145:DT155" si="474">DT131</f>
        <v>0</v>
      </c>
      <c r="DU145" s="29"/>
      <c r="DV145" s="29"/>
      <c r="DW145" s="29"/>
      <c r="DY145" s="34"/>
      <c r="DZ145" s="29">
        <f t="shared" ref="DZ145:DZ155" si="475">DZ131</f>
        <v>0</v>
      </c>
      <c r="EA145" s="29"/>
      <c r="EB145" s="29"/>
      <c r="EC145" s="29"/>
      <c r="EE145" s="34"/>
      <c r="EF145" s="29">
        <f t="shared" ref="EF145:EF155" si="476">EF131</f>
        <v>0</v>
      </c>
      <c r="EG145" s="29"/>
      <c r="EH145" s="29"/>
      <c r="EI145" s="29"/>
      <c r="EK145" s="34"/>
      <c r="EL145" s="29">
        <f t="shared" ref="EL145:EL155" si="477">EL131</f>
        <v>0</v>
      </c>
      <c r="EM145" s="29"/>
      <c r="EN145" s="29"/>
      <c r="EO145" s="29"/>
      <c r="EQ145" s="34"/>
      <c r="ER145" s="29">
        <f t="shared" ref="ER145:ER155" si="478">ER131</f>
        <v>0</v>
      </c>
      <c r="ES145" s="29"/>
      <c r="ET145" s="29"/>
      <c r="EU145" s="29"/>
      <c r="EW145" s="34"/>
      <c r="EX145" s="29">
        <f t="shared" ref="EX145:EX155" si="479">EX131</f>
        <v>0</v>
      </c>
      <c r="EY145" s="29"/>
      <c r="EZ145" s="29"/>
      <c r="FA145" s="29"/>
      <c r="FC145" s="34"/>
      <c r="FD145" s="29">
        <f t="shared" ref="FD145:FD155" si="480">FD131</f>
        <v>0</v>
      </c>
      <c r="FE145" s="29"/>
      <c r="FF145" s="29"/>
      <c r="FG145" s="29"/>
      <c r="FI145" s="34"/>
      <c r="FJ145" s="29">
        <f t="shared" ref="FJ145:FJ155" si="481">FJ131</f>
        <v>0</v>
      </c>
      <c r="FK145" s="29"/>
      <c r="FL145" s="29"/>
      <c r="FM145" s="29"/>
      <c r="FO145" s="34"/>
      <c r="FP145" s="29">
        <f t="shared" ref="FP145:FP155" si="482">FP131</f>
        <v>0</v>
      </c>
      <c r="FQ145" s="29"/>
      <c r="FR145" s="29"/>
      <c r="FS145" s="29"/>
      <c r="FU145" s="34"/>
      <c r="FV145" s="29">
        <f t="shared" ref="FV145:FV155" si="483">FV131</f>
        <v>0</v>
      </c>
      <c r="FW145" s="29"/>
      <c r="FX145" s="29"/>
      <c r="FY145" s="29"/>
      <c r="GA145" s="34"/>
      <c r="GB145" s="29">
        <f t="shared" ref="GB145:GB155" si="484">GB131</f>
        <v>0</v>
      </c>
      <c r="GC145" s="29"/>
      <c r="GD145" s="29"/>
      <c r="GE145" s="29"/>
      <c r="GG145" s="34"/>
      <c r="GH145" s="29">
        <f t="shared" ref="GH145:GH155" si="485">GH131</f>
        <v>0</v>
      </c>
      <c r="GI145" s="29"/>
      <c r="GJ145" s="29"/>
      <c r="GK145" s="29"/>
      <c r="GM145" s="34"/>
      <c r="GN145" s="29">
        <f t="shared" ref="GN145:GN155" si="486">GN131</f>
        <v>0</v>
      </c>
      <c r="GO145" s="29"/>
      <c r="GP145" s="29"/>
      <c r="GQ145" s="29"/>
      <c r="GS145" s="34"/>
      <c r="GT145" s="29">
        <f t="shared" ref="GT145:GT155" si="487">GT131</f>
        <v>0</v>
      </c>
      <c r="GU145" s="29"/>
      <c r="GV145" s="29"/>
      <c r="GW145" s="29"/>
      <c r="GY145" s="34"/>
      <c r="GZ145" s="29">
        <f t="shared" ref="GZ145:GZ155" si="488">GZ131</f>
        <v>0</v>
      </c>
      <c r="HA145" s="29"/>
      <c r="HB145" s="29"/>
      <c r="HC145" s="29"/>
    </row>
    <row r="146" spans="1:211" s="33" customFormat="1" outlineLevel="1" x14ac:dyDescent="0.2">
      <c r="A146" s="33" t="s">
        <v>118</v>
      </c>
      <c r="B146" s="29">
        <f t="shared" si="453"/>
        <v>0</v>
      </c>
      <c r="C146" s="34"/>
      <c r="D146" s="29">
        <f t="shared" si="454"/>
        <v>0</v>
      </c>
      <c r="E146" s="29"/>
      <c r="F146" s="29"/>
      <c r="G146" s="29"/>
      <c r="I146" s="34"/>
      <c r="J146" s="29">
        <f t="shared" si="455"/>
        <v>0</v>
      </c>
      <c r="K146" s="29"/>
      <c r="L146" s="29"/>
      <c r="M146" s="29"/>
      <c r="O146" s="34"/>
      <c r="P146" s="29">
        <f t="shared" si="456"/>
        <v>0</v>
      </c>
      <c r="Q146" s="29"/>
      <c r="R146" s="29"/>
      <c r="S146" s="29"/>
      <c r="U146" s="34"/>
      <c r="V146" s="29">
        <f t="shared" si="457"/>
        <v>0</v>
      </c>
      <c r="W146" s="29"/>
      <c r="X146" s="29"/>
      <c r="Y146" s="29"/>
      <c r="AA146" s="34"/>
      <c r="AB146" s="29">
        <f t="shared" si="458"/>
        <v>0</v>
      </c>
      <c r="AC146" s="29"/>
      <c r="AD146" s="29"/>
      <c r="AE146" s="29"/>
      <c r="AG146" s="34"/>
      <c r="AH146" s="29">
        <f t="shared" si="459"/>
        <v>0</v>
      </c>
      <c r="AI146" s="29"/>
      <c r="AJ146" s="29"/>
      <c r="AK146" s="29"/>
      <c r="AM146" s="34"/>
      <c r="AN146" s="29">
        <f t="shared" si="460"/>
        <v>0</v>
      </c>
      <c r="AO146" s="29"/>
      <c r="AP146" s="29"/>
      <c r="AQ146" s="29"/>
      <c r="AS146" s="34"/>
      <c r="AT146" s="29">
        <f t="shared" si="461"/>
        <v>0</v>
      </c>
      <c r="AU146" s="29"/>
      <c r="AV146" s="29"/>
      <c r="AW146" s="29"/>
      <c r="AY146" s="34"/>
      <c r="AZ146" s="29">
        <f t="shared" si="462"/>
        <v>0</v>
      </c>
      <c r="BA146" s="29"/>
      <c r="BB146" s="29"/>
      <c r="BC146" s="29"/>
      <c r="BE146" s="34"/>
      <c r="BF146" s="29">
        <f t="shared" si="463"/>
        <v>0</v>
      </c>
      <c r="BG146" s="29"/>
      <c r="BH146" s="29"/>
      <c r="BI146" s="29"/>
      <c r="BK146" s="34"/>
      <c r="BL146" s="29">
        <f t="shared" si="464"/>
        <v>0</v>
      </c>
      <c r="BM146" s="29"/>
      <c r="BN146" s="29"/>
      <c r="BO146" s="29"/>
      <c r="BQ146" s="34"/>
      <c r="BR146" s="29">
        <f t="shared" si="465"/>
        <v>0</v>
      </c>
      <c r="BS146" s="29"/>
      <c r="BT146" s="29"/>
      <c r="BU146" s="29"/>
      <c r="BW146" s="34"/>
      <c r="BX146" s="29">
        <f t="shared" si="466"/>
        <v>0</v>
      </c>
      <c r="BY146" s="29"/>
      <c r="BZ146" s="29"/>
      <c r="CA146" s="29"/>
      <c r="CC146" s="34"/>
      <c r="CD146" s="29">
        <f t="shared" si="467"/>
        <v>0</v>
      </c>
      <c r="CE146" s="29"/>
      <c r="CF146" s="29"/>
      <c r="CG146" s="29"/>
      <c r="CI146" s="34"/>
      <c r="CJ146" s="29">
        <f t="shared" si="468"/>
        <v>0</v>
      </c>
      <c r="CK146" s="29"/>
      <c r="CL146" s="29"/>
      <c r="CM146" s="29"/>
      <c r="CO146" s="34"/>
      <c r="CP146" s="29">
        <f t="shared" si="469"/>
        <v>0</v>
      </c>
      <c r="CQ146" s="29"/>
      <c r="CR146" s="29"/>
      <c r="CS146" s="29"/>
      <c r="CU146" s="34"/>
      <c r="CV146" s="29">
        <f t="shared" si="470"/>
        <v>0</v>
      </c>
      <c r="CW146" s="29"/>
      <c r="CX146" s="29"/>
      <c r="CY146" s="29"/>
      <c r="DA146" s="34"/>
      <c r="DB146" s="29">
        <f t="shared" si="471"/>
        <v>0</v>
      </c>
      <c r="DC146" s="29"/>
      <c r="DD146" s="29"/>
      <c r="DE146" s="29"/>
      <c r="DG146" s="34"/>
      <c r="DH146" s="29">
        <f t="shared" si="472"/>
        <v>0</v>
      </c>
      <c r="DI146" s="29"/>
      <c r="DJ146" s="29"/>
      <c r="DK146" s="29"/>
      <c r="DM146" s="34"/>
      <c r="DN146" s="29">
        <f t="shared" si="473"/>
        <v>0</v>
      </c>
      <c r="DO146" s="29"/>
      <c r="DP146" s="29"/>
      <c r="DQ146" s="29"/>
      <c r="DS146" s="34"/>
      <c r="DT146" s="29">
        <f t="shared" si="474"/>
        <v>0</v>
      </c>
      <c r="DU146" s="29"/>
      <c r="DV146" s="29"/>
      <c r="DW146" s="29"/>
      <c r="DY146" s="34"/>
      <c r="DZ146" s="29">
        <f t="shared" si="475"/>
        <v>0</v>
      </c>
      <c r="EA146" s="29"/>
      <c r="EB146" s="29"/>
      <c r="EC146" s="29"/>
      <c r="EE146" s="34"/>
      <c r="EF146" s="29">
        <f t="shared" si="476"/>
        <v>0</v>
      </c>
      <c r="EG146" s="29"/>
      <c r="EH146" s="29"/>
      <c r="EI146" s="29"/>
      <c r="EK146" s="34"/>
      <c r="EL146" s="29">
        <f t="shared" si="477"/>
        <v>0</v>
      </c>
      <c r="EM146" s="29"/>
      <c r="EN146" s="29"/>
      <c r="EO146" s="29"/>
      <c r="EQ146" s="34"/>
      <c r="ER146" s="29">
        <f t="shared" si="478"/>
        <v>0</v>
      </c>
      <c r="ES146" s="29"/>
      <c r="ET146" s="29"/>
      <c r="EU146" s="29"/>
      <c r="EW146" s="34"/>
      <c r="EX146" s="29">
        <f t="shared" si="479"/>
        <v>0</v>
      </c>
      <c r="EY146" s="29"/>
      <c r="EZ146" s="29"/>
      <c r="FA146" s="29"/>
      <c r="FC146" s="34"/>
      <c r="FD146" s="29">
        <f t="shared" si="480"/>
        <v>0</v>
      </c>
      <c r="FE146" s="29"/>
      <c r="FF146" s="29"/>
      <c r="FG146" s="29"/>
      <c r="FI146" s="34"/>
      <c r="FJ146" s="29">
        <f t="shared" si="481"/>
        <v>0</v>
      </c>
      <c r="FK146" s="29"/>
      <c r="FL146" s="29"/>
      <c r="FM146" s="29"/>
      <c r="FO146" s="34"/>
      <c r="FP146" s="29">
        <f t="shared" si="482"/>
        <v>0</v>
      </c>
      <c r="FQ146" s="29"/>
      <c r="FR146" s="29"/>
      <c r="FS146" s="29"/>
      <c r="FU146" s="34"/>
      <c r="FV146" s="29">
        <f t="shared" si="483"/>
        <v>0</v>
      </c>
      <c r="FW146" s="29"/>
      <c r="FX146" s="29"/>
      <c r="FY146" s="29"/>
      <c r="GA146" s="34"/>
      <c r="GB146" s="29">
        <f t="shared" si="484"/>
        <v>0</v>
      </c>
      <c r="GC146" s="29"/>
      <c r="GD146" s="29"/>
      <c r="GE146" s="29"/>
      <c r="GG146" s="34"/>
      <c r="GH146" s="29">
        <f t="shared" si="485"/>
        <v>0</v>
      </c>
      <c r="GI146" s="29"/>
      <c r="GJ146" s="29"/>
      <c r="GK146" s="29"/>
      <c r="GM146" s="34"/>
      <c r="GN146" s="29">
        <f t="shared" si="486"/>
        <v>0</v>
      </c>
      <c r="GO146" s="29"/>
      <c r="GP146" s="29"/>
      <c r="GQ146" s="29"/>
      <c r="GS146" s="34"/>
      <c r="GT146" s="29">
        <f t="shared" si="487"/>
        <v>0</v>
      </c>
      <c r="GU146" s="29"/>
      <c r="GV146" s="29"/>
      <c r="GW146" s="29"/>
      <c r="GY146" s="34"/>
      <c r="GZ146" s="29">
        <f t="shared" si="488"/>
        <v>0</v>
      </c>
      <c r="HA146" s="29"/>
      <c r="HB146" s="29"/>
      <c r="HC146" s="29"/>
    </row>
    <row r="147" spans="1:211" s="33" customFormat="1" outlineLevel="1" x14ac:dyDescent="0.2">
      <c r="A147" s="33" t="s">
        <v>119</v>
      </c>
      <c r="B147" s="29">
        <f t="shared" si="453"/>
        <v>0</v>
      </c>
      <c r="C147" s="34"/>
      <c r="D147" s="29">
        <f t="shared" si="454"/>
        <v>0</v>
      </c>
      <c r="E147" s="29"/>
      <c r="F147" s="29"/>
      <c r="G147" s="29"/>
      <c r="I147" s="34"/>
      <c r="J147" s="29">
        <f t="shared" si="455"/>
        <v>0</v>
      </c>
      <c r="K147" s="29"/>
      <c r="L147" s="29"/>
      <c r="M147" s="29"/>
      <c r="O147" s="34"/>
      <c r="P147" s="29">
        <f t="shared" si="456"/>
        <v>0</v>
      </c>
      <c r="Q147" s="29"/>
      <c r="R147" s="29"/>
      <c r="S147" s="29"/>
      <c r="U147" s="34"/>
      <c r="V147" s="29">
        <f t="shared" si="457"/>
        <v>0</v>
      </c>
      <c r="W147" s="29"/>
      <c r="X147" s="29"/>
      <c r="Y147" s="29"/>
      <c r="AA147" s="34"/>
      <c r="AB147" s="29">
        <f t="shared" si="458"/>
        <v>0</v>
      </c>
      <c r="AC147" s="29"/>
      <c r="AD147" s="29"/>
      <c r="AE147" s="29"/>
      <c r="AG147" s="34"/>
      <c r="AH147" s="29">
        <f t="shared" si="459"/>
        <v>0</v>
      </c>
      <c r="AI147" s="29"/>
      <c r="AJ147" s="29"/>
      <c r="AK147" s="29"/>
      <c r="AM147" s="34"/>
      <c r="AN147" s="29">
        <f t="shared" si="460"/>
        <v>0</v>
      </c>
      <c r="AO147" s="29"/>
      <c r="AP147" s="29"/>
      <c r="AQ147" s="29"/>
      <c r="AS147" s="34"/>
      <c r="AT147" s="29">
        <f t="shared" si="461"/>
        <v>0</v>
      </c>
      <c r="AU147" s="29"/>
      <c r="AV147" s="29"/>
      <c r="AW147" s="29"/>
      <c r="AY147" s="34"/>
      <c r="AZ147" s="29">
        <f t="shared" si="462"/>
        <v>0</v>
      </c>
      <c r="BA147" s="29"/>
      <c r="BB147" s="29"/>
      <c r="BC147" s="29"/>
      <c r="BE147" s="34"/>
      <c r="BF147" s="29">
        <f t="shared" si="463"/>
        <v>0</v>
      </c>
      <c r="BG147" s="29"/>
      <c r="BH147" s="29"/>
      <c r="BI147" s="29"/>
      <c r="BK147" s="34"/>
      <c r="BL147" s="29">
        <f t="shared" si="464"/>
        <v>0</v>
      </c>
      <c r="BM147" s="29"/>
      <c r="BN147" s="29"/>
      <c r="BO147" s="29"/>
      <c r="BQ147" s="34"/>
      <c r="BR147" s="29">
        <f t="shared" si="465"/>
        <v>0</v>
      </c>
      <c r="BS147" s="29"/>
      <c r="BT147" s="29"/>
      <c r="BU147" s="29"/>
      <c r="BW147" s="34"/>
      <c r="BX147" s="29">
        <f t="shared" si="466"/>
        <v>0</v>
      </c>
      <c r="BY147" s="29"/>
      <c r="BZ147" s="29"/>
      <c r="CA147" s="29"/>
      <c r="CC147" s="34"/>
      <c r="CD147" s="29">
        <f t="shared" si="467"/>
        <v>0</v>
      </c>
      <c r="CE147" s="29"/>
      <c r="CF147" s="29"/>
      <c r="CG147" s="29"/>
      <c r="CI147" s="34"/>
      <c r="CJ147" s="29">
        <f t="shared" si="468"/>
        <v>0</v>
      </c>
      <c r="CK147" s="29"/>
      <c r="CL147" s="29"/>
      <c r="CM147" s="29"/>
      <c r="CO147" s="34"/>
      <c r="CP147" s="29">
        <f t="shared" si="469"/>
        <v>0</v>
      </c>
      <c r="CQ147" s="29"/>
      <c r="CR147" s="29"/>
      <c r="CS147" s="29"/>
      <c r="CU147" s="34"/>
      <c r="CV147" s="29">
        <f t="shared" si="470"/>
        <v>0</v>
      </c>
      <c r="CW147" s="29"/>
      <c r="CX147" s="29"/>
      <c r="CY147" s="29"/>
      <c r="DA147" s="34"/>
      <c r="DB147" s="29">
        <f t="shared" si="471"/>
        <v>0</v>
      </c>
      <c r="DC147" s="29"/>
      <c r="DD147" s="29"/>
      <c r="DE147" s="29"/>
      <c r="DG147" s="34"/>
      <c r="DH147" s="29">
        <f t="shared" si="472"/>
        <v>0</v>
      </c>
      <c r="DI147" s="29"/>
      <c r="DJ147" s="29"/>
      <c r="DK147" s="29"/>
      <c r="DM147" s="34"/>
      <c r="DN147" s="29">
        <f t="shared" si="473"/>
        <v>0</v>
      </c>
      <c r="DO147" s="29"/>
      <c r="DP147" s="29"/>
      <c r="DQ147" s="29"/>
      <c r="DS147" s="34"/>
      <c r="DT147" s="29">
        <f t="shared" si="474"/>
        <v>0</v>
      </c>
      <c r="DU147" s="29"/>
      <c r="DV147" s="29"/>
      <c r="DW147" s="29"/>
      <c r="DY147" s="34"/>
      <c r="DZ147" s="29">
        <f t="shared" si="475"/>
        <v>0</v>
      </c>
      <c r="EA147" s="29"/>
      <c r="EB147" s="29"/>
      <c r="EC147" s="29"/>
      <c r="EE147" s="34"/>
      <c r="EF147" s="29">
        <f t="shared" si="476"/>
        <v>0</v>
      </c>
      <c r="EG147" s="29"/>
      <c r="EH147" s="29"/>
      <c r="EI147" s="29"/>
      <c r="EK147" s="34"/>
      <c r="EL147" s="29">
        <f t="shared" si="477"/>
        <v>0</v>
      </c>
      <c r="EM147" s="29"/>
      <c r="EN147" s="29"/>
      <c r="EO147" s="29"/>
      <c r="EQ147" s="34"/>
      <c r="ER147" s="29">
        <f t="shared" si="478"/>
        <v>0</v>
      </c>
      <c r="ES147" s="29"/>
      <c r="ET147" s="29"/>
      <c r="EU147" s="29"/>
      <c r="EW147" s="34"/>
      <c r="EX147" s="29">
        <f t="shared" si="479"/>
        <v>0</v>
      </c>
      <c r="EY147" s="29"/>
      <c r="EZ147" s="29"/>
      <c r="FA147" s="29"/>
      <c r="FC147" s="34"/>
      <c r="FD147" s="29">
        <f t="shared" si="480"/>
        <v>0</v>
      </c>
      <c r="FE147" s="29"/>
      <c r="FF147" s="29"/>
      <c r="FG147" s="29"/>
      <c r="FI147" s="34"/>
      <c r="FJ147" s="29">
        <f t="shared" si="481"/>
        <v>0</v>
      </c>
      <c r="FK147" s="29"/>
      <c r="FL147" s="29"/>
      <c r="FM147" s="29"/>
      <c r="FO147" s="34"/>
      <c r="FP147" s="29">
        <f t="shared" si="482"/>
        <v>0</v>
      </c>
      <c r="FQ147" s="29"/>
      <c r="FR147" s="29"/>
      <c r="FS147" s="29"/>
      <c r="FU147" s="34"/>
      <c r="FV147" s="29">
        <f t="shared" si="483"/>
        <v>0</v>
      </c>
      <c r="FW147" s="29"/>
      <c r="FX147" s="29"/>
      <c r="FY147" s="29"/>
      <c r="GA147" s="34"/>
      <c r="GB147" s="29">
        <f t="shared" si="484"/>
        <v>0</v>
      </c>
      <c r="GC147" s="29"/>
      <c r="GD147" s="29"/>
      <c r="GE147" s="29"/>
      <c r="GG147" s="34"/>
      <c r="GH147" s="29">
        <f t="shared" si="485"/>
        <v>0</v>
      </c>
      <c r="GI147" s="29"/>
      <c r="GJ147" s="29"/>
      <c r="GK147" s="29"/>
      <c r="GM147" s="34"/>
      <c r="GN147" s="29">
        <f t="shared" si="486"/>
        <v>0</v>
      </c>
      <c r="GO147" s="29"/>
      <c r="GP147" s="29"/>
      <c r="GQ147" s="29"/>
      <c r="GS147" s="34"/>
      <c r="GT147" s="29">
        <f t="shared" si="487"/>
        <v>0</v>
      </c>
      <c r="GU147" s="29"/>
      <c r="GV147" s="29"/>
      <c r="GW147" s="29"/>
      <c r="GY147" s="34"/>
      <c r="GZ147" s="29">
        <f t="shared" si="488"/>
        <v>0</v>
      </c>
      <c r="HA147" s="29"/>
      <c r="HB147" s="29"/>
      <c r="HC147" s="29"/>
    </row>
    <row r="148" spans="1:211" s="33" customFormat="1" outlineLevel="1" x14ac:dyDescent="0.2">
      <c r="A148" s="33" t="s">
        <v>120</v>
      </c>
      <c r="B148" s="29">
        <f t="shared" si="453"/>
        <v>0</v>
      </c>
      <c r="C148" s="34"/>
      <c r="D148" s="29">
        <f t="shared" si="454"/>
        <v>0</v>
      </c>
      <c r="E148" s="29"/>
      <c r="F148" s="29"/>
      <c r="G148" s="29"/>
      <c r="I148" s="34"/>
      <c r="J148" s="29">
        <f t="shared" si="455"/>
        <v>0</v>
      </c>
      <c r="K148" s="29"/>
      <c r="L148" s="29"/>
      <c r="M148" s="29"/>
      <c r="O148" s="34"/>
      <c r="P148" s="29">
        <f t="shared" si="456"/>
        <v>0</v>
      </c>
      <c r="Q148" s="29"/>
      <c r="R148" s="29"/>
      <c r="S148" s="29"/>
      <c r="U148" s="34"/>
      <c r="V148" s="29">
        <f t="shared" si="457"/>
        <v>0</v>
      </c>
      <c r="W148" s="29"/>
      <c r="X148" s="29"/>
      <c r="Y148" s="29"/>
      <c r="AA148" s="34"/>
      <c r="AB148" s="29">
        <f t="shared" si="458"/>
        <v>0</v>
      </c>
      <c r="AC148" s="29"/>
      <c r="AD148" s="29"/>
      <c r="AE148" s="29"/>
      <c r="AG148" s="34"/>
      <c r="AH148" s="29">
        <f t="shared" si="459"/>
        <v>0</v>
      </c>
      <c r="AI148" s="29"/>
      <c r="AJ148" s="29"/>
      <c r="AK148" s="29"/>
      <c r="AM148" s="34"/>
      <c r="AN148" s="29">
        <f t="shared" si="460"/>
        <v>0</v>
      </c>
      <c r="AO148" s="29"/>
      <c r="AP148" s="29"/>
      <c r="AQ148" s="29"/>
      <c r="AS148" s="34"/>
      <c r="AT148" s="29">
        <f t="shared" si="461"/>
        <v>0</v>
      </c>
      <c r="AU148" s="29"/>
      <c r="AV148" s="29"/>
      <c r="AW148" s="29"/>
      <c r="AY148" s="34"/>
      <c r="AZ148" s="29">
        <f t="shared" si="462"/>
        <v>0</v>
      </c>
      <c r="BA148" s="29"/>
      <c r="BB148" s="29"/>
      <c r="BC148" s="29"/>
      <c r="BE148" s="34"/>
      <c r="BF148" s="29">
        <f t="shared" si="463"/>
        <v>0</v>
      </c>
      <c r="BG148" s="29"/>
      <c r="BH148" s="29"/>
      <c r="BI148" s="29"/>
      <c r="BK148" s="34"/>
      <c r="BL148" s="29">
        <f t="shared" si="464"/>
        <v>0</v>
      </c>
      <c r="BM148" s="29"/>
      <c r="BN148" s="29"/>
      <c r="BO148" s="29"/>
      <c r="BQ148" s="34"/>
      <c r="BR148" s="29">
        <f t="shared" si="465"/>
        <v>0</v>
      </c>
      <c r="BS148" s="29"/>
      <c r="BT148" s="29"/>
      <c r="BU148" s="29"/>
      <c r="BW148" s="34"/>
      <c r="BX148" s="29">
        <f t="shared" si="466"/>
        <v>0</v>
      </c>
      <c r="BY148" s="29"/>
      <c r="BZ148" s="29"/>
      <c r="CA148" s="29"/>
      <c r="CC148" s="34"/>
      <c r="CD148" s="29">
        <f t="shared" si="467"/>
        <v>0</v>
      </c>
      <c r="CE148" s="29"/>
      <c r="CF148" s="29"/>
      <c r="CG148" s="29"/>
      <c r="CI148" s="34"/>
      <c r="CJ148" s="29">
        <f t="shared" si="468"/>
        <v>0</v>
      </c>
      <c r="CK148" s="29"/>
      <c r="CL148" s="29"/>
      <c r="CM148" s="29"/>
      <c r="CO148" s="34"/>
      <c r="CP148" s="29">
        <f t="shared" si="469"/>
        <v>0</v>
      </c>
      <c r="CQ148" s="29"/>
      <c r="CR148" s="29"/>
      <c r="CS148" s="29"/>
      <c r="CU148" s="34"/>
      <c r="CV148" s="29">
        <f t="shared" si="470"/>
        <v>0</v>
      </c>
      <c r="CW148" s="29"/>
      <c r="CX148" s="29"/>
      <c r="CY148" s="29"/>
      <c r="DA148" s="34"/>
      <c r="DB148" s="29">
        <f t="shared" si="471"/>
        <v>0</v>
      </c>
      <c r="DC148" s="29"/>
      <c r="DD148" s="29"/>
      <c r="DE148" s="29"/>
      <c r="DG148" s="34"/>
      <c r="DH148" s="29">
        <f t="shared" si="472"/>
        <v>0</v>
      </c>
      <c r="DI148" s="29"/>
      <c r="DJ148" s="29"/>
      <c r="DK148" s="29"/>
      <c r="DM148" s="34"/>
      <c r="DN148" s="29">
        <f t="shared" si="473"/>
        <v>0</v>
      </c>
      <c r="DO148" s="29"/>
      <c r="DP148" s="29"/>
      <c r="DQ148" s="29"/>
      <c r="DS148" s="34"/>
      <c r="DT148" s="29">
        <f t="shared" si="474"/>
        <v>0</v>
      </c>
      <c r="DU148" s="29"/>
      <c r="DV148" s="29"/>
      <c r="DW148" s="29"/>
      <c r="DY148" s="34"/>
      <c r="DZ148" s="29">
        <f t="shared" si="475"/>
        <v>0</v>
      </c>
      <c r="EA148" s="29"/>
      <c r="EB148" s="29"/>
      <c r="EC148" s="29"/>
      <c r="EE148" s="34"/>
      <c r="EF148" s="29">
        <f t="shared" si="476"/>
        <v>0</v>
      </c>
      <c r="EG148" s="29"/>
      <c r="EH148" s="29"/>
      <c r="EI148" s="29"/>
      <c r="EK148" s="34"/>
      <c r="EL148" s="29">
        <f t="shared" si="477"/>
        <v>0</v>
      </c>
      <c r="EM148" s="29"/>
      <c r="EN148" s="29"/>
      <c r="EO148" s="29"/>
      <c r="EQ148" s="34"/>
      <c r="ER148" s="29">
        <f t="shared" si="478"/>
        <v>0</v>
      </c>
      <c r="ES148" s="29"/>
      <c r="ET148" s="29"/>
      <c r="EU148" s="29"/>
      <c r="EW148" s="34"/>
      <c r="EX148" s="29">
        <f t="shared" si="479"/>
        <v>0</v>
      </c>
      <c r="EY148" s="29"/>
      <c r="EZ148" s="29"/>
      <c r="FA148" s="29"/>
      <c r="FC148" s="34"/>
      <c r="FD148" s="29">
        <f t="shared" si="480"/>
        <v>0</v>
      </c>
      <c r="FE148" s="29"/>
      <c r="FF148" s="29"/>
      <c r="FG148" s="29"/>
      <c r="FI148" s="34"/>
      <c r="FJ148" s="29">
        <f t="shared" si="481"/>
        <v>0</v>
      </c>
      <c r="FK148" s="29"/>
      <c r="FL148" s="29"/>
      <c r="FM148" s="29"/>
      <c r="FO148" s="34"/>
      <c r="FP148" s="29">
        <f t="shared" si="482"/>
        <v>0</v>
      </c>
      <c r="FQ148" s="29"/>
      <c r="FR148" s="29"/>
      <c r="FS148" s="29"/>
      <c r="FU148" s="34"/>
      <c r="FV148" s="29">
        <f t="shared" si="483"/>
        <v>0</v>
      </c>
      <c r="FW148" s="29"/>
      <c r="FX148" s="29"/>
      <c r="FY148" s="29"/>
      <c r="GA148" s="34"/>
      <c r="GB148" s="29">
        <f t="shared" si="484"/>
        <v>0</v>
      </c>
      <c r="GC148" s="29"/>
      <c r="GD148" s="29"/>
      <c r="GE148" s="29"/>
      <c r="GG148" s="34"/>
      <c r="GH148" s="29">
        <f t="shared" si="485"/>
        <v>0</v>
      </c>
      <c r="GI148" s="29"/>
      <c r="GJ148" s="29"/>
      <c r="GK148" s="29"/>
      <c r="GM148" s="34"/>
      <c r="GN148" s="29">
        <f t="shared" si="486"/>
        <v>0</v>
      </c>
      <c r="GO148" s="29"/>
      <c r="GP148" s="29"/>
      <c r="GQ148" s="29"/>
      <c r="GS148" s="34"/>
      <c r="GT148" s="29">
        <f t="shared" si="487"/>
        <v>0</v>
      </c>
      <c r="GU148" s="29"/>
      <c r="GV148" s="29"/>
      <c r="GW148" s="29"/>
      <c r="GY148" s="34"/>
      <c r="GZ148" s="29">
        <f t="shared" si="488"/>
        <v>0</v>
      </c>
      <c r="HA148" s="29"/>
      <c r="HB148" s="29"/>
      <c r="HC148" s="29"/>
    </row>
    <row r="149" spans="1:211" s="33" customFormat="1" outlineLevel="1" x14ac:dyDescent="0.2">
      <c r="A149" s="33" t="s">
        <v>121</v>
      </c>
      <c r="B149" s="29">
        <f t="shared" si="453"/>
        <v>0</v>
      </c>
      <c r="C149" s="34"/>
      <c r="D149" s="29">
        <f t="shared" si="454"/>
        <v>0</v>
      </c>
      <c r="E149" s="29"/>
      <c r="F149" s="29"/>
      <c r="G149" s="29"/>
      <c r="I149" s="34"/>
      <c r="J149" s="29">
        <f t="shared" si="455"/>
        <v>0</v>
      </c>
      <c r="K149" s="29"/>
      <c r="L149" s="29"/>
      <c r="M149" s="29"/>
      <c r="O149" s="34"/>
      <c r="P149" s="29">
        <f t="shared" si="456"/>
        <v>0</v>
      </c>
      <c r="Q149" s="29"/>
      <c r="R149" s="29"/>
      <c r="S149" s="29"/>
      <c r="U149" s="34"/>
      <c r="V149" s="29">
        <f t="shared" si="457"/>
        <v>0</v>
      </c>
      <c r="W149" s="29"/>
      <c r="X149" s="29"/>
      <c r="Y149" s="29"/>
      <c r="AA149" s="34"/>
      <c r="AB149" s="29">
        <f t="shared" si="458"/>
        <v>0</v>
      </c>
      <c r="AC149" s="29"/>
      <c r="AD149" s="29"/>
      <c r="AE149" s="29"/>
      <c r="AG149" s="34"/>
      <c r="AH149" s="29">
        <f t="shared" si="459"/>
        <v>0</v>
      </c>
      <c r="AI149" s="29"/>
      <c r="AJ149" s="29"/>
      <c r="AK149" s="29"/>
      <c r="AM149" s="34"/>
      <c r="AN149" s="29">
        <f t="shared" si="460"/>
        <v>0</v>
      </c>
      <c r="AO149" s="29"/>
      <c r="AP149" s="29"/>
      <c r="AQ149" s="29"/>
      <c r="AS149" s="34"/>
      <c r="AT149" s="29">
        <f t="shared" si="461"/>
        <v>0</v>
      </c>
      <c r="AU149" s="29"/>
      <c r="AV149" s="29"/>
      <c r="AW149" s="29"/>
      <c r="AY149" s="34"/>
      <c r="AZ149" s="29">
        <f t="shared" si="462"/>
        <v>0</v>
      </c>
      <c r="BA149" s="29"/>
      <c r="BB149" s="29"/>
      <c r="BC149" s="29"/>
      <c r="BE149" s="34"/>
      <c r="BF149" s="29">
        <f t="shared" si="463"/>
        <v>0</v>
      </c>
      <c r="BG149" s="29"/>
      <c r="BH149" s="29"/>
      <c r="BI149" s="29"/>
      <c r="BK149" s="34"/>
      <c r="BL149" s="29">
        <f t="shared" si="464"/>
        <v>0</v>
      </c>
      <c r="BM149" s="29"/>
      <c r="BN149" s="29"/>
      <c r="BO149" s="29"/>
      <c r="BQ149" s="34"/>
      <c r="BR149" s="29">
        <f t="shared" si="465"/>
        <v>0</v>
      </c>
      <c r="BS149" s="29"/>
      <c r="BT149" s="29"/>
      <c r="BU149" s="29"/>
      <c r="BW149" s="34"/>
      <c r="BX149" s="29">
        <f t="shared" si="466"/>
        <v>0</v>
      </c>
      <c r="BY149" s="29"/>
      <c r="BZ149" s="29"/>
      <c r="CA149" s="29"/>
      <c r="CC149" s="34"/>
      <c r="CD149" s="29">
        <f t="shared" si="467"/>
        <v>0</v>
      </c>
      <c r="CE149" s="29"/>
      <c r="CF149" s="29"/>
      <c r="CG149" s="29"/>
      <c r="CI149" s="34"/>
      <c r="CJ149" s="29">
        <f t="shared" si="468"/>
        <v>0</v>
      </c>
      <c r="CK149" s="29"/>
      <c r="CL149" s="29"/>
      <c r="CM149" s="29"/>
      <c r="CO149" s="34"/>
      <c r="CP149" s="29">
        <f t="shared" si="469"/>
        <v>0</v>
      </c>
      <c r="CQ149" s="29"/>
      <c r="CR149" s="29"/>
      <c r="CS149" s="29"/>
      <c r="CU149" s="34"/>
      <c r="CV149" s="29">
        <f t="shared" si="470"/>
        <v>0</v>
      </c>
      <c r="CW149" s="29"/>
      <c r="CX149" s="29"/>
      <c r="CY149" s="29"/>
      <c r="DA149" s="34"/>
      <c r="DB149" s="29">
        <f t="shared" si="471"/>
        <v>0</v>
      </c>
      <c r="DC149" s="29"/>
      <c r="DD149" s="29"/>
      <c r="DE149" s="29"/>
      <c r="DG149" s="34"/>
      <c r="DH149" s="29">
        <f t="shared" si="472"/>
        <v>0</v>
      </c>
      <c r="DI149" s="29"/>
      <c r="DJ149" s="29"/>
      <c r="DK149" s="29"/>
      <c r="DM149" s="34"/>
      <c r="DN149" s="29">
        <f t="shared" si="473"/>
        <v>0</v>
      </c>
      <c r="DO149" s="29"/>
      <c r="DP149" s="29"/>
      <c r="DQ149" s="29"/>
      <c r="DS149" s="34"/>
      <c r="DT149" s="29">
        <f t="shared" si="474"/>
        <v>0</v>
      </c>
      <c r="DU149" s="29"/>
      <c r="DV149" s="29"/>
      <c r="DW149" s="29"/>
      <c r="DY149" s="34"/>
      <c r="DZ149" s="29">
        <f t="shared" si="475"/>
        <v>0</v>
      </c>
      <c r="EA149" s="29"/>
      <c r="EB149" s="29"/>
      <c r="EC149" s="29"/>
      <c r="EE149" s="34"/>
      <c r="EF149" s="29">
        <f t="shared" si="476"/>
        <v>0</v>
      </c>
      <c r="EG149" s="29"/>
      <c r="EH149" s="29"/>
      <c r="EI149" s="29"/>
      <c r="EK149" s="34"/>
      <c r="EL149" s="29">
        <f t="shared" si="477"/>
        <v>0</v>
      </c>
      <c r="EM149" s="29"/>
      <c r="EN149" s="29"/>
      <c r="EO149" s="29"/>
      <c r="EQ149" s="34"/>
      <c r="ER149" s="29">
        <f t="shared" si="478"/>
        <v>0</v>
      </c>
      <c r="ES149" s="29"/>
      <c r="ET149" s="29"/>
      <c r="EU149" s="29"/>
      <c r="EW149" s="34"/>
      <c r="EX149" s="29">
        <f t="shared" si="479"/>
        <v>0</v>
      </c>
      <c r="EY149" s="29"/>
      <c r="EZ149" s="29"/>
      <c r="FA149" s="29"/>
      <c r="FC149" s="34"/>
      <c r="FD149" s="29">
        <f t="shared" si="480"/>
        <v>0</v>
      </c>
      <c r="FE149" s="29"/>
      <c r="FF149" s="29"/>
      <c r="FG149" s="29"/>
      <c r="FI149" s="34"/>
      <c r="FJ149" s="29">
        <f t="shared" si="481"/>
        <v>0</v>
      </c>
      <c r="FK149" s="29"/>
      <c r="FL149" s="29"/>
      <c r="FM149" s="29"/>
      <c r="FO149" s="34"/>
      <c r="FP149" s="29">
        <f t="shared" si="482"/>
        <v>0</v>
      </c>
      <c r="FQ149" s="29"/>
      <c r="FR149" s="29"/>
      <c r="FS149" s="29"/>
      <c r="FU149" s="34"/>
      <c r="FV149" s="29">
        <f t="shared" si="483"/>
        <v>0</v>
      </c>
      <c r="FW149" s="29"/>
      <c r="FX149" s="29"/>
      <c r="FY149" s="29"/>
      <c r="GA149" s="34"/>
      <c r="GB149" s="29">
        <f t="shared" si="484"/>
        <v>0</v>
      </c>
      <c r="GC149" s="29"/>
      <c r="GD149" s="29"/>
      <c r="GE149" s="29"/>
      <c r="GG149" s="34"/>
      <c r="GH149" s="29">
        <f t="shared" si="485"/>
        <v>0</v>
      </c>
      <c r="GI149" s="29"/>
      <c r="GJ149" s="29"/>
      <c r="GK149" s="29"/>
      <c r="GM149" s="34"/>
      <c r="GN149" s="29">
        <f t="shared" si="486"/>
        <v>0</v>
      </c>
      <c r="GO149" s="29"/>
      <c r="GP149" s="29"/>
      <c r="GQ149" s="29"/>
      <c r="GS149" s="34"/>
      <c r="GT149" s="29">
        <f t="shared" si="487"/>
        <v>0</v>
      </c>
      <c r="GU149" s="29"/>
      <c r="GV149" s="29"/>
      <c r="GW149" s="29"/>
      <c r="GY149" s="34"/>
      <c r="GZ149" s="29">
        <f t="shared" si="488"/>
        <v>0</v>
      </c>
      <c r="HA149" s="29"/>
      <c r="HB149" s="29"/>
      <c r="HC149" s="29"/>
    </row>
    <row r="150" spans="1:211" s="33" customFormat="1" outlineLevel="1" x14ac:dyDescent="0.2">
      <c r="A150" s="33" t="s">
        <v>122</v>
      </c>
      <c r="B150" s="29">
        <f t="shared" si="453"/>
        <v>0</v>
      </c>
      <c r="C150" s="34"/>
      <c r="D150" s="29">
        <f t="shared" si="454"/>
        <v>0</v>
      </c>
      <c r="E150" s="29"/>
      <c r="F150" s="29"/>
      <c r="G150" s="29"/>
      <c r="I150" s="34"/>
      <c r="J150" s="29">
        <f t="shared" si="455"/>
        <v>0</v>
      </c>
      <c r="K150" s="29"/>
      <c r="L150" s="29"/>
      <c r="M150" s="29"/>
      <c r="O150" s="34"/>
      <c r="P150" s="29">
        <f t="shared" si="456"/>
        <v>0</v>
      </c>
      <c r="Q150" s="29"/>
      <c r="R150" s="29"/>
      <c r="S150" s="29"/>
      <c r="U150" s="34"/>
      <c r="V150" s="29">
        <f t="shared" si="457"/>
        <v>0</v>
      </c>
      <c r="W150" s="29"/>
      <c r="X150" s="29"/>
      <c r="Y150" s="29"/>
      <c r="AA150" s="34"/>
      <c r="AB150" s="29">
        <f t="shared" si="458"/>
        <v>0</v>
      </c>
      <c r="AC150" s="29"/>
      <c r="AD150" s="29"/>
      <c r="AE150" s="29"/>
      <c r="AG150" s="34"/>
      <c r="AH150" s="29">
        <f t="shared" si="459"/>
        <v>0</v>
      </c>
      <c r="AI150" s="29"/>
      <c r="AJ150" s="29"/>
      <c r="AK150" s="29"/>
      <c r="AM150" s="34"/>
      <c r="AN150" s="29">
        <f t="shared" si="460"/>
        <v>0</v>
      </c>
      <c r="AO150" s="29"/>
      <c r="AP150" s="29"/>
      <c r="AQ150" s="29"/>
      <c r="AS150" s="34"/>
      <c r="AT150" s="29">
        <f t="shared" si="461"/>
        <v>0</v>
      </c>
      <c r="AU150" s="29"/>
      <c r="AV150" s="29"/>
      <c r="AW150" s="29"/>
      <c r="AY150" s="34"/>
      <c r="AZ150" s="29">
        <f t="shared" si="462"/>
        <v>0</v>
      </c>
      <c r="BA150" s="29"/>
      <c r="BB150" s="29"/>
      <c r="BC150" s="29"/>
      <c r="BE150" s="34"/>
      <c r="BF150" s="29">
        <f t="shared" si="463"/>
        <v>0</v>
      </c>
      <c r="BG150" s="29"/>
      <c r="BH150" s="29"/>
      <c r="BI150" s="29"/>
      <c r="BK150" s="34"/>
      <c r="BL150" s="29">
        <f t="shared" si="464"/>
        <v>0</v>
      </c>
      <c r="BM150" s="29"/>
      <c r="BN150" s="29"/>
      <c r="BO150" s="29"/>
      <c r="BQ150" s="34"/>
      <c r="BR150" s="29">
        <f t="shared" si="465"/>
        <v>0</v>
      </c>
      <c r="BS150" s="29"/>
      <c r="BT150" s="29"/>
      <c r="BU150" s="29"/>
      <c r="BW150" s="34"/>
      <c r="BX150" s="29">
        <f t="shared" si="466"/>
        <v>0</v>
      </c>
      <c r="BY150" s="29"/>
      <c r="BZ150" s="29"/>
      <c r="CA150" s="29"/>
      <c r="CC150" s="34"/>
      <c r="CD150" s="29">
        <f t="shared" si="467"/>
        <v>0</v>
      </c>
      <c r="CE150" s="29"/>
      <c r="CF150" s="29"/>
      <c r="CG150" s="29"/>
      <c r="CI150" s="34"/>
      <c r="CJ150" s="29">
        <f t="shared" si="468"/>
        <v>0</v>
      </c>
      <c r="CK150" s="29"/>
      <c r="CL150" s="29"/>
      <c r="CM150" s="29"/>
      <c r="CO150" s="34"/>
      <c r="CP150" s="29">
        <f t="shared" si="469"/>
        <v>0</v>
      </c>
      <c r="CQ150" s="29"/>
      <c r="CR150" s="29"/>
      <c r="CS150" s="29"/>
      <c r="CU150" s="34"/>
      <c r="CV150" s="29">
        <f t="shared" si="470"/>
        <v>0</v>
      </c>
      <c r="CW150" s="29"/>
      <c r="CX150" s="29"/>
      <c r="CY150" s="29"/>
      <c r="DA150" s="34"/>
      <c r="DB150" s="29">
        <f t="shared" si="471"/>
        <v>0</v>
      </c>
      <c r="DC150" s="29"/>
      <c r="DD150" s="29"/>
      <c r="DE150" s="29"/>
      <c r="DG150" s="34"/>
      <c r="DH150" s="29">
        <f t="shared" si="472"/>
        <v>0</v>
      </c>
      <c r="DI150" s="29"/>
      <c r="DJ150" s="29"/>
      <c r="DK150" s="29"/>
      <c r="DM150" s="34"/>
      <c r="DN150" s="29">
        <f t="shared" si="473"/>
        <v>0</v>
      </c>
      <c r="DO150" s="29"/>
      <c r="DP150" s="29"/>
      <c r="DQ150" s="29"/>
      <c r="DS150" s="34"/>
      <c r="DT150" s="29">
        <f t="shared" si="474"/>
        <v>0</v>
      </c>
      <c r="DU150" s="29"/>
      <c r="DV150" s="29"/>
      <c r="DW150" s="29"/>
      <c r="DY150" s="34"/>
      <c r="DZ150" s="29">
        <f t="shared" si="475"/>
        <v>0</v>
      </c>
      <c r="EA150" s="29"/>
      <c r="EB150" s="29"/>
      <c r="EC150" s="29"/>
      <c r="EE150" s="34"/>
      <c r="EF150" s="29">
        <f t="shared" si="476"/>
        <v>0</v>
      </c>
      <c r="EG150" s="29"/>
      <c r="EH150" s="29"/>
      <c r="EI150" s="29"/>
      <c r="EK150" s="34"/>
      <c r="EL150" s="29">
        <f t="shared" si="477"/>
        <v>0</v>
      </c>
      <c r="EM150" s="29"/>
      <c r="EN150" s="29"/>
      <c r="EO150" s="29"/>
      <c r="EQ150" s="34"/>
      <c r="ER150" s="29">
        <f t="shared" si="478"/>
        <v>0</v>
      </c>
      <c r="ES150" s="29"/>
      <c r="ET150" s="29"/>
      <c r="EU150" s="29"/>
      <c r="EW150" s="34"/>
      <c r="EX150" s="29">
        <f t="shared" si="479"/>
        <v>0</v>
      </c>
      <c r="EY150" s="29"/>
      <c r="EZ150" s="29"/>
      <c r="FA150" s="29"/>
      <c r="FC150" s="34"/>
      <c r="FD150" s="29">
        <f t="shared" si="480"/>
        <v>0</v>
      </c>
      <c r="FE150" s="29"/>
      <c r="FF150" s="29"/>
      <c r="FG150" s="29"/>
      <c r="FI150" s="34"/>
      <c r="FJ150" s="29">
        <f t="shared" si="481"/>
        <v>0</v>
      </c>
      <c r="FK150" s="29"/>
      <c r="FL150" s="29"/>
      <c r="FM150" s="29"/>
      <c r="FO150" s="34"/>
      <c r="FP150" s="29">
        <f t="shared" si="482"/>
        <v>0</v>
      </c>
      <c r="FQ150" s="29"/>
      <c r="FR150" s="29"/>
      <c r="FS150" s="29"/>
      <c r="FU150" s="34"/>
      <c r="FV150" s="29">
        <f t="shared" si="483"/>
        <v>0</v>
      </c>
      <c r="FW150" s="29"/>
      <c r="FX150" s="29"/>
      <c r="FY150" s="29"/>
      <c r="GA150" s="34"/>
      <c r="GB150" s="29">
        <f t="shared" si="484"/>
        <v>0</v>
      </c>
      <c r="GC150" s="29"/>
      <c r="GD150" s="29"/>
      <c r="GE150" s="29"/>
      <c r="GG150" s="34"/>
      <c r="GH150" s="29">
        <f t="shared" si="485"/>
        <v>0</v>
      </c>
      <c r="GI150" s="29"/>
      <c r="GJ150" s="29"/>
      <c r="GK150" s="29"/>
      <c r="GM150" s="34"/>
      <c r="GN150" s="29">
        <f t="shared" si="486"/>
        <v>0</v>
      </c>
      <c r="GO150" s="29"/>
      <c r="GP150" s="29"/>
      <c r="GQ150" s="29"/>
      <c r="GS150" s="34"/>
      <c r="GT150" s="29">
        <f t="shared" si="487"/>
        <v>0</v>
      </c>
      <c r="GU150" s="29"/>
      <c r="GV150" s="29"/>
      <c r="GW150" s="29"/>
      <c r="GY150" s="34"/>
      <c r="GZ150" s="29">
        <f t="shared" si="488"/>
        <v>0</v>
      </c>
      <c r="HA150" s="29"/>
      <c r="HB150" s="29"/>
      <c r="HC150" s="29"/>
    </row>
    <row r="151" spans="1:211" s="33" customFormat="1" outlineLevel="1" x14ac:dyDescent="0.2">
      <c r="A151" s="33" t="s">
        <v>123</v>
      </c>
      <c r="B151" s="29">
        <f t="shared" si="453"/>
        <v>0</v>
      </c>
      <c r="C151" s="34"/>
      <c r="D151" s="29">
        <f t="shared" si="454"/>
        <v>0</v>
      </c>
      <c r="E151" s="29"/>
      <c r="F151" s="29"/>
      <c r="G151" s="29"/>
      <c r="I151" s="34"/>
      <c r="J151" s="29">
        <f t="shared" si="455"/>
        <v>0</v>
      </c>
      <c r="K151" s="29"/>
      <c r="L151" s="29"/>
      <c r="M151" s="29"/>
      <c r="O151" s="34"/>
      <c r="P151" s="29">
        <f t="shared" si="456"/>
        <v>0</v>
      </c>
      <c r="Q151" s="29"/>
      <c r="R151" s="29"/>
      <c r="S151" s="29"/>
      <c r="U151" s="34"/>
      <c r="V151" s="29">
        <f t="shared" si="457"/>
        <v>0</v>
      </c>
      <c r="W151" s="29"/>
      <c r="X151" s="29"/>
      <c r="Y151" s="29"/>
      <c r="AA151" s="34"/>
      <c r="AB151" s="29">
        <f t="shared" si="458"/>
        <v>0</v>
      </c>
      <c r="AC151" s="29"/>
      <c r="AD151" s="29"/>
      <c r="AE151" s="29"/>
      <c r="AG151" s="34"/>
      <c r="AH151" s="29">
        <f t="shared" si="459"/>
        <v>0</v>
      </c>
      <c r="AI151" s="29"/>
      <c r="AJ151" s="29"/>
      <c r="AK151" s="29"/>
      <c r="AM151" s="34"/>
      <c r="AN151" s="29">
        <f t="shared" si="460"/>
        <v>0</v>
      </c>
      <c r="AO151" s="29"/>
      <c r="AP151" s="29"/>
      <c r="AQ151" s="29"/>
      <c r="AS151" s="34"/>
      <c r="AT151" s="29">
        <f t="shared" si="461"/>
        <v>0</v>
      </c>
      <c r="AU151" s="29"/>
      <c r="AV151" s="29"/>
      <c r="AW151" s="29"/>
      <c r="AY151" s="34"/>
      <c r="AZ151" s="29">
        <f t="shared" si="462"/>
        <v>0</v>
      </c>
      <c r="BA151" s="29"/>
      <c r="BB151" s="29"/>
      <c r="BC151" s="29"/>
      <c r="BE151" s="34"/>
      <c r="BF151" s="29">
        <f t="shared" si="463"/>
        <v>0</v>
      </c>
      <c r="BG151" s="29"/>
      <c r="BH151" s="29"/>
      <c r="BI151" s="29"/>
      <c r="BK151" s="34"/>
      <c r="BL151" s="29">
        <f t="shared" si="464"/>
        <v>0</v>
      </c>
      <c r="BM151" s="29"/>
      <c r="BN151" s="29"/>
      <c r="BO151" s="29"/>
      <c r="BQ151" s="34"/>
      <c r="BR151" s="29">
        <f t="shared" si="465"/>
        <v>0</v>
      </c>
      <c r="BS151" s="29"/>
      <c r="BT151" s="29"/>
      <c r="BU151" s="29"/>
      <c r="BW151" s="34"/>
      <c r="BX151" s="29">
        <f t="shared" si="466"/>
        <v>0</v>
      </c>
      <c r="BY151" s="29"/>
      <c r="BZ151" s="29"/>
      <c r="CA151" s="29"/>
      <c r="CC151" s="34"/>
      <c r="CD151" s="29">
        <f t="shared" si="467"/>
        <v>0</v>
      </c>
      <c r="CE151" s="29"/>
      <c r="CF151" s="29"/>
      <c r="CG151" s="29"/>
      <c r="CI151" s="34"/>
      <c r="CJ151" s="29">
        <f t="shared" si="468"/>
        <v>0</v>
      </c>
      <c r="CK151" s="29"/>
      <c r="CL151" s="29"/>
      <c r="CM151" s="29"/>
      <c r="CO151" s="34"/>
      <c r="CP151" s="29">
        <f t="shared" si="469"/>
        <v>0</v>
      </c>
      <c r="CQ151" s="29"/>
      <c r="CR151" s="29"/>
      <c r="CS151" s="29"/>
      <c r="CU151" s="34"/>
      <c r="CV151" s="29">
        <f t="shared" si="470"/>
        <v>0</v>
      </c>
      <c r="CW151" s="29"/>
      <c r="CX151" s="29"/>
      <c r="CY151" s="29"/>
      <c r="DA151" s="34"/>
      <c r="DB151" s="29">
        <f t="shared" si="471"/>
        <v>0</v>
      </c>
      <c r="DC151" s="29"/>
      <c r="DD151" s="29"/>
      <c r="DE151" s="29"/>
      <c r="DG151" s="34"/>
      <c r="DH151" s="29">
        <f t="shared" si="472"/>
        <v>0</v>
      </c>
      <c r="DI151" s="29"/>
      <c r="DJ151" s="29"/>
      <c r="DK151" s="29"/>
      <c r="DM151" s="34"/>
      <c r="DN151" s="29">
        <f t="shared" si="473"/>
        <v>0</v>
      </c>
      <c r="DO151" s="29"/>
      <c r="DP151" s="29"/>
      <c r="DQ151" s="29"/>
      <c r="DS151" s="34"/>
      <c r="DT151" s="29">
        <f t="shared" si="474"/>
        <v>0</v>
      </c>
      <c r="DU151" s="29"/>
      <c r="DV151" s="29"/>
      <c r="DW151" s="29"/>
      <c r="DY151" s="34"/>
      <c r="DZ151" s="29">
        <f t="shared" si="475"/>
        <v>0</v>
      </c>
      <c r="EA151" s="29"/>
      <c r="EB151" s="29"/>
      <c r="EC151" s="29"/>
      <c r="EE151" s="34"/>
      <c r="EF151" s="29">
        <f t="shared" si="476"/>
        <v>0</v>
      </c>
      <c r="EG151" s="29"/>
      <c r="EH151" s="29"/>
      <c r="EI151" s="29"/>
      <c r="EK151" s="34"/>
      <c r="EL151" s="29">
        <f t="shared" si="477"/>
        <v>0</v>
      </c>
      <c r="EM151" s="29"/>
      <c r="EN151" s="29"/>
      <c r="EO151" s="29"/>
      <c r="EQ151" s="34"/>
      <c r="ER151" s="29">
        <f t="shared" si="478"/>
        <v>0</v>
      </c>
      <c r="ES151" s="29"/>
      <c r="ET151" s="29"/>
      <c r="EU151" s="29"/>
      <c r="EW151" s="34"/>
      <c r="EX151" s="29">
        <f t="shared" si="479"/>
        <v>0</v>
      </c>
      <c r="EY151" s="29"/>
      <c r="EZ151" s="29"/>
      <c r="FA151" s="29"/>
      <c r="FC151" s="34"/>
      <c r="FD151" s="29">
        <f t="shared" si="480"/>
        <v>0</v>
      </c>
      <c r="FE151" s="29"/>
      <c r="FF151" s="29"/>
      <c r="FG151" s="29"/>
      <c r="FI151" s="34"/>
      <c r="FJ151" s="29">
        <f t="shared" si="481"/>
        <v>0</v>
      </c>
      <c r="FK151" s="29"/>
      <c r="FL151" s="29"/>
      <c r="FM151" s="29"/>
      <c r="FO151" s="34"/>
      <c r="FP151" s="29">
        <f t="shared" si="482"/>
        <v>0</v>
      </c>
      <c r="FQ151" s="29"/>
      <c r="FR151" s="29"/>
      <c r="FS151" s="29"/>
      <c r="FU151" s="34"/>
      <c r="FV151" s="29">
        <f t="shared" si="483"/>
        <v>0</v>
      </c>
      <c r="FW151" s="29"/>
      <c r="FX151" s="29"/>
      <c r="FY151" s="29"/>
      <c r="GA151" s="34"/>
      <c r="GB151" s="29">
        <f t="shared" si="484"/>
        <v>0</v>
      </c>
      <c r="GC151" s="29"/>
      <c r="GD151" s="29"/>
      <c r="GE151" s="29"/>
      <c r="GG151" s="34"/>
      <c r="GH151" s="29">
        <f t="shared" si="485"/>
        <v>0</v>
      </c>
      <c r="GI151" s="29"/>
      <c r="GJ151" s="29"/>
      <c r="GK151" s="29"/>
      <c r="GM151" s="34"/>
      <c r="GN151" s="29">
        <f t="shared" si="486"/>
        <v>0</v>
      </c>
      <c r="GO151" s="29"/>
      <c r="GP151" s="29"/>
      <c r="GQ151" s="29"/>
      <c r="GS151" s="34"/>
      <c r="GT151" s="29">
        <f t="shared" si="487"/>
        <v>0</v>
      </c>
      <c r="GU151" s="29"/>
      <c r="GV151" s="29"/>
      <c r="GW151" s="29"/>
      <c r="GY151" s="34"/>
      <c r="GZ151" s="29">
        <f t="shared" si="488"/>
        <v>0</v>
      </c>
      <c r="HA151" s="29"/>
      <c r="HB151" s="29"/>
      <c r="HC151" s="29"/>
    </row>
    <row r="152" spans="1:211" s="33" customFormat="1" outlineLevel="1" x14ac:dyDescent="0.2">
      <c r="A152" s="33" t="s">
        <v>124</v>
      </c>
      <c r="B152" s="29">
        <f t="shared" si="453"/>
        <v>0</v>
      </c>
      <c r="C152" s="34"/>
      <c r="D152" s="29">
        <f t="shared" si="454"/>
        <v>0</v>
      </c>
      <c r="E152" s="29"/>
      <c r="F152" s="29"/>
      <c r="G152" s="29"/>
      <c r="I152" s="34"/>
      <c r="J152" s="29">
        <f t="shared" si="455"/>
        <v>0</v>
      </c>
      <c r="K152" s="29"/>
      <c r="L152" s="29"/>
      <c r="M152" s="29"/>
      <c r="O152" s="34"/>
      <c r="P152" s="29">
        <f t="shared" si="456"/>
        <v>0</v>
      </c>
      <c r="Q152" s="29"/>
      <c r="R152" s="29"/>
      <c r="S152" s="29"/>
      <c r="U152" s="34"/>
      <c r="V152" s="29">
        <f t="shared" si="457"/>
        <v>0</v>
      </c>
      <c r="W152" s="29"/>
      <c r="X152" s="29"/>
      <c r="Y152" s="29"/>
      <c r="AA152" s="34"/>
      <c r="AB152" s="29">
        <f t="shared" si="458"/>
        <v>0</v>
      </c>
      <c r="AC152" s="29"/>
      <c r="AD152" s="29"/>
      <c r="AE152" s="29"/>
      <c r="AG152" s="34"/>
      <c r="AH152" s="29">
        <f t="shared" si="459"/>
        <v>0</v>
      </c>
      <c r="AI152" s="29"/>
      <c r="AJ152" s="29"/>
      <c r="AK152" s="29"/>
      <c r="AM152" s="34"/>
      <c r="AN152" s="29">
        <f t="shared" si="460"/>
        <v>0</v>
      </c>
      <c r="AO152" s="29"/>
      <c r="AP152" s="29"/>
      <c r="AQ152" s="29"/>
      <c r="AS152" s="34"/>
      <c r="AT152" s="29">
        <f t="shared" si="461"/>
        <v>0</v>
      </c>
      <c r="AU152" s="29"/>
      <c r="AV152" s="29"/>
      <c r="AW152" s="29"/>
      <c r="AY152" s="34"/>
      <c r="AZ152" s="29">
        <f t="shared" si="462"/>
        <v>0</v>
      </c>
      <c r="BA152" s="29"/>
      <c r="BB152" s="29"/>
      <c r="BC152" s="29"/>
      <c r="BE152" s="34"/>
      <c r="BF152" s="29">
        <f t="shared" si="463"/>
        <v>0</v>
      </c>
      <c r="BG152" s="29"/>
      <c r="BH152" s="29"/>
      <c r="BI152" s="29"/>
      <c r="BK152" s="34"/>
      <c r="BL152" s="29">
        <f t="shared" si="464"/>
        <v>0</v>
      </c>
      <c r="BM152" s="29"/>
      <c r="BN152" s="29"/>
      <c r="BO152" s="29"/>
      <c r="BQ152" s="34"/>
      <c r="BR152" s="29">
        <f t="shared" si="465"/>
        <v>0</v>
      </c>
      <c r="BS152" s="29"/>
      <c r="BT152" s="29"/>
      <c r="BU152" s="29"/>
      <c r="BW152" s="34"/>
      <c r="BX152" s="29">
        <f t="shared" si="466"/>
        <v>0</v>
      </c>
      <c r="BY152" s="29"/>
      <c r="BZ152" s="29"/>
      <c r="CA152" s="29"/>
      <c r="CC152" s="34"/>
      <c r="CD152" s="29">
        <f t="shared" si="467"/>
        <v>0</v>
      </c>
      <c r="CE152" s="29"/>
      <c r="CF152" s="29"/>
      <c r="CG152" s="29"/>
      <c r="CI152" s="34"/>
      <c r="CJ152" s="29">
        <f t="shared" si="468"/>
        <v>0</v>
      </c>
      <c r="CK152" s="29"/>
      <c r="CL152" s="29"/>
      <c r="CM152" s="29"/>
      <c r="CO152" s="34"/>
      <c r="CP152" s="29">
        <f t="shared" si="469"/>
        <v>0</v>
      </c>
      <c r="CQ152" s="29"/>
      <c r="CR152" s="29"/>
      <c r="CS152" s="29"/>
      <c r="CU152" s="34"/>
      <c r="CV152" s="29">
        <f t="shared" si="470"/>
        <v>0</v>
      </c>
      <c r="CW152" s="29"/>
      <c r="CX152" s="29"/>
      <c r="CY152" s="29"/>
      <c r="DA152" s="34"/>
      <c r="DB152" s="29">
        <f t="shared" si="471"/>
        <v>0</v>
      </c>
      <c r="DC152" s="29"/>
      <c r="DD152" s="29"/>
      <c r="DE152" s="29"/>
      <c r="DG152" s="34"/>
      <c r="DH152" s="29">
        <f t="shared" si="472"/>
        <v>0</v>
      </c>
      <c r="DI152" s="29"/>
      <c r="DJ152" s="29"/>
      <c r="DK152" s="29"/>
      <c r="DM152" s="34"/>
      <c r="DN152" s="29">
        <f t="shared" si="473"/>
        <v>0</v>
      </c>
      <c r="DO152" s="29"/>
      <c r="DP152" s="29"/>
      <c r="DQ152" s="29"/>
      <c r="DS152" s="34"/>
      <c r="DT152" s="29">
        <f t="shared" si="474"/>
        <v>0</v>
      </c>
      <c r="DU152" s="29"/>
      <c r="DV152" s="29"/>
      <c r="DW152" s="29"/>
      <c r="DY152" s="34"/>
      <c r="DZ152" s="29">
        <f t="shared" si="475"/>
        <v>0</v>
      </c>
      <c r="EA152" s="29"/>
      <c r="EB152" s="29"/>
      <c r="EC152" s="29"/>
      <c r="EE152" s="34"/>
      <c r="EF152" s="29">
        <f t="shared" si="476"/>
        <v>0</v>
      </c>
      <c r="EG152" s="29"/>
      <c r="EH152" s="29"/>
      <c r="EI152" s="29"/>
      <c r="EK152" s="34"/>
      <c r="EL152" s="29">
        <f t="shared" si="477"/>
        <v>0</v>
      </c>
      <c r="EM152" s="29"/>
      <c r="EN152" s="29"/>
      <c r="EO152" s="29"/>
      <c r="EQ152" s="34"/>
      <c r="ER152" s="29">
        <f t="shared" si="478"/>
        <v>0</v>
      </c>
      <c r="ES152" s="29"/>
      <c r="ET152" s="29"/>
      <c r="EU152" s="29"/>
      <c r="EW152" s="34"/>
      <c r="EX152" s="29">
        <f t="shared" si="479"/>
        <v>0</v>
      </c>
      <c r="EY152" s="29"/>
      <c r="EZ152" s="29"/>
      <c r="FA152" s="29"/>
      <c r="FC152" s="34"/>
      <c r="FD152" s="29">
        <f t="shared" si="480"/>
        <v>0</v>
      </c>
      <c r="FE152" s="29"/>
      <c r="FF152" s="29"/>
      <c r="FG152" s="29"/>
      <c r="FI152" s="34"/>
      <c r="FJ152" s="29">
        <f t="shared" si="481"/>
        <v>0</v>
      </c>
      <c r="FK152" s="29"/>
      <c r="FL152" s="29"/>
      <c r="FM152" s="29"/>
      <c r="FO152" s="34"/>
      <c r="FP152" s="29">
        <f t="shared" si="482"/>
        <v>0</v>
      </c>
      <c r="FQ152" s="29"/>
      <c r="FR152" s="29"/>
      <c r="FS152" s="29"/>
      <c r="FU152" s="34"/>
      <c r="FV152" s="29">
        <f t="shared" si="483"/>
        <v>0</v>
      </c>
      <c r="FW152" s="29"/>
      <c r="FX152" s="29"/>
      <c r="FY152" s="29"/>
      <c r="GA152" s="34"/>
      <c r="GB152" s="29">
        <f t="shared" si="484"/>
        <v>0</v>
      </c>
      <c r="GC152" s="29"/>
      <c r="GD152" s="29"/>
      <c r="GE152" s="29"/>
      <c r="GG152" s="34"/>
      <c r="GH152" s="29">
        <f t="shared" si="485"/>
        <v>0</v>
      </c>
      <c r="GI152" s="29"/>
      <c r="GJ152" s="29"/>
      <c r="GK152" s="29"/>
      <c r="GM152" s="34"/>
      <c r="GN152" s="29">
        <f t="shared" si="486"/>
        <v>0</v>
      </c>
      <c r="GO152" s="29"/>
      <c r="GP152" s="29"/>
      <c r="GQ152" s="29"/>
      <c r="GS152" s="34"/>
      <c r="GT152" s="29">
        <f t="shared" si="487"/>
        <v>0</v>
      </c>
      <c r="GU152" s="29"/>
      <c r="GV152" s="29"/>
      <c r="GW152" s="29"/>
      <c r="GY152" s="34"/>
      <c r="GZ152" s="29">
        <f t="shared" si="488"/>
        <v>0</v>
      </c>
      <c r="HA152" s="29"/>
      <c r="HB152" s="29"/>
      <c r="HC152" s="29"/>
    </row>
    <row r="153" spans="1:211" s="33" customFormat="1" outlineLevel="1" x14ac:dyDescent="0.2">
      <c r="A153" s="33" t="s">
        <v>125</v>
      </c>
      <c r="B153" s="29">
        <f t="shared" si="453"/>
        <v>0</v>
      </c>
      <c r="C153" s="34"/>
      <c r="D153" s="29">
        <f t="shared" si="454"/>
        <v>0</v>
      </c>
      <c r="E153" s="29"/>
      <c r="F153" s="29"/>
      <c r="G153" s="29"/>
      <c r="I153" s="34"/>
      <c r="J153" s="29">
        <f t="shared" si="455"/>
        <v>0</v>
      </c>
      <c r="K153" s="29"/>
      <c r="L153" s="29"/>
      <c r="M153" s="29"/>
      <c r="O153" s="34"/>
      <c r="P153" s="29">
        <f t="shared" si="456"/>
        <v>0</v>
      </c>
      <c r="Q153" s="29"/>
      <c r="R153" s="29"/>
      <c r="S153" s="29"/>
      <c r="U153" s="34"/>
      <c r="V153" s="29">
        <f t="shared" si="457"/>
        <v>0</v>
      </c>
      <c r="W153" s="29"/>
      <c r="X153" s="29"/>
      <c r="Y153" s="29"/>
      <c r="AA153" s="34"/>
      <c r="AB153" s="29">
        <f t="shared" si="458"/>
        <v>0</v>
      </c>
      <c r="AC153" s="29"/>
      <c r="AD153" s="29"/>
      <c r="AE153" s="29"/>
      <c r="AG153" s="34"/>
      <c r="AH153" s="29">
        <f t="shared" si="459"/>
        <v>0</v>
      </c>
      <c r="AI153" s="29"/>
      <c r="AJ153" s="29"/>
      <c r="AK153" s="29"/>
      <c r="AM153" s="34"/>
      <c r="AN153" s="29">
        <f t="shared" si="460"/>
        <v>0</v>
      </c>
      <c r="AO153" s="29"/>
      <c r="AP153" s="29"/>
      <c r="AQ153" s="29"/>
      <c r="AS153" s="34"/>
      <c r="AT153" s="29">
        <f t="shared" si="461"/>
        <v>0</v>
      </c>
      <c r="AU153" s="29"/>
      <c r="AV153" s="29"/>
      <c r="AW153" s="29"/>
      <c r="AY153" s="34"/>
      <c r="AZ153" s="29">
        <f t="shared" si="462"/>
        <v>0</v>
      </c>
      <c r="BA153" s="29"/>
      <c r="BB153" s="29"/>
      <c r="BC153" s="29"/>
      <c r="BE153" s="34"/>
      <c r="BF153" s="29">
        <f t="shared" si="463"/>
        <v>0</v>
      </c>
      <c r="BG153" s="29"/>
      <c r="BH153" s="29"/>
      <c r="BI153" s="29"/>
      <c r="BK153" s="34"/>
      <c r="BL153" s="29">
        <f t="shared" si="464"/>
        <v>0</v>
      </c>
      <c r="BM153" s="29"/>
      <c r="BN153" s="29"/>
      <c r="BO153" s="29"/>
      <c r="BQ153" s="34"/>
      <c r="BR153" s="29">
        <f t="shared" si="465"/>
        <v>0</v>
      </c>
      <c r="BS153" s="29"/>
      <c r="BT153" s="29"/>
      <c r="BU153" s="29"/>
      <c r="BW153" s="34"/>
      <c r="BX153" s="29">
        <f t="shared" si="466"/>
        <v>0</v>
      </c>
      <c r="BY153" s="29"/>
      <c r="BZ153" s="29"/>
      <c r="CA153" s="29"/>
      <c r="CC153" s="34"/>
      <c r="CD153" s="29">
        <f t="shared" si="467"/>
        <v>0</v>
      </c>
      <c r="CE153" s="29"/>
      <c r="CF153" s="29"/>
      <c r="CG153" s="29"/>
      <c r="CI153" s="34"/>
      <c r="CJ153" s="29">
        <f t="shared" si="468"/>
        <v>0</v>
      </c>
      <c r="CK153" s="29"/>
      <c r="CL153" s="29"/>
      <c r="CM153" s="29"/>
      <c r="CO153" s="34"/>
      <c r="CP153" s="29">
        <f t="shared" si="469"/>
        <v>0</v>
      </c>
      <c r="CQ153" s="29"/>
      <c r="CR153" s="29"/>
      <c r="CS153" s="29"/>
      <c r="CU153" s="34"/>
      <c r="CV153" s="29">
        <f t="shared" si="470"/>
        <v>0</v>
      </c>
      <c r="CW153" s="29"/>
      <c r="CX153" s="29"/>
      <c r="CY153" s="29"/>
      <c r="DA153" s="34"/>
      <c r="DB153" s="29">
        <f t="shared" si="471"/>
        <v>0</v>
      </c>
      <c r="DC153" s="29"/>
      <c r="DD153" s="29"/>
      <c r="DE153" s="29"/>
      <c r="DG153" s="34"/>
      <c r="DH153" s="29">
        <f t="shared" si="472"/>
        <v>0</v>
      </c>
      <c r="DI153" s="29"/>
      <c r="DJ153" s="29"/>
      <c r="DK153" s="29"/>
      <c r="DM153" s="34"/>
      <c r="DN153" s="29">
        <f t="shared" si="473"/>
        <v>0</v>
      </c>
      <c r="DO153" s="29"/>
      <c r="DP153" s="29"/>
      <c r="DQ153" s="29"/>
      <c r="DS153" s="34"/>
      <c r="DT153" s="29">
        <f t="shared" si="474"/>
        <v>0</v>
      </c>
      <c r="DU153" s="29"/>
      <c r="DV153" s="29"/>
      <c r="DW153" s="29"/>
      <c r="DY153" s="34"/>
      <c r="DZ153" s="29">
        <f t="shared" si="475"/>
        <v>0</v>
      </c>
      <c r="EA153" s="29"/>
      <c r="EB153" s="29"/>
      <c r="EC153" s="29"/>
      <c r="EE153" s="34"/>
      <c r="EF153" s="29">
        <f t="shared" si="476"/>
        <v>0</v>
      </c>
      <c r="EG153" s="29"/>
      <c r="EH153" s="29"/>
      <c r="EI153" s="29"/>
      <c r="EK153" s="34"/>
      <c r="EL153" s="29">
        <f t="shared" si="477"/>
        <v>0</v>
      </c>
      <c r="EM153" s="29"/>
      <c r="EN153" s="29"/>
      <c r="EO153" s="29"/>
      <c r="EQ153" s="34"/>
      <c r="ER153" s="29">
        <f t="shared" si="478"/>
        <v>0</v>
      </c>
      <c r="ES153" s="29"/>
      <c r="ET153" s="29"/>
      <c r="EU153" s="29"/>
      <c r="EW153" s="34"/>
      <c r="EX153" s="29">
        <f t="shared" si="479"/>
        <v>0</v>
      </c>
      <c r="EY153" s="29"/>
      <c r="EZ153" s="29"/>
      <c r="FA153" s="29"/>
      <c r="FC153" s="34"/>
      <c r="FD153" s="29">
        <f t="shared" si="480"/>
        <v>0</v>
      </c>
      <c r="FE153" s="29"/>
      <c r="FF153" s="29"/>
      <c r="FG153" s="29"/>
      <c r="FI153" s="34"/>
      <c r="FJ153" s="29">
        <f t="shared" si="481"/>
        <v>0</v>
      </c>
      <c r="FK153" s="29"/>
      <c r="FL153" s="29"/>
      <c r="FM153" s="29"/>
      <c r="FO153" s="34"/>
      <c r="FP153" s="29">
        <f t="shared" si="482"/>
        <v>0</v>
      </c>
      <c r="FQ153" s="29"/>
      <c r="FR153" s="29"/>
      <c r="FS153" s="29"/>
      <c r="FU153" s="34"/>
      <c r="FV153" s="29">
        <f t="shared" si="483"/>
        <v>0</v>
      </c>
      <c r="FW153" s="29"/>
      <c r="FX153" s="29"/>
      <c r="FY153" s="29"/>
      <c r="GA153" s="34"/>
      <c r="GB153" s="29">
        <f t="shared" si="484"/>
        <v>0</v>
      </c>
      <c r="GC153" s="29"/>
      <c r="GD153" s="29"/>
      <c r="GE153" s="29"/>
      <c r="GG153" s="34"/>
      <c r="GH153" s="29">
        <f t="shared" si="485"/>
        <v>0</v>
      </c>
      <c r="GI153" s="29"/>
      <c r="GJ153" s="29"/>
      <c r="GK153" s="29"/>
      <c r="GM153" s="34"/>
      <c r="GN153" s="29">
        <f t="shared" si="486"/>
        <v>0</v>
      </c>
      <c r="GO153" s="29"/>
      <c r="GP153" s="29"/>
      <c r="GQ153" s="29"/>
      <c r="GS153" s="34"/>
      <c r="GT153" s="29">
        <f t="shared" si="487"/>
        <v>0</v>
      </c>
      <c r="GU153" s="29"/>
      <c r="GV153" s="29"/>
      <c r="GW153" s="29"/>
      <c r="GY153" s="34"/>
      <c r="GZ153" s="29">
        <f t="shared" si="488"/>
        <v>0</v>
      </c>
      <c r="HA153" s="29"/>
      <c r="HB153" s="29"/>
      <c r="HC153" s="29"/>
    </row>
    <row r="154" spans="1:211" s="33" customFormat="1" outlineLevel="1" x14ac:dyDescent="0.2">
      <c r="A154" s="33" t="s">
        <v>126</v>
      </c>
      <c r="B154" s="29">
        <f t="shared" si="453"/>
        <v>0</v>
      </c>
      <c r="C154" s="34"/>
      <c r="D154" s="29">
        <f t="shared" si="454"/>
        <v>0</v>
      </c>
      <c r="E154" s="29"/>
      <c r="F154" s="29"/>
      <c r="G154" s="29"/>
      <c r="I154" s="34"/>
      <c r="J154" s="29">
        <f t="shared" si="455"/>
        <v>0</v>
      </c>
      <c r="K154" s="29"/>
      <c r="L154" s="29"/>
      <c r="M154" s="29"/>
      <c r="O154" s="34"/>
      <c r="P154" s="29">
        <f t="shared" si="456"/>
        <v>0</v>
      </c>
      <c r="Q154" s="29"/>
      <c r="R154" s="29"/>
      <c r="S154" s="29"/>
      <c r="U154" s="34"/>
      <c r="V154" s="29">
        <f t="shared" si="457"/>
        <v>0</v>
      </c>
      <c r="W154" s="29"/>
      <c r="X154" s="29"/>
      <c r="Y154" s="29"/>
      <c r="AA154" s="34"/>
      <c r="AB154" s="29">
        <f t="shared" si="458"/>
        <v>0</v>
      </c>
      <c r="AC154" s="29"/>
      <c r="AD154" s="29"/>
      <c r="AE154" s="29"/>
      <c r="AG154" s="34"/>
      <c r="AH154" s="29">
        <f t="shared" si="459"/>
        <v>0</v>
      </c>
      <c r="AI154" s="29"/>
      <c r="AJ154" s="29"/>
      <c r="AK154" s="29"/>
      <c r="AM154" s="34"/>
      <c r="AN154" s="29">
        <f t="shared" si="460"/>
        <v>0</v>
      </c>
      <c r="AO154" s="29"/>
      <c r="AP154" s="29"/>
      <c r="AQ154" s="29"/>
      <c r="AS154" s="34"/>
      <c r="AT154" s="29">
        <f t="shared" si="461"/>
        <v>0</v>
      </c>
      <c r="AU154" s="29"/>
      <c r="AV154" s="29"/>
      <c r="AW154" s="29"/>
      <c r="AY154" s="34"/>
      <c r="AZ154" s="29">
        <f t="shared" si="462"/>
        <v>0</v>
      </c>
      <c r="BA154" s="29"/>
      <c r="BB154" s="29"/>
      <c r="BC154" s="29"/>
      <c r="BE154" s="34"/>
      <c r="BF154" s="29">
        <f t="shared" si="463"/>
        <v>0</v>
      </c>
      <c r="BG154" s="29"/>
      <c r="BH154" s="29"/>
      <c r="BI154" s="29"/>
      <c r="BK154" s="34"/>
      <c r="BL154" s="29">
        <f t="shared" si="464"/>
        <v>0</v>
      </c>
      <c r="BM154" s="29"/>
      <c r="BN154" s="29"/>
      <c r="BO154" s="29"/>
      <c r="BQ154" s="34"/>
      <c r="BR154" s="29">
        <f t="shared" si="465"/>
        <v>0</v>
      </c>
      <c r="BS154" s="29"/>
      <c r="BT154" s="29"/>
      <c r="BU154" s="29"/>
      <c r="BW154" s="34"/>
      <c r="BX154" s="29">
        <f t="shared" si="466"/>
        <v>0</v>
      </c>
      <c r="BY154" s="29"/>
      <c r="BZ154" s="29"/>
      <c r="CA154" s="29"/>
      <c r="CC154" s="34"/>
      <c r="CD154" s="29">
        <f t="shared" si="467"/>
        <v>0</v>
      </c>
      <c r="CE154" s="29"/>
      <c r="CF154" s="29"/>
      <c r="CG154" s="29"/>
      <c r="CI154" s="34"/>
      <c r="CJ154" s="29">
        <f t="shared" si="468"/>
        <v>0</v>
      </c>
      <c r="CK154" s="29"/>
      <c r="CL154" s="29"/>
      <c r="CM154" s="29"/>
      <c r="CO154" s="34"/>
      <c r="CP154" s="29">
        <f t="shared" si="469"/>
        <v>0</v>
      </c>
      <c r="CQ154" s="29"/>
      <c r="CR154" s="29"/>
      <c r="CS154" s="29"/>
      <c r="CU154" s="34"/>
      <c r="CV154" s="29">
        <f t="shared" si="470"/>
        <v>0</v>
      </c>
      <c r="CW154" s="29"/>
      <c r="CX154" s="29"/>
      <c r="CY154" s="29"/>
      <c r="DA154" s="34"/>
      <c r="DB154" s="29">
        <f t="shared" si="471"/>
        <v>0</v>
      </c>
      <c r="DC154" s="29"/>
      <c r="DD154" s="29"/>
      <c r="DE154" s="29"/>
      <c r="DG154" s="34"/>
      <c r="DH154" s="29">
        <f t="shared" si="472"/>
        <v>0</v>
      </c>
      <c r="DI154" s="29"/>
      <c r="DJ154" s="29"/>
      <c r="DK154" s="29"/>
      <c r="DM154" s="34"/>
      <c r="DN154" s="29">
        <f t="shared" si="473"/>
        <v>0</v>
      </c>
      <c r="DO154" s="29"/>
      <c r="DP154" s="29"/>
      <c r="DQ154" s="29"/>
      <c r="DS154" s="34"/>
      <c r="DT154" s="29">
        <f t="shared" si="474"/>
        <v>0</v>
      </c>
      <c r="DU154" s="29"/>
      <c r="DV154" s="29"/>
      <c r="DW154" s="29"/>
      <c r="DY154" s="34"/>
      <c r="DZ154" s="29">
        <f t="shared" si="475"/>
        <v>0</v>
      </c>
      <c r="EA154" s="29"/>
      <c r="EB154" s="29"/>
      <c r="EC154" s="29"/>
      <c r="EE154" s="34"/>
      <c r="EF154" s="29">
        <f t="shared" si="476"/>
        <v>0</v>
      </c>
      <c r="EG154" s="29"/>
      <c r="EH154" s="29"/>
      <c r="EI154" s="29"/>
      <c r="EK154" s="34"/>
      <c r="EL154" s="29">
        <f t="shared" si="477"/>
        <v>0</v>
      </c>
      <c r="EM154" s="29"/>
      <c r="EN154" s="29"/>
      <c r="EO154" s="29"/>
      <c r="EQ154" s="34"/>
      <c r="ER154" s="29">
        <f t="shared" si="478"/>
        <v>0</v>
      </c>
      <c r="ES154" s="29"/>
      <c r="ET154" s="29"/>
      <c r="EU154" s="29"/>
      <c r="EW154" s="34"/>
      <c r="EX154" s="29">
        <f t="shared" si="479"/>
        <v>0</v>
      </c>
      <c r="EY154" s="29"/>
      <c r="EZ154" s="29"/>
      <c r="FA154" s="29"/>
      <c r="FC154" s="34"/>
      <c r="FD154" s="29">
        <f t="shared" si="480"/>
        <v>0</v>
      </c>
      <c r="FE154" s="29"/>
      <c r="FF154" s="29"/>
      <c r="FG154" s="29"/>
      <c r="FI154" s="34"/>
      <c r="FJ154" s="29">
        <f t="shared" si="481"/>
        <v>0</v>
      </c>
      <c r="FK154" s="29"/>
      <c r="FL154" s="29"/>
      <c r="FM154" s="29"/>
      <c r="FO154" s="34"/>
      <c r="FP154" s="29">
        <f t="shared" si="482"/>
        <v>0</v>
      </c>
      <c r="FQ154" s="29"/>
      <c r="FR154" s="29"/>
      <c r="FS154" s="29"/>
      <c r="FU154" s="34"/>
      <c r="FV154" s="29">
        <f t="shared" si="483"/>
        <v>0</v>
      </c>
      <c r="FW154" s="29"/>
      <c r="FX154" s="29"/>
      <c r="FY154" s="29"/>
      <c r="GA154" s="34"/>
      <c r="GB154" s="29">
        <f t="shared" si="484"/>
        <v>0</v>
      </c>
      <c r="GC154" s="29"/>
      <c r="GD154" s="29"/>
      <c r="GE154" s="29"/>
      <c r="GG154" s="34"/>
      <c r="GH154" s="29">
        <f t="shared" si="485"/>
        <v>0</v>
      </c>
      <c r="GI154" s="29"/>
      <c r="GJ154" s="29"/>
      <c r="GK154" s="29"/>
      <c r="GM154" s="34"/>
      <c r="GN154" s="29">
        <f t="shared" si="486"/>
        <v>0</v>
      </c>
      <c r="GO154" s="29"/>
      <c r="GP154" s="29"/>
      <c r="GQ154" s="29"/>
      <c r="GS154" s="34"/>
      <c r="GT154" s="29">
        <f t="shared" si="487"/>
        <v>0</v>
      </c>
      <c r="GU154" s="29"/>
      <c r="GV154" s="29"/>
      <c r="GW154" s="29"/>
      <c r="GY154" s="34"/>
      <c r="GZ154" s="29">
        <f t="shared" si="488"/>
        <v>0</v>
      </c>
      <c r="HA154" s="29"/>
      <c r="HB154" s="29"/>
      <c r="HC154" s="29"/>
    </row>
    <row r="155" spans="1:211" s="33" customFormat="1" outlineLevel="1" x14ac:dyDescent="0.2">
      <c r="A155" s="33" t="s">
        <v>127</v>
      </c>
      <c r="B155" s="29">
        <f t="shared" si="453"/>
        <v>0</v>
      </c>
      <c r="C155" s="34"/>
      <c r="D155" s="29">
        <f t="shared" si="454"/>
        <v>0</v>
      </c>
      <c r="E155" s="29"/>
      <c r="F155" s="29"/>
      <c r="G155" s="29"/>
      <c r="I155" s="34"/>
      <c r="J155" s="29">
        <f t="shared" si="455"/>
        <v>0</v>
      </c>
      <c r="K155" s="29"/>
      <c r="L155" s="29"/>
      <c r="M155" s="29"/>
      <c r="O155" s="34"/>
      <c r="P155" s="29">
        <f t="shared" si="456"/>
        <v>0</v>
      </c>
      <c r="Q155" s="29"/>
      <c r="R155" s="29"/>
      <c r="S155" s="29"/>
      <c r="U155" s="34"/>
      <c r="V155" s="29">
        <f t="shared" si="457"/>
        <v>0</v>
      </c>
      <c r="W155" s="29"/>
      <c r="X155" s="29"/>
      <c r="Y155" s="29"/>
      <c r="AA155" s="34"/>
      <c r="AB155" s="29">
        <f t="shared" si="458"/>
        <v>0</v>
      </c>
      <c r="AC155" s="29"/>
      <c r="AD155" s="29"/>
      <c r="AE155" s="29"/>
      <c r="AG155" s="34"/>
      <c r="AH155" s="29">
        <f t="shared" si="459"/>
        <v>0</v>
      </c>
      <c r="AI155" s="29"/>
      <c r="AJ155" s="29"/>
      <c r="AK155" s="29"/>
      <c r="AM155" s="34"/>
      <c r="AN155" s="29">
        <f t="shared" si="460"/>
        <v>0</v>
      </c>
      <c r="AO155" s="29"/>
      <c r="AP155" s="29"/>
      <c r="AQ155" s="29"/>
      <c r="AS155" s="34"/>
      <c r="AT155" s="29">
        <f t="shared" si="461"/>
        <v>0</v>
      </c>
      <c r="AU155" s="29"/>
      <c r="AV155" s="29"/>
      <c r="AW155" s="29"/>
      <c r="AY155" s="34"/>
      <c r="AZ155" s="29">
        <f t="shared" si="462"/>
        <v>0</v>
      </c>
      <c r="BA155" s="29"/>
      <c r="BB155" s="29"/>
      <c r="BC155" s="29"/>
      <c r="BE155" s="34"/>
      <c r="BF155" s="29">
        <f t="shared" si="463"/>
        <v>0</v>
      </c>
      <c r="BG155" s="29"/>
      <c r="BH155" s="29"/>
      <c r="BI155" s="29"/>
      <c r="BK155" s="34"/>
      <c r="BL155" s="29">
        <f t="shared" si="464"/>
        <v>0</v>
      </c>
      <c r="BM155" s="29"/>
      <c r="BN155" s="29"/>
      <c r="BO155" s="29"/>
      <c r="BQ155" s="34"/>
      <c r="BR155" s="29">
        <f t="shared" si="465"/>
        <v>0</v>
      </c>
      <c r="BS155" s="29"/>
      <c r="BT155" s="29"/>
      <c r="BU155" s="29"/>
      <c r="BW155" s="34"/>
      <c r="BX155" s="29">
        <f t="shared" si="466"/>
        <v>0</v>
      </c>
      <c r="BY155" s="29"/>
      <c r="BZ155" s="29"/>
      <c r="CA155" s="29"/>
      <c r="CC155" s="34"/>
      <c r="CD155" s="29">
        <f t="shared" si="467"/>
        <v>0</v>
      </c>
      <c r="CE155" s="29"/>
      <c r="CF155" s="29"/>
      <c r="CG155" s="29"/>
      <c r="CI155" s="34"/>
      <c r="CJ155" s="29">
        <f t="shared" si="468"/>
        <v>0</v>
      </c>
      <c r="CK155" s="29"/>
      <c r="CL155" s="29"/>
      <c r="CM155" s="29"/>
      <c r="CO155" s="34"/>
      <c r="CP155" s="29">
        <f t="shared" si="469"/>
        <v>0</v>
      </c>
      <c r="CQ155" s="29"/>
      <c r="CR155" s="29"/>
      <c r="CS155" s="29"/>
      <c r="CU155" s="34"/>
      <c r="CV155" s="29">
        <f t="shared" si="470"/>
        <v>0</v>
      </c>
      <c r="CW155" s="29"/>
      <c r="CX155" s="29"/>
      <c r="CY155" s="29"/>
      <c r="DA155" s="34"/>
      <c r="DB155" s="29">
        <f t="shared" si="471"/>
        <v>0</v>
      </c>
      <c r="DC155" s="29"/>
      <c r="DD155" s="29"/>
      <c r="DE155" s="29"/>
      <c r="DG155" s="34"/>
      <c r="DH155" s="29">
        <f t="shared" si="472"/>
        <v>0</v>
      </c>
      <c r="DI155" s="29"/>
      <c r="DJ155" s="29"/>
      <c r="DK155" s="29"/>
      <c r="DM155" s="34"/>
      <c r="DN155" s="29">
        <f t="shared" si="473"/>
        <v>0</v>
      </c>
      <c r="DO155" s="29"/>
      <c r="DP155" s="29"/>
      <c r="DQ155" s="29"/>
      <c r="DS155" s="34"/>
      <c r="DT155" s="29">
        <f t="shared" si="474"/>
        <v>0</v>
      </c>
      <c r="DU155" s="29"/>
      <c r="DV155" s="29"/>
      <c r="DW155" s="29"/>
      <c r="DY155" s="34"/>
      <c r="DZ155" s="29">
        <f t="shared" si="475"/>
        <v>0</v>
      </c>
      <c r="EA155" s="29"/>
      <c r="EB155" s="29"/>
      <c r="EC155" s="29"/>
      <c r="EE155" s="34"/>
      <c r="EF155" s="29">
        <f t="shared" si="476"/>
        <v>0</v>
      </c>
      <c r="EG155" s="29"/>
      <c r="EH155" s="29"/>
      <c r="EI155" s="29"/>
      <c r="EK155" s="34"/>
      <c r="EL155" s="29">
        <f t="shared" si="477"/>
        <v>0</v>
      </c>
      <c r="EM155" s="29"/>
      <c r="EN155" s="29"/>
      <c r="EO155" s="29"/>
      <c r="EQ155" s="34"/>
      <c r="ER155" s="29">
        <f t="shared" si="478"/>
        <v>0</v>
      </c>
      <c r="ES155" s="29"/>
      <c r="ET155" s="29"/>
      <c r="EU155" s="29"/>
      <c r="EW155" s="34"/>
      <c r="EX155" s="29">
        <f t="shared" si="479"/>
        <v>0</v>
      </c>
      <c r="EY155" s="29"/>
      <c r="EZ155" s="29"/>
      <c r="FA155" s="29"/>
      <c r="FC155" s="34"/>
      <c r="FD155" s="29">
        <f t="shared" si="480"/>
        <v>0</v>
      </c>
      <c r="FE155" s="29"/>
      <c r="FF155" s="29"/>
      <c r="FG155" s="29"/>
      <c r="FI155" s="34"/>
      <c r="FJ155" s="29">
        <f t="shared" si="481"/>
        <v>0</v>
      </c>
      <c r="FK155" s="29"/>
      <c r="FL155" s="29"/>
      <c r="FM155" s="29"/>
      <c r="FO155" s="34"/>
      <c r="FP155" s="29">
        <f t="shared" si="482"/>
        <v>0</v>
      </c>
      <c r="FQ155" s="29"/>
      <c r="FR155" s="29"/>
      <c r="FS155" s="29"/>
      <c r="FU155" s="34"/>
      <c r="FV155" s="29">
        <f t="shared" si="483"/>
        <v>0</v>
      </c>
      <c r="FW155" s="29"/>
      <c r="FX155" s="29"/>
      <c r="FY155" s="29"/>
      <c r="GA155" s="34"/>
      <c r="GB155" s="29">
        <f t="shared" si="484"/>
        <v>0</v>
      </c>
      <c r="GC155" s="29"/>
      <c r="GD155" s="29"/>
      <c r="GE155" s="29"/>
      <c r="GG155" s="34"/>
      <c r="GH155" s="29">
        <f t="shared" si="485"/>
        <v>0</v>
      </c>
      <c r="GI155" s="29"/>
      <c r="GJ155" s="29"/>
      <c r="GK155" s="29"/>
      <c r="GM155" s="34"/>
      <c r="GN155" s="29">
        <f t="shared" si="486"/>
        <v>0</v>
      </c>
      <c r="GO155" s="29"/>
      <c r="GP155" s="29"/>
      <c r="GQ155" s="29"/>
      <c r="GS155" s="34"/>
      <c r="GT155" s="29">
        <f t="shared" si="487"/>
        <v>0</v>
      </c>
      <c r="GU155" s="29"/>
      <c r="GV155" s="29"/>
      <c r="GW155" s="29"/>
      <c r="GY155" s="34"/>
      <c r="GZ155" s="29">
        <f t="shared" si="488"/>
        <v>0</v>
      </c>
      <c r="HA155" s="29"/>
      <c r="HB155" s="29"/>
      <c r="HC155" s="29"/>
    </row>
    <row r="156" spans="1:211" outlineLevel="1" x14ac:dyDescent="0.2"/>
    <row r="157" spans="1:211" s="36" customFormat="1" outlineLevel="1" x14ac:dyDescent="0.2">
      <c r="A157" s="36" t="s">
        <v>128</v>
      </c>
      <c r="B157" s="35">
        <f t="shared" ref="B157:B168" si="489">SUM(C157:XFD157)</f>
        <v>4340000</v>
      </c>
      <c r="C157" s="37"/>
      <c r="D157" s="35"/>
      <c r="E157" s="35">
        <f>E130</f>
        <v>1350000</v>
      </c>
      <c r="F157" s="35"/>
      <c r="G157" s="35"/>
      <c r="I157" s="37"/>
      <c r="J157" s="35"/>
      <c r="K157" s="35">
        <f>K130</f>
        <v>0</v>
      </c>
      <c r="L157" s="35"/>
      <c r="M157" s="35"/>
      <c r="O157" s="37"/>
      <c r="P157" s="35"/>
      <c r="Q157" s="35">
        <f>Q130</f>
        <v>267500</v>
      </c>
      <c r="R157" s="35"/>
      <c r="S157" s="35"/>
      <c r="U157" s="37"/>
      <c r="V157" s="35"/>
      <c r="W157" s="35">
        <f>W130</f>
        <v>0</v>
      </c>
      <c r="X157" s="35"/>
      <c r="Y157" s="35"/>
      <c r="AA157" s="37"/>
      <c r="AB157" s="35"/>
      <c r="AC157" s="35">
        <f>AC130</f>
        <v>450000</v>
      </c>
      <c r="AD157" s="35"/>
      <c r="AE157" s="35"/>
      <c r="AG157" s="37"/>
      <c r="AH157" s="35"/>
      <c r="AI157" s="35">
        <f>AI130</f>
        <v>0</v>
      </c>
      <c r="AJ157" s="35"/>
      <c r="AK157" s="35"/>
      <c r="AM157" s="37"/>
      <c r="AN157" s="35"/>
      <c r="AO157" s="35">
        <f>AO130</f>
        <v>0</v>
      </c>
      <c r="AP157" s="35"/>
      <c r="AQ157" s="35"/>
      <c r="AS157" s="37"/>
      <c r="AT157" s="35"/>
      <c r="AU157" s="35">
        <f>AU130</f>
        <v>0</v>
      </c>
      <c r="AV157" s="35"/>
      <c r="AW157" s="35"/>
      <c r="AY157" s="37"/>
      <c r="AZ157" s="35"/>
      <c r="BA157" s="35">
        <f>BA130</f>
        <v>321000</v>
      </c>
      <c r="BB157" s="35"/>
      <c r="BC157" s="35"/>
      <c r="BE157" s="37"/>
      <c r="BF157" s="35"/>
      <c r="BG157" s="35">
        <f>BG130</f>
        <v>0</v>
      </c>
      <c r="BH157" s="35"/>
      <c r="BI157" s="35"/>
      <c r="BK157" s="37"/>
      <c r="BL157" s="35"/>
      <c r="BM157" s="35">
        <f>BM130</f>
        <v>0</v>
      </c>
      <c r="BN157" s="35"/>
      <c r="BO157" s="35"/>
      <c r="BQ157" s="37"/>
      <c r="BR157" s="35"/>
      <c r="BS157" s="35">
        <f>BS130</f>
        <v>0</v>
      </c>
      <c r="BT157" s="35"/>
      <c r="BU157" s="35"/>
      <c r="BW157" s="37"/>
      <c r="BX157" s="35"/>
      <c r="BY157" s="35">
        <f>BY130</f>
        <v>320000</v>
      </c>
      <c r="BZ157" s="35"/>
      <c r="CA157" s="35"/>
      <c r="CC157" s="37"/>
      <c r="CD157" s="35"/>
      <c r="CE157" s="35">
        <f>CE130</f>
        <v>0</v>
      </c>
      <c r="CF157" s="35"/>
      <c r="CG157" s="35"/>
      <c r="CI157" s="37"/>
      <c r="CJ157" s="35"/>
      <c r="CK157" s="35">
        <f>CK130</f>
        <v>0</v>
      </c>
      <c r="CL157" s="35"/>
      <c r="CM157" s="35"/>
      <c r="CO157" s="37"/>
      <c r="CP157" s="35"/>
      <c r="CQ157" s="35">
        <f>CQ130</f>
        <v>0</v>
      </c>
      <c r="CR157" s="35"/>
      <c r="CS157" s="35"/>
      <c r="CU157" s="37"/>
      <c r="CV157" s="35"/>
      <c r="CW157" s="35">
        <f>CW130</f>
        <v>267500</v>
      </c>
      <c r="CX157" s="35"/>
      <c r="CY157" s="35"/>
      <c r="DA157" s="37"/>
      <c r="DB157" s="35"/>
      <c r="DC157" s="35">
        <f>DC130</f>
        <v>0</v>
      </c>
      <c r="DD157" s="35"/>
      <c r="DE157" s="35"/>
      <c r="DG157" s="37"/>
      <c r="DH157" s="35"/>
      <c r="DI157" s="35">
        <f>DI130</f>
        <v>500000</v>
      </c>
      <c r="DJ157" s="35"/>
      <c r="DK157" s="35"/>
      <c r="DM157" s="37"/>
      <c r="DN157" s="35"/>
      <c r="DO157" s="35">
        <f>DO130</f>
        <v>0</v>
      </c>
      <c r="DP157" s="35"/>
      <c r="DQ157" s="35"/>
      <c r="DS157" s="37"/>
      <c r="DT157" s="35"/>
      <c r="DU157" s="35">
        <f>DU130</f>
        <v>0</v>
      </c>
      <c r="DV157" s="35"/>
      <c r="DW157" s="35"/>
      <c r="DY157" s="37"/>
      <c r="DZ157" s="35"/>
      <c r="EA157" s="35">
        <f>EA130</f>
        <v>0</v>
      </c>
      <c r="EB157" s="35"/>
      <c r="EC157" s="35"/>
      <c r="EE157" s="37"/>
      <c r="EF157" s="35"/>
      <c r="EG157" s="35">
        <f>EG130</f>
        <v>0</v>
      </c>
      <c r="EH157" s="35"/>
      <c r="EI157" s="35"/>
      <c r="EK157" s="37"/>
      <c r="EL157" s="35"/>
      <c r="EM157" s="35">
        <f>EM130</f>
        <v>0</v>
      </c>
      <c r="EN157" s="35"/>
      <c r="EO157" s="35"/>
      <c r="EQ157" s="37"/>
      <c r="ER157" s="35"/>
      <c r="ES157" s="35">
        <f>ES130</f>
        <v>0</v>
      </c>
      <c r="ET157" s="35"/>
      <c r="EU157" s="35"/>
      <c r="EW157" s="37"/>
      <c r="EX157" s="35"/>
      <c r="EY157" s="35">
        <f>EY130</f>
        <v>0</v>
      </c>
      <c r="EZ157" s="35"/>
      <c r="FA157" s="35"/>
      <c r="FC157" s="37"/>
      <c r="FD157" s="35"/>
      <c r="FE157" s="35">
        <f>FE130</f>
        <v>214000</v>
      </c>
      <c r="FF157" s="35"/>
      <c r="FG157" s="35"/>
      <c r="FI157" s="37"/>
      <c r="FJ157" s="35"/>
      <c r="FK157" s="35">
        <f>FK130</f>
        <v>650000</v>
      </c>
      <c r="FL157" s="35"/>
      <c r="FM157" s="35"/>
      <c r="FO157" s="37"/>
      <c r="FP157" s="35"/>
      <c r="FQ157" s="35">
        <f>FQ130</f>
        <v>0</v>
      </c>
      <c r="FR157" s="35"/>
      <c r="FS157" s="35"/>
      <c r="FU157" s="37"/>
      <c r="FV157" s="35"/>
      <c r="FW157" s="35">
        <f>FW130</f>
        <v>0</v>
      </c>
      <c r="FX157" s="35"/>
      <c r="FY157" s="35"/>
      <c r="GA157" s="37"/>
      <c r="GB157" s="35"/>
      <c r="GC157" s="35">
        <f>GC130</f>
        <v>0</v>
      </c>
      <c r="GD157" s="35"/>
      <c r="GE157" s="35"/>
      <c r="GG157" s="37"/>
      <c r="GH157" s="35"/>
      <c r="GI157" s="35">
        <f>GI130</f>
        <v>0</v>
      </c>
      <c r="GJ157" s="35"/>
      <c r="GK157" s="35"/>
      <c r="GM157" s="37"/>
      <c r="GN157" s="35"/>
      <c r="GO157" s="35">
        <f>GO130</f>
        <v>0</v>
      </c>
      <c r="GP157" s="35"/>
      <c r="GQ157" s="35"/>
      <c r="GS157" s="37"/>
      <c r="GT157" s="35"/>
      <c r="GU157" s="35">
        <f>GU130</f>
        <v>0</v>
      </c>
      <c r="GV157" s="35"/>
      <c r="GW157" s="35"/>
      <c r="GY157" s="37"/>
      <c r="GZ157" s="35"/>
      <c r="HA157" s="35">
        <f>HA130</f>
        <v>0</v>
      </c>
      <c r="HB157" s="35"/>
      <c r="HC157" s="35"/>
    </row>
    <row r="158" spans="1:211" s="36" customFormat="1" outlineLevel="1" x14ac:dyDescent="0.2">
      <c r="A158" s="36" t="s">
        <v>129</v>
      </c>
      <c r="B158" s="35">
        <f t="shared" si="489"/>
        <v>1501500</v>
      </c>
      <c r="C158" s="37"/>
      <c r="D158" s="35"/>
      <c r="E158" s="35">
        <f t="shared" ref="E158:E168" si="490">E131</f>
        <v>0</v>
      </c>
      <c r="F158" s="35"/>
      <c r="G158" s="35"/>
      <c r="I158" s="37"/>
      <c r="J158" s="35"/>
      <c r="K158" s="35">
        <f t="shared" ref="K158:K168" si="491">K131</f>
        <v>0</v>
      </c>
      <c r="L158" s="35"/>
      <c r="M158" s="35"/>
      <c r="O158" s="37"/>
      <c r="P158" s="35"/>
      <c r="Q158" s="35">
        <f t="shared" ref="Q158:Q168" si="492">Q131</f>
        <v>0</v>
      </c>
      <c r="R158" s="35"/>
      <c r="S158" s="35"/>
      <c r="U158" s="37"/>
      <c r="V158" s="35"/>
      <c r="W158" s="35">
        <f t="shared" ref="W158:W168" si="493">W131</f>
        <v>0</v>
      </c>
      <c r="X158" s="35"/>
      <c r="Y158" s="35"/>
      <c r="AA158" s="37"/>
      <c r="AB158" s="35"/>
      <c r="AC158" s="35">
        <f t="shared" ref="AC158:AC168" si="494">AC131</f>
        <v>200000</v>
      </c>
      <c r="AD158" s="35"/>
      <c r="AE158" s="35"/>
      <c r="AG158" s="37"/>
      <c r="AH158" s="35"/>
      <c r="AI158" s="35">
        <f t="shared" ref="AI158:AI168" si="495">AI131</f>
        <v>0</v>
      </c>
      <c r="AJ158" s="35"/>
      <c r="AK158" s="35"/>
      <c r="AM158" s="37"/>
      <c r="AN158" s="35"/>
      <c r="AO158" s="35">
        <f t="shared" ref="AO158:AO168" si="496">AO131</f>
        <v>0</v>
      </c>
      <c r="AP158" s="35"/>
      <c r="AQ158" s="35"/>
      <c r="AS158" s="37"/>
      <c r="AT158" s="35"/>
      <c r="AU158" s="35">
        <f t="shared" ref="AU158:AU168" si="497">AU131</f>
        <v>0</v>
      </c>
      <c r="AV158" s="35"/>
      <c r="AW158" s="35"/>
      <c r="AY158" s="37"/>
      <c r="AZ158" s="35"/>
      <c r="BA158" s="35">
        <f t="shared" ref="BA158:BA168" si="498">BA131</f>
        <v>0</v>
      </c>
      <c r="BB158" s="35"/>
      <c r="BC158" s="35"/>
      <c r="BE158" s="37"/>
      <c r="BF158" s="35"/>
      <c r="BG158" s="35">
        <f t="shared" ref="BG158:BG168" si="499">BG131</f>
        <v>0</v>
      </c>
      <c r="BH158" s="35"/>
      <c r="BI158" s="35"/>
      <c r="BK158" s="37"/>
      <c r="BL158" s="35"/>
      <c r="BM158" s="35">
        <f t="shared" ref="BM158:BM168" si="500">BM131</f>
        <v>0</v>
      </c>
      <c r="BN158" s="35"/>
      <c r="BO158" s="35"/>
      <c r="BQ158" s="37"/>
      <c r="BR158" s="35"/>
      <c r="BS158" s="35">
        <f t="shared" ref="BS158:BS168" si="501">BS131</f>
        <v>0</v>
      </c>
      <c r="BT158" s="35"/>
      <c r="BU158" s="35"/>
      <c r="BW158" s="37"/>
      <c r="BX158" s="35"/>
      <c r="BY158" s="35">
        <f t="shared" ref="BY158:BY168" si="502">BY131</f>
        <v>320000</v>
      </c>
      <c r="BZ158" s="35"/>
      <c r="CA158" s="35"/>
      <c r="CC158" s="37"/>
      <c r="CD158" s="35"/>
      <c r="CE158" s="35">
        <f t="shared" ref="CE158:CE168" si="503">CE131</f>
        <v>0</v>
      </c>
      <c r="CF158" s="35"/>
      <c r="CG158" s="35"/>
      <c r="CI158" s="37"/>
      <c r="CJ158" s="35"/>
      <c r="CK158" s="35">
        <f t="shared" ref="CK158:CK168" si="504">CK131</f>
        <v>0</v>
      </c>
      <c r="CL158" s="35"/>
      <c r="CM158" s="35"/>
      <c r="CO158" s="37"/>
      <c r="CP158" s="35"/>
      <c r="CQ158" s="35">
        <f t="shared" ref="CQ158:CQ168" si="505">CQ131</f>
        <v>0</v>
      </c>
      <c r="CR158" s="35"/>
      <c r="CS158" s="35"/>
      <c r="CU158" s="37"/>
      <c r="CV158" s="35"/>
      <c r="CW158" s="35">
        <f t="shared" ref="CW158:CW168" si="506">CW131</f>
        <v>267500</v>
      </c>
      <c r="CX158" s="35"/>
      <c r="CY158" s="35"/>
      <c r="DA158" s="37"/>
      <c r="DB158" s="35"/>
      <c r="DC158" s="35">
        <f t="shared" ref="DC158:DC168" si="507">DC131</f>
        <v>0</v>
      </c>
      <c r="DD158" s="35"/>
      <c r="DE158" s="35"/>
      <c r="DG158" s="37"/>
      <c r="DH158" s="35"/>
      <c r="DI158" s="35">
        <f t="shared" ref="DI158:DI168" si="508">DI131</f>
        <v>500000</v>
      </c>
      <c r="DJ158" s="35"/>
      <c r="DK158" s="35"/>
      <c r="DM158" s="37"/>
      <c r="DN158" s="35"/>
      <c r="DO158" s="35">
        <f t="shared" ref="DO158:DO168" si="509">DO131</f>
        <v>0</v>
      </c>
      <c r="DP158" s="35"/>
      <c r="DQ158" s="35"/>
      <c r="DS158" s="37"/>
      <c r="DT158" s="35"/>
      <c r="DU158" s="35">
        <f t="shared" ref="DU158:DU168" si="510">DU131</f>
        <v>0</v>
      </c>
      <c r="DV158" s="35"/>
      <c r="DW158" s="35"/>
      <c r="DY158" s="37"/>
      <c r="DZ158" s="35"/>
      <c r="EA158" s="35">
        <f t="shared" ref="EA158:EA168" si="511">EA131</f>
        <v>0</v>
      </c>
      <c r="EB158" s="35"/>
      <c r="EC158" s="35"/>
      <c r="EE158" s="37"/>
      <c r="EF158" s="35"/>
      <c r="EG158" s="35">
        <f t="shared" ref="EG158:EG168" si="512">EG131</f>
        <v>0</v>
      </c>
      <c r="EH158" s="35"/>
      <c r="EI158" s="35"/>
      <c r="EK158" s="37"/>
      <c r="EL158" s="35"/>
      <c r="EM158" s="35">
        <f t="shared" ref="EM158:EM168" si="513">EM131</f>
        <v>0</v>
      </c>
      <c r="EN158" s="35"/>
      <c r="EO158" s="35"/>
      <c r="EQ158" s="37"/>
      <c r="ER158" s="35"/>
      <c r="ES158" s="35">
        <f t="shared" ref="ES158:ES168" si="514">ES131</f>
        <v>0</v>
      </c>
      <c r="ET158" s="35"/>
      <c r="EU158" s="35"/>
      <c r="EW158" s="37"/>
      <c r="EX158" s="35"/>
      <c r="EY158" s="35">
        <f t="shared" ref="EY158:EY168" si="515">EY131</f>
        <v>0</v>
      </c>
      <c r="EZ158" s="35"/>
      <c r="FA158" s="35"/>
      <c r="FC158" s="37"/>
      <c r="FD158" s="35"/>
      <c r="FE158" s="35">
        <f t="shared" ref="FE158:FE168" si="516">FE131</f>
        <v>214000</v>
      </c>
      <c r="FF158" s="35"/>
      <c r="FG158" s="35"/>
      <c r="FI158" s="37"/>
      <c r="FJ158" s="35"/>
      <c r="FK158" s="35">
        <f t="shared" ref="FK158:FK168" si="517">FK131</f>
        <v>0</v>
      </c>
      <c r="FL158" s="35"/>
      <c r="FM158" s="35"/>
      <c r="FO158" s="37"/>
      <c r="FP158" s="35"/>
      <c r="FQ158" s="35">
        <f t="shared" ref="FQ158:FQ168" si="518">FQ131</f>
        <v>0</v>
      </c>
      <c r="FR158" s="35"/>
      <c r="FS158" s="35"/>
      <c r="FU158" s="37"/>
      <c r="FV158" s="35"/>
      <c r="FW158" s="35">
        <f t="shared" ref="FW158:FW168" si="519">FW131</f>
        <v>0</v>
      </c>
      <c r="FX158" s="35"/>
      <c r="FY158" s="35"/>
      <c r="GA158" s="37"/>
      <c r="GB158" s="35"/>
      <c r="GC158" s="35">
        <f t="shared" ref="GC158:GC168" si="520">GC131</f>
        <v>0</v>
      </c>
      <c r="GD158" s="35"/>
      <c r="GE158" s="35"/>
      <c r="GG158" s="37"/>
      <c r="GH158" s="35"/>
      <c r="GI158" s="35">
        <f t="shared" ref="GI158:GI168" si="521">GI131</f>
        <v>0</v>
      </c>
      <c r="GJ158" s="35"/>
      <c r="GK158" s="35"/>
      <c r="GM158" s="37"/>
      <c r="GN158" s="35"/>
      <c r="GO158" s="35">
        <f t="shared" ref="GO158:GO168" si="522">GO131</f>
        <v>0</v>
      </c>
      <c r="GP158" s="35"/>
      <c r="GQ158" s="35"/>
      <c r="GS158" s="37"/>
      <c r="GT158" s="35"/>
      <c r="GU158" s="35">
        <f t="shared" ref="GU158:GU168" si="523">GU131</f>
        <v>0</v>
      </c>
      <c r="GV158" s="35"/>
      <c r="GW158" s="35"/>
      <c r="GY158" s="37"/>
      <c r="GZ158" s="35"/>
      <c r="HA158" s="35">
        <f t="shared" ref="HA158:HA168" si="524">HA131</f>
        <v>0</v>
      </c>
      <c r="HB158" s="35"/>
      <c r="HC158" s="35"/>
    </row>
    <row r="159" spans="1:211" s="36" customFormat="1" outlineLevel="1" x14ac:dyDescent="0.2">
      <c r="A159" s="36" t="s">
        <v>130</v>
      </c>
      <c r="B159" s="35">
        <f t="shared" si="489"/>
        <v>0</v>
      </c>
      <c r="C159" s="37"/>
      <c r="D159" s="35"/>
      <c r="E159" s="35">
        <f t="shared" si="490"/>
        <v>0</v>
      </c>
      <c r="F159" s="35"/>
      <c r="G159" s="35"/>
      <c r="I159" s="37"/>
      <c r="J159" s="35"/>
      <c r="K159" s="35">
        <f t="shared" si="491"/>
        <v>0</v>
      </c>
      <c r="L159" s="35"/>
      <c r="M159" s="35"/>
      <c r="O159" s="37"/>
      <c r="P159" s="35"/>
      <c r="Q159" s="35">
        <f t="shared" si="492"/>
        <v>0</v>
      </c>
      <c r="R159" s="35"/>
      <c r="S159" s="35"/>
      <c r="U159" s="37"/>
      <c r="V159" s="35"/>
      <c r="W159" s="35">
        <f t="shared" si="493"/>
        <v>0</v>
      </c>
      <c r="X159" s="35"/>
      <c r="Y159" s="35"/>
      <c r="AA159" s="37"/>
      <c r="AB159" s="35"/>
      <c r="AC159" s="35">
        <f t="shared" si="494"/>
        <v>0</v>
      </c>
      <c r="AD159" s="35"/>
      <c r="AE159" s="35"/>
      <c r="AG159" s="37"/>
      <c r="AH159" s="35"/>
      <c r="AI159" s="35">
        <f t="shared" si="495"/>
        <v>0</v>
      </c>
      <c r="AJ159" s="35"/>
      <c r="AK159" s="35"/>
      <c r="AM159" s="37"/>
      <c r="AN159" s="35"/>
      <c r="AO159" s="35">
        <f t="shared" si="496"/>
        <v>0</v>
      </c>
      <c r="AP159" s="35"/>
      <c r="AQ159" s="35"/>
      <c r="AS159" s="37"/>
      <c r="AT159" s="35"/>
      <c r="AU159" s="35">
        <f t="shared" si="497"/>
        <v>0</v>
      </c>
      <c r="AV159" s="35"/>
      <c r="AW159" s="35"/>
      <c r="AY159" s="37"/>
      <c r="AZ159" s="35"/>
      <c r="BA159" s="35">
        <f t="shared" si="498"/>
        <v>0</v>
      </c>
      <c r="BB159" s="35"/>
      <c r="BC159" s="35"/>
      <c r="BE159" s="37"/>
      <c r="BF159" s="35"/>
      <c r="BG159" s="35">
        <f t="shared" si="499"/>
        <v>0</v>
      </c>
      <c r="BH159" s="35"/>
      <c r="BI159" s="35"/>
      <c r="BK159" s="37"/>
      <c r="BL159" s="35"/>
      <c r="BM159" s="35">
        <f t="shared" si="500"/>
        <v>0</v>
      </c>
      <c r="BN159" s="35"/>
      <c r="BO159" s="35"/>
      <c r="BQ159" s="37"/>
      <c r="BR159" s="35"/>
      <c r="BS159" s="35">
        <f t="shared" si="501"/>
        <v>0</v>
      </c>
      <c r="BT159" s="35"/>
      <c r="BU159" s="35"/>
      <c r="BW159" s="37"/>
      <c r="BX159" s="35"/>
      <c r="BY159" s="35">
        <f t="shared" si="502"/>
        <v>0</v>
      </c>
      <c r="BZ159" s="35"/>
      <c r="CA159" s="35"/>
      <c r="CC159" s="37"/>
      <c r="CD159" s="35"/>
      <c r="CE159" s="35">
        <f t="shared" si="503"/>
        <v>0</v>
      </c>
      <c r="CF159" s="35"/>
      <c r="CG159" s="35"/>
      <c r="CI159" s="37"/>
      <c r="CJ159" s="35"/>
      <c r="CK159" s="35">
        <f t="shared" si="504"/>
        <v>0</v>
      </c>
      <c r="CL159" s="35"/>
      <c r="CM159" s="35"/>
      <c r="CO159" s="37"/>
      <c r="CP159" s="35"/>
      <c r="CQ159" s="35">
        <f t="shared" si="505"/>
        <v>0</v>
      </c>
      <c r="CR159" s="35"/>
      <c r="CS159" s="35"/>
      <c r="CU159" s="37"/>
      <c r="CV159" s="35"/>
      <c r="CW159" s="35">
        <f t="shared" si="506"/>
        <v>0</v>
      </c>
      <c r="CX159" s="35"/>
      <c r="CY159" s="35"/>
      <c r="DA159" s="37"/>
      <c r="DB159" s="35"/>
      <c r="DC159" s="35">
        <f t="shared" si="507"/>
        <v>0</v>
      </c>
      <c r="DD159" s="35"/>
      <c r="DE159" s="35"/>
      <c r="DG159" s="37"/>
      <c r="DH159" s="35"/>
      <c r="DI159" s="35">
        <f t="shared" si="508"/>
        <v>0</v>
      </c>
      <c r="DJ159" s="35"/>
      <c r="DK159" s="35"/>
      <c r="DM159" s="37"/>
      <c r="DN159" s="35"/>
      <c r="DO159" s="35">
        <f t="shared" si="509"/>
        <v>0</v>
      </c>
      <c r="DP159" s="35"/>
      <c r="DQ159" s="35"/>
      <c r="DS159" s="37"/>
      <c r="DT159" s="35"/>
      <c r="DU159" s="35">
        <f t="shared" si="510"/>
        <v>0</v>
      </c>
      <c r="DV159" s="35"/>
      <c r="DW159" s="35"/>
      <c r="DY159" s="37"/>
      <c r="DZ159" s="35"/>
      <c r="EA159" s="35">
        <f t="shared" si="511"/>
        <v>0</v>
      </c>
      <c r="EB159" s="35"/>
      <c r="EC159" s="35"/>
      <c r="EE159" s="37"/>
      <c r="EF159" s="35"/>
      <c r="EG159" s="35">
        <f t="shared" si="512"/>
        <v>0</v>
      </c>
      <c r="EH159" s="35"/>
      <c r="EI159" s="35"/>
      <c r="EK159" s="37"/>
      <c r="EL159" s="35"/>
      <c r="EM159" s="35">
        <f t="shared" si="513"/>
        <v>0</v>
      </c>
      <c r="EN159" s="35"/>
      <c r="EO159" s="35"/>
      <c r="EQ159" s="37"/>
      <c r="ER159" s="35"/>
      <c r="ES159" s="35">
        <f t="shared" si="514"/>
        <v>0</v>
      </c>
      <c r="ET159" s="35"/>
      <c r="EU159" s="35"/>
      <c r="EW159" s="37"/>
      <c r="EX159" s="35"/>
      <c r="EY159" s="35">
        <f t="shared" si="515"/>
        <v>0</v>
      </c>
      <c r="EZ159" s="35"/>
      <c r="FA159" s="35"/>
      <c r="FC159" s="37"/>
      <c r="FD159" s="35"/>
      <c r="FE159" s="35">
        <f t="shared" si="516"/>
        <v>0</v>
      </c>
      <c r="FF159" s="35"/>
      <c r="FG159" s="35"/>
      <c r="FI159" s="37"/>
      <c r="FJ159" s="35"/>
      <c r="FK159" s="35">
        <f t="shared" si="517"/>
        <v>0</v>
      </c>
      <c r="FL159" s="35"/>
      <c r="FM159" s="35"/>
      <c r="FO159" s="37"/>
      <c r="FP159" s="35"/>
      <c r="FQ159" s="35">
        <f t="shared" si="518"/>
        <v>0</v>
      </c>
      <c r="FR159" s="35"/>
      <c r="FS159" s="35"/>
      <c r="FU159" s="37"/>
      <c r="FV159" s="35"/>
      <c r="FW159" s="35">
        <f t="shared" si="519"/>
        <v>0</v>
      </c>
      <c r="FX159" s="35"/>
      <c r="FY159" s="35"/>
      <c r="GA159" s="37"/>
      <c r="GB159" s="35"/>
      <c r="GC159" s="35">
        <f t="shared" si="520"/>
        <v>0</v>
      </c>
      <c r="GD159" s="35"/>
      <c r="GE159" s="35"/>
      <c r="GG159" s="37"/>
      <c r="GH159" s="35"/>
      <c r="GI159" s="35">
        <f t="shared" si="521"/>
        <v>0</v>
      </c>
      <c r="GJ159" s="35"/>
      <c r="GK159" s="35"/>
      <c r="GM159" s="37"/>
      <c r="GN159" s="35"/>
      <c r="GO159" s="35">
        <f t="shared" si="522"/>
        <v>0</v>
      </c>
      <c r="GP159" s="35"/>
      <c r="GQ159" s="35"/>
      <c r="GS159" s="37"/>
      <c r="GT159" s="35"/>
      <c r="GU159" s="35">
        <f t="shared" si="523"/>
        <v>0</v>
      </c>
      <c r="GV159" s="35"/>
      <c r="GW159" s="35"/>
      <c r="GY159" s="37"/>
      <c r="GZ159" s="35"/>
      <c r="HA159" s="35">
        <f t="shared" si="524"/>
        <v>0</v>
      </c>
      <c r="HB159" s="35"/>
      <c r="HC159" s="35"/>
    </row>
    <row r="160" spans="1:211" s="36" customFormat="1" outlineLevel="1" x14ac:dyDescent="0.2">
      <c r="A160" s="36" t="s">
        <v>131</v>
      </c>
      <c r="B160" s="35">
        <f t="shared" si="489"/>
        <v>0</v>
      </c>
      <c r="C160" s="37"/>
      <c r="D160" s="35"/>
      <c r="E160" s="35">
        <f t="shared" si="490"/>
        <v>0</v>
      </c>
      <c r="F160" s="35"/>
      <c r="G160" s="35"/>
      <c r="I160" s="37"/>
      <c r="J160" s="35"/>
      <c r="K160" s="35">
        <f t="shared" si="491"/>
        <v>0</v>
      </c>
      <c r="L160" s="35"/>
      <c r="M160" s="35"/>
      <c r="O160" s="37"/>
      <c r="P160" s="35"/>
      <c r="Q160" s="35">
        <f t="shared" si="492"/>
        <v>0</v>
      </c>
      <c r="R160" s="35"/>
      <c r="S160" s="35"/>
      <c r="U160" s="37"/>
      <c r="V160" s="35"/>
      <c r="W160" s="35">
        <f t="shared" si="493"/>
        <v>0</v>
      </c>
      <c r="X160" s="35"/>
      <c r="Y160" s="35"/>
      <c r="AA160" s="37"/>
      <c r="AB160" s="35"/>
      <c r="AC160" s="35">
        <f t="shared" si="494"/>
        <v>0</v>
      </c>
      <c r="AD160" s="35"/>
      <c r="AE160" s="35"/>
      <c r="AG160" s="37"/>
      <c r="AH160" s="35"/>
      <c r="AI160" s="35">
        <f t="shared" si="495"/>
        <v>0</v>
      </c>
      <c r="AJ160" s="35"/>
      <c r="AK160" s="35"/>
      <c r="AM160" s="37"/>
      <c r="AN160" s="35"/>
      <c r="AO160" s="35">
        <f t="shared" si="496"/>
        <v>0</v>
      </c>
      <c r="AP160" s="35"/>
      <c r="AQ160" s="35"/>
      <c r="AS160" s="37"/>
      <c r="AT160" s="35"/>
      <c r="AU160" s="35">
        <f t="shared" si="497"/>
        <v>0</v>
      </c>
      <c r="AV160" s="35"/>
      <c r="AW160" s="35"/>
      <c r="AY160" s="37"/>
      <c r="AZ160" s="35"/>
      <c r="BA160" s="35">
        <f t="shared" si="498"/>
        <v>0</v>
      </c>
      <c r="BB160" s="35"/>
      <c r="BC160" s="35"/>
      <c r="BE160" s="37"/>
      <c r="BF160" s="35"/>
      <c r="BG160" s="35">
        <f t="shared" si="499"/>
        <v>0</v>
      </c>
      <c r="BH160" s="35"/>
      <c r="BI160" s="35"/>
      <c r="BK160" s="37"/>
      <c r="BL160" s="35"/>
      <c r="BM160" s="35">
        <f t="shared" si="500"/>
        <v>0</v>
      </c>
      <c r="BN160" s="35"/>
      <c r="BO160" s="35"/>
      <c r="BQ160" s="37"/>
      <c r="BR160" s="35"/>
      <c r="BS160" s="35">
        <f t="shared" si="501"/>
        <v>0</v>
      </c>
      <c r="BT160" s="35"/>
      <c r="BU160" s="35"/>
      <c r="BW160" s="37"/>
      <c r="BX160" s="35"/>
      <c r="BY160" s="35">
        <f t="shared" si="502"/>
        <v>0</v>
      </c>
      <c r="BZ160" s="35"/>
      <c r="CA160" s="35"/>
      <c r="CC160" s="37"/>
      <c r="CD160" s="35"/>
      <c r="CE160" s="35">
        <f t="shared" si="503"/>
        <v>0</v>
      </c>
      <c r="CF160" s="35"/>
      <c r="CG160" s="35"/>
      <c r="CI160" s="37"/>
      <c r="CJ160" s="35"/>
      <c r="CK160" s="35">
        <f t="shared" si="504"/>
        <v>0</v>
      </c>
      <c r="CL160" s="35"/>
      <c r="CM160" s="35"/>
      <c r="CO160" s="37"/>
      <c r="CP160" s="35"/>
      <c r="CQ160" s="35">
        <f t="shared" si="505"/>
        <v>0</v>
      </c>
      <c r="CR160" s="35"/>
      <c r="CS160" s="35"/>
      <c r="CU160" s="37"/>
      <c r="CV160" s="35"/>
      <c r="CW160" s="35">
        <f t="shared" si="506"/>
        <v>0</v>
      </c>
      <c r="CX160" s="35"/>
      <c r="CY160" s="35"/>
      <c r="DA160" s="37"/>
      <c r="DB160" s="35"/>
      <c r="DC160" s="35">
        <f t="shared" si="507"/>
        <v>0</v>
      </c>
      <c r="DD160" s="35"/>
      <c r="DE160" s="35"/>
      <c r="DG160" s="37"/>
      <c r="DH160" s="35"/>
      <c r="DI160" s="35">
        <f t="shared" si="508"/>
        <v>0</v>
      </c>
      <c r="DJ160" s="35"/>
      <c r="DK160" s="35"/>
      <c r="DM160" s="37"/>
      <c r="DN160" s="35"/>
      <c r="DO160" s="35">
        <f t="shared" si="509"/>
        <v>0</v>
      </c>
      <c r="DP160" s="35"/>
      <c r="DQ160" s="35"/>
      <c r="DS160" s="37"/>
      <c r="DT160" s="35"/>
      <c r="DU160" s="35">
        <f t="shared" si="510"/>
        <v>0</v>
      </c>
      <c r="DV160" s="35"/>
      <c r="DW160" s="35"/>
      <c r="DY160" s="37"/>
      <c r="DZ160" s="35"/>
      <c r="EA160" s="35">
        <f t="shared" si="511"/>
        <v>0</v>
      </c>
      <c r="EB160" s="35"/>
      <c r="EC160" s="35"/>
      <c r="EE160" s="37"/>
      <c r="EF160" s="35"/>
      <c r="EG160" s="35">
        <f t="shared" si="512"/>
        <v>0</v>
      </c>
      <c r="EH160" s="35"/>
      <c r="EI160" s="35"/>
      <c r="EK160" s="37"/>
      <c r="EL160" s="35"/>
      <c r="EM160" s="35">
        <f t="shared" si="513"/>
        <v>0</v>
      </c>
      <c r="EN160" s="35"/>
      <c r="EO160" s="35"/>
      <c r="EQ160" s="37"/>
      <c r="ER160" s="35"/>
      <c r="ES160" s="35">
        <f t="shared" si="514"/>
        <v>0</v>
      </c>
      <c r="ET160" s="35"/>
      <c r="EU160" s="35"/>
      <c r="EW160" s="37"/>
      <c r="EX160" s="35"/>
      <c r="EY160" s="35">
        <f t="shared" si="515"/>
        <v>0</v>
      </c>
      <c r="EZ160" s="35"/>
      <c r="FA160" s="35"/>
      <c r="FC160" s="37"/>
      <c r="FD160" s="35"/>
      <c r="FE160" s="35">
        <f t="shared" si="516"/>
        <v>0</v>
      </c>
      <c r="FF160" s="35"/>
      <c r="FG160" s="35"/>
      <c r="FI160" s="37"/>
      <c r="FJ160" s="35"/>
      <c r="FK160" s="35">
        <f t="shared" si="517"/>
        <v>0</v>
      </c>
      <c r="FL160" s="35"/>
      <c r="FM160" s="35"/>
      <c r="FO160" s="37"/>
      <c r="FP160" s="35"/>
      <c r="FQ160" s="35">
        <f t="shared" si="518"/>
        <v>0</v>
      </c>
      <c r="FR160" s="35"/>
      <c r="FS160" s="35"/>
      <c r="FU160" s="37"/>
      <c r="FV160" s="35"/>
      <c r="FW160" s="35">
        <f t="shared" si="519"/>
        <v>0</v>
      </c>
      <c r="FX160" s="35"/>
      <c r="FY160" s="35"/>
      <c r="GA160" s="37"/>
      <c r="GB160" s="35"/>
      <c r="GC160" s="35">
        <f t="shared" si="520"/>
        <v>0</v>
      </c>
      <c r="GD160" s="35"/>
      <c r="GE160" s="35"/>
      <c r="GG160" s="37"/>
      <c r="GH160" s="35"/>
      <c r="GI160" s="35">
        <f t="shared" si="521"/>
        <v>0</v>
      </c>
      <c r="GJ160" s="35"/>
      <c r="GK160" s="35"/>
      <c r="GM160" s="37"/>
      <c r="GN160" s="35"/>
      <c r="GO160" s="35">
        <f t="shared" si="522"/>
        <v>0</v>
      </c>
      <c r="GP160" s="35"/>
      <c r="GQ160" s="35"/>
      <c r="GS160" s="37"/>
      <c r="GT160" s="35"/>
      <c r="GU160" s="35">
        <f t="shared" si="523"/>
        <v>0</v>
      </c>
      <c r="GV160" s="35"/>
      <c r="GW160" s="35"/>
      <c r="GY160" s="37"/>
      <c r="GZ160" s="35"/>
      <c r="HA160" s="35">
        <f t="shared" si="524"/>
        <v>0</v>
      </c>
      <c r="HB160" s="35"/>
      <c r="HC160" s="35"/>
    </row>
    <row r="161" spans="1:211" s="36" customFormat="1" outlineLevel="1" x14ac:dyDescent="0.2">
      <c r="A161" s="36" t="s">
        <v>132</v>
      </c>
      <c r="B161" s="35">
        <f t="shared" si="489"/>
        <v>0</v>
      </c>
      <c r="C161" s="37"/>
      <c r="D161" s="35"/>
      <c r="E161" s="35">
        <f t="shared" si="490"/>
        <v>0</v>
      </c>
      <c r="F161" s="35"/>
      <c r="G161" s="35"/>
      <c r="I161" s="37"/>
      <c r="J161" s="35"/>
      <c r="K161" s="35">
        <f t="shared" si="491"/>
        <v>0</v>
      </c>
      <c r="L161" s="35"/>
      <c r="M161" s="35"/>
      <c r="O161" s="37"/>
      <c r="P161" s="35"/>
      <c r="Q161" s="35">
        <f t="shared" si="492"/>
        <v>0</v>
      </c>
      <c r="R161" s="35"/>
      <c r="S161" s="35"/>
      <c r="U161" s="37"/>
      <c r="V161" s="35"/>
      <c r="W161" s="35">
        <f t="shared" si="493"/>
        <v>0</v>
      </c>
      <c r="X161" s="35"/>
      <c r="Y161" s="35"/>
      <c r="AA161" s="37"/>
      <c r="AB161" s="35"/>
      <c r="AC161" s="35">
        <f t="shared" si="494"/>
        <v>0</v>
      </c>
      <c r="AD161" s="35"/>
      <c r="AE161" s="35"/>
      <c r="AG161" s="37"/>
      <c r="AH161" s="35"/>
      <c r="AI161" s="35">
        <f t="shared" si="495"/>
        <v>0</v>
      </c>
      <c r="AJ161" s="35"/>
      <c r="AK161" s="35"/>
      <c r="AM161" s="37"/>
      <c r="AN161" s="35"/>
      <c r="AO161" s="35">
        <f t="shared" si="496"/>
        <v>0</v>
      </c>
      <c r="AP161" s="35"/>
      <c r="AQ161" s="35"/>
      <c r="AS161" s="37"/>
      <c r="AT161" s="35"/>
      <c r="AU161" s="35">
        <f t="shared" si="497"/>
        <v>0</v>
      </c>
      <c r="AV161" s="35"/>
      <c r="AW161" s="35"/>
      <c r="AY161" s="37"/>
      <c r="AZ161" s="35"/>
      <c r="BA161" s="35">
        <f t="shared" si="498"/>
        <v>0</v>
      </c>
      <c r="BB161" s="35"/>
      <c r="BC161" s="35"/>
      <c r="BE161" s="37"/>
      <c r="BF161" s="35"/>
      <c r="BG161" s="35">
        <f t="shared" si="499"/>
        <v>0</v>
      </c>
      <c r="BH161" s="35"/>
      <c r="BI161" s="35"/>
      <c r="BK161" s="37"/>
      <c r="BL161" s="35"/>
      <c r="BM161" s="35">
        <f t="shared" si="500"/>
        <v>0</v>
      </c>
      <c r="BN161" s="35"/>
      <c r="BO161" s="35"/>
      <c r="BQ161" s="37"/>
      <c r="BR161" s="35"/>
      <c r="BS161" s="35">
        <f t="shared" si="501"/>
        <v>0</v>
      </c>
      <c r="BT161" s="35"/>
      <c r="BU161" s="35"/>
      <c r="BW161" s="37"/>
      <c r="BX161" s="35"/>
      <c r="BY161" s="35">
        <f t="shared" si="502"/>
        <v>0</v>
      </c>
      <c r="BZ161" s="35"/>
      <c r="CA161" s="35"/>
      <c r="CC161" s="37"/>
      <c r="CD161" s="35"/>
      <c r="CE161" s="35">
        <f t="shared" si="503"/>
        <v>0</v>
      </c>
      <c r="CF161" s="35"/>
      <c r="CG161" s="35"/>
      <c r="CI161" s="37"/>
      <c r="CJ161" s="35"/>
      <c r="CK161" s="35">
        <f t="shared" si="504"/>
        <v>0</v>
      </c>
      <c r="CL161" s="35"/>
      <c r="CM161" s="35"/>
      <c r="CO161" s="37"/>
      <c r="CP161" s="35"/>
      <c r="CQ161" s="35">
        <f t="shared" si="505"/>
        <v>0</v>
      </c>
      <c r="CR161" s="35"/>
      <c r="CS161" s="35"/>
      <c r="CU161" s="37"/>
      <c r="CV161" s="35"/>
      <c r="CW161" s="35">
        <f t="shared" si="506"/>
        <v>0</v>
      </c>
      <c r="CX161" s="35"/>
      <c r="CY161" s="35"/>
      <c r="DA161" s="37"/>
      <c r="DB161" s="35"/>
      <c r="DC161" s="35">
        <f t="shared" si="507"/>
        <v>0</v>
      </c>
      <c r="DD161" s="35"/>
      <c r="DE161" s="35"/>
      <c r="DG161" s="37"/>
      <c r="DH161" s="35"/>
      <c r="DI161" s="35">
        <f t="shared" si="508"/>
        <v>0</v>
      </c>
      <c r="DJ161" s="35"/>
      <c r="DK161" s="35"/>
      <c r="DM161" s="37"/>
      <c r="DN161" s="35"/>
      <c r="DO161" s="35">
        <f t="shared" si="509"/>
        <v>0</v>
      </c>
      <c r="DP161" s="35"/>
      <c r="DQ161" s="35"/>
      <c r="DS161" s="37"/>
      <c r="DT161" s="35"/>
      <c r="DU161" s="35">
        <f t="shared" si="510"/>
        <v>0</v>
      </c>
      <c r="DV161" s="35"/>
      <c r="DW161" s="35"/>
      <c r="DY161" s="37"/>
      <c r="DZ161" s="35"/>
      <c r="EA161" s="35">
        <f t="shared" si="511"/>
        <v>0</v>
      </c>
      <c r="EB161" s="35"/>
      <c r="EC161" s="35"/>
      <c r="EE161" s="37"/>
      <c r="EF161" s="35"/>
      <c r="EG161" s="35">
        <f t="shared" si="512"/>
        <v>0</v>
      </c>
      <c r="EH161" s="35"/>
      <c r="EI161" s="35"/>
      <c r="EK161" s="37"/>
      <c r="EL161" s="35"/>
      <c r="EM161" s="35">
        <f t="shared" si="513"/>
        <v>0</v>
      </c>
      <c r="EN161" s="35"/>
      <c r="EO161" s="35"/>
      <c r="EQ161" s="37"/>
      <c r="ER161" s="35"/>
      <c r="ES161" s="35">
        <f t="shared" si="514"/>
        <v>0</v>
      </c>
      <c r="ET161" s="35"/>
      <c r="EU161" s="35"/>
      <c r="EW161" s="37"/>
      <c r="EX161" s="35"/>
      <c r="EY161" s="35">
        <f t="shared" si="515"/>
        <v>0</v>
      </c>
      <c r="EZ161" s="35"/>
      <c r="FA161" s="35"/>
      <c r="FC161" s="37"/>
      <c r="FD161" s="35"/>
      <c r="FE161" s="35">
        <f t="shared" si="516"/>
        <v>0</v>
      </c>
      <c r="FF161" s="35"/>
      <c r="FG161" s="35"/>
      <c r="FI161" s="37"/>
      <c r="FJ161" s="35"/>
      <c r="FK161" s="35">
        <f t="shared" si="517"/>
        <v>0</v>
      </c>
      <c r="FL161" s="35"/>
      <c r="FM161" s="35"/>
      <c r="FO161" s="37"/>
      <c r="FP161" s="35"/>
      <c r="FQ161" s="35">
        <f t="shared" si="518"/>
        <v>0</v>
      </c>
      <c r="FR161" s="35"/>
      <c r="FS161" s="35"/>
      <c r="FU161" s="37"/>
      <c r="FV161" s="35"/>
      <c r="FW161" s="35">
        <f t="shared" si="519"/>
        <v>0</v>
      </c>
      <c r="FX161" s="35"/>
      <c r="FY161" s="35"/>
      <c r="GA161" s="37"/>
      <c r="GB161" s="35"/>
      <c r="GC161" s="35">
        <f t="shared" si="520"/>
        <v>0</v>
      </c>
      <c r="GD161" s="35"/>
      <c r="GE161" s="35"/>
      <c r="GG161" s="37"/>
      <c r="GH161" s="35"/>
      <c r="GI161" s="35">
        <f t="shared" si="521"/>
        <v>0</v>
      </c>
      <c r="GJ161" s="35"/>
      <c r="GK161" s="35"/>
      <c r="GM161" s="37"/>
      <c r="GN161" s="35"/>
      <c r="GO161" s="35">
        <f t="shared" si="522"/>
        <v>0</v>
      </c>
      <c r="GP161" s="35"/>
      <c r="GQ161" s="35"/>
      <c r="GS161" s="37"/>
      <c r="GT161" s="35"/>
      <c r="GU161" s="35">
        <f t="shared" si="523"/>
        <v>0</v>
      </c>
      <c r="GV161" s="35"/>
      <c r="GW161" s="35"/>
      <c r="GY161" s="37"/>
      <c r="GZ161" s="35"/>
      <c r="HA161" s="35">
        <f t="shared" si="524"/>
        <v>0</v>
      </c>
      <c r="HB161" s="35"/>
      <c r="HC161" s="35"/>
    </row>
    <row r="162" spans="1:211" s="36" customFormat="1" outlineLevel="1" x14ac:dyDescent="0.2">
      <c r="A162" s="36" t="s">
        <v>133</v>
      </c>
      <c r="B162" s="35">
        <f t="shared" si="489"/>
        <v>0</v>
      </c>
      <c r="C162" s="37"/>
      <c r="D162" s="35"/>
      <c r="E162" s="35">
        <f t="shared" si="490"/>
        <v>0</v>
      </c>
      <c r="F162" s="35"/>
      <c r="G162" s="35"/>
      <c r="I162" s="37"/>
      <c r="J162" s="35"/>
      <c r="K162" s="35">
        <f t="shared" si="491"/>
        <v>0</v>
      </c>
      <c r="L162" s="35"/>
      <c r="M162" s="35"/>
      <c r="O162" s="37"/>
      <c r="P162" s="35"/>
      <c r="Q162" s="35">
        <f t="shared" si="492"/>
        <v>0</v>
      </c>
      <c r="R162" s="35"/>
      <c r="S162" s="35"/>
      <c r="U162" s="37"/>
      <c r="V162" s="35"/>
      <c r="W162" s="35">
        <f t="shared" si="493"/>
        <v>0</v>
      </c>
      <c r="X162" s="35"/>
      <c r="Y162" s="35"/>
      <c r="AA162" s="37"/>
      <c r="AB162" s="35"/>
      <c r="AC162" s="35">
        <f t="shared" si="494"/>
        <v>0</v>
      </c>
      <c r="AD162" s="35"/>
      <c r="AE162" s="35"/>
      <c r="AG162" s="37"/>
      <c r="AH162" s="35"/>
      <c r="AI162" s="35">
        <f t="shared" si="495"/>
        <v>0</v>
      </c>
      <c r="AJ162" s="35"/>
      <c r="AK162" s="35"/>
      <c r="AM162" s="37"/>
      <c r="AN162" s="35"/>
      <c r="AO162" s="35">
        <f t="shared" si="496"/>
        <v>0</v>
      </c>
      <c r="AP162" s="35"/>
      <c r="AQ162" s="35"/>
      <c r="AS162" s="37"/>
      <c r="AT162" s="35"/>
      <c r="AU162" s="35">
        <f t="shared" si="497"/>
        <v>0</v>
      </c>
      <c r="AV162" s="35"/>
      <c r="AW162" s="35"/>
      <c r="AY162" s="37"/>
      <c r="AZ162" s="35"/>
      <c r="BA162" s="35">
        <f t="shared" si="498"/>
        <v>0</v>
      </c>
      <c r="BB162" s="35"/>
      <c r="BC162" s="35"/>
      <c r="BE162" s="37"/>
      <c r="BF162" s="35"/>
      <c r="BG162" s="35">
        <f t="shared" si="499"/>
        <v>0</v>
      </c>
      <c r="BH162" s="35"/>
      <c r="BI162" s="35"/>
      <c r="BK162" s="37"/>
      <c r="BL162" s="35"/>
      <c r="BM162" s="35">
        <f t="shared" si="500"/>
        <v>0</v>
      </c>
      <c r="BN162" s="35"/>
      <c r="BO162" s="35"/>
      <c r="BQ162" s="37"/>
      <c r="BR162" s="35"/>
      <c r="BS162" s="35">
        <f t="shared" si="501"/>
        <v>0</v>
      </c>
      <c r="BT162" s="35"/>
      <c r="BU162" s="35"/>
      <c r="BW162" s="37"/>
      <c r="BX162" s="35"/>
      <c r="BY162" s="35">
        <f t="shared" si="502"/>
        <v>0</v>
      </c>
      <c r="BZ162" s="35"/>
      <c r="CA162" s="35"/>
      <c r="CC162" s="37"/>
      <c r="CD162" s="35"/>
      <c r="CE162" s="35">
        <f t="shared" si="503"/>
        <v>0</v>
      </c>
      <c r="CF162" s="35"/>
      <c r="CG162" s="35"/>
      <c r="CI162" s="37"/>
      <c r="CJ162" s="35"/>
      <c r="CK162" s="35">
        <f t="shared" si="504"/>
        <v>0</v>
      </c>
      <c r="CL162" s="35"/>
      <c r="CM162" s="35"/>
      <c r="CO162" s="37"/>
      <c r="CP162" s="35"/>
      <c r="CQ162" s="35">
        <f t="shared" si="505"/>
        <v>0</v>
      </c>
      <c r="CR162" s="35"/>
      <c r="CS162" s="35"/>
      <c r="CU162" s="37"/>
      <c r="CV162" s="35"/>
      <c r="CW162" s="35">
        <f t="shared" si="506"/>
        <v>0</v>
      </c>
      <c r="CX162" s="35"/>
      <c r="CY162" s="35"/>
      <c r="DA162" s="37"/>
      <c r="DB162" s="35"/>
      <c r="DC162" s="35">
        <f t="shared" si="507"/>
        <v>0</v>
      </c>
      <c r="DD162" s="35"/>
      <c r="DE162" s="35"/>
      <c r="DG162" s="37"/>
      <c r="DH162" s="35"/>
      <c r="DI162" s="35">
        <f t="shared" si="508"/>
        <v>0</v>
      </c>
      <c r="DJ162" s="35"/>
      <c r="DK162" s="35"/>
      <c r="DM162" s="37"/>
      <c r="DN162" s="35"/>
      <c r="DO162" s="35">
        <f t="shared" si="509"/>
        <v>0</v>
      </c>
      <c r="DP162" s="35"/>
      <c r="DQ162" s="35"/>
      <c r="DS162" s="37"/>
      <c r="DT162" s="35"/>
      <c r="DU162" s="35">
        <f t="shared" si="510"/>
        <v>0</v>
      </c>
      <c r="DV162" s="35"/>
      <c r="DW162" s="35"/>
      <c r="DY162" s="37"/>
      <c r="DZ162" s="35"/>
      <c r="EA162" s="35">
        <f t="shared" si="511"/>
        <v>0</v>
      </c>
      <c r="EB162" s="35"/>
      <c r="EC162" s="35"/>
      <c r="EE162" s="37"/>
      <c r="EF162" s="35"/>
      <c r="EG162" s="35">
        <f t="shared" si="512"/>
        <v>0</v>
      </c>
      <c r="EH162" s="35"/>
      <c r="EI162" s="35"/>
      <c r="EK162" s="37"/>
      <c r="EL162" s="35"/>
      <c r="EM162" s="35">
        <f t="shared" si="513"/>
        <v>0</v>
      </c>
      <c r="EN162" s="35"/>
      <c r="EO162" s="35"/>
      <c r="EQ162" s="37"/>
      <c r="ER162" s="35"/>
      <c r="ES162" s="35">
        <f t="shared" si="514"/>
        <v>0</v>
      </c>
      <c r="ET162" s="35"/>
      <c r="EU162" s="35"/>
      <c r="EW162" s="37"/>
      <c r="EX162" s="35"/>
      <c r="EY162" s="35">
        <f t="shared" si="515"/>
        <v>0</v>
      </c>
      <c r="EZ162" s="35"/>
      <c r="FA162" s="35"/>
      <c r="FC162" s="37"/>
      <c r="FD162" s="35"/>
      <c r="FE162" s="35">
        <f t="shared" si="516"/>
        <v>0</v>
      </c>
      <c r="FF162" s="35"/>
      <c r="FG162" s="35"/>
      <c r="FI162" s="37"/>
      <c r="FJ162" s="35"/>
      <c r="FK162" s="35">
        <f t="shared" si="517"/>
        <v>0</v>
      </c>
      <c r="FL162" s="35"/>
      <c r="FM162" s="35"/>
      <c r="FO162" s="37"/>
      <c r="FP162" s="35"/>
      <c r="FQ162" s="35">
        <f t="shared" si="518"/>
        <v>0</v>
      </c>
      <c r="FR162" s="35"/>
      <c r="FS162" s="35"/>
      <c r="FU162" s="37"/>
      <c r="FV162" s="35"/>
      <c r="FW162" s="35">
        <f t="shared" si="519"/>
        <v>0</v>
      </c>
      <c r="FX162" s="35"/>
      <c r="FY162" s="35"/>
      <c r="GA162" s="37"/>
      <c r="GB162" s="35"/>
      <c r="GC162" s="35">
        <f t="shared" si="520"/>
        <v>0</v>
      </c>
      <c r="GD162" s="35"/>
      <c r="GE162" s="35"/>
      <c r="GG162" s="37"/>
      <c r="GH162" s="35"/>
      <c r="GI162" s="35">
        <f t="shared" si="521"/>
        <v>0</v>
      </c>
      <c r="GJ162" s="35"/>
      <c r="GK162" s="35"/>
      <c r="GM162" s="37"/>
      <c r="GN162" s="35"/>
      <c r="GO162" s="35">
        <f t="shared" si="522"/>
        <v>0</v>
      </c>
      <c r="GP162" s="35"/>
      <c r="GQ162" s="35"/>
      <c r="GS162" s="37"/>
      <c r="GT162" s="35"/>
      <c r="GU162" s="35">
        <f t="shared" si="523"/>
        <v>0</v>
      </c>
      <c r="GV162" s="35"/>
      <c r="GW162" s="35"/>
      <c r="GY162" s="37"/>
      <c r="GZ162" s="35"/>
      <c r="HA162" s="35">
        <f t="shared" si="524"/>
        <v>0</v>
      </c>
      <c r="HB162" s="35"/>
      <c r="HC162" s="35"/>
    </row>
    <row r="163" spans="1:211" s="36" customFormat="1" outlineLevel="1" x14ac:dyDescent="0.2">
      <c r="A163" s="36" t="s">
        <v>134</v>
      </c>
      <c r="B163" s="35">
        <f t="shared" si="489"/>
        <v>0</v>
      </c>
      <c r="C163" s="37"/>
      <c r="D163" s="35"/>
      <c r="E163" s="35">
        <f t="shared" si="490"/>
        <v>0</v>
      </c>
      <c r="F163" s="35"/>
      <c r="G163" s="35"/>
      <c r="I163" s="37"/>
      <c r="J163" s="35"/>
      <c r="K163" s="35">
        <f t="shared" si="491"/>
        <v>0</v>
      </c>
      <c r="L163" s="35"/>
      <c r="M163" s="35"/>
      <c r="O163" s="37"/>
      <c r="P163" s="35"/>
      <c r="Q163" s="35">
        <f t="shared" si="492"/>
        <v>0</v>
      </c>
      <c r="R163" s="35"/>
      <c r="S163" s="35"/>
      <c r="U163" s="37"/>
      <c r="V163" s="35"/>
      <c r="W163" s="35">
        <f t="shared" si="493"/>
        <v>0</v>
      </c>
      <c r="X163" s="35"/>
      <c r="Y163" s="35"/>
      <c r="AA163" s="37"/>
      <c r="AB163" s="35"/>
      <c r="AC163" s="35">
        <f t="shared" si="494"/>
        <v>0</v>
      </c>
      <c r="AD163" s="35"/>
      <c r="AE163" s="35"/>
      <c r="AG163" s="37"/>
      <c r="AH163" s="35"/>
      <c r="AI163" s="35">
        <f t="shared" si="495"/>
        <v>0</v>
      </c>
      <c r="AJ163" s="35"/>
      <c r="AK163" s="35"/>
      <c r="AM163" s="37"/>
      <c r="AN163" s="35"/>
      <c r="AO163" s="35">
        <f t="shared" si="496"/>
        <v>0</v>
      </c>
      <c r="AP163" s="35"/>
      <c r="AQ163" s="35"/>
      <c r="AS163" s="37"/>
      <c r="AT163" s="35"/>
      <c r="AU163" s="35">
        <f t="shared" si="497"/>
        <v>0</v>
      </c>
      <c r="AV163" s="35"/>
      <c r="AW163" s="35"/>
      <c r="AY163" s="37"/>
      <c r="AZ163" s="35"/>
      <c r="BA163" s="35">
        <f t="shared" si="498"/>
        <v>0</v>
      </c>
      <c r="BB163" s="35"/>
      <c r="BC163" s="35"/>
      <c r="BE163" s="37"/>
      <c r="BF163" s="35"/>
      <c r="BG163" s="35">
        <f t="shared" si="499"/>
        <v>0</v>
      </c>
      <c r="BH163" s="35"/>
      <c r="BI163" s="35"/>
      <c r="BK163" s="37"/>
      <c r="BL163" s="35"/>
      <c r="BM163" s="35">
        <f t="shared" si="500"/>
        <v>0</v>
      </c>
      <c r="BN163" s="35"/>
      <c r="BO163" s="35"/>
      <c r="BQ163" s="37"/>
      <c r="BR163" s="35"/>
      <c r="BS163" s="35">
        <f t="shared" si="501"/>
        <v>0</v>
      </c>
      <c r="BT163" s="35"/>
      <c r="BU163" s="35"/>
      <c r="BW163" s="37"/>
      <c r="BX163" s="35"/>
      <c r="BY163" s="35">
        <f t="shared" si="502"/>
        <v>0</v>
      </c>
      <c r="BZ163" s="35"/>
      <c r="CA163" s="35"/>
      <c r="CC163" s="37"/>
      <c r="CD163" s="35"/>
      <c r="CE163" s="35">
        <f t="shared" si="503"/>
        <v>0</v>
      </c>
      <c r="CF163" s="35"/>
      <c r="CG163" s="35"/>
      <c r="CI163" s="37"/>
      <c r="CJ163" s="35"/>
      <c r="CK163" s="35">
        <f t="shared" si="504"/>
        <v>0</v>
      </c>
      <c r="CL163" s="35"/>
      <c r="CM163" s="35"/>
      <c r="CO163" s="37"/>
      <c r="CP163" s="35"/>
      <c r="CQ163" s="35">
        <f t="shared" si="505"/>
        <v>0</v>
      </c>
      <c r="CR163" s="35"/>
      <c r="CS163" s="35"/>
      <c r="CU163" s="37"/>
      <c r="CV163" s="35"/>
      <c r="CW163" s="35">
        <f t="shared" si="506"/>
        <v>0</v>
      </c>
      <c r="CX163" s="35"/>
      <c r="CY163" s="35"/>
      <c r="DA163" s="37"/>
      <c r="DB163" s="35"/>
      <c r="DC163" s="35">
        <f t="shared" si="507"/>
        <v>0</v>
      </c>
      <c r="DD163" s="35"/>
      <c r="DE163" s="35"/>
      <c r="DG163" s="37"/>
      <c r="DH163" s="35"/>
      <c r="DI163" s="35">
        <f t="shared" si="508"/>
        <v>0</v>
      </c>
      <c r="DJ163" s="35"/>
      <c r="DK163" s="35"/>
      <c r="DM163" s="37"/>
      <c r="DN163" s="35"/>
      <c r="DO163" s="35">
        <f t="shared" si="509"/>
        <v>0</v>
      </c>
      <c r="DP163" s="35"/>
      <c r="DQ163" s="35"/>
      <c r="DS163" s="37"/>
      <c r="DT163" s="35"/>
      <c r="DU163" s="35">
        <f t="shared" si="510"/>
        <v>0</v>
      </c>
      <c r="DV163" s="35"/>
      <c r="DW163" s="35"/>
      <c r="DY163" s="37"/>
      <c r="DZ163" s="35"/>
      <c r="EA163" s="35">
        <f t="shared" si="511"/>
        <v>0</v>
      </c>
      <c r="EB163" s="35"/>
      <c r="EC163" s="35"/>
      <c r="EE163" s="37"/>
      <c r="EF163" s="35"/>
      <c r="EG163" s="35">
        <f t="shared" si="512"/>
        <v>0</v>
      </c>
      <c r="EH163" s="35"/>
      <c r="EI163" s="35"/>
      <c r="EK163" s="37"/>
      <c r="EL163" s="35"/>
      <c r="EM163" s="35">
        <f t="shared" si="513"/>
        <v>0</v>
      </c>
      <c r="EN163" s="35"/>
      <c r="EO163" s="35"/>
      <c r="EQ163" s="37"/>
      <c r="ER163" s="35"/>
      <c r="ES163" s="35">
        <f t="shared" si="514"/>
        <v>0</v>
      </c>
      <c r="ET163" s="35"/>
      <c r="EU163" s="35"/>
      <c r="EW163" s="37"/>
      <c r="EX163" s="35"/>
      <c r="EY163" s="35">
        <f t="shared" si="515"/>
        <v>0</v>
      </c>
      <c r="EZ163" s="35"/>
      <c r="FA163" s="35"/>
      <c r="FC163" s="37"/>
      <c r="FD163" s="35"/>
      <c r="FE163" s="35">
        <f t="shared" si="516"/>
        <v>0</v>
      </c>
      <c r="FF163" s="35"/>
      <c r="FG163" s="35"/>
      <c r="FI163" s="37"/>
      <c r="FJ163" s="35"/>
      <c r="FK163" s="35">
        <f t="shared" si="517"/>
        <v>0</v>
      </c>
      <c r="FL163" s="35"/>
      <c r="FM163" s="35"/>
      <c r="FO163" s="37"/>
      <c r="FP163" s="35"/>
      <c r="FQ163" s="35">
        <f t="shared" si="518"/>
        <v>0</v>
      </c>
      <c r="FR163" s="35"/>
      <c r="FS163" s="35"/>
      <c r="FU163" s="37"/>
      <c r="FV163" s="35"/>
      <c r="FW163" s="35">
        <f t="shared" si="519"/>
        <v>0</v>
      </c>
      <c r="FX163" s="35"/>
      <c r="FY163" s="35"/>
      <c r="GA163" s="37"/>
      <c r="GB163" s="35"/>
      <c r="GC163" s="35">
        <f t="shared" si="520"/>
        <v>0</v>
      </c>
      <c r="GD163" s="35"/>
      <c r="GE163" s="35"/>
      <c r="GG163" s="37"/>
      <c r="GH163" s="35"/>
      <c r="GI163" s="35">
        <f t="shared" si="521"/>
        <v>0</v>
      </c>
      <c r="GJ163" s="35"/>
      <c r="GK163" s="35"/>
      <c r="GM163" s="37"/>
      <c r="GN163" s="35"/>
      <c r="GO163" s="35">
        <f t="shared" si="522"/>
        <v>0</v>
      </c>
      <c r="GP163" s="35"/>
      <c r="GQ163" s="35"/>
      <c r="GS163" s="37"/>
      <c r="GT163" s="35"/>
      <c r="GU163" s="35">
        <f t="shared" si="523"/>
        <v>0</v>
      </c>
      <c r="GV163" s="35"/>
      <c r="GW163" s="35"/>
      <c r="GY163" s="37"/>
      <c r="GZ163" s="35"/>
      <c r="HA163" s="35">
        <f t="shared" si="524"/>
        <v>0</v>
      </c>
      <c r="HB163" s="35"/>
      <c r="HC163" s="35"/>
    </row>
    <row r="164" spans="1:211" s="36" customFormat="1" outlineLevel="1" x14ac:dyDescent="0.2">
      <c r="A164" s="36" t="s">
        <v>135</v>
      </c>
      <c r="B164" s="35">
        <f t="shared" si="489"/>
        <v>0</v>
      </c>
      <c r="C164" s="37"/>
      <c r="D164" s="35"/>
      <c r="E164" s="35">
        <f t="shared" si="490"/>
        <v>0</v>
      </c>
      <c r="F164" s="35"/>
      <c r="G164" s="35"/>
      <c r="I164" s="37"/>
      <c r="J164" s="35"/>
      <c r="K164" s="35">
        <f t="shared" si="491"/>
        <v>0</v>
      </c>
      <c r="L164" s="35"/>
      <c r="M164" s="35"/>
      <c r="O164" s="37"/>
      <c r="P164" s="35"/>
      <c r="Q164" s="35">
        <f t="shared" si="492"/>
        <v>0</v>
      </c>
      <c r="R164" s="35"/>
      <c r="S164" s="35"/>
      <c r="U164" s="37"/>
      <c r="V164" s="35"/>
      <c r="W164" s="35">
        <f t="shared" si="493"/>
        <v>0</v>
      </c>
      <c r="X164" s="35"/>
      <c r="Y164" s="35"/>
      <c r="AA164" s="37"/>
      <c r="AB164" s="35"/>
      <c r="AC164" s="35">
        <f t="shared" si="494"/>
        <v>0</v>
      </c>
      <c r="AD164" s="35"/>
      <c r="AE164" s="35"/>
      <c r="AG164" s="37"/>
      <c r="AH164" s="35"/>
      <c r="AI164" s="35">
        <f t="shared" si="495"/>
        <v>0</v>
      </c>
      <c r="AJ164" s="35"/>
      <c r="AK164" s="35"/>
      <c r="AM164" s="37"/>
      <c r="AN164" s="35"/>
      <c r="AO164" s="35">
        <f t="shared" si="496"/>
        <v>0</v>
      </c>
      <c r="AP164" s="35"/>
      <c r="AQ164" s="35"/>
      <c r="AS164" s="37"/>
      <c r="AT164" s="35"/>
      <c r="AU164" s="35">
        <f t="shared" si="497"/>
        <v>0</v>
      </c>
      <c r="AV164" s="35"/>
      <c r="AW164" s="35"/>
      <c r="AY164" s="37"/>
      <c r="AZ164" s="35"/>
      <c r="BA164" s="35">
        <f t="shared" si="498"/>
        <v>0</v>
      </c>
      <c r="BB164" s="35"/>
      <c r="BC164" s="35"/>
      <c r="BE164" s="37"/>
      <c r="BF164" s="35"/>
      <c r="BG164" s="35">
        <f t="shared" si="499"/>
        <v>0</v>
      </c>
      <c r="BH164" s="35"/>
      <c r="BI164" s="35"/>
      <c r="BK164" s="37"/>
      <c r="BL164" s="35"/>
      <c r="BM164" s="35">
        <f t="shared" si="500"/>
        <v>0</v>
      </c>
      <c r="BN164" s="35"/>
      <c r="BO164" s="35"/>
      <c r="BQ164" s="37"/>
      <c r="BR164" s="35"/>
      <c r="BS164" s="35">
        <f t="shared" si="501"/>
        <v>0</v>
      </c>
      <c r="BT164" s="35"/>
      <c r="BU164" s="35"/>
      <c r="BW164" s="37"/>
      <c r="BX164" s="35"/>
      <c r="BY164" s="35">
        <f t="shared" si="502"/>
        <v>0</v>
      </c>
      <c r="BZ164" s="35"/>
      <c r="CA164" s="35"/>
      <c r="CC164" s="37"/>
      <c r="CD164" s="35"/>
      <c r="CE164" s="35">
        <f t="shared" si="503"/>
        <v>0</v>
      </c>
      <c r="CF164" s="35"/>
      <c r="CG164" s="35"/>
      <c r="CI164" s="37"/>
      <c r="CJ164" s="35"/>
      <c r="CK164" s="35">
        <f t="shared" si="504"/>
        <v>0</v>
      </c>
      <c r="CL164" s="35"/>
      <c r="CM164" s="35"/>
      <c r="CO164" s="37"/>
      <c r="CP164" s="35"/>
      <c r="CQ164" s="35">
        <f t="shared" si="505"/>
        <v>0</v>
      </c>
      <c r="CR164" s="35"/>
      <c r="CS164" s="35"/>
      <c r="CU164" s="37"/>
      <c r="CV164" s="35"/>
      <c r="CW164" s="35">
        <f t="shared" si="506"/>
        <v>0</v>
      </c>
      <c r="CX164" s="35"/>
      <c r="CY164" s="35"/>
      <c r="DA164" s="37"/>
      <c r="DB164" s="35"/>
      <c r="DC164" s="35">
        <f t="shared" si="507"/>
        <v>0</v>
      </c>
      <c r="DD164" s="35"/>
      <c r="DE164" s="35"/>
      <c r="DG164" s="37"/>
      <c r="DH164" s="35"/>
      <c r="DI164" s="35">
        <f t="shared" si="508"/>
        <v>0</v>
      </c>
      <c r="DJ164" s="35"/>
      <c r="DK164" s="35"/>
      <c r="DM164" s="37"/>
      <c r="DN164" s="35"/>
      <c r="DO164" s="35">
        <f t="shared" si="509"/>
        <v>0</v>
      </c>
      <c r="DP164" s="35"/>
      <c r="DQ164" s="35"/>
      <c r="DS164" s="37"/>
      <c r="DT164" s="35"/>
      <c r="DU164" s="35">
        <f t="shared" si="510"/>
        <v>0</v>
      </c>
      <c r="DV164" s="35"/>
      <c r="DW164" s="35"/>
      <c r="DY164" s="37"/>
      <c r="DZ164" s="35"/>
      <c r="EA164" s="35">
        <f t="shared" si="511"/>
        <v>0</v>
      </c>
      <c r="EB164" s="35"/>
      <c r="EC164" s="35"/>
      <c r="EE164" s="37"/>
      <c r="EF164" s="35"/>
      <c r="EG164" s="35">
        <f t="shared" si="512"/>
        <v>0</v>
      </c>
      <c r="EH164" s="35"/>
      <c r="EI164" s="35"/>
      <c r="EK164" s="37"/>
      <c r="EL164" s="35"/>
      <c r="EM164" s="35">
        <f t="shared" si="513"/>
        <v>0</v>
      </c>
      <c r="EN164" s="35"/>
      <c r="EO164" s="35"/>
      <c r="EQ164" s="37"/>
      <c r="ER164" s="35"/>
      <c r="ES164" s="35">
        <f t="shared" si="514"/>
        <v>0</v>
      </c>
      <c r="ET164" s="35"/>
      <c r="EU164" s="35"/>
      <c r="EW164" s="37"/>
      <c r="EX164" s="35"/>
      <c r="EY164" s="35">
        <f t="shared" si="515"/>
        <v>0</v>
      </c>
      <c r="EZ164" s="35"/>
      <c r="FA164" s="35"/>
      <c r="FC164" s="37"/>
      <c r="FD164" s="35"/>
      <c r="FE164" s="35">
        <f t="shared" si="516"/>
        <v>0</v>
      </c>
      <c r="FF164" s="35"/>
      <c r="FG164" s="35"/>
      <c r="FI164" s="37"/>
      <c r="FJ164" s="35"/>
      <c r="FK164" s="35">
        <f t="shared" si="517"/>
        <v>0</v>
      </c>
      <c r="FL164" s="35"/>
      <c r="FM164" s="35"/>
      <c r="FO164" s="37"/>
      <c r="FP164" s="35"/>
      <c r="FQ164" s="35">
        <f t="shared" si="518"/>
        <v>0</v>
      </c>
      <c r="FR164" s="35"/>
      <c r="FS164" s="35"/>
      <c r="FU164" s="37"/>
      <c r="FV164" s="35"/>
      <c r="FW164" s="35">
        <f t="shared" si="519"/>
        <v>0</v>
      </c>
      <c r="FX164" s="35"/>
      <c r="FY164" s="35"/>
      <c r="GA164" s="37"/>
      <c r="GB164" s="35"/>
      <c r="GC164" s="35">
        <f t="shared" si="520"/>
        <v>0</v>
      </c>
      <c r="GD164" s="35"/>
      <c r="GE164" s="35"/>
      <c r="GG164" s="37"/>
      <c r="GH164" s="35"/>
      <c r="GI164" s="35">
        <f t="shared" si="521"/>
        <v>0</v>
      </c>
      <c r="GJ164" s="35"/>
      <c r="GK164" s="35"/>
      <c r="GM164" s="37"/>
      <c r="GN164" s="35"/>
      <c r="GO164" s="35">
        <f t="shared" si="522"/>
        <v>0</v>
      </c>
      <c r="GP164" s="35"/>
      <c r="GQ164" s="35"/>
      <c r="GS164" s="37"/>
      <c r="GT164" s="35"/>
      <c r="GU164" s="35">
        <f t="shared" si="523"/>
        <v>0</v>
      </c>
      <c r="GV164" s="35"/>
      <c r="GW164" s="35"/>
      <c r="GY164" s="37"/>
      <c r="GZ164" s="35"/>
      <c r="HA164" s="35">
        <f t="shared" si="524"/>
        <v>0</v>
      </c>
      <c r="HB164" s="35"/>
      <c r="HC164" s="35"/>
    </row>
    <row r="165" spans="1:211" s="36" customFormat="1" outlineLevel="1" x14ac:dyDescent="0.2">
      <c r="A165" s="36" t="s">
        <v>136</v>
      </c>
      <c r="B165" s="35">
        <f t="shared" si="489"/>
        <v>0</v>
      </c>
      <c r="C165" s="37"/>
      <c r="D165" s="35"/>
      <c r="E165" s="35">
        <f t="shared" si="490"/>
        <v>0</v>
      </c>
      <c r="F165" s="35"/>
      <c r="G165" s="35"/>
      <c r="I165" s="37"/>
      <c r="J165" s="35"/>
      <c r="K165" s="35">
        <f t="shared" si="491"/>
        <v>0</v>
      </c>
      <c r="L165" s="35"/>
      <c r="M165" s="35"/>
      <c r="O165" s="37"/>
      <c r="P165" s="35"/>
      <c r="Q165" s="35">
        <f t="shared" si="492"/>
        <v>0</v>
      </c>
      <c r="R165" s="35"/>
      <c r="S165" s="35"/>
      <c r="U165" s="37"/>
      <c r="V165" s="35"/>
      <c r="W165" s="35">
        <f t="shared" si="493"/>
        <v>0</v>
      </c>
      <c r="X165" s="35"/>
      <c r="Y165" s="35"/>
      <c r="AA165" s="37"/>
      <c r="AB165" s="35"/>
      <c r="AC165" s="35">
        <f t="shared" si="494"/>
        <v>0</v>
      </c>
      <c r="AD165" s="35"/>
      <c r="AE165" s="35"/>
      <c r="AG165" s="37"/>
      <c r="AH165" s="35"/>
      <c r="AI165" s="35">
        <f t="shared" si="495"/>
        <v>0</v>
      </c>
      <c r="AJ165" s="35"/>
      <c r="AK165" s="35"/>
      <c r="AM165" s="37"/>
      <c r="AN165" s="35"/>
      <c r="AO165" s="35">
        <f t="shared" si="496"/>
        <v>0</v>
      </c>
      <c r="AP165" s="35"/>
      <c r="AQ165" s="35"/>
      <c r="AS165" s="37"/>
      <c r="AT165" s="35"/>
      <c r="AU165" s="35">
        <f t="shared" si="497"/>
        <v>0</v>
      </c>
      <c r="AV165" s="35"/>
      <c r="AW165" s="35"/>
      <c r="AY165" s="37"/>
      <c r="AZ165" s="35"/>
      <c r="BA165" s="35">
        <f t="shared" si="498"/>
        <v>0</v>
      </c>
      <c r="BB165" s="35"/>
      <c r="BC165" s="35"/>
      <c r="BE165" s="37"/>
      <c r="BF165" s="35"/>
      <c r="BG165" s="35">
        <f t="shared" si="499"/>
        <v>0</v>
      </c>
      <c r="BH165" s="35"/>
      <c r="BI165" s="35"/>
      <c r="BK165" s="37"/>
      <c r="BL165" s="35"/>
      <c r="BM165" s="35">
        <f t="shared" si="500"/>
        <v>0</v>
      </c>
      <c r="BN165" s="35"/>
      <c r="BO165" s="35"/>
      <c r="BQ165" s="37"/>
      <c r="BR165" s="35"/>
      <c r="BS165" s="35">
        <f t="shared" si="501"/>
        <v>0</v>
      </c>
      <c r="BT165" s="35"/>
      <c r="BU165" s="35"/>
      <c r="BW165" s="37"/>
      <c r="BX165" s="35"/>
      <c r="BY165" s="35">
        <f t="shared" si="502"/>
        <v>0</v>
      </c>
      <c r="BZ165" s="35"/>
      <c r="CA165" s="35"/>
      <c r="CC165" s="37"/>
      <c r="CD165" s="35"/>
      <c r="CE165" s="35">
        <f t="shared" si="503"/>
        <v>0</v>
      </c>
      <c r="CF165" s="35"/>
      <c r="CG165" s="35"/>
      <c r="CI165" s="37"/>
      <c r="CJ165" s="35"/>
      <c r="CK165" s="35">
        <f t="shared" si="504"/>
        <v>0</v>
      </c>
      <c r="CL165" s="35"/>
      <c r="CM165" s="35"/>
      <c r="CO165" s="37"/>
      <c r="CP165" s="35"/>
      <c r="CQ165" s="35">
        <f t="shared" si="505"/>
        <v>0</v>
      </c>
      <c r="CR165" s="35"/>
      <c r="CS165" s="35"/>
      <c r="CU165" s="37"/>
      <c r="CV165" s="35"/>
      <c r="CW165" s="35">
        <f t="shared" si="506"/>
        <v>0</v>
      </c>
      <c r="CX165" s="35"/>
      <c r="CY165" s="35"/>
      <c r="DA165" s="37"/>
      <c r="DB165" s="35"/>
      <c r="DC165" s="35">
        <f t="shared" si="507"/>
        <v>0</v>
      </c>
      <c r="DD165" s="35"/>
      <c r="DE165" s="35"/>
      <c r="DG165" s="37"/>
      <c r="DH165" s="35"/>
      <c r="DI165" s="35">
        <f t="shared" si="508"/>
        <v>0</v>
      </c>
      <c r="DJ165" s="35"/>
      <c r="DK165" s="35"/>
      <c r="DM165" s="37"/>
      <c r="DN165" s="35"/>
      <c r="DO165" s="35">
        <f t="shared" si="509"/>
        <v>0</v>
      </c>
      <c r="DP165" s="35"/>
      <c r="DQ165" s="35"/>
      <c r="DS165" s="37"/>
      <c r="DT165" s="35"/>
      <c r="DU165" s="35">
        <f t="shared" si="510"/>
        <v>0</v>
      </c>
      <c r="DV165" s="35"/>
      <c r="DW165" s="35"/>
      <c r="DY165" s="37"/>
      <c r="DZ165" s="35"/>
      <c r="EA165" s="35">
        <f t="shared" si="511"/>
        <v>0</v>
      </c>
      <c r="EB165" s="35"/>
      <c r="EC165" s="35"/>
      <c r="EE165" s="37"/>
      <c r="EF165" s="35"/>
      <c r="EG165" s="35">
        <f t="shared" si="512"/>
        <v>0</v>
      </c>
      <c r="EH165" s="35"/>
      <c r="EI165" s="35"/>
      <c r="EK165" s="37"/>
      <c r="EL165" s="35"/>
      <c r="EM165" s="35">
        <f t="shared" si="513"/>
        <v>0</v>
      </c>
      <c r="EN165" s="35"/>
      <c r="EO165" s="35"/>
      <c r="EQ165" s="37"/>
      <c r="ER165" s="35"/>
      <c r="ES165" s="35">
        <f t="shared" si="514"/>
        <v>0</v>
      </c>
      <c r="ET165" s="35"/>
      <c r="EU165" s="35"/>
      <c r="EW165" s="37"/>
      <c r="EX165" s="35"/>
      <c r="EY165" s="35">
        <f t="shared" si="515"/>
        <v>0</v>
      </c>
      <c r="EZ165" s="35"/>
      <c r="FA165" s="35"/>
      <c r="FC165" s="37"/>
      <c r="FD165" s="35"/>
      <c r="FE165" s="35">
        <f t="shared" si="516"/>
        <v>0</v>
      </c>
      <c r="FF165" s="35"/>
      <c r="FG165" s="35"/>
      <c r="FI165" s="37"/>
      <c r="FJ165" s="35"/>
      <c r="FK165" s="35">
        <f t="shared" si="517"/>
        <v>0</v>
      </c>
      <c r="FL165" s="35"/>
      <c r="FM165" s="35"/>
      <c r="FO165" s="37"/>
      <c r="FP165" s="35"/>
      <c r="FQ165" s="35">
        <f t="shared" si="518"/>
        <v>0</v>
      </c>
      <c r="FR165" s="35"/>
      <c r="FS165" s="35"/>
      <c r="FU165" s="37"/>
      <c r="FV165" s="35"/>
      <c r="FW165" s="35">
        <f t="shared" si="519"/>
        <v>0</v>
      </c>
      <c r="FX165" s="35"/>
      <c r="FY165" s="35"/>
      <c r="GA165" s="37"/>
      <c r="GB165" s="35"/>
      <c r="GC165" s="35">
        <f t="shared" si="520"/>
        <v>0</v>
      </c>
      <c r="GD165" s="35"/>
      <c r="GE165" s="35"/>
      <c r="GG165" s="37"/>
      <c r="GH165" s="35"/>
      <c r="GI165" s="35">
        <f t="shared" si="521"/>
        <v>0</v>
      </c>
      <c r="GJ165" s="35"/>
      <c r="GK165" s="35"/>
      <c r="GM165" s="37"/>
      <c r="GN165" s="35"/>
      <c r="GO165" s="35">
        <f t="shared" si="522"/>
        <v>0</v>
      </c>
      <c r="GP165" s="35"/>
      <c r="GQ165" s="35"/>
      <c r="GS165" s="37"/>
      <c r="GT165" s="35"/>
      <c r="GU165" s="35">
        <f t="shared" si="523"/>
        <v>0</v>
      </c>
      <c r="GV165" s="35"/>
      <c r="GW165" s="35"/>
      <c r="GY165" s="37"/>
      <c r="GZ165" s="35"/>
      <c r="HA165" s="35">
        <f t="shared" si="524"/>
        <v>0</v>
      </c>
      <c r="HB165" s="35"/>
      <c r="HC165" s="35"/>
    </row>
    <row r="166" spans="1:211" s="36" customFormat="1" outlineLevel="1" x14ac:dyDescent="0.2">
      <c r="A166" s="36" t="s">
        <v>137</v>
      </c>
      <c r="B166" s="35">
        <f t="shared" si="489"/>
        <v>0</v>
      </c>
      <c r="C166" s="37"/>
      <c r="D166" s="35"/>
      <c r="E166" s="35">
        <f t="shared" si="490"/>
        <v>0</v>
      </c>
      <c r="F166" s="35"/>
      <c r="G166" s="35"/>
      <c r="I166" s="37"/>
      <c r="J166" s="35"/>
      <c r="K166" s="35">
        <f t="shared" si="491"/>
        <v>0</v>
      </c>
      <c r="L166" s="35"/>
      <c r="M166" s="35"/>
      <c r="O166" s="37"/>
      <c r="P166" s="35"/>
      <c r="Q166" s="35">
        <f t="shared" si="492"/>
        <v>0</v>
      </c>
      <c r="R166" s="35"/>
      <c r="S166" s="35"/>
      <c r="U166" s="37"/>
      <c r="V166" s="35"/>
      <c r="W166" s="35">
        <f t="shared" si="493"/>
        <v>0</v>
      </c>
      <c r="X166" s="35"/>
      <c r="Y166" s="35"/>
      <c r="AA166" s="37"/>
      <c r="AB166" s="35"/>
      <c r="AC166" s="35">
        <f t="shared" si="494"/>
        <v>0</v>
      </c>
      <c r="AD166" s="35"/>
      <c r="AE166" s="35"/>
      <c r="AG166" s="37"/>
      <c r="AH166" s="35"/>
      <c r="AI166" s="35">
        <f t="shared" si="495"/>
        <v>0</v>
      </c>
      <c r="AJ166" s="35"/>
      <c r="AK166" s="35"/>
      <c r="AM166" s="37"/>
      <c r="AN166" s="35"/>
      <c r="AO166" s="35">
        <f t="shared" si="496"/>
        <v>0</v>
      </c>
      <c r="AP166" s="35"/>
      <c r="AQ166" s="35"/>
      <c r="AS166" s="37"/>
      <c r="AT166" s="35"/>
      <c r="AU166" s="35">
        <f t="shared" si="497"/>
        <v>0</v>
      </c>
      <c r="AV166" s="35"/>
      <c r="AW166" s="35"/>
      <c r="AY166" s="37"/>
      <c r="AZ166" s="35"/>
      <c r="BA166" s="35">
        <f t="shared" si="498"/>
        <v>0</v>
      </c>
      <c r="BB166" s="35"/>
      <c r="BC166" s="35"/>
      <c r="BE166" s="37"/>
      <c r="BF166" s="35"/>
      <c r="BG166" s="35">
        <f t="shared" si="499"/>
        <v>0</v>
      </c>
      <c r="BH166" s="35"/>
      <c r="BI166" s="35"/>
      <c r="BK166" s="37"/>
      <c r="BL166" s="35"/>
      <c r="BM166" s="35">
        <f t="shared" si="500"/>
        <v>0</v>
      </c>
      <c r="BN166" s="35"/>
      <c r="BO166" s="35"/>
      <c r="BQ166" s="37"/>
      <c r="BR166" s="35"/>
      <c r="BS166" s="35">
        <f t="shared" si="501"/>
        <v>0</v>
      </c>
      <c r="BT166" s="35"/>
      <c r="BU166" s="35"/>
      <c r="BW166" s="37"/>
      <c r="BX166" s="35"/>
      <c r="BY166" s="35">
        <f t="shared" si="502"/>
        <v>0</v>
      </c>
      <c r="BZ166" s="35"/>
      <c r="CA166" s="35"/>
      <c r="CC166" s="37"/>
      <c r="CD166" s="35"/>
      <c r="CE166" s="35">
        <f t="shared" si="503"/>
        <v>0</v>
      </c>
      <c r="CF166" s="35"/>
      <c r="CG166" s="35"/>
      <c r="CI166" s="37"/>
      <c r="CJ166" s="35"/>
      <c r="CK166" s="35">
        <f t="shared" si="504"/>
        <v>0</v>
      </c>
      <c r="CL166" s="35"/>
      <c r="CM166" s="35"/>
      <c r="CO166" s="37"/>
      <c r="CP166" s="35"/>
      <c r="CQ166" s="35">
        <f t="shared" si="505"/>
        <v>0</v>
      </c>
      <c r="CR166" s="35"/>
      <c r="CS166" s="35"/>
      <c r="CU166" s="37"/>
      <c r="CV166" s="35"/>
      <c r="CW166" s="35">
        <f t="shared" si="506"/>
        <v>0</v>
      </c>
      <c r="CX166" s="35"/>
      <c r="CY166" s="35"/>
      <c r="DA166" s="37"/>
      <c r="DB166" s="35"/>
      <c r="DC166" s="35">
        <f t="shared" si="507"/>
        <v>0</v>
      </c>
      <c r="DD166" s="35"/>
      <c r="DE166" s="35"/>
      <c r="DG166" s="37"/>
      <c r="DH166" s="35"/>
      <c r="DI166" s="35">
        <f t="shared" si="508"/>
        <v>0</v>
      </c>
      <c r="DJ166" s="35"/>
      <c r="DK166" s="35"/>
      <c r="DM166" s="37"/>
      <c r="DN166" s="35"/>
      <c r="DO166" s="35">
        <f t="shared" si="509"/>
        <v>0</v>
      </c>
      <c r="DP166" s="35"/>
      <c r="DQ166" s="35"/>
      <c r="DS166" s="37"/>
      <c r="DT166" s="35"/>
      <c r="DU166" s="35">
        <f t="shared" si="510"/>
        <v>0</v>
      </c>
      <c r="DV166" s="35"/>
      <c r="DW166" s="35"/>
      <c r="DY166" s="37"/>
      <c r="DZ166" s="35"/>
      <c r="EA166" s="35">
        <f t="shared" si="511"/>
        <v>0</v>
      </c>
      <c r="EB166" s="35"/>
      <c r="EC166" s="35"/>
      <c r="EE166" s="37"/>
      <c r="EF166" s="35"/>
      <c r="EG166" s="35">
        <f t="shared" si="512"/>
        <v>0</v>
      </c>
      <c r="EH166" s="35"/>
      <c r="EI166" s="35"/>
      <c r="EK166" s="37"/>
      <c r="EL166" s="35"/>
      <c r="EM166" s="35">
        <f t="shared" si="513"/>
        <v>0</v>
      </c>
      <c r="EN166" s="35"/>
      <c r="EO166" s="35"/>
      <c r="EQ166" s="37"/>
      <c r="ER166" s="35"/>
      <c r="ES166" s="35">
        <f t="shared" si="514"/>
        <v>0</v>
      </c>
      <c r="ET166" s="35"/>
      <c r="EU166" s="35"/>
      <c r="EW166" s="37"/>
      <c r="EX166" s="35"/>
      <c r="EY166" s="35">
        <f t="shared" si="515"/>
        <v>0</v>
      </c>
      <c r="EZ166" s="35"/>
      <c r="FA166" s="35"/>
      <c r="FC166" s="37"/>
      <c r="FD166" s="35"/>
      <c r="FE166" s="35">
        <f t="shared" si="516"/>
        <v>0</v>
      </c>
      <c r="FF166" s="35"/>
      <c r="FG166" s="35"/>
      <c r="FI166" s="37"/>
      <c r="FJ166" s="35"/>
      <c r="FK166" s="35">
        <f t="shared" si="517"/>
        <v>0</v>
      </c>
      <c r="FL166" s="35"/>
      <c r="FM166" s="35"/>
      <c r="FO166" s="37"/>
      <c r="FP166" s="35"/>
      <c r="FQ166" s="35">
        <f t="shared" si="518"/>
        <v>0</v>
      </c>
      <c r="FR166" s="35"/>
      <c r="FS166" s="35"/>
      <c r="FU166" s="37"/>
      <c r="FV166" s="35"/>
      <c r="FW166" s="35">
        <f t="shared" si="519"/>
        <v>0</v>
      </c>
      <c r="FX166" s="35"/>
      <c r="FY166" s="35"/>
      <c r="GA166" s="37"/>
      <c r="GB166" s="35"/>
      <c r="GC166" s="35">
        <f t="shared" si="520"/>
        <v>0</v>
      </c>
      <c r="GD166" s="35"/>
      <c r="GE166" s="35"/>
      <c r="GG166" s="37"/>
      <c r="GH166" s="35"/>
      <c r="GI166" s="35">
        <f t="shared" si="521"/>
        <v>0</v>
      </c>
      <c r="GJ166" s="35"/>
      <c r="GK166" s="35"/>
      <c r="GM166" s="37"/>
      <c r="GN166" s="35"/>
      <c r="GO166" s="35">
        <f t="shared" si="522"/>
        <v>0</v>
      </c>
      <c r="GP166" s="35"/>
      <c r="GQ166" s="35"/>
      <c r="GS166" s="37"/>
      <c r="GT166" s="35"/>
      <c r="GU166" s="35">
        <f t="shared" si="523"/>
        <v>0</v>
      </c>
      <c r="GV166" s="35"/>
      <c r="GW166" s="35"/>
      <c r="GY166" s="37"/>
      <c r="GZ166" s="35"/>
      <c r="HA166" s="35">
        <f t="shared" si="524"/>
        <v>0</v>
      </c>
      <c r="HB166" s="35"/>
      <c r="HC166" s="35"/>
    </row>
    <row r="167" spans="1:211" s="36" customFormat="1" outlineLevel="1" x14ac:dyDescent="0.2">
      <c r="A167" s="36" t="s">
        <v>138</v>
      </c>
      <c r="B167" s="35">
        <f t="shared" si="489"/>
        <v>0</v>
      </c>
      <c r="C167" s="37"/>
      <c r="D167" s="35"/>
      <c r="E167" s="35">
        <f t="shared" si="490"/>
        <v>0</v>
      </c>
      <c r="F167" s="35"/>
      <c r="G167" s="35"/>
      <c r="I167" s="37"/>
      <c r="J167" s="35"/>
      <c r="K167" s="35">
        <f t="shared" si="491"/>
        <v>0</v>
      </c>
      <c r="L167" s="35"/>
      <c r="M167" s="35"/>
      <c r="O167" s="37"/>
      <c r="P167" s="35"/>
      <c r="Q167" s="35">
        <f t="shared" si="492"/>
        <v>0</v>
      </c>
      <c r="R167" s="35"/>
      <c r="S167" s="35"/>
      <c r="U167" s="37"/>
      <c r="V167" s="35"/>
      <c r="W167" s="35">
        <f t="shared" si="493"/>
        <v>0</v>
      </c>
      <c r="X167" s="35"/>
      <c r="Y167" s="35"/>
      <c r="AA167" s="37"/>
      <c r="AB167" s="35"/>
      <c r="AC167" s="35">
        <f t="shared" si="494"/>
        <v>0</v>
      </c>
      <c r="AD167" s="35"/>
      <c r="AE167" s="35"/>
      <c r="AG167" s="37"/>
      <c r="AH167" s="35"/>
      <c r="AI167" s="35">
        <f t="shared" si="495"/>
        <v>0</v>
      </c>
      <c r="AJ167" s="35"/>
      <c r="AK167" s="35"/>
      <c r="AM167" s="37"/>
      <c r="AN167" s="35"/>
      <c r="AO167" s="35">
        <f t="shared" si="496"/>
        <v>0</v>
      </c>
      <c r="AP167" s="35"/>
      <c r="AQ167" s="35"/>
      <c r="AS167" s="37"/>
      <c r="AT167" s="35"/>
      <c r="AU167" s="35">
        <f t="shared" si="497"/>
        <v>0</v>
      </c>
      <c r="AV167" s="35"/>
      <c r="AW167" s="35"/>
      <c r="AY167" s="37"/>
      <c r="AZ167" s="35"/>
      <c r="BA167" s="35">
        <f t="shared" si="498"/>
        <v>0</v>
      </c>
      <c r="BB167" s="35"/>
      <c r="BC167" s="35"/>
      <c r="BE167" s="37"/>
      <c r="BF167" s="35"/>
      <c r="BG167" s="35">
        <f t="shared" si="499"/>
        <v>0</v>
      </c>
      <c r="BH167" s="35"/>
      <c r="BI167" s="35"/>
      <c r="BK167" s="37"/>
      <c r="BL167" s="35"/>
      <c r="BM167" s="35">
        <f t="shared" si="500"/>
        <v>0</v>
      </c>
      <c r="BN167" s="35"/>
      <c r="BO167" s="35"/>
      <c r="BQ167" s="37"/>
      <c r="BR167" s="35"/>
      <c r="BS167" s="35">
        <f t="shared" si="501"/>
        <v>0</v>
      </c>
      <c r="BT167" s="35"/>
      <c r="BU167" s="35"/>
      <c r="BW167" s="37"/>
      <c r="BX167" s="35"/>
      <c r="BY167" s="35">
        <f t="shared" si="502"/>
        <v>0</v>
      </c>
      <c r="BZ167" s="35"/>
      <c r="CA167" s="35"/>
      <c r="CC167" s="37"/>
      <c r="CD167" s="35"/>
      <c r="CE167" s="35">
        <f t="shared" si="503"/>
        <v>0</v>
      </c>
      <c r="CF167" s="35"/>
      <c r="CG167" s="35"/>
      <c r="CI167" s="37"/>
      <c r="CJ167" s="35"/>
      <c r="CK167" s="35">
        <f t="shared" si="504"/>
        <v>0</v>
      </c>
      <c r="CL167" s="35"/>
      <c r="CM167" s="35"/>
      <c r="CO167" s="37"/>
      <c r="CP167" s="35"/>
      <c r="CQ167" s="35">
        <f t="shared" si="505"/>
        <v>0</v>
      </c>
      <c r="CR167" s="35"/>
      <c r="CS167" s="35"/>
      <c r="CU167" s="37"/>
      <c r="CV167" s="35"/>
      <c r="CW167" s="35">
        <f t="shared" si="506"/>
        <v>0</v>
      </c>
      <c r="CX167" s="35"/>
      <c r="CY167" s="35"/>
      <c r="DA167" s="37"/>
      <c r="DB167" s="35"/>
      <c r="DC167" s="35">
        <f t="shared" si="507"/>
        <v>0</v>
      </c>
      <c r="DD167" s="35"/>
      <c r="DE167" s="35"/>
      <c r="DG167" s="37"/>
      <c r="DH167" s="35"/>
      <c r="DI167" s="35">
        <f t="shared" si="508"/>
        <v>0</v>
      </c>
      <c r="DJ167" s="35"/>
      <c r="DK167" s="35"/>
      <c r="DM167" s="37"/>
      <c r="DN167" s="35"/>
      <c r="DO167" s="35">
        <f t="shared" si="509"/>
        <v>0</v>
      </c>
      <c r="DP167" s="35"/>
      <c r="DQ167" s="35"/>
      <c r="DS167" s="37"/>
      <c r="DT167" s="35"/>
      <c r="DU167" s="35">
        <f t="shared" si="510"/>
        <v>0</v>
      </c>
      <c r="DV167" s="35"/>
      <c r="DW167" s="35"/>
      <c r="DY167" s="37"/>
      <c r="DZ167" s="35"/>
      <c r="EA167" s="35">
        <f t="shared" si="511"/>
        <v>0</v>
      </c>
      <c r="EB167" s="35"/>
      <c r="EC167" s="35"/>
      <c r="EE167" s="37"/>
      <c r="EF167" s="35"/>
      <c r="EG167" s="35">
        <f t="shared" si="512"/>
        <v>0</v>
      </c>
      <c r="EH167" s="35"/>
      <c r="EI167" s="35"/>
      <c r="EK167" s="37"/>
      <c r="EL167" s="35"/>
      <c r="EM167" s="35">
        <f t="shared" si="513"/>
        <v>0</v>
      </c>
      <c r="EN167" s="35"/>
      <c r="EO167" s="35"/>
      <c r="EQ167" s="37"/>
      <c r="ER167" s="35"/>
      <c r="ES167" s="35">
        <f t="shared" si="514"/>
        <v>0</v>
      </c>
      <c r="ET167" s="35"/>
      <c r="EU167" s="35"/>
      <c r="EW167" s="37"/>
      <c r="EX167" s="35"/>
      <c r="EY167" s="35">
        <f t="shared" si="515"/>
        <v>0</v>
      </c>
      <c r="EZ167" s="35"/>
      <c r="FA167" s="35"/>
      <c r="FC167" s="37"/>
      <c r="FD167" s="35"/>
      <c r="FE167" s="35">
        <f t="shared" si="516"/>
        <v>0</v>
      </c>
      <c r="FF167" s="35"/>
      <c r="FG167" s="35"/>
      <c r="FI167" s="37"/>
      <c r="FJ167" s="35"/>
      <c r="FK167" s="35">
        <f t="shared" si="517"/>
        <v>0</v>
      </c>
      <c r="FL167" s="35"/>
      <c r="FM167" s="35"/>
      <c r="FO167" s="37"/>
      <c r="FP167" s="35"/>
      <c r="FQ167" s="35">
        <f t="shared" si="518"/>
        <v>0</v>
      </c>
      <c r="FR167" s="35"/>
      <c r="FS167" s="35"/>
      <c r="FU167" s="37"/>
      <c r="FV167" s="35"/>
      <c r="FW167" s="35">
        <f t="shared" si="519"/>
        <v>0</v>
      </c>
      <c r="FX167" s="35"/>
      <c r="FY167" s="35"/>
      <c r="GA167" s="37"/>
      <c r="GB167" s="35"/>
      <c r="GC167" s="35">
        <f t="shared" si="520"/>
        <v>0</v>
      </c>
      <c r="GD167" s="35"/>
      <c r="GE167" s="35"/>
      <c r="GG167" s="37"/>
      <c r="GH167" s="35"/>
      <c r="GI167" s="35">
        <f t="shared" si="521"/>
        <v>0</v>
      </c>
      <c r="GJ167" s="35"/>
      <c r="GK167" s="35"/>
      <c r="GM167" s="37"/>
      <c r="GN167" s="35"/>
      <c r="GO167" s="35">
        <f t="shared" si="522"/>
        <v>0</v>
      </c>
      <c r="GP167" s="35"/>
      <c r="GQ167" s="35"/>
      <c r="GS167" s="37"/>
      <c r="GT167" s="35"/>
      <c r="GU167" s="35">
        <f t="shared" si="523"/>
        <v>0</v>
      </c>
      <c r="GV167" s="35"/>
      <c r="GW167" s="35"/>
      <c r="GY167" s="37"/>
      <c r="GZ167" s="35"/>
      <c r="HA167" s="35">
        <f t="shared" si="524"/>
        <v>0</v>
      </c>
      <c r="HB167" s="35"/>
      <c r="HC167" s="35"/>
    </row>
    <row r="168" spans="1:211" s="36" customFormat="1" outlineLevel="1" x14ac:dyDescent="0.2">
      <c r="A168" s="36" t="s">
        <v>139</v>
      </c>
      <c r="B168" s="35">
        <f t="shared" si="489"/>
        <v>0</v>
      </c>
      <c r="C168" s="37"/>
      <c r="D168" s="35"/>
      <c r="E168" s="35">
        <f t="shared" si="490"/>
        <v>0</v>
      </c>
      <c r="F168" s="35"/>
      <c r="G168" s="35"/>
      <c r="I168" s="37"/>
      <c r="J168" s="35"/>
      <c r="K168" s="35">
        <f t="shared" si="491"/>
        <v>0</v>
      </c>
      <c r="L168" s="35"/>
      <c r="M168" s="35"/>
      <c r="O168" s="37"/>
      <c r="P168" s="35"/>
      <c r="Q168" s="35">
        <f t="shared" si="492"/>
        <v>0</v>
      </c>
      <c r="R168" s="35"/>
      <c r="S168" s="35"/>
      <c r="U168" s="37"/>
      <c r="V168" s="35"/>
      <c r="W168" s="35">
        <f t="shared" si="493"/>
        <v>0</v>
      </c>
      <c r="X168" s="35"/>
      <c r="Y168" s="35"/>
      <c r="AA168" s="37"/>
      <c r="AB168" s="35"/>
      <c r="AC168" s="35">
        <f t="shared" si="494"/>
        <v>0</v>
      </c>
      <c r="AD168" s="35"/>
      <c r="AE168" s="35"/>
      <c r="AG168" s="37"/>
      <c r="AH168" s="35"/>
      <c r="AI168" s="35">
        <f t="shared" si="495"/>
        <v>0</v>
      </c>
      <c r="AJ168" s="35"/>
      <c r="AK168" s="35"/>
      <c r="AM168" s="37"/>
      <c r="AN168" s="35"/>
      <c r="AO168" s="35">
        <f t="shared" si="496"/>
        <v>0</v>
      </c>
      <c r="AP168" s="35"/>
      <c r="AQ168" s="35"/>
      <c r="AS168" s="37"/>
      <c r="AT168" s="35"/>
      <c r="AU168" s="35">
        <f t="shared" si="497"/>
        <v>0</v>
      </c>
      <c r="AV168" s="35"/>
      <c r="AW168" s="35"/>
      <c r="AY168" s="37"/>
      <c r="AZ168" s="35"/>
      <c r="BA168" s="35">
        <f t="shared" si="498"/>
        <v>0</v>
      </c>
      <c r="BB168" s="35"/>
      <c r="BC168" s="35"/>
      <c r="BE168" s="37"/>
      <c r="BF168" s="35"/>
      <c r="BG168" s="35">
        <f t="shared" si="499"/>
        <v>0</v>
      </c>
      <c r="BH168" s="35"/>
      <c r="BI168" s="35"/>
      <c r="BK168" s="37"/>
      <c r="BL168" s="35"/>
      <c r="BM168" s="35">
        <f t="shared" si="500"/>
        <v>0</v>
      </c>
      <c r="BN168" s="35"/>
      <c r="BO168" s="35"/>
      <c r="BQ168" s="37"/>
      <c r="BR168" s="35"/>
      <c r="BS168" s="35">
        <f t="shared" si="501"/>
        <v>0</v>
      </c>
      <c r="BT168" s="35"/>
      <c r="BU168" s="35"/>
      <c r="BW168" s="37"/>
      <c r="BX168" s="35"/>
      <c r="BY168" s="35">
        <f t="shared" si="502"/>
        <v>0</v>
      </c>
      <c r="BZ168" s="35"/>
      <c r="CA168" s="35"/>
      <c r="CC168" s="37"/>
      <c r="CD168" s="35"/>
      <c r="CE168" s="35">
        <f t="shared" si="503"/>
        <v>0</v>
      </c>
      <c r="CF168" s="35"/>
      <c r="CG168" s="35"/>
      <c r="CI168" s="37"/>
      <c r="CJ168" s="35"/>
      <c r="CK168" s="35">
        <f t="shared" si="504"/>
        <v>0</v>
      </c>
      <c r="CL168" s="35"/>
      <c r="CM168" s="35"/>
      <c r="CO168" s="37"/>
      <c r="CP168" s="35"/>
      <c r="CQ168" s="35">
        <f t="shared" si="505"/>
        <v>0</v>
      </c>
      <c r="CR168" s="35"/>
      <c r="CS168" s="35"/>
      <c r="CU168" s="37"/>
      <c r="CV168" s="35"/>
      <c r="CW168" s="35">
        <f t="shared" si="506"/>
        <v>0</v>
      </c>
      <c r="CX168" s="35"/>
      <c r="CY168" s="35"/>
      <c r="DA168" s="37"/>
      <c r="DB168" s="35"/>
      <c r="DC168" s="35">
        <f t="shared" si="507"/>
        <v>0</v>
      </c>
      <c r="DD168" s="35"/>
      <c r="DE168" s="35"/>
      <c r="DG168" s="37"/>
      <c r="DH168" s="35"/>
      <c r="DI168" s="35">
        <f t="shared" si="508"/>
        <v>0</v>
      </c>
      <c r="DJ168" s="35"/>
      <c r="DK168" s="35"/>
      <c r="DM168" s="37"/>
      <c r="DN168" s="35"/>
      <c r="DO168" s="35">
        <f t="shared" si="509"/>
        <v>0</v>
      </c>
      <c r="DP168" s="35"/>
      <c r="DQ168" s="35"/>
      <c r="DS168" s="37"/>
      <c r="DT168" s="35"/>
      <c r="DU168" s="35">
        <f t="shared" si="510"/>
        <v>0</v>
      </c>
      <c r="DV168" s="35"/>
      <c r="DW168" s="35"/>
      <c r="DY168" s="37"/>
      <c r="DZ168" s="35"/>
      <c r="EA168" s="35">
        <f t="shared" si="511"/>
        <v>0</v>
      </c>
      <c r="EB168" s="35"/>
      <c r="EC168" s="35"/>
      <c r="EE168" s="37"/>
      <c r="EF168" s="35"/>
      <c r="EG168" s="35">
        <f t="shared" si="512"/>
        <v>0</v>
      </c>
      <c r="EH168" s="35"/>
      <c r="EI168" s="35"/>
      <c r="EK168" s="37"/>
      <c r="EL168" s="35"/>
      <c r="EM168" s="35">
        <f t="shared" si="513"/>
        <v>0</v>
      </c>
      <c r="EN168" s="35"/>
      <c r="EO168" s="35"/>
      <c r="EQ168" s="37"/>
      <c r="ER168" s="35"/>
      <c r="ES168" s="35">
        <f t="shared" si="514"/>
        <v>0</v>
      </c>
      <c r="ET168" s="35"/>
      <c r="EU168" s="35"/>
      <c r="EW168" s="37"/>
      <c r="EX168" s="35"/>
      <c r="EY168" s="35">
        <f t="shared" si="515"/>
        <v>0</v>
      </c>
      <c r="EZ168" s="35"/>
      <c r="FA168" s="35"/>
      <c r="FC168" s="37"/>
      <c r="FD168" s="35"/>
      <c r="FE168" s="35">
        <f t="shared" si="516"/>
        <v>0</v>
      </c>
      <c r="FF168" s="35"/>
      <c r="FG168" s="35"/>
      <c r="FI168" s="37"/>
      <c r="FJ168" s="35"/>
      <c r="FK168" s="35">
        <f t="shared" si="517"/>
        <v>0</v>
      </c>
      <c r="FL168" s="35"/>
      <c r="FM168" s="35"/>
      <c r="FO168" s="37"/>
      <c r="FP168" s="35"/>
      <c r="FQ168" s="35">
        <f t="shared" si="518"/>
        <v>0</v>
      </c>
      <c r="FR168" s="35"/>
      <c r="FS168" s="35"/>
      <c r="FU168" s="37"/>
      <c r="FV168" s="35"/>
      <c r="FW168" s="35">
        <f t="shared" si="519"/>
        <v>0</v>
      </c>
      <c r="FX168" s="35"/>
      <c r="FY168" s="35"/>
      <c r="GA168" s="37"/>
      <c r="GB168" s="35"/>
      <c r="GC168" s="35">
        <f t="shared" si="520"/>
        <v>0</v>
      </c>
      <c r="GD168" s="35"/>
      <c r="GE168" s="35"/>
      <c r="GG168" s="37"/>
      <c r="GH168" s="35"/>
      <c r="GI168" s="35">
        <f t="shared" si="521"/>
        <v>0</v>
      </c>
      <c r="GJ168" s="35"/>
      <c r="GK168" s="35"/>
      <c r="GM168" s="37"/>
      <c r="GN168" s="35"/>
      <c r="GO168" s="35">
        <f t="shared" si="522"/>
        <v>0</v>
      </c>
      <c r="GP168" s="35"/>
      <c r="GQ168" s="35"/>
      <c r="GS168" s="37"/>
      <c r="GT168" s="35"/>
      <c r="GU168" s="35">
        <f t="shared" si="523"/>
        <v>0</v>
      </c>
      <c r="GV168" s="35"/>
      <c r="GW168" s="35"/>
      <c r="GY168" s="37"/>
      <c r="GZ168" s="35"/>
      <c r="HA168" s="35">
        <f t="shared" si="524"/>
        <v>0</v>
      </c>
      <c r="HB168" s="35"/>
      <c r="HC168" s="35"/>
    </row>
    <row r="169" spans="1:211" outlineLevel="1" x14ac:dyDescent="0.2"/>
    <row r="170" spans="1:211" s="32" customFormat="1" outlineLevel="1" x14ac:dyDescent="0.2">
      <c r="A170" s="32" t="s">
        <v>140</v>
      </c>
      <c r="B170" s="30">
        <f t="shared" ref="B170:B181" si="525">SUM(C170:XFD170)</f>
        <v>525000</v>
      </c>
      <c r="C170" s="31"/>
      <c r="D170" s="30"/>
      <c r="E170" s="30"/>
      <c r="F170" s="30">
        <f>F130</f>
        <v>350000</v>
      </c>
      <c r="G170" s="30"/>
      <c r="I170" s="31"/>
      <c r="J170" s="30"/>
      <c r="K170" s="30"/>
      <c r="L170" s="30">
        <f>L130</f>
        <v>0</v>
      </c>
      <c r="M170" s="30"/>
      <c r="O170" s="31"/>
      <c r="P170" s="30"/>
      <c r="Q170" s="30"/>
      <c r="R170" s="30">
        <f>R130</f>
        <v>0</v>
      </c>
      <c r="S170" s="30"/>
      <c r="U170" s="31"/>
      <c r="V170" s="30"/>
      <c r="W170" s="30"/>
      <c r="X170" s="30">
        <f>X130</f>
        <v>0</v>
      </c>
      <c r="Y170" s="30"/>
      <c r="AA170" s="31"/>
      <c r="AB170" s="30"/>
      <c r="AC170" s="30"/>
      <c r="AD170" s="30">
        <f>AD130</f>
        <v>175000</v>
      </c>
      <c r="AE170" s="30"/>
      <c r="AG170" s="31"/>
      <c r="AH170" s="30"/>
      <c r="AI170" s="30"/>
      <c r="AJ170" s="30">
        <f>AJ130</f>
        <v>0</v>
      </c>
      <c r="AK170" s="30"/>
      <c r="AM170" s="31"/>
      <c r="AN170" s="30"/>
      <c r="AO170" s="30"/>
      <c r="AP170" s="30">
        <f>AP130</f>
        <v>0</v>
      </c>
      <c r="AQ170" s="30"/>
      <c r="AS170" s="31"/>
      <c r="AT170" s="30"/>
      <c r="AU170" s="30"/>
      <c r="AV170" s="30">
        <f>AV130</f>
        <v>0</v>
      </c>
      <c r="AW170" s="30"/>
      <c r="AY170" s="31"/>
      <c r="AZ170" s="30"/>
      <c r="BA170" s="30"/>
      <c r="BB170" s="30">
        <f>BB130</f>
        <v>0</v>
      </c>
      <c r="BC170" s="30"/>
      <c r="BE170" s="31"/>
      <c r="BF170" s="30"/>
      <c r="BG170" s="30"/>
      <c r="BH170" s="30">
        <f>BH130</f>
        <v>0</v>
      </c>
      <c r="BI170" s="30"/>
      <c r="BK170" s="31"/>
      <c r="BL170" s="30"/>
      <c r="BM170" s="30"/>
      <c r="BN170" s="30">
        <f>BN130</f>
        <v>0</v>
      </c>
      <c r="BO170" s="30"/>
      <c r="BQ170" s="31"/>
      <c r="BR170" s="30"/>
      <c r="BS170" s="30"/>
      <c r="BT170" s="30">
        <f>BT130</f>
        <v>0</v>
      </c>
      <c r="BU170" s="30"/>
      <c r="BW170" s="31"/>
      <c r="BX170" s="30"/>
      <c r="BY170" s="30"/>
      <c r="BZ170" s="30">
        <f>BZ130</f>
        <v>0</v>
      </c>
      <c r="CA170" s="30"/>
      <c r="CC170" s="31"/>
      <c r="CD170" s="30"/>
      <c r="CE170" s="30"/>
      <c r="CF170" s="30">
        <f>CF130</f>
        <v>0</v>
      </c>
      <c r="CG170" s="30"/>
      <c r="CI170" s="31"/>
      <c r="CJ170" s="30"/>
      <c r="CK170" s="30"/>
      <c r="CL170" s="30">
        <f>CL130</f>
        <v>0</v>
      </c>
      <c r="CM170" s="30"/>
      <c r="CO170" s="31"/>
      <c r="CP170" s="30"/>
      <c r="CQ170" s="30"/>
      <c r="CR170" s="30">
        <f>CR130</f>
        <v>0</v>
      </c>
      <c r="CS170" s="30"/>
      <c r="CU170" s="31"/>
      <c r="CV170" s="30"/>
      <c r="CW170" s="30"/>
      <c r="CX170" s="30">
        <f>CX130</f>
        <v>0</v>
      </c>
      <c r="CY170" s="30"/>
      <c r="DA170" s="31"/>
      <c r="DB170" s="30"/>
      <c r="DC170" s="30"/>
      <c r="DD170" s="30">
        <f>DD130</f>
        <v>0</v>
      </c>
      <c r="DE170" s="30"/>
      <c r="DG170" s="31"/>
      <c r="DH170" s="30"/>
      <c r="DI170" s="30"/>
      <c r="DJ170" s="30">
        <f>DJ130</f>
        <v>0</v>
      </c>
      <c r="DK170" s="30"/>
      <c r="DM170" s="31"/>
      <c r="DN170" s="30"/>
      <c r="DO170" s="30"/>
      <c r="DP170" s="30">
        <f>DP130</f>
        <v>0</v>
      </c>
      <c r="DQ170" s="30"/>
      <c r="DS170" s="31"/>
      <c r="DT170" s="30"/>
      <c r="DU170" s="30"/>
      <c r="DV170" s="30">
        <f>DV130</f>
        <v>0</v>
      </c>
      <c r="DW170" s="30"/>
      <c r="DY170" s="31"/>
      <c r="DZ170" s="30"/>
      <c r="EA170" s="30"/>
      <c r="EB170" s="30">
        <f>EB130</f>
        <v>0</v>
      </c>
      <c r="EC170" s="30"/>
      <c r="EE170" s="31"/>
      <c r="EF170" s="30"/>
      <c r="EG170" s="30"/>
      <c r="EH170" s="30">
        <f>EH130</f>
        <v>0</v>
      </c>
      <c r="EI170" s="30"/>
      <c r="EK170" s="31"/>
      <c r="EL170" s="30"/>
      <c r="EM170" s="30"/>
      <c r="EN170" s="30">
        <f>EN130</f>
        <v>0</v>
      </c>
      <c r="EO170" s="30"/>
      <c r="EQ170" s="31"/>
      <c r="ER170" s="30"/>
      <c r="ES170" s="30"/>
      <c r="ET170" s="30">
        <f>ET130</f>
        <v>0</v>
      </c>
      <c r="EU170" s="30"/>
      <c r="EW170" s="31"/>
      <c r="EX170" s="30"/>
      <c r="EY170" s="30"/>
      <c r="EZ170" s="30">
        <f>EZ130</f>
        <v>0</v>
      </c>
      <c r="FA170" s="30"/>
      <c r="FC170" s="31"/>
      <c r="FD170" s="30"/>
      <c r="FE170" s="30"/>
      <c r="FF170" s="30">
        <f>FF130</f>
        <v>0</v>
      </c>
      <c r="FG170" s="30"/>
      <c r="FI170" s="31"/>
      <c r="FJ170" s="30"/>
      <c r="FK170" s="30"/>
      <c r="FL170" s="30">
        <f>FL130</f>
        <v>0</v>
      </c>
      <c r="FM170" s="30"/>
      <c r="FO170" s="31"/>
      <c r="FP170" s="30"/>
      <c r="FQ170" s="30"/>
      <c r="FR170" s="30">
        <f>FR130</f>
        <v>0</v>
      </c>
      <c r="FS170" s="30"/>
      <c r="FU170" s="31"/>
      <c r="FV170" s="30"/>
      <c r="FW170" s="30"/>
      <c r="FX170" s="30">
        <f>FX130</f>
        <v>0</v>
      </c>
      <c r="FY170" s="30"/>
      <c r="GA170" s="31"/>
      <c r="GB170" s="30"/>
      <c r="GC170" s="30"/>
      <c r="GD170" s="30">
        <f>GD130</f>
        <v>0</v>
      </c>
      <c r="GE170" s="30"/>
      <c r="GG170" s="31"/>
      <c r="GH170" s="30"/>
      <c r="GI170" s="30"/>
      <c r="GJ170" s="30">
        <f>GJ130</f>
        <v>0</v>
      </c>
      <c r="GK170" s="30"/>
      <c r="GM170" s="31"/>
      <c r="GN170" s="30"/>
      <c r="GO170" s="30"/>
      <c r="GP170" s="30">
        <f>GP130</f>
        <v>0</v>
      </c>
      <c r="GQ170" s="30"/>
      <c r="GS170" s="31"/>
      <c r="GT170" s="30"/>
      <c r="GU170" s="30"/>
      <c r="GV170" s="30">
        <f>GV130</f>
        <v>0</v>
      </c>
      <c r="GW170" s="30"/>
      <c r="GY170" s="31"/>
      <c r="GZ170" s="30"/>
      <c r="HA170" s="30"/>
      <c r="HB170" s="30">
        <f>HB130</f>
        <v>0</v>
      </c>
      <c r="HC170" s="30"/>
    </row>
    <row r="171" spans="1:211" s="32" customFormat="1" outlineLevel="1" x14ac:dyDescent="0.2">
      <c r="A171" s="32" t="s">
        <v>141</v>
      </c>
      <c r="B171" s="30">
        <f t="shared" si="525"/>
        <v>350000</v>
      </c>
      <c r="C171" s="31"/>
      <c r="D171" s="30"/>
      <c r="E171" s="30"/>
      <c r="F171" s="30">
        <f t="shared" ref="F171:F181" si="526">F131</f>
        <v>0</v>
      </c>
      <c r="G171" s="30"/>
      <c r="I171" s="31"/>
      <c r="J171" s="30"/>
      <c r="K171" s="30"/>
      <c r="L171" s="30">
        <f t="shared" ref="L171:L181" si="527">L131</f>
        <v>0</v>
      </c>
      <c r="M171" s="30"/>
      <c r="O171" s="31"/>
      <c r="P171" s="30"/>
      <c r="Q171" s="30"/>
      <c r="R171" s="30">
        <f t="shared" ref="R171:R181" si="528">R131</f>
        <v>0</v>
      </c>
      <c r="S171" s="30"/>
      <c r="U171" s="31"/>
      <c r="V171" s="30"/>
      <c r="W171" s="30"/>
      <c r="X171" s="30">
        <f t="shared" ref="X171:X181" si="529">X131</f>
        <v>0</v>
      </c>
      <c r="Y171" s="30"/>
      <c r="AA171" s="31"/>
      <c r="AB171" s="30"/>
      <c r="AC171" s="30"/>
      <c r="AD171" s="30">
        <f t="shared" ref="AD171:AD181" si="530">AD131</f>
        <v>0</v>
      </c>
      <c r="AE171" s="30"/>
      <c r="AG171" s="31"/>
      <c r="AH171" s="30"/>
      <c r="AI171" s="30"/>
      <c r="AJ171" s="30">
        <f t="shared" ref="AJ171:AJ181" si="531">AJ131</f>
        <v>0</v>
      </c>
      <c r="AK171" s="30"/>
      <c r="AM171" s="31"/>
      <c r="AN171" s="30"/>
      <c r="AO171" s="30"/>
      <c r="AP171" s="30">
        <f t="shared" ref="AP171:AP181" si="532">AP131</f>
        <v>0</v>
      </c>
      <c r="AQ171" s="30"/>
      <c r="AS171" s="31"/>
      <c r="AT171" s="30"/>
      <c r="AU171" s="30"/>
      <c r="AV171" s="30">
        <f t="shared" ref="AV171:AV181" si="533">AV131</f>
        <v>0</v>
      </c>
      <c r="AW171" s="30"/>
      <c r="AY171" s="31"/>
      <c r="AZ171" s="30"/>
      <c r="BA171" s="30"/>
      <c r="BB171" s="30">
        <f t="shared" ref="BB171:BB181" si="534">BB131</f>
        <v>0</v>
      </c>
      <c r="BC171" s="30"/>
      <c r="BE171" s="31"/>
      <c r="BF171" s="30"/>
      <c r="BG171" s="30"/>
      <c r="BH171" s="30">
        <f t="shared" ref="BH171:BH181" si="535">BH131</f>
        <v>0</v>
      </c>
      <c r="BI171" s="30"/>
      <c r="BK171" s="31"/>
      <c r="BL171" s="30"/>
      <c r="BM171" s="30"/>
      <c r="BN171" s="30">
        <f t="shared" ref="BN171:BN181" si="536">BN131</f>
        <v>0</v>
      </c>
      <c r="BO171" s="30"/>
      <c r="BQ171" s="31"/>
      <c r="BR171" s="30"/>
      <c r="BS171" s="30"/>
      <c r="BT171" s="30">
        <f t="shared" ref="BT171:BT181" si="537">BT131</f>
        <v>0</v>
      </c>
      <c r="BU171" s="30"/>
      <c r="BW171" s="31"/>
      <c r="BX171" s="30"/>
      <c r="BY171" s="30"/>
      <c r="BZ171" s="30">
        <f t="shared" ref="BZ171:BZ181" si="538">BZ131</f>
        <v>0</v>
      </c>
      <c r="CA171" s="30"/>
      <c r="CC171" s="31"/>
      <c r="CD171" s="30"/>
      <c r="CE171" s="30"/>
      <c r="CF171" s="30">
        <f t="shared" ref="CF171:CF181" si="539">CF131</f>
        <v>0</v>
      </c>
      <c r="CG171" s="30"/>
      <c r="CI171" s="31"/>
      <c r="CJ171" s="30"/>
      <c r="CK171" s="30"/>
      <c r="CL171" s="30">
        <f t="shared" ref="CL171:CL181" si="540">CL131</f>
        <v>350000</v>
      </c>
      <c r="CM171" s="30"/>
      <c r="CO171" s="31"/>
      <c r="CP171" s="30"/>
      <c r="CQ171" s="30"/>
      <c r="CR171" s="30">
        <f t="shared" ref="CR171:CR181" si="541">CR131</f>
        <v>0</v>
      </c>
      <c r="CS171" s="30"/>
      <c r="CU171" s="31"/>
      <c r="CV171" s="30"/>
      <c r="CW171" s="30"/>
      <c r="CX171" s="30">
        <f t="shared" ref="CX171:CX181" si="542">CX131</f>
        <v>0</v>
      </c>
      <c r="CY171" s="30"/>
      <c r="DA171" s="31"/>
      <c r="DB171" s="30"/>
      <c r="DC171" s="30"/>
      <c r="DD171" s="30">
        <f t="shared" ref="DD171:DD181" si="543">DD131</f>
        <v>0</v>
      </c>
      <c r="DE171" s="30"/>
      <c r="DG171" s="31"/>
      <c r="DH171" s="30"/>
      <c r="DI171" s="30"/>
      <c r="DJ171" s="30">
        <f t="shared" ref="DJ171:DJ181" si="544">DJ131</f>
        <v>0</v>
      </c>
      <c r="DK171" s="30"/>
      <c r="DM171" s="31"/>
      <c r="DN171" s="30"/>
      <c r="DO171" s="30"/>
      <c r="DP171" s="30">
        <f t="shared" ref="DP171:DP181" si="545">DP131</f>
        <v>0</v>
      </c>
      <c r="DQ171" s="30"/>
      <c r="DS171" s="31"/>
      <c r="DT171" s="30"/>
      <c r="DU171" s="30"/>
      <c r="DV171" s="30">
        <f t="shared" ref="DV171:DV181" si="546">DV131</f>
        <v>0</v>
      </c>
      <c r="DW171" s="30"/>
      <c r="DY171" s="31"/>
      <c r="DZ171" s="30"/>
      <c r="EA171" s="30"/>
      <c r="EB171" s="30">
        <f t="shared" ref="EB171:EB181" si="547">EB131</f>
        <v>0</v>
      </c>
      <c r="EC171" s="30"/>
      <c r="EE171" s="31"/>
      <c r="EF171" s="30"/>
      <c r="EG171" s="30"/>
      <c r="EH171" s="30">
        <f t="shared" ref="EH171:EH181" si="548">EH131</f>
        <v>0</v>
      </c>
      <c r="EI171" s="30"/>
      <c r="EK171" s="31"/>
      <c r="EL171" s="30"/>
      <c r="EM171" s="30"/>
      <c r="EN171" s="30">
        <f t="shared" ref="EN171:EN181" si="549">EN131</f>
        <v>0</v>
      </c>
      <c r="EO171" s="30"/>
      <c r="EQ171" s="31"/>
      <c r="ER171" s="30"/>
      <c r="ES171" s="30"/>
      <c r="ET171" s="30">
        <f t="shared" ref="ET171:ET181" si="550">ET131</f>
        <v>0</v>
      </c>
      <c r="EU171" s="30"/>
      <c r="EW171" s="31"/>
      <c r="EX171" s="30"/>
      <c r="EY171" s="30"/>
      <c r="EZ171" s="30">
        <f t="shared" ref="EZ171:EZ181" si="551">EZ131</f>
        <v>0</v>
      </c>
      <c r="FA171" s="30"/>
      <c r="FC171" s="31"/>
      <c r="FD171" s="30"/>
      <c r="FE171" s="30"/>
      <c r="FF171" s="30">
        <f t="shared" ref="FF171:FF181" si="552">FF131</f>
        <v>0</v>
      </c>
      <c r="FG171" s="30"/>
      <c r="FI171" s="31"/>
      <c r="FJ171" s="30"/>
      <c r="FK171" s="30"/>
      <c r="FL171" s="30">
        <f t="shared" ref="FL171:FL181" si="553">FL131</f>
        <v>0</v>
      </c>
      <c r="FM171" s="30"/>
      <c r="FO171" s="31"/>
      <c r="FP171" s="30"/>
      <c r="FQ171" s="30"/>
      <c r="FR171" s="30">
        <f t="shared" ref="FR171:FR181" si="554">FR131</f>
        <v>0</v>
      </c>
      <c r="FS171" s="30"/>
      <c r="FU171" s="31"/>
      <c r="FV171" s="30"/>
      <c r="FW171" s="30"/>
      <c r="FX171" s="30">
        <f t="shared" ref="FX171:FX181" si="555">FX131</f>
        <v>0</v>
      </c>
      <c r="FY171" s="30"/>
      <c r="GA171" s="31"/>
      <c r="GB171" s="30"/>
      <c r="GC171" s="30"/>
      <c r="GD171" s="30">
        <f t="shared" ref="GD171:GD181" si="556">GD131</f>
        <v>0</v>
      </c>
      <c r="GE171" s="30"/>
      <c r="GG171" s="31"/>
      <c r="GH171" s="30"/>
      <c r="GI171" s="30"/>
      <c r="GJ171" s="30">
        <f t="shared" ref="GJ171:GJ181" si="557">GJ131</f>
        <v>0</v>
      </c>
      <c r="GK171" s="30"/>
      <c r="GM171" s="31"/>
      <c r="GN171" s="30"/>
      <c r="GO171" s="30"/>
      <c r="GP171" s="30">
        <f t="shared" ref="GP171:GP181" si="558">GP131</f>
        <v>0</v>
      </c>
      <c r="GQ171" s="30"/>
      <c r="GS171" s="31"/>
      <c r="GT171" s="30"/>
      <c r="GU171" s="30"/>
      <c r="GV171" s="30">
        <f t="shared" ref="GV171:GV181" si="559">GV131</f>
        <v>0</v>
      </c>
      <c r="GW171" s="30"/>
      <c r="GY171" s="31"/>
      <c r="GZ171" s="30"/>
      <c r="HA171" s="30"/>
      <c r="HB171" s="30">
        <f t="shared" ref="HB171:HB181" si="560">HB131</f>
        <v>0</v>
      </c>
      <c r="HC171" s="30"/>
    </row>
    <row r="172" spans="1:211" s="32" customFormat="1" outlineLevel="1" x14ac:dyDescent="0.2">
      <c r="A172" s="32" t="s">
        <v>142</v>
      </c>
      <c r="B172" s="30">
        <f t="shared" si="525"/>
        <v>0</v>
      </c>
      <c r="C172" s="31"/>
      <c r="D172" s="30"/>
      <c r="E172" s="30"/>
      <c r="F172" s="30">
        <f t="shared" si="526"/>
        <v>0</v>
      </c>
      <c r="G172" s="30"/>
      <c r="I172" s="31"/>
      <c r="J172" s="30"/>
      <c r="K172" s="30"/>
      <c r="L172" s="30">
        <f t="shared" si="527"/>
        <v>0</v>
      </c>
      <c r="M172" s="30"/>
      <c r="O172" s="31"/>
      <c r="P172" s="30"/>
      <c r="Q172" s="30"/>
      <c r="R172" s="30">
        <f t="shared" si="528"/>
        <v>0</v>
      </c>
      <c r="S172" s="30"/>
      <c r="U172" s="31"/>
      <c r="V172" s="30"/>
      <c r="W172" s="30"/>
      <c r="X172" s="30">
        <f t="shared" si="529"/>
        <v>0</v>
      </c>
      <c r="Y172" s="30"/>
      <c r="AA172" s="31"/>
      <c r="AB172" s="30"/>
      <c r="AC172" s="30"/>
      <c r="AD172" s="30">
        <f t="shared" si="530"/>
        <v>0</v>
      </c>
      <c r="AE172" s="30"/>
      <c r="AG172" s="31"/>
      <c r="AH172" s="30"/>
      <c r="AI172" s="30"/>
      <c r="AJ172" s="30">
        <f t="shared" si="531"/>
        <v>0</v>
      </c>
      <c r="AK172" s="30"/>
      <c r="AM172" s="31"/>
      <c r="AN172" s="30"/>
      <c r="AO172" s="30"/>
      <c r="AP172" s="30">
        <f t="shared" si="532"/>
        <v>0</v>
      </c>
      <c r="AQ172" s="30"/>
      <c r="AS172" s="31"/>
      <c r="AT172" s="30"/>
      <c r="AU172" s="30"/>
      <c r="AV172" s="30">
        <f t="shared" si="533"/>
        <v>0</v>
      </c>
      <c r="AW172" s="30"/>
      <c r="AY172" s="31"/>
      <c r="AZ172" s="30"/>
      <c r="BA172" s="30"/>
      <c r="BB172" s="30">
        <f t="shared" si="534"/>
        <v>0</v>
      </c>
      <c r="BC172" s="30"/>
      <c r="BE172" s="31"/>
      <c r="BF172" s="30"/>
      <c r="BG172" s="30"/>
      <c r="BH172" s="30">
        <f t="shared" si="535"/>
        <v>0</v>
      </c>
      <c r="BI172" s="30"/>
      <c r="BK172" s="31"/>
      <c r="BL172" s="30"/>
      <c r="BM172" s="30"/>
      <c r="BN172" s="30">
        <f t="shared" si="536"/>
        <v>0</v>
      </c>
      <c r="BO172" s="30"/>
      <c r="BQ172" s="31"/>
      <c r="BR172" s="30"/>
      <c r="BS172" s="30"/>
      <c r="BT172" s="30">
        <f t="shared" si="537"/>
        <v>0</v>
      </c>
      <c r="BU172" s="30"/>
      <c r="BW172" s="31"/>
      <c r="BX172" s="30"/>
      <c r="BY172" s="30"/>
      <c r="BZ172" s="30">
        <f t="shared" si="538"/>
        <v>0</v>
      </c>
      <c r="CA172" s="30"/>
      <c r="CC172" s="31"/>
      <c r="CD172" s="30"/>
      <c r="CE172" s="30"/>
      <c r="CF172" s="30">
        <f t="shared" si="539"/>
        <v>0</v>
      </c>
      <c r="CG172" s="30"/>
      <c r="CI172" s="31"/>
      <c r="CJ172" s="30"/>
      <c r="CK172" s="30"/>
      <c r="CL172" s="30">
        <f t="shared" si="540"/>
        <v>0</v>
      </c>
      <c r="CM172" s="30"/>
      <c r="CO172" s="31"/>
      <c r="CP172" s="30"/>
      <c r="CQ172" s="30"/>
      <c r="CR172" s="30">
        <f t="shared" si="541"/>
        <v>0</v>
      </c>
      <c r="CS172" s="30"/>
      <c r="CU172" s="31"/>
      <c r="CV172" s="30"/>
      <c r="CW172" s="30"/>
      <c r="CX172" s="30">
        <f t="shared" si="542"/>
        <v>0</v>
      </c>
      <c r="CY172" s="30"/>
      <c r="DA172" s="31"/>
      <c r="DB172" s="30"/>
      <c r="DC172" s="30"/>
      <c r="DD172" s="30">
        <f t="shared" si="543"/>
        <v>0</v>
      </c>
      <c r="DE172" s="30"/>
      <c r="DG172" s="31"/>
      <c r="DH172" s="30"/>
      <c r="DI172" s="30"/>
      <c r="DJ172" s="30">
        <f t="shared" si="544"/>
        <v>0</v>
      </c>
      <c r="DK172" s="30"/>
      <c r="DM172" s="31"/>
      <c r="DN172" s="30"/>
      <c r="DO172" s="30"/>
      <c r="DP172" s="30">
        <f t="shared" si="545"/>
        <v>0</v>
      </c>
      <c r="DQ172" s="30"/>
      <c r="DS172" s="31"/>
      <c r="DT172" s="30"/>
      <c r="DU172" s="30"/>
      <c r="DV172" s="30">
        <f t="shared" si="546"/>
        <v>0</v>
      </c>
      <c r="DW172" s="30"/>
      <c r="DY172" s="31"/>
      <c r="DZ172" s="30"/>
      <c r="EA172" s="30"/>
      <c r="EB172" s="30">
        <f t="shared" si="547"/>
        <v>0</v>
      </c>
      <c r="EC172" s="30"/>
      <c r="EE172" s="31"/>
      <c r="EF172" s="30"/>
      <c r="EG172" s="30"/>
      <c r="EH172" s="30">
        <f t="shared" si="548"/>
        <v>0</v>
      </c>
      <c r="EI172" s="30"/>
      <c r="EK172" s="31"/>
      <c r="EL172" s="30"/>
      <c r="EM172" s="30"/>
      <c r="EN172" s="30">
        <f t="shared" si="549"/>
        <v>0</v>
      </c>
      <c r="EO172" s="30"/>
      <c r="EQ172" s="31"/>
      <c r="ER172" s="30"/>
      <c r="ES172" s="30"/>
      <c r="ET172" s="30">
        <f t="shared" si="550"/>
        <v>0</v>
      </c>
      <c r="EU172" s="30"/>
      <c r="EW172" s="31"/>
      <c r="EX172" s="30"/>
      <c r="EY172" s="30"/>
      <c r="EZ172" s="30">
        <f t="shared" si="551"/>
        <v>0</v>
      </c>
      <c r="FA172" s="30"/>
      <c r="FC172" s="31"/>
      <c r="FD172" s="30"/>
      <c r="FE172" s="30"/>
      <c r="FF172" s="30">
        <f t="shared" si="552"/>
        <v>0</v>
      </c>
      <c r="FG172" s="30"/>
      <c r="FI172" s="31"/>
      <c r="FJ172" s="30"/>
      <c r="FK172" s="30"/>
      <c r="FL172" s="30">
        <f t="shared" si="553"/>
        <v>0</v>
      </c>
      <c r="FM172" s="30"/>
      <c r="FO172" s="31"/>
      <c r="FP172" s="30"/>
      <c r="FQ172" s="30"/>
      <c r="FR172" s="30">
        <f t="shared" si="554"/>
        <v>0</v>
      </c>
      <c r="FS172" s="30"/>
      <c r="FU172" s="31"/>
      <c r="FV172" s="30"/>
      <c r="FW172" s="30"/>
      <c r="FX172" s="30">
        <f t="shared" si="555"/>
        <v>0</v>
      </c>
      <c r="FY172" s="30"/>
      <c r="GA172" s="31"/>
      <c r="GB172" s="30"/>
      <c r="GC172" s="30"/>
      <c r="GD172" s="30">
        <f t="shared" si="556"/>
        <v>0</v>
      </c>
      <c r="GE172" s="30"/>
      <c r="GG172" s="31"/>
      <c r="GH172" s="30"/>
      <c r="GI172" s="30"/>
      <c r="GJ172" s="30">
        <f t="shared" si="557"/>
        <v>0</v>
      </c>
      <c r="GK172" s="30"/>
      <c r="GM172" s="31"/>
      <c r="GN172" s="30"/>
      <c r="GO172" s="30"/>
      <c r="GP172" s="30">
        <f t="shared" si="558"/>
        <v>0</v>
      </c>
      <c r="GQ172" s="30"/>
      <c r="GS172" s="31"/>
      <c r="GT172" s="30"/>
      <c r="GU172" s="30"/>
      <c r="GV172" s="30">
        <f t="shared" si="559"/>
        <v>0</v>
      </c>
      <c r="GW172" s="30"/>
      <c r="GY172" s="31"/>
      <c r="GZ172" s="30"/>
      <c r="HA172" s="30"/>
      <c r="HB172" s="30">
        <f t="shared" si="560"/>
        <v>0</v>
      </c>
      <c r="HC172" s="30"/>
    </row>
    <row r="173" spans="1:211" s="32" customFormat="1" outlineLevel="1" x14ac:dyDescent="0.2">
      <c r="A173" s="32" t="s">
        <v>143</v>
      </c>
      <c r="B173" s="30">
        <f t="shared" si="525"/>
        <v>0</v>
      </c>
      <c r="C173" s="31"/>
      <c r="D173" s="30"/>
      <c r="E173" s="30"/>
      <c r="F173" s="30">
        <f t="shared" si="526"/>
        <v>0</v>
      </c>
      <c r="G173" s="30"/>
      <c r="I173" s="31"/>
      <c r="J173" s="30"/>
      <c r="K173" s="30"/>
      <c r="L173" s="30">
        <f t="shared" si="527"/>
        <v>0</v>
      </c>
      <c r="M173" s="30"/>
      <c r="O173" s="31"/>
      <c r="P173" s="30"/>
      <c r="Q173" s="30"/>
      <c r="R173" s="30">
        <f t="shared" si="528"/>
        <v>0</v>
      </c>
      <c r="S173" s="30"/>
      <c r="U173" s="31"/>
      <c r="V173" s="30"/>
      <c r="W173" s="30"/>
      <c r="X173" s="30">
        <f t="shared" si="529"/>
        <v>0</v>
      </c>
      <c r="Y173" s="30"/>
      <c r="AA173" s="31"/>
      <c r="AB173" s="30"/>
      <c r="AC173" s="30"/>
      <c r="AD173" s="30">
        <f t="shared" si="530"/>
        <v>0</v>
      </c>
      <c r="AE173" s="30"/>
      <c r="AG173" s="31"/>
      <c r="AH173" s="30"/>
      <c r="AI173" s="30"/>
      <c r="AJ173" s="30">
        <f t="shared" si="531"/>
        <v>0</v>
      </c>
      <c r="AK173" s="30"/>
      <c r="AM173" s="31"/>
      <c r="AN173" s="30"/>
      <c r="AO173" s="30"/>
      <c r="AP173" s="30">
        <f t="shared" si="532"/>
        <v>0</v>
      </c>
      <c r="AQ173" s="30"/>
      <c r="AS173" s="31"/>
      <c r="AT173" s="30"/>
      <c r="AU173" s="30"/>
      <c r="AV173" s="30">
        <f t="shared" si="533"/>
        <v>0</v>
      </c>
      <c r="AW173" s="30"/>
      <c r="AY173" s="31"/>
      <c r="AZ173" s="30"/>
      <c r="BA173" s="30"/>
      <c r="BB173" s="30">
        <f t="shared" si="534"/>
        <v>0</v>
      </c>
      <c r="BC173" s="30"/>
      <c r="BE173" s="31"/>
      <c r="BF173" s="30"/>
      <c r="BG173" s="30"/>
      <c r="BH173" s="30">
        <f t="shared" si="535"/>
        <v>0</v>
      </c>
      <c r="BI173" s="30"/>
      <c r="BK173" s="31"/>
      <c r="BL173" s="30"/>
      <c r="BM173" s="30"/>
      <c r="BN173" s="30">
        <f t="shared" si="536"/>
        <v>0</v>
      </c>
      <c r="BO173" s="30"/>
      <c r="BQ173" s="31"/>
      <c r="BR173" s="30"/>
      <c r="BS173" s="30"/>
      <c r="BT173" s="30">
        <f t="shared" si="537"/>
        <v>0</v>
      </c>
      <c r="BU173" s="30"/>
      <c r="BW173" s="31"/>
      <c r="BX173" s="30"/>
      <c r="BY173" s="30"/>
      <c r="BZ173" s="30">
        <f t="shared" si="538"/>
        <v>0</v>
      </c>
      <c r="CA173" s="30"/>
      <c r="CC173" s="31"/>
      <c r="CD173" s="30"/>
      <c r="CE173" s="30"/>
      <c r="CF173" s="30">
        <f t="shared" si="539"/>
        <v>0</v>
      </c>
      <c r="CG173" s="30"/>
      <c r="CI173" s="31"/>
      <c r="CJ173" s="30"/>
      <c r="CK173" s="30"/>
      <c r="CL173" s="30">
        <f t="shared" si="540"/>
        <v>0</v>
      </c>
      <c r="CM173" s="30"/>
      <c r="CO173" s="31"/>
      <c r="CP173" s="30"/>
      <c r="CQ173" s="30"/>
      <c r="CR173" s="30">
        <f t="shared" si="541"/>
        <v>0</v>
      </c>
      <c r="CS173" s="30"/>
      <c r="CU173" s="31"/>
      <c r="CV173" s="30"/>
      <c r="CW173" s="30"/>
      <c r="CX173" s="30">
        <f t="shared" si="542"/>
        <v>0</v>
      </c>
      <c r="CY173" s="30"/>
      <c r="DA173" s="31"/>
      <c r="DB173" s="30"/>
      <c r="DC173" s="30"/>
      <c r="DD173" s="30">
        <f t="shared" si="543"/>
        <v>0</v>
      </c>
      <c r="DE173" s="30"/>
      <c r="DG173" s="31"/>
      <c r="DH173" s="30"/>
      <c r="DI173" s="30"/>
      <c r="DJ173" s="30">
        <f t="shared" si="544"/>
        <v>0</v>
      </c>
      <c r="DK173" s="30"/>
      <c r="DM173" s="31"/>
      <c r="DN173" s="30"/>
      <c r="DO173" s="30"/>
      <c r="DP173" s="30">
        <f t="shared" si="545"/>
        <v>0</v>
      </c>
      <c r="DQ173" s="30"/>
      <c r="DS173" s="31"/>
      <c r="DT173" s="30"/>
      <c r="DU173" s="30"/>
      <c r="DV173" s="30">
        <f t="shared" si="546"/>
        <v>0</v>
      </c>
      <c r="DW173" s="30"/>
      <c r="DY173" s="31"/>
      <c r="DZ173" s="30"/>
      <c r="EA173" s="30"/>
      <c r="EB173" s="30">
        <f t="shared" si="547"/>
        <v>0</v>
      </c>
      <c r="EC173" s="30"/>
      <c r="EE173" s="31"/>
      <c r="EF173" s="30"/>
      <c r="EG173" s="30"/>
      <c r="EH173" s="30">
        <f t="shared" si="548"/>
        <v>0</v>
      </c>
      <c r="EI173" s="30"/>
      <c r="EK173" s="31"/>
      <c r="EL173" s="30"/>
      <c r="EM173" s="30"/>
      <c r="EN173" s="30">
        <f t="shared" si="549"/>
        <v>0</v>
      </c>
      <c r="EO173" s="30"/>
      <c r="EQ173" s="31"/>
      <c r="ER173" s="30"/>
      <c r="ES173" s="30"/>
      <c r="ET173" s="30">
        <f t="shared" si="550"/>
        <v>0</v>
      </c>
      <c r="EU173" s="30"/>
      <c r="EW173" s="31"/>
      <c r="EX173" s="30"/>
      <c r="EY173" s="30"/>
      <c r="EZ173" s="30">
        <f t="shared" si="551"/>
        <v>0</v>
      </c>
      <c r="FA173" s="30"/>
      <c r="FC173" s="31"/>
      <c r="FD173" s="30"/>
      <c r="FE173" s="30"/>
      <c r="FF173" s="30">
        <f t="shared" si="552"/>
        <v>0</v>
      </c>
      <c r="FG173" s="30"/>
      <c r="FI173" s="31"/>
      <c r="FJ173" s="30"/>
      <c r="FK173" s="30"/>
      <c r="FL173" s="30">
        <f t="shared" si="553"/>
        <v>0</v>
      </c>
      <c r="FM173" s="30"/>
      <c r="FO173" s="31"/>
      <c r="FP173" s="30"/>
      <c r="FQ173" s="30"/>
      <c r="FR173" s="30">
        <f t="shared" si="554"/>
        <v>0</v>
      </c>
      <c r="FS173" s="30"/>
      <c r="FU173" s="31"/>
      <c r="FV173" s="30"/>
      <c r="FW173" s="30"/>
      <c r="FX173" s="30">
        <f t="shared" si="555"/>
        <v>0</v>
      </c>
      <c r="FY173" s="30"/>
      <c r="GA173" s="31"/>
      <c r="GB173" s="30"/>
      <c r="GC173" s="30"/>
      <c r="GD173" s="30">
        <f t="shared" si="556"/>
        <v>0</v>
      </c>
      <c r="GE173" s="30"/>
      <c r="GG173" s="31"/>
      <c r="GH173" s="30"/>
      <c r="GI173" s="30"/>
      <c r="GJ173" s="30">
        <f t="shared" si="557"/>
        <v>0</v>
      </c>
      <c r="GK173" s="30"/>
      <c r="GM173" s="31"/>
      <c r="GN173" s="30"/>
      <c r="GO173" s="30"/>
      <c r="GP173" s="30">
        <f t="shared" si="558"/>
        <v>0</v>
      </c>
      <c r="GQ173" s="30"/>
      <c r="GS173" s="31"/>
      <c r="GT173" s="30"/>
      <c r="GU173" s="30"/>
      <c r="GV173" s="30">
        <f t="shared" si="559"/>
        <v>0</v>
      </c>
      <c r="GW173" s="30"/>
      <c r="GY173" s="31"/>
      <c r="GZ173" s="30"/>
      <c r="HA173" s="30"/>
      <c r="HB173" s="30">
        <f t="shared" si="560"/>
        <v>0</v>
      </c>
      <c r="HC173" s="30"/>
    </row>
    <row r="174" spans="1:211" s="32" customFormat="1" outlineLevel="1" x14ac:dyDescent="0.2">
      <c r="A174" s="32" t="s">
        <v>144</v>
      </c>
      <c r="B174" s="30">
        <f t="shared" si="525"/>
        <v>0</v>
      </c>
      <c r="C174" s="31"/>
      <c r="D174" s="30"/>
      <c r="E174" s="30"/>
      <c r="F174" s="30">
        <f t="shared" si="526"/>
        <v>0</v>
      </c>
      <c r="G174" s="30"/>
      <c r="I174" s="31"/>
      <c r="J174" s="30"/>
      <c r="K174" s="30"/>
      <c r="L174" s="30">
        <f t="shared" si="527"/>
        <v>0</v>
      </c>
      <c r="M174" s="30"/>
      <c r="O174" s="31"/>
      <c r="P174" s="30"/>
      <c r="Q174" s="30"/>
      <c r="R174" s="30">
        <f t="shared" si="528"/>
        <v>0</v>
      </c>
      <c r="S174" s="30"/>
      <c r="U174" s="31"/>
      <c r="V174" s="30"/>
      <c r="W174" s="30"/>
      <c r="X174" s="30">
        <f t="shared" si="529"/>
        <v>0</v>
      </c>
      <c r="Y174" s="30"/>
      <c r="AA174" s="31"/>
      <c r="AB174" s="30"/>
      <c r="AC174" s="30"/>
      <c r="AD174" s="30">
        <f t="shared" si="530"/>
        <v>0</v>
      </c>
      <c r="AE174" s="30"/>
      <c r="AG174" s="31"/>
      <c r="AH174" s="30"/>
      <c r="AI174" s="30"/>
      <c r="AJ174" s="30">
        <f t="shared" si="531"/>
        <v>0</v>
      </c>
      <c r="AK174" s="30"/>
      <c r="AM174" s="31"/>
      <c r="AN174" s="30"/>
      <c r="AO174" s="30"/>
      <c r="AP174" s="30">
        <f t="shared" si="532"/>
        <v>0</v>
      </c>
      <c r="AQ174" s="30"/>
      <c r="AS174" s="31"/>
      <c r="AT174" s="30"/>
      <c r="AU174" s="30"/>
      <c r="AV174" s="30">
        <f t="shared" si="533"/>
        <v>0</v>
      </c>
      <c r="AW174" s="30"/>
      <c r="AY174" s="31"/>
      <c r="AZ174" s="30"/>
      <c r="BA174" s="30"/>
      <c r="BB174" s="30">
        <f t="shared" si="534"/>
        <v>0</v>
      </c>
      <c r="BC174" s="30"/>
      <c r="BE174" s="31"/>
      <c r="BF174" s="30"/>
      <c r="BG174" s="30"/>
      <c r="BH174" s="30">
        <f t="shared" si="535"/>
        <v>0</v>
      </c>
      <c r="BI174" s="30"/>
      <c r="BK174" s="31"/>
      <c r="BL174" s="30"/>
      <c r="BM174" s="30"/>
      <c r="BN174" s="30">
        <f t="shared" si="536"/>
        <v>0</v>
      </c>
      <c r="BO174" s="30"/>
      <c r="BQ174" s="31"/>
      <c r="BR174" s="30"/>
      <c r="BS174" s="30"/>
      <c r="BT174" s="30">
        <f t="shared" si="537"/>
        <v>0</v>
      </c>
      <c r="BU174" s="30"/>
      <c r="BW174" s="31"/>
      <c r="BX174" s="30"/>
      <c r="BY174" s="30"/>
      <c r="BZ174" s="30">
        <f t="shared" si="538"/>
        <v>0</v>
      </c>
      <c r="CA174" s="30"/>
      <c r="CC174" s="31"/>
      <c r="CD174" s="30"/>
      <c r="CE174" s="30"/>
      <c r="CF174" s="30">
        <f t="shared" si="539"/>
        <v>0</v>
      </c>
      <c r="CG174" s="30"/>
      <c r="CI174" s="31"/>
      <c r="CJ174" s="30"/>
      <c r="CK174" s="30"/>
      <c r="CL174" s="30">
        <f t="shared" si="540"/>
        <v>0</v>
      </c>
      <c r="CM174" s="30"/>
      <c r="CO174" s="31"/>
      <c r="CP174" s="30"/>
      <c r="CQ174" s="30"/>
      <c r="CR174" s="30">
        <f t="shared" si="541"/>
        <v>0</v>
      </c>
      <c r="CS174" s="30"/>
      <c r="CU174" s="31"/>
      <c r="CV174" s="30"/>
      <c r="CW174" s="30"/>
      <c r="CX174" s="30">
        <f t="shared" si="542"/>
        <v>0</v>
      </c>
      <c r="CY174" s="30"/>
      <c r="DA174" s="31"/>
      <c r="DB174" s="30"/>
      <c r="DC174" s="30"/>
      <c r="DD174" s="30">
        <f t="shared" si="543"/>
        <v>0</v>
      </c>
      <c r="DE174" s="30"/>
      <c r="DG174" s="31"/>
      <c r="DH174" s="30"/>
      <c r="DI174" s="30"/>
      <c r="DJ174" s="30">
        <f t="shared" si="544"/>
        <v>0</v>
      </c>
      <c r="DK174" s="30"/>
      <c r="DM174" s="31"/>
      <c r="DN174" s="30"/>
      <c r="DO174" s="30"/>
      <c r="DP174" s="30">
        <f t="shared" si="545"/>
        <v>0</v>
      </c>
      <c r="DQ174" s="30"/>
      <c r="DS174" s="31"/>
      <c r="DT174" s="30"/>
      <c r="DU174" s="30"/>
      <c r="DV174" s="30">
        <f t="shared" si="546"/>
        <v>0</v>
      </c>
      <c r="DW174" s="30"/>
      <c r="DY174" s="31"/>
      <c r="DZ174" s="30"/>
      <c r="EA174" s="30"/>
      <c r="EB174" s="30">
        <f t="shared" si="547"/>
        <v>0</v>
      </c>
      <c r="EC174" s="30"/>
      <c r="EE174" s="31"/>
      <c r="EF174" s="30"/>
      <c r="EG174" s="30"/>
      <c r="EH174" s="30">
        <f t="shared" si="548"/>
        <v>0</v>
      </c>
      <c r="EI174" s="30"/>
      <c r="EK174" s="31"/>
      <c r="EL174" s="30"/>
      <c r="EM174" s="30"/>
      <c r="EN174" s="30">
        <f t="shared" si="549"/>
        <v>0</v>
      </c>
      <c r="EO174" s="30"/>
      <c r="EQ174" s="31"/>
      <c r="ER174" s="30"/>
      <c r="ES174" s="30"/>
      <c r="ET174" s="30">
        <f t="shared" si="550"/>
        <v>0</v>
      </c>
      <c r="EU174" s="30"/>
      <c r="EW174" s="31"/>
      <c r="EX174" s="30"/>
      <c r="EY174" s="30"/>
      <c r="EZ174" s="30">
        <f t="shared" si="551"/>
        <v>0</v>
      </c>
      <c r="FA174" s="30"/>
      <c r="FC174" s="31"/>
      <c r="FD174" s="30"/>
      <c r="FE174" s="30"/>
      <c r="FF174" s="30">
        <f t="shared" si="552"/>
        <v>0</v>
      </c>
      <c r="FG174" s="30"/>
      <c r="FI174" s="31"/>
      <c r="FJ174" s="30"/>
      <c r="FK174" s="30"/>
      <c r="FL174" s="30">
        <f t="shared" si="553"/>
        <v>0</v>
      </c>
      <c r="FM174" s="30"/>
      <c r="FO174" s="31"/>
      <c r="FP174" s="30"/>
      <c r="FQ174" s="30"/>
      <c r="FR174" s="30">
        <f t="shared" si="554"/>
        <v>0</v>
      </c>
      <c r="FS174" s="30"/>
      <c r="FU174" s="31"/>
      <c r="FV174" s="30"/>
      <c r="FW174" s="30"/>
      <c r="FX174" s="30">
        <f t="shared" si="555"/>
        <v>0</v>
      </c>
      <c r="FY174" s="30"/>
      <c r="GA174" s="31"/>
      <c r="GB174" s="30"/>
      <c r="GC174" s="30"/>
      <c r="GD174" s="30">
        <f t="shared" si="556"/>
        <v>0</v>
      </c>
      <c r="GE174" s="30"/>
      <c r="GG174" s="31"/>
      <c r="GH174" s="30"/>
      <c r="GI174" s="30"/>
      <c r="GJ174" s="30">
        <f t="shared" si="557"/>
        <v>0</v>
      </c>
      <c r="GK174" s="30"/>
      <c r="GM174" s="31"/>
      <c r="GN174" s="30"/>
      <c r="GO174" s="30"/>
      <c r="GP174" s="30">
        <f t="shared" si="558"/>
        <v>0</v>
      </c>
      <c r="GQ174" s="30"/>
      <c r="GS174" s="31"/>
      <c r="GT174" s="30"/>
      <c r="GU174" s="30"/>
      <c r="GV174" s="30">
        <f t="shared" si="559"/>
        <v>0</v>
      </c>
      <c r="GW174" s="30"/>
      <c r="GY174" s="31"/>
      <c r="GZ174" s="30"/>
      <c r="HA174" s="30"/>
      <c r="HB174" s="30">
        <f t="shared" si="560"/>
        <v>0</v>
      </c>
      <c r="HC174" s="30"/>
    </row>
    <row r="175" spans="1:211" s="32" customFormat="1" outlineLevel="1" x14ac:dyDescent="0.2">
      <c r="A175" s="32" t="s">
        <v>145</v>
      </c>
      <c r="B175" s="30">
        <f t="shared" si="525"/>
        <v>0</v>
      </c>
      <c r="C175" s="31"/>
      <c r="D175" s="30"/>
      <c r="E175" s="30"/>
      <c r="F175" s="30">
        <f t="shared" si="526"/>
        <v>0</v>
      </c>
      <c r="G175" s="30"/>
      <c r="I175" s="31"/>
      <c r="J175" s="30"/>
      <c r="K175" s="30"/>
      <c r="L175" s="30">
        <f t="shared" si="527"/>
        <v>0</v>
      </c>
      <c r="M175" s="30"/>
      <c r="O175" s="31"/>
      <c r="P175" s="30"/>
      <c r="Q175" s="30"/>
      <c r="R175" s="30">
        <f t="shared" si="528"/>
        <v>0</v>
      </c>
      <c r="S175" s="30"/>
      <c r="U175" s="31"/>
      <c r="V175" s="30"/>
      <c r="W175" s="30"/>
      <c r="X175" s="30">
        <f t="shared" si="529"/>
        <v>0</v>
      </c>
      <c r="Y175" s="30"/>
      <c r="AA175" s="31"/>
      <c r="AB175" s="30"/>
      <c r="AC175" s="30"/>
      <c r="AD175" s="30">
        <f t="shared" si="530"/>
        <v>0</v>
      </c>
      <c r="AE175" s="30"/>
      <c r="AG175" s="31"/>
      <c r="AH175" s="30"/>
      <c r="AI175" s="30"/>
      <c r="AJ175" s="30">
        <f t="shared" si="531"/>
        <v>0</v>
      </c>
      <c r="AK175" s="30"/>
      <c r="AM175" s="31"/>
      <c r="AN175" s="30"/>
      <c r="AO175" s="30"/>
      <c r="AP175" s="30">
        <f t="shared" si="532"/>
        <v>0</v>
      </c>
      <c r="AQ175" s="30"/>
      <c r="AS175" s="31"/>
      <c r="AT175" s="30"/>
      <c r="AU175" s="30"/>
      <c r="AV175" s="30">
        <f t="shared" si="533"/>
        <v>0</v>
      </c>
      <c r="AW175" s="30"/>
      <c r="AY175" s="31"/>
      <c r="AZ175" s="30"/>
      <c r="BA175" s="30"/>
      <c r="BB175" s="30">
        <f t="shared" si="534"/>
        <v>0</v>
      </c>
      <c r="BC175" s="30"/>
      <c r="BE175" s="31"/>
      <c r="BF175" s="30"/>
      <c r="BG175" s="30"/>
      <c r="BH175" s="30">
        <f t="shared" si="535"/>
        <v>0</v>
      </c>
      <c r="BI175" s="30"/>
      <c r="BK175" s="31"/>
      <c r="BL175" s="30"/>
      <c r="BM175" s="30"/>
      <c r="BN175" s="30">
        <f t="shared" si="536"/>
        <v>0</v>
      </c>
      <c r="BO175" s="30"/>
      <c r="BQ175" s="31"/>
      <c r="BR175" s="30"/>
      <c r="BS175" s="30"/>
      <c r="BT175" s="30">
        <f t="shared" si="537"/>
        <v>0</v>
      </c>
      <c r="BU175" s="30"/>
      <c r="BW175" s="31"/>
      <c r="BX175" s="30"/>
      <c r="BY175" s="30"/>
      <c r="BZ175" s="30">
        <f t="shared" si="538"/>
        <v>0</v>
      </c>
      <c r="CA175" s="30"/>
      <c r="CC175" s="31"/>
      <c r="CD175" s="30"/>
      <c r="CE175" s="30"/>
      <c r="CF175" s="30">
        <f t="shared" si="539"/>
        <v>0</v>
      </c>
      <c r="CG175" s="30"/>
      <c r="CI175" s="31"/>
      <c r="CJ175" s="30"/>
      <c r="CK175" s="30"/>
      <c r="CL175" s="30">
        <f t="shared" si="540"/>
        <v>0</v>
      </c>
      <c r="CM175" s="30"/>
      <c r="CO175" s="31"/>
      <c r="CP175" s="30"/>
      <c r="CQ175" s="30"/>
      <c r="CR175" s="30">
        <f t="shared" si="541"/>
        <v>0</v>
      </c>
      <c r="CS175" s="30"/>
      <c r="CU175" s="31"/>
      <c r="CV175" s="30"/>
      <c r="CW175" s="30"/>
      <c r="CX175" s="30">
        <f t="shared" si="542"/>
        <v>0</v>
      </c>
      <c r="CY175" s="30"/>
      <c r="DA175" s="31"/>
      <c r="DB175" s="30"/>
      <c r="DC175" s="30"/>
      <c r="DD175" s="30">
        <f t="shared" si="543"/>
        <v>0</v>
      </c>
      <c r="DE175" s="30"/>
      <c r="DG175" s="31"/>
      <c r="DH175" s="30"/>
      <c r="DI175" s="30"/>
      <c r="DJ175" s="30">
        <f t="shared" si="544"/>
        <v>0</v>
      </c>
      <c r="DK175" s="30"/>
      <c r="DM175" s="31"/>
      <c r="DN175" s="30"/>
      <c r="DO175" s="30"/>
      <c r="DP175" s="30">
        <f t="shared" si="545"/>
        <v>0</v>
      </c>
      <c r="DQ175" s="30"/>
      <c r="DS175" s="31"/>
      <c r="DT175" s="30"/>
      <c r="DU175" s="30"/>
      <c r="DV175" s="30">
        <f t="shared" si="546"/>
        <v>0</v>
      </c>
      <c r="DW175" s="30"/>
      <c r="DY175" s="31"/>
      <c r="DZ175" s="30"/>
      <c r="EA175" s="30"/>
      <c r="EB175" s="30">
        <f t="shared" si="547"/>
        <v>0</v>
      </c>
      <c r="EC175" s="30"/>
      <c r="EE175" s="31"/>
      <c r="EF175" s="30"/>
      <c r="EG175" s="30"/>
      <c r="EH175" s="30">
        <f t="shared" si="548"/>
        <v>0</v>
      </c>
      <c r="EI175" s="30"/>
      <c r="EK175" s="31"/>
      <c r="EL175" s="30"/>
      <c r="EM175" s="30"/>
      <c r="EN175" s="30">
        <f t="shared" si="549"/>
        <v>0</v>
      </c>
      <c r="EO175" s="30"/>
      <c r="EQ175" s="31"/>
      <c r="ER175" s="30"/>
      <c r="ES175" s="30"/>
      <c r="ET175" s="30">
        <f t="shared" si="550"/>
        <v>0</v>
      </c>
      <c r="EU175" s="30"/>
      <c r="EW175" s="31"/>
      <c r="EX175" s="30"/>
      <c r="EY175" s="30"/>
      <c r="EZ175" s="30">
        <f t="shared" si="551"/>
        <v>0</v>
      </c>
      <c r="FA175" s="30"/>
      <c r="FC175" s="31"/>
      <c r="FD175" s="30"/>
      <c r="FE175" s="30"/>
      <c r="FF175" s="30">
        <f t="shared" si="552"/>
        <v>0</v>
      </c>
      <c r="FG175" s="30"/>
      <c r="FI175" s="31"/>
      <c r="FJ175" s="30"/>
      <c r="FK175" s="30"/>
      <c r="FL175" s="30">
        <f t="shared" si="553"/>
        <v>0</v>
      </c>
      <c r="FM175" s="30"/>
      <c r="FO175" s="31"/>
      <c r="FP175" s="30"/>
      <c r="FQ175" s="30"/>
      <c r="FR175" s="30">
        <f t="shared" si="554"/>
        <v>0</v>
      </c>
      <c r="FS175" s="30"/>
      <c r="FU175" s="31"/>
      <c r="FV175" s="30"/>
      <c r="FW175" s="30"/>
      <c r="FX175" s="30">
        <f t="shared" si="555"/>
        <v>0</v>
      </c>
      <c r="FY175" s="30"/>
      <c r="GA175" s="31"/>
      <c r="GB175" s="30"/>
      <c r="GC175" s="30"/>
      <c r="GD175" s="30">
        <f t="shared" si="556"/>
        <v>0</v>
      </c>
      <c r="GE175" s="30"/>
      <c r="GG175" s="31"/>
      <c r="GH175" s="30"/>
      <c r="GI175" s="30"/>
      <c r="GJ175" s="30">
        <f t="shared" si="557"/>
        <v>0</v>
      </c>
      <c r="GK175" s="30"/>
      <c r="GM175" s="31"/>
      <c r="GN175" s="30"/>
      <c r="GO175" s="30"/>
      <c r="GP175" s="30">
        <f t="shared" si="558"/>
        <v>0</v>
      </c>
      <c r="GQ175" s="30"/>
      <c r="GS175" s="31"/>
      <c r="GT175" s="30"/>
      <c r="GU175" s="30"/>
      <c r="GV175" s="30">
        <f t="shared" si="559"/>
        <v>0</v>
      </c>
      <c r="GW175" s="30"/>
      <c r="GY175" s="31"/>
      <c r="GZ175" s="30"/>
      <c r="HA175" s="30"/>
      <c r="HB175" s="30">
        <f t="shared" si="560"/>
        <v>0</v>
      </c>
      <c r="HC175" s="30"/>
    </row>
    <row r="176" spans="1:211" s="32" customFormat="1" outlineLevel="1" x14ac:dyDescent="0.2">
      <c r="A176" s="32" t="s">
        <v>146</v>
      </c>
      <c r="B176" s="30">
        <f t="shared" si="525"/>
        <v>0</v>
      </c>
      <c r="C176" s="31"/>
      <c r="D176" s="30"/>
      <c r="E176" s="30"/>
      <c r="F176" s="30">
        <f t="shared" si="526"/>
        <v>0</v>
      </c>
      <c r="G176" s="30"/>
      <c r="I176" s="31"/>
      <c r="J176" s="30"/>
      <c r="K176" s="30"/>
      <c r="L176" s="30">
        <f t="shared" si="527"/>
        <v>0</v>
      </c>
      <c r="M176" s="30"/>
      <c r="O176" s="31"/>
      <c r="P176" s="30"/>
      <c r="Q176" s="30"/>
      <c r="R176" s="30">
        <f t="shared" si="528"/>
        <v>0</v>
      </c>
      <c r="S176" s="30"/>
      <c r="U176" s="31"/>
      <c r="V176" s="30"/>
      <c r="W176" s="30"/>
      <c r="X176" s="30">
        <f t="shared" si="529"/>
        <v>0</v>
      </c>
      <c r="Y176" s="30"/>
      <c r="AA176" s="31"/>
      <c r="AB176" s="30"/>
      <c r="AC176" s="30"/>
      <c r="AD176" s="30">
        <f t="shared" si="530"/>
        <v>0</v>
      </c>
      <c r="AE176" s="30"/>
      <c r="AG176" s="31"/>
      <c r="AH176" s="30"/>
      <c r="AI176" s="30"/>
      <c r="AJ176" s="30">
        <f t="shared" si="531"/>
        <v>0</v>
      </c>
      <c r="AK176" s="30"/>
      <c r="AM176" s="31"/>
      <c r="AN176" s="30"/>
      <c r="AO176" s="30"/>
      <c r="AP176" s="30">
        <f t="shared" si="532"/>
        <v>0</v>
      </c>
      <c r="AQ176" s="30"/>
      <c r="AS176" s="31"/>
      <c r="AT176" s="30"/>
      <c r="AU176" s="30"/>
      <c r="AV176" s="30">
        <f t="shared" si="533"/>
        <v>0</v>
      </c>
      <c r="AW176" s="30"/>
      <c r="AY176" s="31"/>
      <c r="AZ176" s="30"/>
      <c r="BA176" s="30"/>
      <c r="BB176" s="30">
        <f t="shared" si="534"/>
        <v>0</v>
      </c>
      <c r="BC176" s="30"/>
      <c r="BE176" s="31"/>
      <c r="BF176" s="30"/>
      <c r="BG176" s="30"/>
      <c r="BH176" s="30">
        <f t="shared" si="535"/>
        <v>0</v>
      </c>
      <c r="BI176" s="30"/>
      <c r="BK176" s="31"/>
      <c r="BL176" s="30"/>
      <c r="BM176" s="30"/>
      <c r="BN176" s="30">
        <f t="shared" si="536"/>
        <v>0</v>
      </c>
      <c r="BO176" s="30"/>
      <c r="BQ176" s="31"/>
      <c r="BR176" s="30"/>
      <c r="BS176" s="30"/>
      <c r="BT176" s="30">
        <f t="shared" si="537"/>
        <v>0</v>
      </c>
      <c r="BU176" s="30"/>
      <c r="BW176" s="31"/>
      <c r="BX176" s="30"/>
      <c r="BY176" s="30"/>
      <c r="BZ176" s="30">
        <f t="shared" si="538"/>
        <v>0</v>
      </c>
      <c r="CA176" s="30"/>
      <c r="CC176" s="31"/>
      <c r="CD176" s="30"/>
      <c r="CE176" s="30"/>
      <c r="CF176" s="30">
        <f t="shared" si="539"/>
        <v>0</v>
      </c>
      <c r="CG176" s="30"/>
      <c r="CI176" s="31"/>
      <c r="CJ176" s="30"/>
      <c r="CK176" s="30"/>
      <c r="CL176" s="30">
        <f t="shared" si="540"/>
        <v>0</v>
      </c>
      <c r="CM176" s="30"/>
      <c r="CO176" s="31"/>
      <c r="CP176" s="30"/>
      <c r="CQ176" s="30"/>
      <c r="CR176" s="30">
        <f t="shared" si="541"/>
        <v>0</v>
      </c>
      <c r="CS176" s="30"/>
      <c r="CU176" s="31"/>
      <c r="CV176" s="30"/>
      <c r="CW176" s="30"/>
      <c r="CX176" s="30">
        <f t="shared" si="542"/>
        <v>0</v>
      </c>
      <c r="CY176" s="30"/>
      <c r="DA176" s="31"/>
      <c r="DB176" s="30"/>
      <c r="DC176" s="30"/>
      <c r="DD176" s="30">
        <f t="shared" si="543"/>
        <v>0</v>
      </c>
      <c r="DE176" s="30"/>
      <c r="DG176" s="31"/>
      <c r="DH176" s="30"/>
      <c r="DI176" s="30"/>
      <c r="DJ176" s="30">
        <f t="shared" si="544"/>
        <v>0</v>
      </c>
      <c r="DK176" s="30"/>
      <c r="DM176" s="31"/>
      <c r="DN176" s="30"/>
      <c r="DO176" s="30"/>
      <c r="DP176" s="30">
        <f t="shared" si="545"/>
        <v>0</v>
      </c>
      <c r="DQ176" s="30"/>
      <c r="DS176" s="31"/>
      <c r="DT176" s="30"/>
      <c r="DU176" s="30"/>
      <c r="DV176" s="30">
        <f t="shared" si="546"/>
        <v>0</v>
      </c>
      <c r="DW176" s="30"/>
      <c r="DY176" s="31"/>
      <c r="DZ176" s="30"/>
      <c r="EA176" s="30"/>
      <c r="EB176" s="30">
        <f t="shared" si="547"/>
        <v>0</v>
      </c>
      <c r="EC176" s="30"/>
      <c r="EE176" s="31"/>
      <c r="EF176" s="30"/>
      <c r="EG176" s="30"/>
      <c r="EH176" s="30">
        <f t="shared" si="548"/>
        <v>0</v>
      </c>
      <c r="EI176" s="30"/>
      <c r="EK176" s="31"/>
      <c r="EL176" s="30"/>
      <c r="EM176" s="30"/>
      <c r="EN176" s="30">
        <f t="shared" si="549"/>
        <v>0</v>
      </c>
      <c r="EO176" s="30"/>
      <c r="EQ176" s="31"/>
      <c r="ER176" s="30"/>
      <c r="ES176" s="30"/>
      <c r="ET176" s="30">
        <f t="shared" si="550"/>
        <v>0</v>
      </c>
      <c r="EU176" s="30"/>
      <c r="EW176" s="31"/>
      <c r="EX176" s="30"/>
      <c r="EY176" s="30"/>
      <c r="EZ176" s="30">
        <f t="shared" si="551"/>
        <v>0</v>
      </c>
      <c r="FA176" s="30"/>
      <c r="FC176" s="31"/>
      <c r="FD176" s="30"/>
      <c r="FE176" s="30"/>
      <c r="FF176" s="30">
        <f t="shared" si="552"/>
        <v>0</v>
      </c>
      <c r="FG176" s="30"/>
      <c r="FI176" s="31"/>
      <c r="FJ176" s="30"/>
      <c r="FK176" s="30"/>
      <c r="FL176" s="30">
        <f t="shared" si="553"/>
        <v>0</v>
      </c>
      <c r="FM176" s="30"/>
      <c r="FO176" s="31"/>
      <c r="FP176" s="30"/>
      <c r="FQ176" s="30"/>
      <c r="FR176" s="30">
        <f t="shared" si="554"/>
        <v>0</v>
      </c>
      <c r="FS176" s="30"/>
      <c r="FU176" s="31"/>
      <c r="FV176" s="30"/>
      <c r="FW176" s="30"/>
      <c r="FX176" s="30">
        <f t="shared" si="555"/>
        <v>0</v>
      </c>
      <c r="FY176" s="30"/>
      <c r="GA176" s="31"/>
      <c r="GB176" s="30"/>
      <c r="GC176" s="30"/>
      <c r="GD176" s="30">
        <f t="shared" si="556"/>
        <v>0</v>
      </c>
      <c r="GE176" s="30"/>
      <c r="GG176" s="31"/>
      <c r="GH176" s="30"/>
      <c r="GI176" s="30"/>
      <c r="GJ176" s="30">
        <f t="shared" si="557"/>
        <v>0</v>
      </c>
      <c r="GK176" s="30"/>
      <c r="GM176" s="31"/>
      <c r="GN176" s="30"/>
      <c r="GO176" s="30"/>
      <c r="GP176" s="30">
        <f t="shared" si="558"/>
        <v>0</v>
      </c>
      <c r="GQ176" s="30"/>
      <c r="GS176" s="31"/>
      <c r="GT176" s="30"/>
      <c r="GU176" s="30"/>
      <c r="GV176" s="30">
        <f t="shared" si="559"/>
        <v>0</v>
      </c>
      <c r="GW176" s="30"/>
      <c r="GY176" s="31"/>
      <c r="GZ176" s="30"/>
      <c r="HA176" s="30"/>
      <c r="HB176" s="30">
        <f t="shared" si="560"/>
        <v>0</v>
      </c>
      <c r="HC176" s="30"/>
    </row>
    <row r="177" spans="1:211" s="32" customFormat="1" outlineLevel="1" x14ac:dyDescent="0.2">
      <c r="A177" s="32" t="s">
        <v>147</v>
      </c>
      <c r="B177" s="30">
        <f t="shared" si="525"/>
        <v>0</v>
      </c>
      <c r="C177" s="31"/>
      <c r="D177" s="30"/>
      <c r="E177" s="30"/>
      <c r="F177" s="30">
        <f t="shared" si="526"/>
        <v>0</v>
      </c>
      <c r="G177" s="30"/>
      <c r="I177" s="31"/>
      <c r="J177" s="30"/>
      <c r="K177" s="30"/>
      <c r="L177" s="30">
        <f t="shared" si="527"/>
        <v>0</v>
      </c>
      <c r="M177" s="30"/>
      <c r="O177" s="31"/>
      <c r="P177" s="30"/>
      <c r="Q177" s="30"/>
      <c r="R177" s="30">
        <f t="shared" si="528"/>
        <v>0</v>
      </c>
      <c r="S177" s="30"/>
      <c r="U177" s="31"/>
      <c r="V177" s="30"/>
      <c r="W177" s="30"/>
      <c r="X177" s="30">
        <f t="shared" si="529"/>
        <v>0</v>
      </c>
      <c r="Y177" s="30"/>
      <c r="AA177" s="31"/>
      <c r="AB177" s="30"/>
      <c r="AC177" s="30"/>
      <c r="AD177" s="30">
        <f t="shared" si="530"/>
        <v>0</v>
      </c>
      <c r="AE177" s="30"/>
      <c r="AG177" s="31"/>
      <c r="AH177" s="30"/>
      <c r="AI177" s="30"/>
      <c r="AJ177" s="30">
        <f t="shared" si="531"/>
        <v>0</v>
      </c>
      <c r="AK177" s="30"/>
      <c r="AM177" s="31"/>
      <c r="AN177" s="30"/>
      <c r="AO177" s="30"/>
      <c r="AP177" s="30">
        <f t="shared" si="532"/>
        <v>0</v>
      </c>
      <c r="AQ177" s="30"/>
      <c r="AS177" s="31"/>
      <c r="AT177" s="30"/>
      <c r="AU177" s="30"/>
      <c r="AV177" s="30">
        <f t="shared" si="533"/>
        <v>0</v>
      </c>
      <c r="AW177" s="30"/>
      <c r="AY177" s="31"/>
      <c r="AZ177" s="30"/>
      <c r="BA177" s="30"/>
      <c r="BB177" s="30">
        <f t="shared" si="534"/>
        <v>0</v>
      </c>
      <c r="BC177" s="30"/>
      <c r="BE177" s="31"/>
      <c r="BF177" s="30"/>
      <c r="BG177" s="30"/>
      <c r="BH177" s="30">
        <f t="shared" si="535"/>
        <v>0</v>
      </c>
      <c r="BI177" s="30"/>
      <c r="BK177" s="31"/>
      <c r="BL177" s="30"/>
      <c r="BM177" s="30"/>
      <c r="BN177" s="30">
        <f t="shared" si="536"/>
        <v>0</v>
      </c>
      <c r="BO177" s="30"/>
      <c r="BQ177" s="31"/>
      <c r="BR177" s="30"/>
      <c r="BS177" s="30"/>
      <c r="BT177" s="30">
        <f t="shared" si="537"/>
        <v>0</v>
      </c>
      <c r="BU177" s="30"/>
      <c r="BW177" s="31"/>
      <c r="BX177" s="30"/>
      <c r="BY177" s="30"/>
      <c r="BZ177" s="30">
        <f t="shared" si="538"/>
        <v>0</v>
      </c>
      <c r="CA177" s="30"/>
      <c r="CC177" s="31"/>
      <c r="CD177" s="30"/>
      <c r="CE177" s="30"/>
      <c r="CF177" s="30">
        <f t="shared" si="539"/>
        <v>0</v>
      </c>
      <c r="CG177" s="30"/>
      <c r="CI177" s="31"/>
      <c r="CJ177" s="30"/>
      <c r="CK177" s="30"/>
      <c r="CL177" s="30">
        <f t="shared" si="540"/>
        <v>0</v>
      </c>
      <c r="CM177" s="30"/>
      <c r="CO177" s="31"/>
      <c r="CP177" s="30"/>
      <c r="CQ177" s="30"/>
      <c r="CR177" s="30">
        <f t="shared" si="541"/>
        <v>0</v>
      </c>
      <c r="CS177" s="30"/>
      <c r="CU177" s="31"/>
      <c r="CV177" s="30"/>
      <c r="CW177" s="30"/>
      <c r="CX177" s="30">
        <f t="shared" si="542"/>
        <v>0</v>
      </c>
      <c r="CY177" s="30"/>
      <c r="DA177" s="31"/>
      <c r="DB177" s="30"/>
      <c r="DC177" s="30"/>
      <c r="DD177" s="30">
        <f t="shared" si="543"/>
        <v>0</v>
      </c>
      <c r="DE177" s="30"/>
      <c r="DG177" s="31"/>
      <c r="DH177" s="30"/>
      <c r="DI177" s="30"/>
      <c r="DJ177" s="30">
        <f t="shared" si="544"/>
        <v>0</v>
      </c>
      <c r="DK177" s="30"/>
      <c r="DM177" s="31"/>
      <c r="DN177" s="30"/>
      <c r="DO177" s="30"/>
      <c r="DP177" s="30">
        <f t="shared" si="545"/>
        <v>0</v>
      </c>
      <c r="DQ177" s="30"/>
      <c r="DS177" s="31"/>
      <c r="DT177" s="30"/>
      <c r="DU177" s="30"/>
      <c r="DV177" s="30">
        <f t="shared" si="546"/>
        <v>0</v>
      </c>
      <c r="DW177" s="30"/>
      <c r="DY177" s="31"/>
      <c r="DZ177" s="30"/>
      <c r="EA177" s="30"/>
      <c r="EB177" s="30">
        <f t="shared" si="547"/>
        <v>0</v>
      </c>
      <c r="EC177" s="30"/>
      <c r="EE177" s="31"/>
      <c r="EF177" s="30"/>
      <c r="EG177" s="30"/>
      <c r="EH177" s="30">
        <f t="shared" si="548"/>
        <v>0</v>
      </c>
      <c r="EI177" s="30"/>
      <c r="EK177" s="31"/>
      <c r="EL177" s="30"/>
      <c r="EM177" s="30"/>
      <c r="EN177" s="30">
        <f t="shared" si="549"/>
        <v>0</v>
      </c>
      <c r="EO177" s="30"/>
      <c r="EQ177" s="31"/>
      <c r="ER177" s="30"/>
      <c r="ES177" s="30"/>
      <c r="ET177" s="30">
        <f t="shared" si="550"/>
        <v>0</v>
      </c>
      <c r="EU177" s="30"/>
      <c r="EW177" s="31"/>
      <c r="EX177" s="30"/>
      <c r="EY177" s="30"/>
      <c r="EZ177" s="30">
        <f t="shared" si="551"/>
        <v>0</v>
      </c>
      <c r="FA177" s="30"/>
      <c r="FC177" s="31"/>
      <c r="FD177" s="30"/>
      <c r="FE177" s="30"/>
      <c r="FF177" s="30">
        <f t="shared" si="552"/>
        <v>0</v>
      </c>
      <c r="FG177" s="30"/>
      <c r="FI177" s="31"/>
      <c r="FJ177" s="30"/>
      <c r="FK177" s="30"/>
      <c r="FL177" s="30">
        <f t="shared" si="553"/>
        <v>0</v>
      </c>
      <c r="FM177" s="30"/>
      <c r="FO177" s="31"/>
      <c r="FP177" s="30"/>
      <c r="FQ177" s="30"/>
      <c r="FR177" s="30">
        <f t="shared" si="554"/>
        <v>0</v>
      </c>
      <c r="FS177" s="30"/>
      <c r="FU177" s="31"/>
      <c r="FV177" s="30"/>
      <c r="FW177" s="30"/>
      <c r="FX177" s="30">
        <f t="shared" si="555"/>
        <v>0</v>
      </c>
      <c r="FY177" s="30"/>
      <c r="GA177" s="31"/>
      <c r="GB177" s="30"/>
      <c r="GC177" s="30"/>
      <c r="GD177" s="30">
        <f t="shared" si="556"/>
        <v>0</v>
      </c>
      <c r="GE177" s="30"/>
      <c r="GG177" s="31"/>
      <c r="GH177" s="30"/>
      <c r="GI177" s="30"/>
      <c r="GJ177" s="30">
        <f t="shared" si="557"/>
        <v>0</v>
      </c>
      <c r="GK177" s="30"/>
      <c r="GM177" s="31"/>
      <c r="GN177" s="30"/>
      <c r="GO177" s="30"/>
      <c r="GP177" s="30">
        <f t="shared" si="558"/>
        <v>0</v>
      </c>
      <c r="GQ177" s="30"/>
      <c r="GS177" s="31"/>
      <c r="GT177" s="30"/>
      <c r="GU177" s="30"/>
      <c r="GV177" s="30">
        <f t="shared" si="559"/>
        <v>0</v>
      </c>
      <c r="GW177" s="30"/>
      <c r="GY177" s="31"/>
      <c r="GZ177" s="30"/>
      <c r="HA177" s="30"/>
      <c r="HB177" s="30">
        <f t="shared" si="560"/>
        <v>0</v>
      </c>
      <c r="HC177" s="30"/>
    </row>
    <row r="178" spans="1:211" s="32" customFormat="1" outlineLevel="1" x14ac:dyDescent="0.2">
      <c r="A178" s="32" t="s">
        <v>148</v>
      </c>
      <c r="B178" s="30">
        <f t="shared" si="525"/>
        <v>0</v>
      </c>
      <c r="C178" s="31"/>
      <c r="D178" s="30"/>
      <c r="E178" s="30"/>
      <c r="F178" s="30">
        <f t="shared" si="526"/>
        <v>0</v>
      </c>
      <c r="G178" s="30"/>
      <c r="I178" s="31"/>
      <c r="J178" s="30"/>
      <c r="K178" s="30"/>
      <c r="L178" s="30">
        <f t="shared" si="527"/>
        <v>0</v>
      </c>
      <c r="M178" s="30"/>
      <c r="O178" s="31"/>
      <c r="P178" s="30"/>
      <c r="Q178" s="30"/>
      <c r="R178" s="30">
        <f t="shared" si="528"/>
        <v>0</v>
      </c>
      <c r="S178" s="30"/>
      <c r="U178" s="31"/>
      <c r="V178" s="30"/>
      <c r="W178" s="30"/>
      <c r="X178" s="30">
        <f t="shared" si="529"/>
        <v>0</v>
      </c>
      <c r="Y178" s="30"/>
      <c r="AA178" s="31"/>
      <c r="AB178" s="30"/>
      <c r="AC178" s="30"/>
      <c r="AD178" s="30">
        <f t="shared" si="530"/>
        <v>0</v>
      </c>
      <c r="AE178" s="30"/>
      <c r="AG178" s="31"/>
      <c r="AH178" s="30"/>
      <c r="AI178" s="30"/>
      <c r="AJ178" s="30">
        <f t="shared" si="531"/>
        <v>0</v>
      </c>
      <c r="AK178" s="30"/>
      <c r="AM178" s="31"/>
      <c r="AN178" s="30"/>
      <c r="AO178" s="30"/>
      <c r="AP178" s="30">
        <f t="shared" si="532"/>
        <v>0</v>
      </c>
      <c r="AQ178" s="30"/>
      <c r="AS178" s="31"/>
      <c r="AT178" s="30"/>
      <c r="AU178" s="30"/>
      <c r="AV178" s="30">
        <f t="shared" si="533"/>
        <v>0</v>
      </c>
      <c r="AW178" s="30"/>
      <c r="AY178" s="31"/>
      <c r="AZ178" s="30"/>
      <c r="BA178" s="30"/>
      <c r="BB178" s="30">
        <f t="shared" si="534"/>
        <v>0</v>
      </c>
      <c r="BC178" s="30"/>
      <c r="BE178" s="31"/>
      <c r="BF178" s="30"/>
      <c r="BG178" s="30"/>
      <c r="BH178" s="30">
        <f t="shared" si="535"/>
        <v>0</v>
      </c>
      <c r="BI178" s="30"/>
      <c r="BK178" s="31"/>
      <c r="BL178" s="30"/>
      <c r="BM178" s="30"/>
      <c r="BN178" s="30">
        <f t="shared" si="536"/>
        <v>0</v>
      </c>
      <c r="BO178" s="30"/>
      <c r="BQ178" s="31"/>
      <c r="BR178" s="30"/>
      <c r="BS178" s="30"/>
      <c r="BT178" s="30">
        <f t="shared" si="537"/>
        <v>0</v>
      </c>
      <c r="BU178" s="30"/>
      <c r="BW178" s="31"/>
      <c r="BX178" s="30"/>
      <c r="BY178" s="30"/>
      <c r="BZ178" s="30">
        <f t="shared" si="538"/>
        <v>0</v>
      </c>
      <c r="CA178" s="30"/>
      <c r="CC178" s="31"/>
      <c r="CD178" s="30"/>
      <c r="CE178" s="30"/>
      <c r="CF178" s="30">
        <f t="shared" si="539"/>
        <v>0</v>
      </c>
      <c r="CG178" s="30"/>
      <c r="CI178" s="31"/>
      <c r="CJ178" s="30"/>
      <c r="CK178" s="30"/>
      <c r="CL178" s="30">
        <f t="shared" si="540"/>
        <v>0</v>
      </c>
      <c r="CM178" s="30"/>
      <c r="CO178" s="31"/>
      <c r="CP178" s="30"/>
      <c r="CQ178" s="30"/>
      <c r="CR178" s="30">
        <f t="shared" si="541"/>
        <v>0</v>
      </c>
      <c r="CS178" s="30"/>
      <c r="CU178" s="31"/>
      <c r="CV178" s="30"/>
      <c r="CW178" s="30"/>
      <c r="CX178" s="30">
        <f t="shared" si="542"/>
        <v>0</v>
      </c>
      <c r="CY178" s="30"/>
      <c r="DA178" s="31"/>
      <c r="DB178" s="30"/>
      <c r="DC178" s="30"/>
      <c r="DD178" s="30">
        <f t="shared" si="543"/>
        <v>0</v>
      </c>
      <c r="DE178" s="30"/>
      <c r="DG178" s="31"/>
      <c r="DH178" s="30"/>
      <c r="DI178" s="30"/>
      <c r="DJ178" s="30">
        <f t="shared" si="544"/>
        <v>0</v>
      </c>
      <c r="DK178" s="30"/>
      <c r="DM178" s="31"/>
      <c r="DN178" s="30"/>
      <c r="DO178" s="30"/>
      <c r="DP178" s="30">
        <f t="shared" si="545"/>
        <v>0</v>
      </c>
      <c r="DQ178" s="30"/>
      <c r="DS178" s="31"/>
      <c r="DT178" s="30"/>
      <c r="DU178" s="30"/>
      <c r="DV178" s="30">
        <f t="shared" si="546"/>
        <v>0</v>
      </c>
      <c r="DW178" s="30"/>
      <c r="DY178" s="31"/>
      <c r="DZ178" s="30"/>
      <c r="EA178" s="30"/>
      <c r="EB178" s="30">
        <f t="shared" si="547"/>
        <v>0</v>
      </c>
      <c r="EC178" s="30"/>
      <c r="EE178" s="31"/>
      <c r="EF178" s="30"/>
      <c r="EG178" s="30"/>
      <c r="EH178" s="30">
        <f t="shared" si="548"/>
        <v>0</v>
      </c>
      <c r="EI178" s="30"/>
      <c r="EK178" s="31"/>
      <c r="EL178" s="30"/>
      <c r="EM178" s="30"/>
      <c r="EN178" s="30">
        <f t="shared" si="549"/>
        <v>0</v>
      </c>
      <c r="EO178" s="30"/>
      <c r="EQ178" s="31"/>
      <c r="ER178" s="30"/>
      <c r="ES178" s="30"/>
      <c r="ET178" s="30">
        <f t="shared" si="550"/>
        <v>0</v>
      </c>
      <c r="EU178" s="30"/>
      <c r="EW178" s="31"/>
      <c r="EX178" s="30"/>
      <c r="EY178" s="30"/>
      <c r="EZ178" s="30">
        <f t="shared" si="551"/>
        <v>0</v>
      </c>
      <c r="FA178" s="30"/>
      <c r="FC178" s="31"/>
      <c r="FD178" s="30"/>
      <c r="FE178" s="30"/>
      <c r="FF178" s="30">
        <f t="shared" si="552"/>
        <v>0</v>
      </c>
      <c r="FG178" s="30"/>
      <c r="FI178" s="31"/>
      <c r="FJ178" s="30"/>
      <c r="FK178" s="30"/>
      <c r="FL178" s="30">
        <f t="shared" si="553"/>
        <v>0</v>
      </c>
      <c r="FM178" s="30"/>
      <c r="FO178" s="31"/>
      <c r="FP178" s="30"/>
      <c r="FQ178" s="30"/>
      <c r="FR178" s="30">
        <f t="shared" si="554"/>
        <v>0</v>
      </c>
      <c r="FS178" s="30"/>
      <c r="FU178" s="31"/>
      <c r="FV178" s="30"/>
      <c r="FW178" s="30"/>
      <c r="FX178" s="30">
        <f t="shared" si="555"/>
        <v>0</v>
      </c>
      <c r="FY178" s="30"/>
      <c r="GA178" s="31"/>
      <c r="GB178" s="30"/>
      <c r="GC178" s="30"/>
      <c r="GD178" s="30">
        <f t="shared" si="556"/>
        <v>0</v>
      </c>
      <c r="GE178" s="30"/>
      <c r="GG178" s="31"/>
      <c r="GH178" s="30"/>
      <c r="GI178" s="30"/>
      <c r="GJ178" s="30">
        <f t="shared" si="557"/>
        <v>0</v>
      </c>
      <c r="GK178" s="30"/>
      <c r="GM178" s="31"/>
      <c r="GN178" s="30"/>
      <c r="GO178" s="30"/>
      <c r="GP178" s="30">
        <f t="shared" si="558"/>
        <v>0</v>
      </c>
      <c r="GQ178" s="30"/>
      <c r="GS178" s="31"/>
      <c r="GT178" s="30"/>
      <c r="GU178" s="30"/>
      <c r="GV178" s="30">
        <f t="shared" si="559"/>
        <v>0</v>
      </c>
      <c r="GW178" s="30"/>
      <c r="GY178" s="31"/>
      <c r="GZ178" s="30"/>
      <c r="HA178" s="30"/>
      <c r="HB178" s="30">
        <f t="shared" si="560"/>
        <v>0</v>
      </c>
      <c r="HC178" s="30"/>
    </row>
    <row r="179" spans="1:211" s="32" customFormat="1" outlineLevel="1" x14ac:dyDescent="0.2">
      <c r="A179" s="32" t="s">
        <v>149</v>
      </c>
      <c r="B179" s="30">
        <f t="shared" si="525"/>
        <v>0</v>
      </c>
      <c r="C179" s="31"/>
      <c r="D179" s="30"/>
      <c r="E179" s="30"/>
      <c r="F179" s="30">
        <f t="shared" si="526"/>
        <v>0</v>
      </c>
      <c r="G179" s="30"/>
      <c r="I179" s="31"/>
      <c r="J179" s="30"/>
      <c r="K179" s="30"/>
      <c r="L179" s="30">
        <f t="shared" si="527"/>
        <v>0</v>
      </c>
      <c r="M179" s="30"/>
      <c r="O179" s="31"/>
      <c r="P179" s="30"/>
      <c r="Q179" s="30"/>
      <c r="R179" s="30">
        <f t="shared" si="528"/>
        <v>0</v>
      </c>
      <c r="S179" s="30"/>
      <c r="U179" s="31"/>
      <c r="V179" s="30"/>
      <c r="W179" s="30"/>
      <c r="X179" s="30">
        <f t="shared" si="529"/>
        <v>0</v>
      </c>
      <c r="Y179" s="30"/>
      <c r="AA179" s="31"/>
      <c r="AB179" s="30"/>
      <c r="AC179" s="30"/>
      <c r="AD179" s="30">
        <f t="shared" si="530"/>
        <v>0</v>
      </c>
      <c r="AE179" s="30"/>
      <c r="AG179" s="31"/>
      <c r="AH179" s="30"/>
      <c r="AI179" s="30"/>
      <c r="AJ179" s="30">
        <f t="shared" si="531"/>
        <v>0</v>
      </c>
      <c r="AK179" s="30"/>
      <c r="AM179" s="31"/>
      <c r="AN179" s="30"/>
      <c r="AO179" s="30"/>
      <c r="AP179" s="30">
        <f t="shared" si="532"/>
        <v>0</v>
      </c>
      <c r="AQ179" s="30"/>
      <c r="AS179" s="31"/>
      <c r="AT179" s="30"/>
      <c r="AU179" s="30"/>
      <c r="AV179" s="30">
        <f t="shared" si="533"/>
        <v>0</v>
      </c>
      <c r="AW179" s="30"/>
      <c r="AY179" s="31"/>
      <c r="AZ179" s="30"/>
      <c r="BA179" s="30"/>
      <c r="BB179" s="30">
        <f t="shared" si="534"/>
        <v>0</v>
      </c>
      <c r="BC179" s="30"/>
      <c r="BE179" s="31"/>
      <c r="BF179" s="30"/>
      <c r="BG179" s="30"/>
      <c r="BH179" s="30">
        <f t="shared" si="535"/>
        <v>0</v>
      </c>
      <c r="BI179" s="30"/>
      <c r="BK179" s="31"/>
      <c r="BL179" s="30"/>
      <c r="BM179" s="30"/>
      <c r="BN179" s="30">
        <f t="shared" si="536"/>
        <v>0</v>
      </c>
      <c r="BO179" s="30"/>
      <c r="BQ179" s="31"/>
      <c r="BR179" s="30"/>
      <c r="BS179" s="30"/>
      <c r="BT179" s="30">
        <f t="shared" si="537"/>
        <v>0</v>
      </c>
      <c r="BU179" s="30"/>
      <c r="BW179" s="31"/>
      <c r="BX179" s="30"/>
      <c r="BY179" s="30"/>
      <c r="BZ179" s="30">
        <f t="shared" si="538"/>
        <v>0</v>
      </c>
      <c r="CA179" s="30"/>
      <c r="CC179" s="31"/>
      <c r="CD179" s="30"/>
      <c r="CE179" s="30"/>
      <c r="CF179" s="30">
        <f t="shared" si="539"/>
        <v>0</v>
      </c>
      <c r="CG179" s="30"/>
      <c r="CI179" s="31"/>
      <c r="CJ179" s="30"/>
      <c r="CK179" s="30"/>
      <c r="CL179" s="30">
        <f t="shared" si="540"/>
        <v>0</v>
      </c>
      <c r="CM179" s="30"/>
      <c r="CO179" s="31"/>
      <c r="CP179" s="30"/>
      <c r="CQ179" s="30"/>
      <c r="CR179" s="30">
        <f t="shared" si="541"/>
        <v>0</v>
      </c>
      <c r="CS179" s="30"/>
      <c r="CU179" s="31"/>
      <c r="CV179" s="30"/>
      <c r="CW179" s="30"/>
      <c r="CX179" s="30">
        <f t="shared" si="542"/>
        <v>0</v>
      </c>
      <c r="CY179" s="30"/>
      <c r="DA179" s="31"/>
      <c r="DB179" s="30"/>
      <c r="DC179" s="30"/>
      <c r="DD179" s="30">
        <f t="shared" si="543"/>
        <v>0</v>
      </c>
      <c r="DE179" s="30"/>
      <c r="DG179" s="31"/>
      <c r="DH179" s="30"/>
      <c r="DI179" s="30"/>
      <c r="DJ179" s="30">
        <f t="shared" si="544"/>
        <v>0</v>
      </c>
      <c r="DK179" s="30"/>
      <c r="DM179" s="31"/>
      <c r="DN179" s="30"/>
      <c r="DO179" s="30"/>
      <c r="DP179" s="30">
        <f t="shared" si="545"/>
        <v>0</v>
      </c>
      <c r="DQ179" s="30"/>
      <c r="DS179" s="31"/>
      <c r="DT179" s="30"/>
      <c r="DU179" s="30"/>
      <c r="DV179" s="30">
        <f t="shared" si="546"/>
        <v>0</v>
      </c>
      <c r="DW179" s="30"/>
      <c r="DY179" s="31"/>
      <c r="DZ179" s="30"/>
      <c r="EA179" s="30"/>
      <c r="EB179" s="30">
        <f t="shared" si="547"/>
        <v>0</v>
      </c>
      <c r="EC179" s="30"/>
      <c r="EE179" s="31"/>
      <c r="EF179" s="30"/>
      <c r="EG179" s="30"/>
      <c r="EH179" s="30">
        <f t="shared" si="548"/>
        <v>0</v>
      </c>
      <c r="EI179" s="30"/>
      <c r="EK179" s="31"/>
      <c r="EL179" s="30"/>
      <c r="EM179" s="30"/>
      <c r="EN179" s="30">
        <f t="shared" si="549"/>
        <v>0</v>
      </c>
      <c r="EO179" s="30"/>
      <c r="EQ179" s="31"/>
      <c r="ER179" s="30"/>
      <c r="ES179" s="30"/>
      <c r="ET179" s="30">
        <f t="shared" si="550"/>
        <v>0</v>
      </c>
      <c r="EU179" s="30"/>
      <c r="EW179" s="31"/>
      <c r="EX179" s="30"/>
      <c r="EY179" s="30"/>
      <c r="EZ179" s="30">
        <f t="shared" si="551"/>
        <v>0</v>
      </c>
      <c r="FA179" s="30"/>
      <c r="FC179" s="31"/>
      <c r="FD179" s="30"/>
      <c r="FE179" s="30"/>
      <c r="FF179" s="30">
        <f t="shared" si="552"/>
        <v>0</v>
      </c>
      <c r="FG179" s="30"/>
      <c r="FI179" s="31"/>
      <c r="FJ179" s="30"/>
      <c r="FK179" s="30"/>
      <c r="FL179" s="30">
        <f t="shared" si="553"/>
        <v>0</v>
      </c>
      <c r="FM179" s="30"/>
      <c r="FO179" s="31"/>
      <c r="FP179" s="30"/>
      <c r="FQ179" s="30"/>
      <c r="FR179" s="30">
        <f t="shared" si="554"/>
        <v>0</v>
      </c>
      <c r="FS179" s="30"/>
      <c r="FU179" s="31"/>
      <c r="FV179" s="30"/>
      <c r="FW179" s="30"/>
      <c r="FX179" s="30">
        <f t="shared" si="555"/>
        <v>0</v>
      </c>
      <c r="FY179" s="30"/>
      <c r="GA179" s="31"/>
      <c r="GB179" s="30"/>
      <c r="GC179" s="30"/>
      <c r="GD179" s="30">
        <f t="shared" si="556"/>
        <v>0</v>
      </c>
      <c r="GE179" s="30"/>
      <c r="GG179" s="31"/>
      <c r="GH179" s="30"/>
      <c r="GI179" s="30"/>
      <c r="GJ179" s="30">
        <f t="shared" si="557"/>
        <v>0</v>
      </c>
      <c r="GK179" s="30"/>
      <c r="GM179" s="31"/>
      <c r="GN179" s="30"/>
      <c r="GO179" s="30"/>
      <c r="GP179" s="30">
        <f t="shared" si="558"/>
        <v>0</v>
      </c>
      <c r="GQ179" s="30"/>
      <c r="GS179" s="31"/>
      <c r="GT179" s="30"/>
      <c r="GU179" s="30"/>
      <c r="GV179" s="30">
        <f t="shared" si="559"/>
        <v>0</v>
      </c>
      <c r="GW179" s="30"/>
      <c r="GY179" s="31"/>
      <c r="GZ179" s="30"/>
      <c r="HA179" s="30"/>
      <c r="HB179" s="30">
        <f t="shared" si="560"/>
        <v>0</v>
      </c>
      <c r="HC179" s="30"/>
    </row>
    <row r="180" spans="1:211" s="32" customFormat="1" outlineLevel="1" x14ac:dyDescent="0.2">
      <c r="A180" s="32" t="s">
        <v>150</v>
      </c>
      <c r="B180" s="30">
        <f t="shared" si="525"/>
        <v>0</v>
      </c>
      <c r="C180" s="31"/>
      <c r="D180" s="30"/>
      <c r="E180" s="30"/>
      <c r="F180" s="30">
        <f t="shared" si="526"/>
        <v>0</v>
      </c>
      <c r="G180" s="30"/>
      <c r="I180" s="31"/>
      <c r="J180" s="30"/>
      <c r="K180" s="30"/>
      <c r="L180" s="30">
        <f t="shared" si="527"/>
        <v>0</v>
      </c>
      <c r="M180" s="30"/>
      <c r="O180" s="31"/>
      <c r="P180" s="30"/>
      <c r="Q180" s="30"/>
      <c r="R180" s="30">
        <f t="shared" si="528"/>
        <v>0</v>
      </c>
      <c r="S180" s="30"/>
      <c r="U180" s="31"/>
      <c r="V180" s="30"/>
      <c r="W180" s="30"/>
      <c r="X180" s="30">
        <f t="shared" si="529"/>
        <v>0</v>
      </c>
      <c r="Y180" s="30"/>
      <c r="AA180" s="31"/>
      <c r="AB180" s="30"/>
      <c r="AC180" s="30"/>
      <c r="AD180" s="30">
        <f t="shared" si="530"/>
        <v>0</v>
      </c>
      <c r="AE180" s="30"/>
      <c r="AG180" s="31"/>
      <c r="AH180" s="30"/>
      <c r="AI180" s="30"/>
      <c r="AJ180" s="30">
        <f t="shared" si="531"/>
        <v>0</v>
      </c>
      <c r="AK180" s="30"/>
      <c r="AM180" s="31"/>
      <c r="AN180" s="30"/>
      <c r="AO180" s="30"/>
      <c r="AP180" s="30">
        <f t="shared" si="532"/>
        <v>0</v>
      </c>
      <c r="AQ180" s="30"/>
      <c r="AS180" s="31"/>
      <c r="AT180" s="30"/>
      <c r="AU180" s="30"/>
      <c r="AV180" s="30">
        <f t="shared" si="533"/>
        <v>0</v>
      </c>
      <c r="AW180" s="30"/>
      <c r="AY180" s="31"/>
      <c r="AZ180" s="30"/>
      <c r="BA180" s="30"/>
      <c r="BB180" s="30">
        <f t="shared" si="534"/>
        <v>0</v>
      </c>
      <c r="BC180" s="30"/>
      <c r="BE180" s="31"/>
      <c r="BF180" s="30"/>
      <c r="BG180" s="30"/>
      <c r="BH180" s="30">
        <f t="shared" si="535"/>
        <v>0</v>
      </c>
      <c r="BI180" s="30"/>
      <c r="BK180" s="31"/>
      <c r="BL180" s="30"/>
      <c r="BM180" s="30"/>
      <c r="BN180" s="30">
        <f t="shared" si="536"/>
        <v>0</v>
      </c>
      <c r="BO180" s="30"/>
      <c r="BQ180" s="31"/>
      <c r="BR180" s="30"/>
      <c r="BS180" s="30"/>
      <c r="BT180" s="30">
        <f t="shared" si="537"/>
        <v>0</v>
      </c>
      <c r="BU180" s="30"/>
      <c r="BW180" s="31"/>
      <c r="BX180" s="30"/>
      <c r="BY180" s="30"/>
      <c r="BZ180" s="30">
        <f t="shared" si="538"/>
        <v>0</v>
      </c>
      <c r="CA180" s="30"/>
      <c r="CC180" s="31"/>
      <c r="CD180" s="30"/>
      <c r="CE180" s="30"/>
      <c r="CF180" s="30">
        <f t="shared" si="539"/>
        <v>0</v>
      </c>
      <c r="CG180" s="30"/>
      <c r="CI180" s="31"/>
      <c r="CJ180" s="30"/>
      <c r="CK180" s="30"/>
      <c r="CL180" s="30">
        <f t="shared" si="540"/>
        <v>0</v>
      </c>
      <c r="CM180" s="30"/>
      <c r="CO180" s="31"/>
      <c r="CP180" s="30"/>
      <c r="CQ180" s="30"/>
      <c r="CR180" s="30">
        <f t="shared" si="541"/>
        <v>0</v>
      </c>
      <c r="CS180" s="30"/>
      <c r="CU180" s="31"/>
      <c r="CV180" s="30"/>
      <c r="CW180" s="30"/>
      <c r="CX180" s="30">
        <f t="shared" si="542"/>
        <v>0</v>
      </c>
      <c r="CY180" s="30"/>
      <c r="DA180" s="31"/>
      <c r="DB180" s="30"/>
      <c r="DC180" s="30"/>
      <c r="DD180" s="30">
        <f t="shared" si="543"/>
        <v>0</v>
      </c>
      <c r="DE180" s="30"/>
      <c r="DG180" s="31"/>
      <c r="DH180" s="30"/>
      <c r="DI180" s="30"/>
      <c r="DJ180" s="30">
        <f t="shared" si="544"/>
        <v>0</v>
      </c>
      <c r="DK180" s="30"/>
      <c r="DM180" s="31"/>
      <c r="DN180" s="30"/>
      <c r="DO180" s="30"/>
      <c r="DP180" s="30">
        <f t="shared" si="545"/>
        <v>0</v>
      </c>
      <c r="DQ180" s="30"/>
      <c r="DS180" s="31"/>
      <c r="DT180" s="30"/>
      <c r="DU180" s="30"/>
      <c r="DV180" s="30">
        <f t="shared" si="546"/>
        <v>0</v>
      </c>
      <c r="DW180" s="30"/>
      <c r="DY180" s="31"/>
      <c r="DZ180" s="30"/>
      <c r="EA180" s="30"/>
      <c r="EB180" s="30">
        <f t="shared" si="547"/>
        <v>0</v>
      </c>
      <c r="EC180" s="30"/>
      <c r="EE180" s="31"/>
      <c r="EF180" s="30"/>
      <c r="EG180" s="30"/>
      <c r="EH180" s="30">
        <f t="shared" si="548"/>
        <v>0</v>
      </c>
      <c r="EI180" s="30"/>
      <c r="EK180" s="31"/>
      <c r="EL180" s="30"/>
      <c r="EM180" s="30"/>
      <c r="EN180" s="30">
        <f t="shared" si="549"/>
        <v>0</v>
      </c>
      <c r="EO180" s="30"/>
      <c r="EQ180" s="31"/>
      <c r="ER180" s="30"/>
      <c r="ES180" s="30"/>
      <c r="ET180" s="30">
        <f t="shared" si="550"/>
        <v>0</v>
      </c>
      <c r="EU180" s="30"/>
      <c r="EW180" s="31"/>
      <c r="EX180" s="30"/>
      <c r="EY180" s="30"/>
      <c r="EZ180" s="30">
        <f t="shared" si="551"/>
        <v>0</v>
      </c>
      <c r="FA180" s="30"/>
      <c r="FC180" s="31"/>
      <c r="FD180" s="30"/>
      <c r="FE180" s="30"/>
      <c r="FF180" s="30">
        <f t="shared" si="552"/>
        <v>0</v>
      </c>
      <c r="FG180" s="30"/>
      <c r="FI180" s="31"/>
      <c r="FJ180" s="30"/>
      <c r="FK180" s="30"/>
      <c r="FL180" s="30">
        <f t="shared" si="553"/>
        <v>0</v>
      </c>
      <c r="FM180" s="30"/>
      <c r="FO180" s="31"/>
      <c r="FP180" s="30"/>
      <c r="FQ180" s="30"/>
      <c r="FR180" s="30">
        <f t="shared" si="554"/>
        <v>0</v>
      </c>
      <c r="FS180" s="30"/>
      <c r="FU180" s="31"/>
      <c r="FV180" s="30"/>
      <c r="FW180" s="30"/>
      <c r="FX180" s="30">
        <f t="shared" si="555"/>
        <v>0</v>
      </c>
      <c r="FY180" s="30"/>
      <c r="GA180" s="31"/>
      <c r="GB180" s="30"/>
      <c r="GC180" s="30"/>
      <c r="GD180" s="30">
        <f t="shared" si="556"/>
        <v>0</v>
      </c>
      <c r="GE180" s="30"/>
      <c r="GG180" s="31"/>
      <c r="GH180" s="30"/>
      <c r="GI180" s="30"/>
      <c r="GJ180" s="30">
        <f t="shared" si="557"/>
        <v>0</v>
      </c>
      <c r="GK180" s="30"/>
      <c r="GM180" s="31"/>
      <c r="GN180" s="30"/>
      <c r="GO180" s="30"/>
      <c r="GP180" s="30">
        <f t="shared" si="558"/>
        <v>0</v>
      </c>
      <c r="GQ180" s="30"/>
      <c r="GS180" s="31"/>
      <c r="GT180" s="30"/>
      <c r="GU180" s="30"/>
      <c r="GV180" s="30">
        <f t="shared" si="559"/>
        <v>0</v>
      </c>
      <c r="GW180" s="30"/>
      <c r="GY180" s="31"/>
      <c r="GZ180" s="30"/>
      <c r="HA180" s="30"/>
      <c r="HB180" s="30">
        <f t="shared" si="560"/>
        <v>0</v>
      </c>
      <c r="HC180" s="30"/>
    </row>
    <row r="181" spans="1:211" s="32" customFormat="1" outlineLevel="1" x14ac:dyDescent="0.2">
      <c r="A181" s="32" t="s">
        <v>151</v>
      </c>
      <c r="B181" s="30">
        <f t="shared" si="525"/>
        <v>0</v>
      </c>
      <c r="C181" s="31"/>
      <c r="D181" s="30"/>
      <c r="E181" s="30"/>
      <c r="F181" s="30">
        <f t="shared" si="526"/>
        <v>0</v>
      </c>
      <c r="G181" s="30"/>
      <c r="I181" s="31"/>
      <c r="J181" s="30"/>
      <c r="K181" s="30"/>
      <c r="L181" s="30">
        <f t="shared" si="527"/>
        <v>0</v>
      </c>
      <c r="M181" s="30"/>
      <c r="O181" s="31"/>
      <c r="P181" s="30"/>
      <c r="Q181" s="30"/>
      <c r="R181" s="30">
        <f t="shared" si="528"/>
        <v>0</v>
      </c>
      <c r="S181" s="30"/>
      <c r="U181" s="31"/>
      <c r="V181" s="30"/>
      <c r="W181" s="30"/>
      <c r="X181" s="30">
        <f t="shared" si="529"/>
        <v>0</v>
      </c>
      <c r="Y181" s="30"/>
      <c r="AA181" s="31"/>
      <c r="AB181" s="30"/>
      <c r="AC181" s="30"/>
      <c r="AD181" s="30">
        <f t="shared" si="530"/>
        <v>0</v>
      </c>
      <c r="AE181" s="30"/>
      <c r="AG181" s="31"/>
      <c r="AH181" s="30"/>
      <c r="AI181" s="30"/>
      <c r="AJ181" s="30">
        <f t="shared" si="531"/>
        <v>0</v>
      </c>
      <c r="AK181" s="30"/>
      <c r="AM181" s="31"/>
      <c r="AN181" s="30"/>
      <c r="AO181" s="30"/>
      <c r="AP181" s="30">
        <f t="shared" si="532"/>
        <v>0</v>
      </c>
      <c r="AQ181" s="30"/>
      <c r="AS181" s="31"/>
      <c r="AT181" s="30"/>
      <c r="AU181" s="30"/>
      <c r="AV181" s="30">
        <f t="shared" si="533"/>
        <v>0</v>
      </c>
      <c r="AW181" s="30"/>
      <c r="AY181" s="31"/>
      <c r="AZ181" s="30"/>
      <c r="BA181" s="30"/>
      <c r="BB181" s="30">
        <f t="shared" si="534"/>
        <v>0</v>
      </c>
      <c r="BC181" s="30"/>
      <c r="BE181" s="31"/>
      <c r="BF181" s="30"/>
      <c r="BG181" s="30"/>
      <c r="BH181" s="30">
        <f t="shared" si="535"/>
        <v>0</v>
      </c>
      <c r="BI181" s="30"/>
      <c r="BK181" s="31"/>
      <c r="BL181" s="30"/>
      <c r="BM181" s="30"/>
      <c r="BN181" s="30">
        <f t="shared" si="536"/>
        <v>0</v>
      </c>
      <c r="BO181" s="30"/>
      <c r="BQ181" s="31"/>
      <c r="BR181" s="30"/>
      <c r="BS181" s="30"/>
      <c r="BT181" s="30">
        <f t="shared" si="537"/>
        <v>0</v>
      </c>
      <c r="BU181" s="30"/>
      <c r="BW181" s="31"/>
      <c r="BX181" s="30"/>
      <c r="BY181" s="30"/>
      <c r="BZ181" s="30">
        <f t="shared" si="538"/>
        <v>0</v>
      </c>
      <c r="CA181" s="30"/>
      <c r="CC181" s="31"/>
      <c r="CD181" s="30"/>
      <c r="CE181" s="30"/>
      <c r="CF181" s="30">
        <f t="shared" si="539"/>
        <v>0</v>
      </c>
      <c r="CG181" s="30"/>
      <c r="CI181" s="31"/>
      <c r="CJ181" s="30"/>
      <c r="CK181" s="30"/>
      <c r="CL181" s="30">
        <f t="shared" si="540"/>
        <v>0</v>
      </c>
      <c r="CM181" s="30"/>
      <c r="CO181" s="31"/>
      <c r="CP181" s="30"/>
      <c r="CQ181" s="30"/>
      <c r="CR181" s="30">
        <f t="shared" si="541"/>
        <v>0</v>
      </c>
      <c r="CS181" s="30"/>
      <c r="CU181" s="31"/>
      <c r="CV181" s="30"/>
      <c r="CW181" s="30"/>
      <c r="CX181" s="30">
        <f t="shared" si="542"/>
        <v>0</v>
      </c>
      <c r="CY181" s="30"/>
      <c r="DA181" s="31"/>
      <c r="DB181" s="30"/>
      <c r="DC181" s="30"/>
      <c r="DD181" s="30">
        <f t="shared" si="543"/>
        <v>0</v>
      </c>
      <c r="DE181" s="30"/>
      <c r="DG181" s="31"/>
      <c r="DH181" s="30"/>
      <c r="DI181" s="30"/>
      <c r="DJ181" s="30">
        <f t="shared" si="544"/>
        <v>0</v>
      </c>
      <c r="DK181" s="30"/>
      <c r="DM181" s="31"/>
      <c r="DN181" s="30"/>
      <c r="DO181" s="30"/>
      <c r="DP181" s="30">
        <f t="shared" si="545"/>
        <v>0</v>
      </c>
      <c r="DQ181" s="30"/>
      <c r="DS181" s="31"/>
      <c r="DT181" s="30"/>
      <c r="DU181" s="30"/>
      <c r="DV181" s="30">
        <f t="shared" si="546"/>
        <v>0</v>
      </c>
      <c r="DW181" s="30"/>
      <c r="DY181" s="31"/>
      <c r="DZ181" s="30"/>
      <c r="EA181" s="30"/>
      <c r="EB181" s="30">
        <f t="shared" si="547"/>
        <v>0</v>
      </c>
      <c r="EC181" s="30"/>
      <c r="EE181" s="31"/>
      <c r="EF181" s="30"/>
      <c r="EG181" s="30"/>
      <c r="EH181" s="30">
        <f t="shared" si="548"/>
        <v>0</v>
      </c>
      <c r="EI181" s="30"/>
      <c r="EK181" s="31"/>
      <c r="EL181" s="30"/>
      <c r="EM181" s="30"/>
      <c r="EN181" s="30">
        <f t="shared" si="549"/>
        <v>0</v>
      </c>
      <c r="EO181" s="30"/>
      <c r="EQ181" s="31"/>
      <c r="ER181" s="30"/>
      <c r="ES181" s="30"/>
      <c r="ET181" s="30">
        <f t="shared" si="550"/>
        <v>0</v>
      </c>
      <c r="EU181" s="30"/>
      <c r="EW181" s="31"/>
      <c r="EX181" s="30"/>
      <c r="EY181" s="30"/>
      <c r="EZ181" s="30">
        <f t="shared" si="551"/>
        <v>0</v>
      </c>
      <c r="FA181" s="30"/>
      <c r="FC181" s="31"/>
      <c r="FD181" s="30"/>
      <c r="FE181" s="30"/>
      <c r="FF181" s="30">
        <f t="shared" si="552"/>
        <v>0</v>
      </c>
      <c r="FG181" s="30"/>
      <c r="FI181" s="31"/>
      <c r="FJ181" s="30"/>
      <c r="FK181" s="30"/>
      <c r="FL181" s="30">
        <f t="shared" si="553"/>
        <v>0</v>
      </c>
      <c r="FM181" s="30"/>
      <c r="FO181" s="31"/>
      <c r="FP181" s="30"/>
      <c r="FQ181" s="30"/>
      <c r="FR181" s="30">
        <f t="shared" si="554"/>
        <v>0</v>
      </c>
      <c r="FS181" s="30"/>
      <c r="FU181" s="31"/>
      <c r="FV181" s="30"/>
      <c r="FW181" s="30"/>
      <c r="FX181" s="30">
        <f t="shared" si="555"/>
        <v>0</v>
      </c>
      <c r="FY181" s="30"/>
      <c r="GA181" s="31"/>
      <c r="GB181" s="30"/>
      <c r="GC181" s="30"/>
      <c r="GD181" s="30">
        <f t="shared" si="556"/>
        <v>0</v>
      </c>
      <c r="GE181" s="30"/>
      <c r="GG181" s="31"/>
      <c r="GH181" s="30"/>
      <c r="GI181" s="30"/>
      <c r="GJ181" s="30">
        <f t="shared" si="557"/>
        <v>0</v>
      </c>
      <c r="GK181" s="30"/>
      <c r="GM181" s="31"/>
      <c r="GN181" s="30"/>
      <c r="GO181" s="30"/>
      <c r="GP181" s="30">
        <f t="shared" si="558"/>
        <v>0</v>
      </c>
      <c r="GQ181" s="30"/>
      <c r="GS181" s="31"/>
      <c r="GT181" s="30"/>
      <c r="GU181" s="30"/>
      <c r="GV181" s="30">
        <f t="shared" si="559"/>
        <v>0</v>
      </c>
      <c r="GW181" s="30"/>
      <c r="GY181" s="31"/>
      <c r="GZ181" s="30"/>
      <c r="HA181" s="30"/>
      <c r="HB181" s="30">
        <f t="shared" si="560"/>
        <v>0</v>
      </c>
      <c r="HC181" s="30"/>
    </row>
    <row r="183" spans="1:211" s="40" customFormat="1" x14ac:dyDescent="0.2">
      <c r="A183" s="39" t="s">
        <v>33</v>
      </c>
      <c r="B183" s="39">
        <f>SUM(C129:XFD129)</f>
        <v>27997882.311354019</v>
      </c>
    </row>
    <row r="184" spans="1:211" s="40" customFormat="1" x14ac:dyDescent="0.2">
      <c r="A184" s="29" t="s">
        <v>34</v>
      </c>
      <c r="B184" s="29">
        <f>SUM(B144:B155)</f>
        <v>4500000</v>
      </c>
    </row>
    <row r="185" spans="1:211" s="40" customFormat="1" x14ac:dyDescent="0.2">
      <c r="A185" s="35" t="s">
        <v>35</v>
      </c>
      <c r="B185" s="35">
        <f>-SUM(B157:B168)</f>
        <v>-5841500</v>
      </c>
    </row>
    <row r="186" spans="1:211" s="40" customFormat="1" x14ac:dyDescent="0.2">
      <c r="A186" s="39" t="s">
        <v>36</v>
      </c>
      <c r="B186" s="39">
        <f>SUM(B183:B185)</f>
        <v>26656382.311354019</v>
      </c>
    </row>
    <row r="187" spans="1:211" s="42" customFormat="1" x14ac:dyDescent="0.2">
      <c r="A187" s="41" t="s">
        <v>32</v>
      </c>
      <c r="B187" s="41">
        <f>SUM(B170:B181)</f>
        <v>875000</v>
      </c>
    </row>
  </sheetData>
  <mergeCells count="140">
    <mergeCell ref="DI128:DJ128"/>
    <mergeCell ref="DO128:DP128"/>
    <mergeCell ref="DU128:DV128"/>
    <mergeCell ref="EA128:EB128"/>
    <mergeCell ref="EG128:EH128"/>
    <mergeCell ref="BY128:BZ128"/>
    <mergeCell ref="CE128:CF128"/>
    <mergeCell ref="CK128:CL128"/>
    <mergeCell ref="GU128:GV128"/>
    <mergeCell ref="CW128:CX128"/>
    <mergeCell ref="DC128:DD128"/>
    <mergeCell ref="CQ128:CR128"/>
    <mergeCell ref="HA128:HB128"/>
    <mergeCell ref="FQ128:FR128"/>
    <mergeCell ref="FW128:FX128"/>
    <mergeCell ref="GC128:GD128"/>
    <mergeCell ref="GI128:GJ128"/>
    <mergeCell ref="GO128:GP128"/>
    <mergeCell ref="EM128:EN128"/>
    <mergeCell ref="ES128:ET128"/>
    <mergeCell ref="EY128:EZ128"/>
    <mergeCell ref="FE128:FF128"/>
    <mergeCell ref="FK128:FL128"/>
    <mergeCell ref="AU128:AV128"/>
    <mergeCell ref="BA128:BB128"/>
    <mergeCell ref="BG128:BH128"/>
    <mergeCell ref="BM128:BN128"/>
    <mergeCell ref="BS128:BT128"/>
    <mergeCell ref="E128:F128"/>
    <mergeCell ref="Q128:R128"/>
    <mergeCell ref="AC128:AD128"/>
    <mergeCell ref="AI128:AJ128"/>
    <mergeCell ref="AO128:AP128"/>
    <mergeCell ref="K128:L128"/>
    <mergeCell ref="W128:X128"/>
    <mergeCell ref="GI66:GJ66"/>
    <mergeCell ref="GO66:GP66"/>
    <mergeCell ref="GU66:GV66"/>
    <mergeCell ref="HA66:HB66"/>
    <mergeCell ref="FE66:FF66"/>
    <mergeCell ref="FK66:FL66"/>
    <mergeCell ref="FQ66:FR66"/>
    <mergeCell ref="FW66:FX66"/>
    <mergeCell ref="GC66:GD66"/>
    <mergeCell ref="EM66:EN66"/>
    <mergeCell ref="EY66:EZ66"/>
    <mergeCell ref="ES66:ET66"/>
    <mergeCell ref="CE66:CF66"/>
    <mergeCell ref="CK66:CL66"/>
    <mergeCell ref="CW66:CX66"/>
    <mergeCell ref="DC66:DD66"/>
    <mergeCell ref="DO66:DP66"/>
    <mergeCell ref="DI66:DJ66"/>
    <mergeCell ref="DU66:DV66"/>
    <mergeCell ref="EA66:EB66"/>
    <mergeCell ref="EG66:EH66"/>
    <mergeCell ref="CQ66:CR66"/>
    <mergeCell ref="AU66:AV66"/>
    <mergeCell ref="BA66:BB66"/>
    <mergeCell ref="BM66:BN66"/>
    <mergeCell ref="BS66:BT66"/>
    <mergeCell ref="BY66:BZ66"/>
    <mergeCell ref="AY2:BA2"/>
    <mergeCell ref="BA4:BB4"/>
    <mergeCell ref="BK2:BM2"/>
    <mergeCell ref="BM4:BN4"/>
    <mergeCell ref="BQ2:BS2"/>
    <mergeCell ref="BS4:BT4"/>
    <mergeCell ref="BW2:BY2"/>
    <mergeCell ref="BY4:BZ4"/>
    <mergeCell ref="E66:F66"/>
    <mergeCell ref="Q66:R66"/>
    <mergeCell ref="AC66:AD66"/>
    <mergeCell ref="AI66:AJ66"/>
    <mergeCell ref="AO66:AP66"/>
    <mergeCell ref="BG66:BH66"/>
    <mergeCell ref="E4:F4"/>
    <mergeCell ref="C2:E2"/>
    <mergeCell ref="O2:Q2"/>
    <mergeCell ref="Q4:R4"/>
    <mergeCell ref="AA2:AC2"/>
    <mergeCell ref="AC4:AD4"/>
    <mergeCell ref="AM2:AO2"/>
    <mergeCell ref="AO4:AP4"/>
    <mergeCell ref="AS2:AU2"/>
    <mergeCell ref="AU4:AV4"/>
    <mergeCell ref="AG2:AI2"/>
    <mergeCell ref="AI4:AJ4"/>
    <mergeCell ref="I2:K2"/>
    <mergeCell ref="K4:L4"/>
    <mergeCell ref="U2:W2"/>
    <mergeCell ref="W4:X4"/>
    <mergeCell ref="K66:L66"/>
    <mergeCell ref="W66:X66"/>
    <mergeCell ref="EE2:EG2"/>
    <mergeCell ref="EG4:EH4"/>
    <mergeCell ref="EK2:EM2"/>
    <mergeCell ref="EM4:EN4"/>
    <mergeCell ref="BE2:BG2"/>
    <mergeCell ref="BG4:BH4"/>
    <mergeCell ref="DM2:DO2"/>
    <mergeCell ref="DO4:DP4"/>
    <mergeCell ref="DS2:DU2"/>
    <mergeCell ref="EA4:EB4"/>
    <mergeCell ref="CI2:CK2"/>
    <mergeCell ref="CK4:CL4"/>
    <mergeCell ref="CO2:CQ2"/>
    <mergeCell ref="CQ4:CR4"/>
    <mergeCell ref="CC2:CE2"/>
    <mergeCell ref="CE4:CF4"/>
    <mergeCell ref="DU4:DV4"/>
    <mergeCell ref="DY2:EA2"/>
    <mergeCell ref="DG2:DI2"/>
    <mergeCell ref="DI4:DJ4"/>
    <mergeCell ref="CU2:CW2"/>
    <mergeCell ref="CW4:CX4"/>
    <mergeCell ref="DA2:DC2"/>
    <mergeCell ref="DC4:DD4"/>
    <mergeCell ref="GY2:HA2"/>
    <mergeCell ref="HA4:HB4"/>
    <mergeCell ref="GM2:GO2"/>
    <mergeCell ref="GO4:GP4"/>
    <mergeCell ref="GG2:GI2"/>
    <mergeCell ref="GI4:GJ4"/>
    <mergeCell ref="EW2:EY2"/>
    <mergeCell ref="EY4:EZ4"/>
    <mergeCell ref="EQ2:ES2"/>
    <mergeCell ref="ES4:ET4"/>
    <mergeCell ref="GS2:GU2"/>
    <mergeCell ref="GU4:GV4"/>
    <mergeCell ref="FU2:FW2"/>
    <mergeCell ref="FW4:FX4"/>
    <mergeCell ref="GA2:GC2"/>
    <mergeCell ref="GC4:GD4"/>
    <mergeCell ref="FC2:FE2"/>
    <mergeCell ref="FE4:FF4"/>
    <mergeCell ref="FI2:FK2"/>
    <mergeCell ref="FK4:FL4"/>
    <mergeCell ref="FO2:FQ2"/>
    <mergeCell ref="FQ4:FR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Bagus Adita</dc:creator>
  <cp:lastModifiedBy>PT. Gresik Cipta Sejahtera</cp:lastModifiedBy>
  <dcterms:created xsi:type="dcterms:W3CDTF">2024-02-22T07:46:01Z</dcterms:created>
  <dcterms:modified xsi:type="dcterms:W3CDTF">2026-09-23T06:29:56Z</dcterms:modified>
</cp:coreProperties>
</file>