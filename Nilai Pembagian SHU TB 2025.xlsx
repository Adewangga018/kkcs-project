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KERJA\K K C S\Laporan Bulanan\2025\"/>
    </mc:Choice>
  </mc:AlternateContent>
  <xr:revisionPtr revIDLastSave="0" documentId="13_ncr:1_{5DD3EF63-4AB0-41C6-8E18-1018B691C1FC}" xr6:coauthVersionLast="47" xr6:coauthVersionMax="47" xr10:uidLastSave="{00000000-0000-0000-0000-000000000000}"/>
  <bookViews>
    <workbookView xWindow="-120" yWindow="-120" windowWidth="29040" windowHeight="15720" xr2:uid="{981BD404-E751-44D7-84B8-BB97892652BF}"/>
  </bookViews>
  <sheets>
    <sheet name="SHU TB 2025" sheetId="1" r:id="rId1"/>
    <sheet name="Sheet1" sheetId="2" r:id="rId2"/>
  </sheets>
  <externalReferences>
    <externalReference r:id="rId3"/>
    <externalReference r:id="rId4"/>
  </externalReferences>
  <definedNames>
    <definedName name="_xlnm._FilterDatabase" localSheetId="0" hidden="1">'SHU TB 2025'!$A$4:$M$100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5" i="1" l="1"/>
  <c r="P69" i="1"/>
  <c r="F7" i="2"/>
  <c r="P62" i="2" l="1"/>
  <c r="D61" i="2"/>
  <c r="O60" i="2"/>
  <c r="O61" i="2" s="1"/>
  <c r="N60" i="2"/>
  <c r="N61" i="2" s="1"/>
  <c r="M60" i="2"/>
  <c r="M61" i="2" s="1"/>
  <c r="L60" i="2"/>
  <c r="L61" i="2" s="1"/>
  <c r="K60" i="2"/>
  <c r="K61" i="2" s="1"/>
  <c r="J60" i="2"/>
  <c r="J61" i="2" s="1"/>
  <c r="I60" i="2"/>
  <c r="I61" i="2" s="1"/>
  <c r="H60" i="2"/>
  <c r="H61" i="2" s="1"/>
  <c r="G60" i="2"/>
  <c r="G61" i="2" s="1"/>
  <c r="F60" i="2"/>
  <c r="F61" i="2" s="1"/>
  <c r="E60" i="2"/>
  <c r="E61" i="2" s="1"/>
  <c r="D60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58" i="2"/>
  <c r="P61" i="2" l="1"/>
  <c r="P60" i="2"/>
  <c r="C58" i="2" s="1"/>
  <c r="C44" i="2" l="1"/>
  <c r="C3" i="2"/>
  <c r="C56" i="2"/>
  <c r="C28" i="2"/>
  <c r="C7" i="2"/>
  <c r="C27" i="2"/>
  <c r="C9" i="2"/>
  <c r="C26" i="2"/>
  <c r="C39" i="2"/>
  <c r="C25" i="2"/>
  <c r="C13" i="2"/>
  <c r="C14" i="2"/>
  <c r="C23" i="2"/>
  <c r="C15" i="2"/>
  <c r="C16" i="2"/>
  <c r="C32" i="2"/>
  <c r="C29" i="2"/>
  <c r="C5" i="2"/>
  <c r="C34" i="2"/>
  <c r="C55" i="2"/>
  <c r="C36" i="2"/>
  <c r="C54" i="2"/>
  <c r="C38" i="2"/>
  <c r="C53" i="2"/>
  <c r="C40" i="2"/>
  <c r="C52" i="2"/>
  <c r="C24" i="2"/>
  <c r="C42" i="2"/>
  <c r="C22" i="2"/>
  <c r="C49" i="2"/>
  <c r="C31" i="2"/>
  <c r="C21" i="2"/>
  <c r="C48" i="2"/>
  <c r="C33" i="2"/>
  <c r="C47" i="2"/>
  <c r="C6" i="2"/>
  <c r="C18" i="2"/>
  <c r="C35" i="2"/>
  <c r="C45" i="2"/>
  <c r="C8" i="2"/>
  <c r="C17" i="2"/>
  <c r="C37" i="2"/>
  <c r="C30" i="2"/>
  <c r="C10" i="2"/>
  <c r="C51" i="2"/>
  <c r="C11" i="2"/>
  <c r="C50" i="2"/>
  <c r="C12" i="2"/>
  <c r="C20" i="2"/>
  <c r="C41" i="2"/>
  <c r="C19" i="2"/>
  <c r="C43" i="2"/>
  <c r="C46" i="2"/>
  <c r="C4" i="2"/>
  <c r="C57" i="2"/>
  <c r="K85" i="1" l="1"/>
  <c r="O3" i="1"/>
  <c r="R3" i="1" s="1"/>
  <c r="O2" i="1"/>
  <c r="I1" i="1"/>
  <c r="K94" i="1" l="1"/>
  <c r="K24" i="1"/>
  <c r="K80" i="1"/>
  <c r="M80" i="1" s="1"/>
  <c r="K73" i="1"/>
  <c r="K61" i="1"/>
  <c r="K53" i="1"/>
  <c r="K50" i="1"/>
  <c r="K41" i="1"/>
  <c r="K93" i="1"/>
  <c r="K22" i="1"/>
  <c r="K13" i="1"/>
  <c r="K8" i="1"/>
  <c r="K7" i="1"/>
  <c r="K68" i="1"/>
  <c r="K42" i="1"/>
  <c r="K92" i="1"/>
  <c r="K21" i="1"/>
  <c r="K9" i="1"/>
  <c r="K76" i="1"/>
  <c r="K66" i="1"/>
  <c r="K46" i="1"/>
  <c r="K26" i="1"/>
  <c r="K87" i="1"/>
  <c r="K20" i="1"/>
  <c r="K81" i="1"/>
  <c r="M81" i="1" s="1"/>
  <c r="K78" i="1"/>
  <c r="K55" i="1"/>
  <c r="K54" i="1"/>
  <c r="K48" i="1"/>
  <c r="K32" i="1"/>
  <c r="K83" i="1"/>
  <c r="K16" i="1"/>
  <c r="K79" i="1"/>
  <c r="M79" i="1" s="1"/>
  <c r="K70" i="1"/>
  <c r="K47" i="1"/>
  <c r="K43" i="1"/>
  <c r="K30" i="1"/>
  <c r="K77" i="1"/>
  <c r="K17" i="1"/>
  <c r="K96" i="1"/>
  <c r="K72" i="1"/>
  <c r="K35" i="1"/>
  <c r="K59" i="1"/>
  <c r="K64" i="1"/>
  <c r="K31" i="1"/>
  <c r="K100" i="1"/>
  <c r="K10" i="1"/>
  <c r="L30" i="1"/>
  <c r="K63" i="1"/>
  <c r="K89" i="1"/>
  <c r="K67" i="1"/>
  <c r="K27" i="1"/>
  <c r="K6" i="1"/>
  <c r="K91" i="1"/>
  <c r="K39" i="1"/>
  <c r="K52" i="1"/>
  <c r="K15" i="1"/>
  <c r="K12" i="1"/>
  <c r="K65" i="1"/>
  <c r="L85" i="1"/>
  <c r="M85" i="1" s="1"/>
  <c r="K69" i="1"/>
  <c r="K25" i="1"/>
  <c r="L38" i="1"/>
  <c r="K90" i="1"/>
  <c r="K98" i="1"/>
  <c r="K97" i="1"/>
  <c r="K23" i="1"/>
  <c r="K38" i="1"/>
  <c r="K33" i="1"/>
  <c r="K56" i="1"/>
  <c r="K99" i="1"/>
  <c r="K49" i="1"/>
  <c r="K44" i="1"/>
  <c r="K58" i="1"/>
  <c r="K19" i="1"/>
  <c r="K62" i="1"/>
  <c r="L21" i="1"/>
  <c r="K40" i="1"/>
  <c r="K28" i="1"/>
  <c r="L6" i="1"/>
  <c r="K51" i="1"/>
  <c r="K45" i="1"/>
  <c r="K14" i="1"/>
  <c r="K11" i="1"/>
  <c r="K74" i="1"/>
  <c r="K75" i="1"/>
  <c r="K95" i="1"/>
  <c r="K36" i="1"/>
  <c r="L14" i="1"/>
  <c r="K18" i="1"/>
  <c r="K60" i="1"/>
  <c r="K29" i="1"/>
  <c r="K34" i="1"/>
  <c r="K82" i="1"/>
  <c r="K37" i="1"/>
  <c r="K5" i="1"/>
  <c r="K71" i="1"/>
  <c r="K88" i="1"/>
  <c r="K57" i="1"/>
  <c r="J96" i="1"/>
  <c r="J94" i="1"/>
  <c r="M94" i="1" s="1"/>
  <c r="J89" i="1"/>
  <c r="J95" i="1"/>
  <c r="J93" i="1"/>
  <c r="J90" i="1"/>
  <c r="J92" i="1"/>
  <c r="M92" i="1" s="1"/>
  <c r="J91" i="1"/>
  <c r="J98" i="1"/>
  <c r="J87" i="1"/>
  <c r="M87" i="1" s="1"/>
  <c r="J73" i="1"/>
  <c r="J65" i="1"/>
  <c r="J57" i="1"/>
  <c r="J49" i="1"/>
  <c r="M49" i="1" s="1"/>
  <c r="J36" i="1"/>
  <c r="J31" i="1"/>
  <c r="M31" i="1" s="1"/>
  <c r="J23" i="1"/>
  <c r="J18" i="1"/>
  <c r="J13" i="1"/>
  <c r="J10" i="1"/>
  <c r="M10" i="1" s="1"/>
  <c r="J5" i="1"/>
  <c r="J26" i="1"/>
  <c r="J78" i="1"/>
  <c r="J70" i="1"/>
  <c r="J62" i="1"/>
  <c r="M62" i="1" s="1"/>
  <c r="J54" i="1"/>
  <c r="J46" i="1"/>
  <c r="J41" i="1"/>
  <c r="J28" i="1"/>
  <c r="J100" i="1"/>
  <c r="J83" i="1"/>
  <c r="J75" i="1"/>
  <c r="J67" i="1"/>
  <c r="J59" i="1"/>
  <c r="J51" i="1"/>
  <c r="J38" i="1"/>
  <c r="J33" i="1"/>
  <c r="J25" i="1"/>
  <c r="J20" i="1"/>
  <c r="J15" i="1"/>
  <c r="M15" i="1" s="1"/>
  <c r="J12" i="1"/>
  <c r="J7" i="1"/>
  <c r="J39" i="1"/>
  <c r="J97" i="1"/>
  <c r="J72" i="1"/>
  <c r="J64" i="1"/>
  <c r="M64" i="1" s="1"/>
  <c r="J56" i="1"/>
  <c r="J48" i="1"/>
  <c r="M48" i="1" s="1"/>
  <c r="J43" i="1"/>
  <c r="J30" i="1"/>
  <c r="J17" i="1"/>
  <c r="J77" i="1"/>
  <c r="M77" i="1" s="1"/>
  <c r="J69" i="1"/>
  <c r="J61" i="1"/>
  <c r="J53" i="1"/>
  <c r="J45" i="1"/>
  <c r="J40" i="1"/>
  <c r="J35" i="1"/>
  <c r="J27" i="1"/>
  <c r="J22" i="1"/>
  <c r="J9" i="1"/>
  <c r="J68" i="1"/>
  <c r="J21" i="1"/>
  <c r="J99" i="1"/>
  <c r="J82" i="1"/>
  <c r="J74" i="1"/>
  <c r="M74" i="1" s="1"/>
  <c r="J66" i="1"/>
  <c r="J58" i="1"/>
  <c r="M58" i="1" s="1"/>
  <c r="J50" i="1"/>
  <c r="J37" i="1"/>
  <c r="J32" i="1"/>
  <c r="M32" i="1" s="1"/>
  <c r="J24" i="1"/>
  <c r="J19" i="1"/>
  <c r="M19" i="1" s="1"/>
  <c r="J14" i="1"/>
  <c r="J76" i="1"/>
  <c r="J8" i="1"/>
  <c r="J88" i="1"/>
  <c r="J71" i="1"/>
  <c r="J63" i="1"/>
  <c r="J55" i="1"/>
  <c r="J47" i="1"/>
  <c r="J42" i="1"/>
  <c r="J29" i="1"/>
  <c r="J16" i="1"/>
  <c r="J11" i="1"/>
  <c r="J6" i="1"/>
  <c r="J60" i="1"/>
  <c r="J52" i="1"/>
  <c r="J44" i="1"/>
  <c r="M44" i="1" s="1"/>
  <c r="J34" i="1"/>
  <c r="M57" i="1" l="1"/>
  <c r="M82" i="1"/>
  <c r="M98" i="1"/>
  <c r="M99" i="1"/>
  <c r="M34" i="1"/>
  <c r="M68" i="1"/>
  <c r="M59" i="1"/>
  <c r="M67" i="1"/>
  <c r="M93" i="1"/>
  <c r="M27" i="1"/>
  <c r="M6" i="1"/>
  <c r="M35" i="1"/>
  <c r="M100" i="1"/>
  <c r="M28" i="1"/>
  <c r="M42" i="1"/>
  <c r="K1" i="1"/>
  <c r="K2" i="1" s="1"/>
  <c r="M17" i="1"/>
  <c r="M56" i="1"/>
  <c r="M14" i="1"/>
  <c r="M72" i="1"/>
  <c r="M23" i="1"/>
  <c r="M97" i="1"/>
  <c r="M39" i="1"/>
  <c r="M37" i="1"/>
  <c r="M13" i="1"/>
  <c r="M66" i="1"/>
  <c r="M20" i="1"/>
  <c r="M73" i="1"/>
  <c r="M25" i="1"/>
  <c r="M33" i="1"/>
  <c r="M38" i="1"/>
  <c r="M21" i="1"/>
  <c r="M51" i="1"/>
  <c r="M91" i="1"/>
  <c r="M24" i="1"/>
  <c r="M90" i="1"/>
  <c r="M52" i="1"/>
  <c r="M22" i="1"/>
  <c r="M60" i="1"/>
  <c r="M83" i="1"/>
  <c r="M95" i="1"/>
  <c r="M89" i="1"/>
  <c r="M11" i="1"/>
  <c r="M40" i="1"/>
  <c r="M16" i="1"/>
  <c r="M45" i="1"/>
  <c r="M41" i="1"/>
  <c r="M96" i="1"/>
  <c r="M9" i="1"/>
  <c r="M29" i="1"/>
  <c r="M53" i="1"/>
  <c r="M46" i="1"/>
  <c r="M36" i="1"/>
  <c r="M65" i="1"/>
  <c r="M75" i="1"/>
  <c r="M61" i="1"/>
  <c r="M54" i="1"/>
  <c r="M8" i="1"/>
  <c r="M47" i="1"/>
  <c r="M69" i="1"/>
  <c r="M55" i="1"/>
  <c r="M70" i="1"/>
  <c r="M63" i="1"/>
  <c r="M78" i="1"/>
  <c r="M71" i="1"/>
  <c r="M30" i="1"/>
  <c r="M26" i="1"/>
  <c r="M88" i="1"/>
  <c r="M43" i="1"/>
  <c r="M76" i="1"/>
  <c r="M18" i="1"/>
  <c r="M7" i="1"/>
  <c r="M50" i="1"/>
  <c r="M12" i="1"/>
  <c r="L1" i="1"/>
  <c r="L2" i="1" s="1"/>
  <c r="J1" i="1"/>
  <c r="J2" i="1" s="1"/>
  <c r="M5" i="1"/>
  <c r="M1" i="1" l="1"/>
</calcChain>
</file>

<file path=xl/sharedStrings.xml><?xml version="1.0" encoding="utf-8"?>
<sst xmlns="http://schemas.openxmlformats.org/spreadsheetml/2006/main" count="648" uniqueCount="234">
  <si>
    <t>Cadangan</t>
  </si>
  <si>
    <t>Bagi Anggota</t>
  </si>
  <si>
    <t>NIK</t>
  </si>
  <si>
    <t>NAMA KARYAWAN</t>
  </si>
  <si>
    <t>KET</t>
  </si>
  <si>
    <t>WILAYAH</t>
  </si>
  <si>
    <t>L/P</t>
  </si>
  <si>
    <t>No</t>
  </si>
  <si>
    <t>SHU Anggota</t>
  </si>
  <si>
    <t>SHU Kontribusi</t>
  </si>
  <si>
    <t>SHU RusWas</t>
  </si>
  <si>
    <t>Terima</t>
  </si>
  <si>
    <t>T.205232</t>
  </si>
  <si>
    <t>ASMAN</t>
  </si>
  <si>
    <t>ABDUL RAHMAN, SE</t>
  </si>
  <si>
    <t>AKTIF</t>
  </si>
  <si>
    <t>GRESIK</t>
  </si>
  <si>
    <t>L</t>
  </si>
  <si>
    <t>T.205211</t>
  </si>
  <si>
    <t>MANAJER</t>
  </si>
  <si>
    <t>ABDUL ROCHIM,SP.</t>
  </si>
  <si>
    <t>T.208254</t>
  </si>
  <si>
    <t>ACH. WACHYUDI</t>
  </si>
  <si>
    <t>T.213284</t>
  </si>
  <si>
    <t>STAF</t>
  </si>
  <si>
    <t>ADY PURNOMO</t>
  </si>
  <si>
    <t>MAKASSAR</t>
  </si>
  <si>
    <t>T.217305</t>
  </si>
  <si>
    <t>AENAL DARWIS</t>
  </si>
  <si>
    <t>T.221311</t>
  </si>
  <si>
    <t>AGHNIA PUTRI RUSIANTO</t>
  </si>
  <si>
    <t>P</t>
  </si>
  <si>
    <t>T.205220</t>
  </si>
  <si>
    <t>AHMAD MUKHLIS K.</t>
  </si>
  <si>
    <t>T.211279</t>
  </si>
  <si>
    <t>ARDHI YUNANTO</t>
  </si>
  <si>
    <t>T.211273</t>
  </si>
  <si>
    <t>ARI KUNCORO</t>
  </si>
  <si>
    <t>T.210269</t>
  </si>
  <si>
    <t>ARI RAHAYU</t>
  </si>
  <si>
    <t>T.211275</t>
  </si>
  <si>
    <t>BAGUS ADITA</t>
  </si>
  <si>
    <t>T.205239</t>
  </si>
  <si>
    <t>BAMBANG SYAMADJI</t>
  </si>
  <si>
    <t>T.208257</t>
  </si>
  <si>
    <t>BURNAMA KUSUMA DR.,SE</t>
  </si>
  <si>
    <t>T.208256</t>
  </si>
  <si>
    <t>CHOIRI,SE</t>
  </si>
  <si>
    <t>T.205234</t>
  </si>
  <si>
    <t>DANDUNG KASIATNO</t>
  </si>
  <si>
    <t>T.202207</t>
  </si>
  <si>
    <t>DARWANTO</t>
  </si>
  <si>
    <t>T.940161</t>
  </si>
  <si>
    <t>DEWI FATMAWATI</t>
  </si>
  <si>
    <t>T.211276</t>
  </si>
  <si>
    <t>DIAH PUSPITASARI</t>
  </si>
  <si>
    <t>T.970200</t>
  </si>
  <si>
    <t>DWI RINI P, SE</t>
  </si>
  <si>
    <t>T.202202</t>
  </si>
  <si>
    <t>ENDIN TAFRIORO</t>
  </si>
  <si>
    <t>T.211277</t>
  </si>
  <si>
    <t>ERLY NURLIANTI</t>
  </si>
  <si>
    <t>T.205213</t>
  </si>
  <si>
    <t>FABIAN ABDUL GAFFAR</t>
  </si>
  <si>
    <t>T.202203</t>
  </si>
  <si>
    <t>FADELAN CHADARIANTO</t>
  </si>
  <si>
    <t>T.205219</t>
  </si>
  <si>
    <t>FIFI EMMALIA,SE</t>
  </si>
  <si>
    <t>T.208252</t>
  </si>
  <si>
    <t>GOLIK</t>
  </si>
  <si>
    <t>T.940150</t>
  </si>
  <si>
    <t>HADI SANYOTO, SE</t>
  </si>
  <si>
    <t>T.210265</t>
  </si>
  <si>
    <t>HANDOKO TEJO SAPUTRO, STp.</t>
  </si>
  <si>
    <t>T.210258</t>
  </si>
  <si>
    <t>HARI EKO SUSANTO, SE</t>
  </si>
  <si>
    <t>T.213283</t>
  </si>
  <si>
    <t>HARJO SUCIPTO</t>
  </si>
  <si>
    <t>T.207245</t>
  </si>
  <si>
    <t>HENDRAWAN NDOEN</t>
  </si>
  <si>
    <t>T.940151</t>
  </si>
  <si>
    <t>HENY ISTIANA</t>
  </si>
  <si>
    <t>T.990196</t>
  </si>
  <si>
    <t>HERMANTO</t>
  </si>
  <si>
    <t>T.207247</t>
  </si>
  <si>
    <t>HERY PURNOMO</t>
  </si>
  <si>
    <t>T.210261</t>
  </si>
  <si>
    <t>I DEWA PUTU CANDRA K., ST</t>
  </si>
  <si>
    <t>T.205218</t>
  </si>
  <si>
    <t>ISFA'</t>
  </si>
  <si>
    <t>T.970175</t>
  </si>
  <si>
    <t>ITA SUDARWATI</t>
  </si>
  <si>
    <t>T.211272</t>
  </si>
  <si>
    <t>IWAN RANGGA KUSUMA</t>
  </si>
  <si>
    <t>T.221310</t>
  </si>
  <si>
    <t>JAFRINDA REZA ELTRICO</t>
  </si>
  <si>
    <t>T.205221</t>
  </si>
  <si>
    <t>JOKO PURWANTO,SE</t>
  </si>
  <si>
    <t>T.910127</t>
  </si>
  <si>
    <t>KUSNAN</t>
  </si>
  <si>
    <t>T.960203</t>
  </si>
  <si>
    <t>KUSNO</t>
  </si>
  <si>
    <t>T.215303</t>
  </si>
  <si>
    <t>LAKSANA MUS ARDHIANTO</t>
  </si>
  <si>
    <t>T.208253</t>
  </si>
  <si>
    <t>LILIK MUNAWATI</t>
  </si>
  <si>
    <t>T.970174</t>
  </si>
  <si>
    <t>LISTYO HARTONO</t>
  </si>
  <si>
    <t>T.213288</t>
  </si>
  <si>
    <t>LUBANA NAZMA S.</t>
  </si>
  <si>
    <t>MEDAN</t>
  </si>
  <si>
    <t>T.205238</t>
  </si>
  <si>
    <t>M. CHASIM</t>
  </si>
  <si>
    <t>T.205212</t>
  </si>
  <si>
    <t>M. NASERUL</t>
  </si>
  <si>
    <t>T.210259</t>
  </si>
  <si>
    <t>M. SYAMSUDDIN, SE</t>
  </si>
  <si>
    <t>LAMPUNG</t>
  </si>
  <si>
    <t>T.213282</t>
  </si>
  <si>
    <t>MASTUR</t>
  </si>
  <si>
    <t>T.217308</t>
  </si>
  <si>
    <t>MONDA MORINA HARAHAP</t>
  </si>
  <si>
    <t>T.213285</t>
  </si>
  <si>
    <t>MUH. ALI S.</t>
  </si>
  <si>
    <t>T.215299</t>
  </si>
  <si>
    <t>MUHAMMAD ARIF SURACHMAN</t>
  </si>
  <si>
    <t>T.213286</t>
  </si>
  <si>
    <t>MUHARI RIZKITA</t>
  </si>
  <si>
    <t>T.206242</t>
  </si>
  <si>
    <t>NANANG BUDI D, SE</t>
  </si>
  <si>
    <t>T.205225</t>
  </si>
  <si>
    <t>NURUDIN</t>
  </si>
  <si>
    <t>T.202200</t>
  </si>
  <si>
    <t>PURWANTO</t>
  </si>
  <si>
    <t>T.221312</t>
  </si>
  <si>
    <t>RIADHO KURNIAWAN</t>
  </si>
  <si>
    <t>T.211271</t>
  </si>
  <si>
    <t>RIDLO PATYODI</t>
  </si>
  <si>
    <t>T.221309</t>
  </si>
  <si>
    <t>RIZKY VILIYANT ISMARYONO</t>
  </si>
  <si>
    <t>T.202205</t>
  </si>
  <si>
    <t>RONNY P. KUKUH</t>
  </si>
  <si>
    <t>T.940147</t>
  </si>
  <si>
    <t>RUDI HARTONO</t>
  </si>
  <si>
    <t>T.940138</t>
  </si>
  <si>
    <t>SAFI'I</t>
  </si>
  <si>
    <t>T.207248</t>
  </si>
  <si>
    <t>SETYO HARYONO</t>
  </si>
  <si>
    <t>T.980184</t>
  </si>
  <si>
    <t>SHOLIKIN</t>
  </si>
  <si>
    <t>T.202206</t>
  </si>
  <si>
    <t>SLAMET RYADI</t>
  </si>
  <si>
    <t>T.205240</t>
  </si>
  <si>
    <t>SOEYANTO</t>
  </si>
  <si>
    <t>T.940160</t>
  </si>
  <si>
    <t>SOLICHIN</t>
  </si>
  <si>
    <t>T.940152</t>
  </si>
  <si>
    <t>SRI RAHAYU</t>
  </si>
  <si>
    <t>T.205235</t>
  </si>
  <si>
    <t>SUBAGIO JUNAEDI</t>
  </si>
  <si>
    <t>T.940148</t>
  </si>
  <si>
    <t>SUBKHAN</t>
  </si>
  <si>
    <t>T.205237</t>
  </si>
  <si>
    <t>SUGENG HARIANTO</t>
  </si>
  <si>
    <t>T.980185</t>
  </si>
  <si>
    <t>SUMARSONO</t>
  </si>
  <si>
    <t>T.940141</t>
  </si>
  <si>
    <t>SUNACHI</t>
  </si>
  <si>
    <t>T.214291</t>
  </si>
  <si>
    <t>SUTAN PRIATMAJA</t>
  </si>
  <si>
    <t>T.208251</t>
  </si>
  <si>
    <t>SUTO SUSENO</t>
  </si>
  <si>
    <t>T.205241</t>
  </si>
  <si>
    <t>SUWADI</t>
  </si>
  <si>
    <t>T.940159</t>
  </si>
  <si>
    <t>SUWANDI</t>
  </si>
  <si>
    <t>T.207246</t>
  </si>
  <si>
    <t>SYAMSUL HUDA</t>
  </si>
  <si>
    <t>T.213287</t>
  </si>
  <si>
    <t>T. SAFRIZALUDDIN</t>
  </si>
  <si>
    <t>T.980186</t>
  </si>
  <si>
    <t>TEDJO WAHYONO</t>
  </si>
  <si>
    <t>T.215300</t>
  </si>
  <si>
    <t>TEGUH PRIYONO</t>
  </si>
  <si>
    <t>T.202201</t>
  </si>
  <si>
    <t>WAKIMAN</t>
  </si>
  <si>
    <t>T.980187</t>
  </si>
  <si>
    <t>WIDODO</t>
  </si>
  <si>
    <t>T.208255</t>
  </si>
  <si>
    <t>WIDYA NANANG SURYANTO, ST</t>
  </si>
  <si>
    <t>T.214289</t>
  </si>
  <si>
    <t>WYNFRIED ARDIAN DIDOK</t>
  </si>
  <si>
    <t>T.206247</t>
  </si>
  <si>
    <t>YODI ERMANTO</t>
  </si>
  <si>
    <t>T.215301</t>
  </si>
  <si>
    <t>YUDI ISFANDIYARI</t>
  </si>
  <si>
    <t>T.211270</t>
  </si>
  <si>
    <t>YUDISTIRA SIGIT W.</t>
  </si>
  <si>
    <t>T.223313</t>
  </si>
  <si>
    <t>DICKY SUSANTHO</t>
  </si>
  <si>
    <t>T.840098</t>
  </si>
  <si>
    <t>ACHMAD LUTHFIE/PENSIUN</t>
  </si>
  <si>
    <t>T.210262</t>
  </si>
  <si>
    <t>ARIEF KRISWANTO, ST</t>
  </si>
  <si>
    <t>T.215302</t>
  </si>
  <si>
    <t>HADI SUYONO</t>
  </si>
  <si>
    <t>ADM</t>
  </si>
  <si>
    <t>FARID FAHRUDIN</t>
  </si>
  <si>
    <t>PENSIUN</t>
  </si>
  <si>
    <t>RESIGN</t>
  </si>
  <si>
    <t>SHU TB 2025</t>
  </si>
  <si>
    <t>MENINGGAL</t>
  </si>
  <si>
    <t>PADINI</t>
  </si>
  <si>
    <t>AGA FIRMANSYAH</t>
  </si>
  <si>
    <t>T.225315</t>
  </si>
  <si>
    <t>Jumlah Jasa</t>
  </si>
  <si>
    <t>Worksheet</t>
  </si>
  <si>
    <t>Selisih</t>
  </si>
  <si>
    <t>Jan</t>
  </si>
  <si>
    <t>Feb</t>
  </si>
  <si>
    <t>Mar</t>
  </si>
  <si>
    <t>Apr</t>
  </si>
  <si>
    <t>Mei</t>
  </si>
  <si>
    <t>Jun</t>
  </si>
  <si>
    <t>Jul</t>
  </si>
  <si>
    <t>Agt</t>
  </si>
  <si>
    <t>Sept</t>
  </si>
  <si>
    <t>Okt</t>
  </si>
  <si>
    <t>Nop</t>
  </si>
  <si>
    <t>Des</t>
  </si>
  <si>
    <t>Jml</t>
  </si>
  <si>
    <t>GCS lebih TF</t>
  </si>
  <si>
    <t>Suto Kurang</t>
  </si>
  <si>
    <t>PENERIMAAN SHU TB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</si>
</sst>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rgb="FF0070C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5" fillId="0" borderId="2" xfId="1" applyFont="1" applyBorder="1"/>
    <xf numFmtId="43" fontId="4" fillId="0" borderId="3" xfId="1" applyFont="1" applyBorder="1"/>
    <xf numFmtId="43" fontId="3" fillId="0" borderId="0" xfId="1" applyFont="1"/>
    <xf numFmtId="43" fontId="2" fillId="0" borderId="0" xfId="1" applyFont="1"/>
    <xf numFmtId="9" fontId="3" fillId="0" borderId="0" xfId="2" applyFont="1"/>
    <xf numFmtId="9" fontId="3" fillId="0" borderId="0" xfId="0" applyNumberFormat="1" applyFont="1"/>
    <xf numFmtId="43" fontId="3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43" fontId="5" fillId="2" borderId="8" xfId="1" applyFont="1" applyFill="1" applyBorder="1" applyAlignment="1">
      <alignment horizontal="center"/>
    </xf>
    <xf numFmtId="43" fontId="4" fillId="2" borderId="9" xfId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43" fontId="2" fillId="0" borderId="11" xfId="1" applyFont="1" applyFill="1" applyBorder="1"/>
    <xf numFmtId="43" fontId="6" fillId="0" borderId="12" xfId="1" applyFont="1" applyFill="1" applyBorder="1"/>
    <xf numFmtId="0" fontId="3" fillId="0" borderId="13" xfId="0" applyFont="1" applyBorder="1" applyAlignment="1">
      <alignment horizontal="center"/>
    </xf>
    <xf numFmtId="43" fontId="2" fillId="0" borderId="14" xfId="1" applyFont="1" applyFill="1" applyBorder="1"/>
    <xf numFmtId="43" fontId="6" fillId="0" borderId="15" xfId="1" applyFont="1" applyFill="1" applyBorder="1"/>
    <xf numFmtId="0" fontId="3" fillId="0" borderId="16" xfId="0" applyFont="1" applyBorder="1" applyAlignment="1">
      <alignment horizontal="center"/>
    </xf>
    <xf numFmtId="43" fontId="2" fillId="0" borderId="17" xfId="1" applyFont="1" applyFill="1" applyBorder="1"/>
    <xf numFmtId="43" fontId="6" fillId="0" borderId="18" xfId="1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43" fontId="2" fillId="0" borderId="0" xfId="1" applyFont="1" applyFill="1"/>
    <xf numFmtId="43" fontId="7" fillId="0" borderId="0" xfId="1" applyFont="1" applyFill="1"/>
    <xf numFmtId="0" fontId="3" fillId="0" borderId="19" xfId="0" applyFont="1" applyBorder="1" applyAlignment="1">
      <alignment horizontal="center"/>
    </xf>
    <xf numFmtId="43" fontId="2" fillId="0" borderId="20" xfId="1" applyFont="1" applyFill="1" applyBorder="1"/>
    <xf numFmtId="43" fontId="6" fillId="0" borderId="21" xfId="1" applyFont="1" applyFill="1" applyBorder="1"/>
    <xf numFmtId="43" fontId="3" fillId="0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22" xfId="0" applyFont="1" applyBorder="1" applyAlignment="1">
      <alignment horizontal="center"/>
    </xf>
    <xf numFmtId="43" fontId="2" fillId="0" borderId="23" xfId="1" applyFont="1" applyFill="1" applyBorder="1"/>
    <xf numFmtId="43" fontId="6" fillId="0" borderId="24" xfId="1" applyFont="1" applyFill="1" applyBorder="1"/>
    <xf numFmtId="43" fontId="0" fillId="0" borderId="0" xfId="1" applyFont="1"/>
    <xf numFmtId="0" fontId="8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43" fontId="8" fillId="0" borderId="0" xfId="1" applyFont="1"/>
    <xf numFmtId="43" fontId="9" fillId="0" borderId="0" xfId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3" fontId="10" fillId="0" borderId="0" xfId="1" applyFont="1"/>
    <xf numFmtId="43" fontId="0" fillId="2" borderId="0" xfId="1" applyFont="1" applyFill="1"/>
    <xf numFmtId="43" fontId="8" fillId="0" borderId="0" xfId="0" applyNumberFormat="1" applyFont="1"/>
    <xf numFmtId="43" fontId="11" fillId="0" borderId="0" xfId="0" applyNumberFormat="1" applyFont="1"/>
    <xf numFmtId="43" fontId="12" fillId="0" borderId="0" xfId="0" applyNumberFormat="1" applyFont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43" fontId="4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4/LIST%20ANGGOTA%20KKCS%20PERIODE%202024%20rev.PPh%20dan%20Cad.xlsx" TargetMode="External"/><Relationship Id="rId1" Type="http://schemas.openxmlformats.org/officeDocument/2006/relationships/externalLinkPath" Target="/01.%20KERJA/K%20K%20C%20S/Laporan%20Bulanan/2024/LIST%20ANGGOTA%20KKCS%20PERIODE%202024%20rev.PPh%20dan%20Ca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/KKCS%20-%20WS%20Neraca+Laba%20Rugi%202026.xlsx" TargetMode="External"/><Relationship Id="rId2" Type="http://schemas.openxmlformats.org/officeDocument/2006/relationships/externalLinkPath" Target="file:///D:\01.%20KERJA\K%20K%20C%20S\Laporan%20Bulanan\2026\KKCS%20-%20WS%20Neraca+Laba%20Rugi%202026.xlsx" TargetMode="External"/><Relationship Id="rId1" Type="http://schemas.openxmlformats.org/officeDocument/2006/relationships/externalLinkPath" Target="/01.%20KERJA/K%20K%20C%20S/Laporan%20Bulanan/2026/KKCS%20-%20WS%20Neraca+Laba%20Rug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SHU TB 2024"/>
      <sheetName val="Kontribusi Laba 2024"/>
      <sheetName val="Kontribusi Laba 2024 (2)"/>
      <sheetName val="Sheet3"/>
      <sheetName val="SHU TB 2023"/>
      <sheetName val="Kontribusi Laba 2023"/>
    </sheetNames>
    <sheetDataSet>
      <sheetData sheetId="0"/>
      <sheetData sheetId="1"/>
      <sheetData sheetId="2">
        <row r="3">
          <cell r="B3" t="str">
            <v>ABDUL RAHMAN, SE</v>
          </cell>
        </row>
      </sheetData>
      <sheetData sheetId="3"/>
      <sheetData sheetId="4"/>
      <sheetData sheetId="5"/>
      <sheetData sheetId="6">
        <row r="2">
          <cell r="B2" t="str">
            <v>SOESILA BRATA, ST</v>
          </cell>
          <cell r="C2">
            <v>0</v>
          </cell>
          <cell r="D2">
            <v>0</v>
          </cell>
        </row>
        <row r="3">
          <cell r="B3" t="str">
            <v>PURWANTO</v>
          </cell>
          <cell r="C3">
            <v>3042708.333333334</v>
          </cell>
          <cell r="D3">
            <v>567504.01302914845</v>
          </cell>
        </row>
        <row r="4">
          <cell r="B4" t="str">
            <v>WAKIMAN</v>
          </cell>
          <cell r="C4">
            <v>2370000</v>
          </cell>
          <cell r="D4">
            <v>442035.30655389186</v>
          </cell>
        </row>
        <row r="5">
          <cell r="B5" t="str">
            <v>ENDIN TAFRIORO</v>
          </cell>
          <cell r="C5">
            <v>3200833.333333334</v>
          </cell>
          <cell r="D5">
            <v>596996.34756452148</v>
          </cell>
        </row>
        <row r="6">
          <cell r="B6" t="str">
            <v>FADELAN CHADARIANTO</v>
          </cell>
          <cell r="C6">
            <v>3743750.0000000009</v>
          </cell>
          <cell r="D6">
            <v>698257.24848571024</v>
          </cell>
        </row>
        <row r="7">
          <cell r="B7" t="str">
            <v>RONNY P. KUKUH</v>
          </cell>
          <cell r="C7">
            <v>8274999.9999999991</v>
          </cell>
          <cell r="D7">
            <v>1543393.3171871118</v>
          </cell>
        </row>
        <row r="8">
          <cell r="B8" t="str">
            <v>SLAMET RYADI</v>
          </cell>
          <cell r="C8">
            <v>8874999.9999999981</v>
          </cell>
          <cell r="D8">
            <v>1655300.9897324007</v>
          </cell>
        </row>
        <row r="9">
          <cell r="B9" t="str">
            <v>DARWANTO</v>
          </cell>
          <cell r="C9">
            <v>7650000.0000000009</v>
          </cell>
          <cell r="D9">
            <v>1426822.8249524359</v>
          </cell>
        </row>
        <row r="10">
          <cell r="B10" t="str">
            <v>M.EFFENDY</v>
          </cell>
          <cell r="C10">
            <v>0</v>
          </cell>
          <cell r="D10">
            <v>0</v>
          </cell>
        </row>
        <row r="11">
          <cell r="B11" t="str">
            <v>TEGUH W</v>
          </cell>
          <cell r="C11">
            <v>0</v>
          </cell>
          <cell r="D11">
            <v>0</v>
          </cell>
        </row>
        <row r="12">
          <cell r="B12" t="str">
            <v>M. NASERUL</v>
          </cell>
          <cell r="C12">
            <v>1268750</v>
          </cell>
          <cell r="D12">
            <v>236638.09923639253</v>
          </cell>
        </row>
        <row r="13">
          <cell r="B13" t="str">
            <v>FABIAN ABDUL GAFFAR</v>
          </cell>
          <cell r="C13">
            <v>0</v>
          </cell>
          <cell r="D13">
            <v>0</v>
          </cell>
        </row>
        <row r="14">
          <cell r="B14" t="str">
            <v xml:space="preserve">ISFA' </v>
          </cell>
          <cell r="C14">
            <v>2124999.9999999995</v>
          </cell>
          <cell r="D14">
            <v>396339.6735978988</v>
          </cell>
        </row>
        <row r="15">
          <cell r="B15" t="str">
            <v>FIFI EMMALIA,SE</v>
          </cell>
          <cell r="C15">
            <v>0</v>
          </cell>
          <cell r="D15">
            <v>0</v>
          </cell>
        </row>
        <row r="16">
          <cell r="B16" t="str">
            <v>AHMAD MUKHLIS K.</v>
          </cell>
          <cell r="C16">
            <v>5176666.666666667</v>
          </cell>
          <cell r="D16">
            <v>965514.53034907754</v>
          </cell>
        </row>
        <row r="17">
          <cell r="B17" t="str">
            <v>JOKO PURWANTO,SE</v>
          </cell>
          <cell r="C17">
            <v>5314583.333333333</v>
          </cell>
          <cell r="D17">
            <v>991237.75230219588</v>
          </cell>
        </row>
        <row r="18">
          <cell r="B18" t="str">
            <v>NURUDIN</v>
          </cell>
          <cell r="C18">
            <v>6054166.666666666</v>
          </cell>
          <cell r="D18">
            <v>1129179.5014465626</v>
          </cell>
        </row>
        <row r="19">
          <cell r="B19" t="str">
            <v>ABDUL RAHMAN, SE</v>
          </cell>
          <cell r="C19">
            <v>4249999.9999999991</v>
          </cell>
          <cell r="D19">
            <v>792679.3471957976</v>
          </cell>
        </row>
        <row r="20">
          <cell r="B20" t="str">
            <v>DANDUNG KASIATNO</v>
          </cell>
          <cell r="C20">
            <v>4172916.666666666</v>
          </cell>
          <cell r="D20">
            <v>778302.31982018752</v>
          </cell>
        </row>
        <row r="21">
          <cell r="B21" t="str">
            <v>SUBAGIO JUNAEDI</v>
          </cell>
          <cell r="C21">
            <v>1061666.6666666667</v>
          </cell>
          <cell r="D21">
            <v>198014.40947596988</v>
          </cell>
        </row>
        <row r="22">
          <cell r="B22" t="str">
            <v>SUGENG HARIANTO</v>
          </cell>
          <cell r="C22">
            <v>2750000</v>
          </cell>
          <cell r="D22">
            <v>512910.16583257494</v>
          </cell>
        </row>
        <row r="23">
          <cell r="B23" t="str">
            <v>M. CHASIM</v>
          </cell>
          <cell r="C23">
            <v>6125000</v>
          </cell>
          <cell r="D23">
            <v>1142390.823899826</v>
          </cell>
        </row>
        <row r="24">
          <cell r="B24" t="str">
            <v>BAMBANG SYAMADJI</v>
          </cell>
          <cell r="C24">
            <v>2714583.3333333335</v>
          </cell>
          <cell r="D24">
            <v>506304.50460594334</v>
          </cell>
        </row>
        <row r="25">
          <cell r="B25" t="str">
            <v>SOEYANTO</v>
          </cell>
          <cell r="C25">
            <v>291666.6666666668</v>
          </cell>
          <cell r="D25">
            <v>54399.563042848888</v>
          </cell>
        </row>
        <row r="26">
          <cell r="B26" t="str">
            <v>SUWADI</v>
          </cell>
          <cell r="C26">
            <v>0</v>
          </cell>
          <cell r="D26">
            <v>0</v>
          </cell>
        </row>
        <row r="27">
          <cell r="B27" t="str">
            <v>NANANG BUDI D, SE</v>
          </cell>
          <cell r="C27">
            <v>217499.99999999997</v>
          </cell>
          <cell r="D27">
            <v>40566.531297667287</v>
          </cell>
        </row>
        <row r="28">
          <cell r="B28" t="str">
            <v>HENDRAWAN NDOEN</v>
          </cell>
          <cell r="C28">
            <v>4500000</v>
          </cell>
          <cell r="D28">
            <v>839307.5440896682</v>
          </cell>
        </row>
        <row r="29">
          <cell r="B29" t="str">
            <v>SYAMSUL HUDA</v>
          </cell>
          <cell r="C29">
            <v>3989583.3333333344</v>
          </cell>
          <cell r="D29">
            <v>744108.30876468285</v>
          </cell>
        </row>
        <row r="30">
          <cell r="B30" t="str">
            <v>HERY PURNOMO</v>
          </cell>
          <cell r="C30">
            <v>0</v>
          </cell>
          <cell r="D30">
            <v>0</v>
          </cell>
        </row>
        <row r="31">
          <cell r="B31" t="str">
            <v>SETYO HARYONO</v>
          </cell>
          <cell r="C31">
            <v>6818125.0000000028</v>
          </cell>
          <cell r="D31">
            <v>1271667.4997880824</v>
          </cell>
        </row>
        <row r="32">
          <cell r="B32" t="str">
            <v>SUTO SUSENO</v>
          </cell>
          <cell r="C32">
            <v>6375000</v>
          </cell>
          <cell r="D32">
            <v>1189019.0207936964</v>
          </cell>
        </row>
        <row r="33">
          <cell r="B33" t="str">
            <v>GOLIK</v>
          </cell>
          <cell r="C33">
            <v>0</v>
          </cell>
          <cell r="D33">
            <v>0</v>
          </cell>
        </row>
        <row r="34">
          <cell r="B34" t="str">
            <v>LILIK MUNAWATI</v>
          </cell>
          <cell r="C34">
            <v>0</v>
          </cell>
          <cell r="D34">
            <v>0</v>
          </cell>
        </row>
        <row r="35">
          <cell r="B35" t="str">
            <v>ACH. WACHYUDI</v>
          </cell>
          <cell r="C35">
            <v>4187500</v>
          </cell>
          <cell r="D35">
            <v>781022.29797233013</v>
          </cell>
        </row>
        <row r="36">
          <cell r="B36" t="str">
            <v>WIDYA NANANG SURYANTO, ST</v>
          </cell>
          <cell r="C36">
            <v>4250000.0000000009</v>
          </cell>
          <cell r="D36">
            <v>792679.34719579783</v>
          </cell>
        </row>
        <row r="37">
          <cell r="B37" t="str">
            <v>CHOIRI,SE</v>
          </cell>
          <cell r="C37">
            <v>8000000.0000000009</v>
          </cell>
          <cell r="D37">
            <v>1492102.3006038547</v>
          </cell>
        </row>
        <row r="38">
          <cell r="B38" t="str">
            <v>BURNAMA KUSUMA DR.,SE</v>
          </cell>
          <cell r="C38">
            <v>0</v>
          </cell>
          <cell r="D38">
            <v>0</v>
          </cell>
        </row>
        <row r="39">
          <cell r="B39" t="str">
            <v>M. SYAMSUDDIN, SE</v>
          </cell>
          <cell r="C39">
            <v>1781250</v>
          </cell>
          <cell r="D39">
            <v>332225.90286882693</v>
          </cell>
        </row>
        <row r="40">
          <cell r="B40" t="str">
            <v>RISKIATUS SHOLIHAH</v>
          </cell>
          <cell r="C40">
            <v>1167709.020000041</v>
          </cell>
          <cell r="D40">
            <v>217792.66439724166</v>
          </cell>
        </row>
        <row r="41">
          <cell r="B41" t="str">
            <v>I DEWA PUTU CANDRA K., ST</v>
          </cell>
          <cell r="C41">
            <v>2816666.666666667</v>
          </cell>
          <cell r="D41">
            <v>525344.35167094052</v>
          </cell>
        </row>
        <row r="42">
          <cell r="B42" t="str">
            <v>HANDOKO TEJO SAPUTRO, STp.</v>
          </cell>
          <cell r="C42">
            <v>4000000.0000000005</v>
          </cell>
          <cell r="D42">
            <v>746051.15030192735</v>
          </cell>
        </row>
        <row r="43">
          <cell r="B43" t="str">
            <v>HARI EKO SUSANTO, SE</v>
          </cell>
          <cell r="C43">
            <v>4600000</v>
          </cell>
          <cell r="D43">
            <v>857958.82284721627</v>
          </cell>
        </row>
        <row r="44">
          <cell r="B44" t="str">
            <v>YONGKY SEPTA S., SS</v>
          </cell>
          <cell r="C44">
            <v>0</v>
          </cell>
          <cell r="D44">
            <v>0</v>
          </cell>
        </row>
        <row r="45">
          <cell r="B45" t="str">
            <v>ARI RAHAYU</v>
          </cell>
          <cell r="C45">
            <v>0</v>
          </cell>
          <cell r="D45">
            <v>0</v>
          </cell>
        </row>
        <row r="46">
          <cell r="B46" t="str">
            <v>ARI KUNCORO</v>
          </cell>
          <cell r="C46">
            <v>1450000</v>
          </cell>
          <cell r="D46">
            <v>270443.54198444862</v>
          </cell>
        </row>
        <row r="47">
          <cell r="B47" t="str">
            <v>YUDISTIRA SIGIT W.</v>
          </cell>
          <cell r="C47">
            <v>0</v>
          </cell>
          <cell r="D47">
            <v>0</v>
          </cell>
        </row>
        <row r="48">
          <cell r="B48" t="str">
            <v>RIDLO PATYODI</v>
          </cell>
          <cell r="C48">
            <v>0</v>
          </cell>
          <cell r="D48">
            <v>0</v>
          </cell>
        </row>
        <row r="49">
          <cell r="B49" t="str">
            <v>IWAN RANGGA KUSUMA</v>
          </cell>
          <cell r="C49">
            <v>0</v>
          </cell>
          <cell r="D49">
            <v>0</v>
          </cell>
        </row>
        <row r="50">
          <cell r="B50" t="str">
            <v>BAGUS ADITA</v>
          </cell>
          <cell r="C50">
            <v>8499999.9999999981</v>
          </cell>
          <cell r="D50">
            <v>1585358.6943915952</v>
          </cell>
        </row>
        <row r="51">
          <cell r="B51" t="str">
            <v xml:space="preserve">DIAH PUSPITASARI </v>
          </cell>
          <cell r="C51">
            <v>0</v>
          </cell>
          <cell r="D51">
            <v>0</v>
          </cell>
        </row>
        <row r="52">
          <cell r="B52" t="str">
            <v>ERLY NURLIANTI</v>
          </cell>
          <cell r="C52">
            <v>0</v>
          </cell>
          <cell r="D52">
            <v>0</v>
          </cell>
        </row>
        <row r="53">
          <cell r="B53" t="str">
            <v>ERMA BINTRI A.</v>
          </cell>
          <cell r="C53">
            <v>0</v>
          </cell>
          <cell r="D53">
            <v>0</v>
          </cell>
        </row>
        <row r="54">
          <cell r="B54" t="str">
            <v>ARDHI YUNANTO</v>
          </cell>
          <cell r="C54">
            <v>507500.00000000006</v>
          </cell>
          <cell r="D54">
            <v>94655.239694557036</v>
          </cell>
        </row>
        <row r="55">
          <cell r="B55" t="str">
            <v>WYNFRIED ARDIAN DIDOK</v>
          </cell>
          <cell r="C55">
            <v>833333.33333333326</v>
          </cell>
          <cell r="D55">
            <v>155427.32297956815</v>
          </cell>
        </row>
        <row r="56">
          <cell r="B56" t="str">
            <v>ABDUL ROCHIM,SP.</v>
          </cell>
          <cell r="C56">
            <v>0</v>
          </cell>
          <cell r="D56">
            <v>0</v>
          </cell>
        </row>
        <row r="57">
          <cell r="B57" t="str">
            <v>MUHAMMAD ARIF SURACHMAN</v>
          </cell>
          <cell r="C57">
            <v>1993750</v>
          </cell>
          <cell r="D57">
            <v>371859.87022861681</v>
          </cell>
        </row>
        <row r="58">
          <cell r="B58" t="str">
            <v>TEGUH PRIYONO</v>
          </cell>
          <cell r="C58">
            <v>2550000</v>
          </cell>
          <cell r="D58">
            <v>475607.60831747862</v>
          </cell>
        </row>
        <row r="59">
          <cell r="B59" t="str">
            <v>YUDI ISFANDIYARI</v>
          </cell>
          <cell r="C59">
            <v>1500000</v>
          </cell>
          <cell r="D59">
            <v>279769.18136322271</v>
          </cell>
        </row>
        <row r="60">
          <cell r="B60" t="str">
            <v>AENAL DARWIS</v>
          </cell>
          <cell r="C60">
            <v>0</v>
          </cell>
          <cell r="D60">
            <v>0</v>
          </cell>
        </row>
        <row r="61">
          <cell r="B61" t="str">
            <v>LAKSANA MUSARDIANTO</v>
          </cell>
          <cell r="C61">
            <v>0</v>
          </cell>
          <cell r="D61">
            <v>0</v>
          </cell>
        </row>
        <row r="62">
          <cell r="B62" t="str">
            <v>MUSERIN</v>
          </cell>
          <cell r="C62">
            <v>0</v>
          </cell>
          <cell r="D62">
            <v>0</v>
          </cell>
        </row>
        <row r="63">
          <cell r="B63" t="str">
            <v>BUDI HANDAYANI</v>
          </cell>
          <cell r="C63">
            <v>0</v>
          </cell>
          <cell r="D63">
            <v>0</v>
          </cell>
        </row>
        <row r="64">
          <cell r="B64" t="str">
            <v>KUSNAN</v>
          </cell>
          <cell r="C64">
            <v>2433750.0000000005</v>
          </cell>
          <cell r="D64">
            <v>453925.49676182889</v>
          </cell>
        </row>
        <row r="65">
          <cell r="B65" t="str">
            <v>PONIRAN</v>
          </cell>
          <cell r="C65">
            <v>350000.00000000017</v>
          </cell>
          <cell r="D65">
            <v>65279.475651418667</v>
          </cell>
        </row>
        <row r="66">
          <cell r="B66" t="str">
            <v>SUTADJI</v>
          </cell>
          <cell r="C66">
            <v>0</v>
          </cell>
          <cell r="D66">
            <v>0</v>
          </cell>
        </row>
        <row r="67">
          <cell r="B67" t="str">
            <v>WINARNO</v>
          </cell>
          <cell r="C67">
            <v>3575000</v>
          </cell>
          <cell r="D67">
            <v>666783.21558234747</v>
          </cell>
        </row>
        <row r="68">
          <cell r="B68" t="str">
            <v>MOCH. UDIN</v>
          </cell>
          <cell r="C68">
            <v>0</v>
          </cell>
          <cell r="D68">
            <v>0</v>
          </cell>
        </row>
        <row r="69">
          <cell r="B69" t="str">
            <v>SAFI'I</v>
          </cell>
          <cell r="C69">
            <v>3750000</v>
          </cell>
          <cell r="D69">
            <v>699422.95340805687</v>
          </cell>
        </row>
        <row r="70">
          <cell r="B70" t="str">
            <v>SUNACHI</v>
          </cell>
          <cell r="C70">
            <v>0</v>
          </cell>
          <cell r="D70">
            <v>0</v>
          </cell>
        </row>
        <row r="71">
          <cell r="B71" t="str">
            <v>RUDI HARTONO</v>
          </cell>
          <cell r="C71">
            <v>4527499.9999999991</v>
          </cell>
          <cell r="D71">
            <v>844436.64574799361</v>
          </cell>
        </row>
        <row r="72">
          <cell r="B72" t="str">
            <v>SUBKHAN</v>
          </cell>
          <cell r="C72">
            <v>2597916.6666666665</v>
          </cell>
          <cell r="D72">
            <v>484544.67938880372</v>
          </cell>
        </row>
        <row r="73">
          <cell r="B73" t="str">
            <v>HADI SANYOTO, SE</v>
          </cell>
          <cell r="C73">
            <v>5250000</v>
          </cell>
          <cell r="D73">
            <v>979192.13477127953</v>
          </cell>
        </row>
        <row r="74">
          <cell r="B74" t="str">
            <v>HENY ISTIANA</v>
          </cell>
          <cell r="C74">
            <v>0</v>
          </cell>
          <cell r="D74">
            <v>0</v>
          </cell>
        </row>
        <row r="75">
          <cell r="B75" t="str">
            <v>SRI RAHAYU</v>
          </cell>
          <cell r="C75">
            <v>0</v>
          </cell>
          <cell r="D75">
            <v>0</v>
          </cell>
        </row>
        <row r="76">
          <cell r="B76" t="str">
            <v>AGHNIA PUTRI RUSIANTO</v>
          </cell>
          <cell r="C76">
            <v>1050000.0000000005</v>
          </cell>
          <cell r="D76">
            <v>195838.42695425596</v>
          </cell>
        </row>
        <row r="77">
          <cell r="B77" t="str">
            <v>SRI HANDOKO WIDODO, IR</v>
          </cell>
          <cell r="C77">
            <v>0</v>
          </cell>
          <cell r="D77">
            <v>0</v>
          </cell>
        </row>
        <row r="78">
          <cell r="B78" t="str">
            <v>KIKIT SATOTO</v>
          </cell>
          <cell r="C78">
            <v>0</v>
          </cell>
          <cell r="D78">
            <v>0</v>
          </cell>
        </row>
        <row r="79">
          <cell r="B79" t="str">
            <v>SUWANDI</v>
          </cell>
          <cell r="C79">
            <v>0</v>
          </cell>
          <cell r="D79">
            <v>0</v>
          </cell>
        </row>
        <row r="80">
          <cell r="B80" t="str">
            <v>SOLICHIN</v>
          </cell>
          <cell r="C80">
            <v>3850000.0000000014</v>
          </cell>
          <cell r="D80">
            <v>718074.23216560518</v>
          </cell>
        </row>
        <row r="81">
          <cell r="B81" t="str">
            <v>DEWI FATMAWATI</v>
          </cell>
          <cell r="C81">
            <v>0</v>
          </cell>
          <cell r="D81">
            <v>0</v>
          </cell>
        </row>
        <row r="82">
          <cell r="B82" t="str">
            <v>RUPI'AN</v>
          </cell>
          <cell r="C82">
            <v>0</v>
          </cell>
          <cell r="D82">
            <v>0</v>
          </cell>
        </row>
        <row r="83">
          <cell r="B83" t="str">
            <v>KUSNO</v>
          </cell>
          <cell r="C83">
            <v>5662500</v>
          </cell>
          <cell r="D83">
            <v>1056128.6596461658</v>
          </cell>
        </row>
        <row r="84">
          <cell r="B84" t="str">
            <v>LISTYO HARTONO</v>
          </cell>
          <cell r="C84">
            <v>0</v>
          </cell>
          <cell r="D84">
            <v>0</v>
          </cell>
        </row>
        <row r="85">
          <cell r="B85" t="str">
            <v>ITA SUDARWATI</v>
          </cell>
          <cell r="C85">
            <v>5625000</v>
          </cell>
          <cell r="D85">
            <v>1049134.4301120851</v>
          </cell>
        </row>
        <row r="86">
          <cell r="B86" t="str">
            <v>DWI RINI P, SE</v>
          </cell>
          <cell r="C86">
            <v>0</v>
          </cell>
          <cell r="D86">
            <v>0</v>
          </cell>
        </row>
        <row r="87">
          <cell r="B87" t="str">
            <v>ALFET B. LUTFI, IR</v>
          </cell>
          <cell r="C87">
            <v>700000.00000000023</v>
          </cell>
          <cell r="D87">
            <v>130558.95130283732</v>
          </cell>
        </row>
        <row r="88">
          <cell r="B88" t="str">
            <v>SLAMET HARIYANTO</v>
          </cell>
          <cell r="C88">
            <v>210000.00000000003</v>
          </cell>
          <cell r="D88">
            <v>39167.685390851184</v>
          </cell>
        </row>
        <row r="89">
          <cell r="B89" t="str">
            <v>ANGGORO CAHYO</v>
          </cell>
          <cell r="C89">
            <v>0</v>
          </cell>
          <cell r="D89">
            <v>0</v>
          </cell>
        </row>
        <row r="90">
          <cell r="B90" t="str">
            <v>SHOLIKIN</v>
          </cell>
          <cell r="C90">
            <v>1449999.9999999998</v>
          </cell>
          <cell r="D90">
            <v>270443.54198444856</v>
          </cell>
        </row>
        <row r="91">
          <cell r="B91" t="str">
            <v>SUMARSONO</v>
          </cell>
          <cell r="C91">
            <v>332291.66666666663</v>
          </cell>
          <cell r="D91">
            <v>61976.645038102804</v>
          </cell>
        </row>
        <row r="92">
          <cell r="B92" t="str">
            <v>SUPRIANTO, B</v>
          </cell>
          <cell r="C92">
            <v>0</v>
          </cell>
          <cell r="D92">
            <v>0</v>
          </cell>
        </row>
        <row r="93">
          <cell r="B93" t="str">
            <v>TEDJO WAHYONO</v>
          </cell>
          <cell r="C93">
            <v>375000</v>
          </cell>
          <cell r="D93">
            <v>69942.295340805678</v>
          </cell>
        </row>
        <row r="94">
          <cell r="B94" t="str">
            <v>JAFRINDA REZA ELTRICO</v>
          </cell>
          <cell r="C94">
            <v>2040000.0000000002</v>
          </cell>
          <cell r="D94">
            <v>380486.08665398293</v>
          </cell>
        </row>
        <row r="95">
          <cell r="B95" t="str">
            <v>ABDUL MADJID</v>
          </cell>
          <cell r="C95">
            <v>0</v>
          </cell>
          <cell r="D95">
            <v>0</v>
          </cell>
        </row>
        <row r="96">
          <cell r="B96" t="str">
            <v>HERMANTO</v>
          </cell>
          <cell r="C96">
            <v>2880000</v>
          </cell>
          <cell r="D96">
            <v>537156.82821738755</v>
          </cell>
        </row>
        <row r="97">
          <cell r="B97" t="str">
            <v>SLAMET MULYONO</v>
          </cell>
          <cell r="C97">
            <v>291666.6666666668</v>
          </cell>
          <cell r="D97">
            <v>54399.563042848888</v>
          </cell>
        </row>
        <row r="98">
          <cell r="B98" t="str">
            <v>MUSTAKIM</v>
          </cell>
          <cell r="C98">
            <v>592083.33333333326</v>
          </cell>
          <cell r="D98">
            <v>110431.11297698318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R"/>
      <sheetName val="LR"/>
      <sheetName val="Neraca - Laba Rugi"/>
      <sheetName val="MUTASI 2026"/>
      <sheetName val="MUTASI 2025"/>
      <sheetName val="BB"/>
      <sheetName val="CF"/>
    </sheetNames>
    <sheetDataSet>
      <sheetData sheetId="0"/>
      <sheetData sheetId="1"/>
      <sheetData sheetId="2"/>
      <sheetData sheetId="3">
        <row r="149">
          <cell r="I149">
            <v>-91777334</v>
          </cell>
        </row>
        <row r="154">
          <cell r="I154">
            <v>-344810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E567-B727-4F03-B22C-893A0283C76E}">
  <sheetPr>
    <tabColor theme="0"/>
  </sheetPr>
  <dimension ref="A1:R101"/>
  <sheetViews>
    <sheetView tabSelected="1" zoomScaleNormal="100" workbookViewId="0">
      <pane xSplit="7" ySplit="4" topLeftCell="H62" activePane="bottomRight" state="frozen"/>
      <selection pane="topRight" activeCell="H1" sqref="H1"/>
      <selection pane="bottomLeft" activeCell="A4" sqref="A4"/>
      <selection pane="bottomRight" activeCell="P78" sqref="P78"/>
    </sheetView>
  </sheetViews>
  <sheetFormatPr defaultRowHeight="12" x14ac:dyDescent="0.2"/>
  <cols>
    <col min="1" max="1" width="4.5703125" style="1" customWidth="1"/>
    <col min="2" max="3" width="9.140625" style="2"/>
    <col min="4" max="4" width="29.7109375" style="2" bestFit="1" customWidth="1"/>
    <col min="5" max="5" width="13.42578125" style="2" customWidth="1"/>
    <col min="6" max="6" width="11.7109375" style="2" bestFit="1" customWidth="1"/>
    <col min="7" max="8" width="4.42578125" style="3" customWidth="1"/>
    <col min="9" max="9" width="5.28515625" style="3" customWidth="1"/>
    <col min="10" max="10" width="16.140625" style="8" bestFit="1" customWidth="1"/>
    <col min="11" max="11" width="17.42578125" style="8" bestFit="1" customWidth="1"/>
    <col min="12" max="12" width="16" style="8" bestFit="1" customWidth="1"/>
    <col min="13" max="13" width="12.85546875" style="7" bestFit="1" customWidth="1"/>
    <col min="14" max="14" width="9.140625" style="2"/>
    <col min="15" max="15" width="12.85546875" style="2" bestFit="1" customWidth="1"/>
    <col min="16" max="16" width="12.7109375" style="2" customWidth="1"/>
    <col min="17" max="17" width="9.140625" style="2"/>
    <col min="18" max="18" width="12" style="2" bestFit="1" customWidth="1"/>
    <col min="19" max="16384" width="9.140625" style="2"/>
  </cols>
  <sheetData>
    <row r="1" spans="1:18" ht="13.5" thickTop="1" thickBot="1" x14ac:dyDescent="0.25">
      <c r="I1" s="4">
        <f>COUNT(I5:I100)</f>
        <v>93</v>
      </c>
      <c r="J1" s="5">
        <f>SUM(J5:J100)</f>
        <v>31032934.627029113</v>
      </c>
      <c r="K1" s="5">
        <f>SUM(K5:K100)</f>
        <v>31032934.627029169</v>
      </c>
      <c r="L1" s="5">
        <f>SUM(L5:L100)</f>
        <v>31032934.627029166</v>
      </c>
      <c r="M1" s="6">
        <f>SUM(M5:M100)</f>
        <v>93098803.881087482</v>
      </c>
      <c r="O1" s="7">
        <v>155164673.13514581</v>
      </c>
      <c r="P1" s="2" t="s">
        <v>210</v>
      </c>
    </row>
    <row r="2" spans="1:18" ht="13.5" thickTop="1" thickBot="1" x14ac:dyDescent="0.25">
      <c r="J2" s="8">
        <f>J1-R3</f>
        <v>-4.8428773880004883E-8</v>
      </c>
      <c r="K2" s="8">
        <f>K1-R3</f>
        <v>0</v>
      </c>
      <c r="L2" s="8">
        <f>L1-R3</f>
        <v>0</v>
      </c>
      <c r="N2" s="9">
        <v>0.4</v>
      </c>
      <c r="O2" s="7">
        <f>O1*N2</f>
        <v>62065869.254058331</v>
      </c>
      <c r="P2" s="2" t="s">
        <v>0</v>
      </c>
    </row>
    <row r="3" spans="1:18" ht="13.5" thickTop="1" thickBot="1" x14ac:dyDescent="0.25">
      <c r="I3" s="52" t="s">
        <v>233</v>
      </c>
      <c r="J3" s="53"/>
      <c r="K3" s="53"/>
      <c r="L3" s="53"/>
      <c r="M3" s="54"/>
      <c r="N3" s="10">
        <v>0.6</v>
      </c>
      <c r="O3" s="7">
        <f>O1*N3</f>
        <v>93098803.881087482</v>
      </c>
      <c r="P3" s="2" t="s">
        <v>1</v>
      </c>
      <c r="R3" s="11">
        <f>O3/3</f>
        <v>31032934.627029162</v>
      </c>
    </row>
    <row r="4" spans="1:18" s="13" customFormat="1" ht="12.75" thickBot="1" x14ac:dyDescent="0.25">
      <c r="A4" s="12">
        <v>2024</v>
      </c>
      <c r="B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I4" s="14" t="s">
        <v>7</v>
      </c>
      <c r="J4" s="15" t="s">
        <v>8</v>
      </c>
      <c r="K4" s="15" t="s">
        <v>9</v>
      </c>
      <c r="L4" s="15" t="s">
        <v>10</v>
      </c>
      <c r="M4" s="16" t="s">
        <v>11</v>
      </c>
    </row>
    <row r="5" spans="1:18" x14ac:dyDescent="0.2">
      <c r="A5" s="1">
        <v>1</v>
      </c>
      <c r="B5" s="2" t="s">
        <v>12</v>
      </c>
      <c r="C5" s="2" t="s">
        <v>19</v>
      </c>
      <c r="D5" s="2" t="s">
        <v>14</v>
      </c>
      <c r="E5" s="2" t="s">
        <v>15</v>
      </c>
      <c r="F5" s="2" t="s">
        <v>16</v>
      </c>
      <c r="G5" s="3" t="s">
        <v>17</v>
      </c>
      <c r="I5" s="17">
        <v>1</v>
      </c>
      <c r="J5" s="18">
        <f>$R$3/($I$1-3)</f>
        <v>344810.38474476844</v>
      </c>
      <c r="K5" s="18">
        <f>IFERROR((VLOOKUP(D5,Sheet1!$B$3:$C$58,2,0)*$R$3),0)</f>
        <v>569824.13235310442</v>
      </c>
      <c r="L5" s="18">
        <v>0</v>
      </c>
      <c r="M5" s="19">
        <f>SUM(J5:L5)</f>
        <v>914634.51709787291</v>
      </c>
    </row>
    <row r="6" spans="1:18" x14ac:dyDescent="0.2">
      <c r="A6" s="1">
        <v>2</v>
      </c>
      <c r="B6" s="2" t="s">
        <v>21</v>
      </c>
      <c r="C6" s="2" t="s">
        <v>13</v>
      </c>
      <c r="D6" s="2" t="s">
        <v>22</v>
      </c>
      <c r="E6" s="2" t="s">
        <v>15</v>
      </c>
      <c r="F6" s="2" t="s">
        <v>16</v>
      </c>
      <c r="G6" s="3" t="s">
        <v>17</v>
      </c>
      <c r="I6" s="20">
        <v>2</v>
      </c>
      <c r="J6" s="18">
        <f t="shared" ref="J6:J69" si="0">$R$3/($I$1-3)</f>
        <v>344810.38474476844</v>
      </c>
      <c r="K6" s="21">
        <f>IFERROR((VLOOKUP(D6,Sheet1!$B$3:$C$58,2,0)*$R$3),0)</f>
        <v>1020655.5782442369</v>
      </c>
      <c r="L6" s="18">
        <f>$R$3*27%</f>
        <v>8378892.3492978746</v>
      </c>
      <c r="M6" s="22">
        <f t="shared" ref="M6:M69" si="1">SUM(J6:L6)</f>
        <v>9744358.3122868799</v>
      </c>
    </row>
    <row r="7" spans="1:18" x14ac:dyDescent="0.2">
      <c r="A7" s="1">
        <v>3</v>
      </c>
      <c r="B7" s="2" t="s">
        <v>23</v>
      </c>
      <c r="C7" s="2" t="s">
        <v>24</v>
      </c>
      <c r="D7" s="2" t="s">
        <v>25</v>
      </c>
      <c r="E7" s="2" t="s">
        <v>15</v>
      </c>
      <c r="F7" s="2" t="s">
        <v>16</v>
      </c>
      <c r="G7" s="3" t="s">
        <v>17</v>
      </c>
      <c r="I7" s="20">
        <v>3</v>
      </c>
      <c r="J7" s="18">
        <f t="shared" si="0"/>
        <v>344810.38474476844</v>
      </c>
      <c r="K7" s="21">
        <f>IFERROR((VLOOKUP(D7,Sheet1!$B$3:$C$58,2,0)*$R$3),0)</f>
        <v>0</v>
      </c>
      <c r="L7" s="21">
        <v>0</v>
      </c>
      <c r="M7" s="22">
        <f t="shared" si="1"/>
        <v>344810.38474476844</v>
      </c>
    </row>
    <row r="8" spans="1:18" x14ac:dyDescent="0.2">
      <c r="A8" s="1">
        <v>4</v>
      </c>
      <c r="B8" s="2" t="s">
        <v>27</v>
      </c>
      <c r="C8" s="2" t="s">
        <v>24</v>
      </c>
      <c r="D8" s="2" t="s">
        <v>28</v>
      </c>
      <c r="E8" s="2" t="s">
        <v>15</v>
      </c>
      <c r="F8" s="2" t="s">
        <v>26</v>
      </c>
      <c r="G8" s="3" t="s">
        <v>17</v>
      </c>
      <c r="I8" s="20">
        <v>4</v>
      </c>
      <c r="J8" s="18">
        <f t="shared" si="0"/>
        <v>344810.38474476844</v>
      </c>
      <c r="K8" s="21">
        <f>IFERROR((VLOOKUP(D8,Sheet1!$B$3:$C$58,2,0)*$R$3),0)</f>
        <v>0</v>
      </c>
      <c r="L8" s="18">
        <v>0</v>
      </c>
      <c r="M8" s="22">
        <f t="shared" si="1"/>
        <v>344810.38474476844</v>
      </c>
    </row>
    <row r="9" spans="1:18" x14ac:dyDescent="0.2">
      <c r="A9" s="1">
        <v>5</v>
      </c>
      <c r="B9" s="2" t="s">
        <v>29</v>
      </c>
      <c r="C9" s="2" t="s">
        <v>24</v>
      </c>
      <c r="D9" s="2" t="s">
        <v>30</v>
      </c>
      <c r="E9" s="2" t="s">
        <v>15</v>
      </c>
      <c r="F9" s="2" t="s">
        <v>26</v>
      </c>
      <c r="G9" s="3" t="s">
        <v>17</v>
      </c>
      <c r="I9" s="20">
        <v>5</v>
      </c>
      <c r="J9" s="18">
        <f t="shared" si="0"/>
        <v>344810.38474476844</v>
      </c>
      <c r="K9" s="21">
        <f>IFERROR((VLOOKUP(D9,Sheet1!$B$3:$C$58,2,0)*$R$3),0)</f>
        <v>0</v>
      </c>
      <c r="L9" s="18">
        <v>0</v>
      </c>
      <c r="M9" s="22">
        <f t="shared" si="1"/>
        <v>344810.38474476844</v>
      </c>
    </row>
    <row r="10" spans="1:18" x14ac:dyDescent="0.2">
      <c r="A10" s="1">
        <v>6</v>
      </c>
      <c r="B10" s="2" t="s">
        <v>32</v>
      </c>
      <c r="C10" s="2" t="s">
        <v>13</v>
      </c>
      <c r="D10" s="2" t="s">
        <v>33</v>
      </c>
      <c r="E10" s="2" t="s">
        <v>15</v>
      </c>
      <c r="F10" s="2" t="s">
        <v>16</v>
      </c>
      <c r="G10" s="3" t="s">
        <v>31</v>
      </c>
      <c r="I10" s="20">
        <v>6</v>
      </c>
      <c r="J10" s="18">
        <f t="shared" si="0"/>
        <v>344810.38474476844</v>
      </c>
      <c r="K10" s="21">
        <f>IFERROR((VLOOKUP(D10,Sheet1!$B$3:$C$58,2,0)*$R$3),0)</f>
        <v>797753.78529434616</v>
      </c>
      <c r="L10" s="18">
        <v>0</v>
      </c>
      <c r="M10" s="22">
        <f t="shared" si="1"/>
        <v>1142564.1700391145</v>
      </c>
    </row>
    <row r="11" spans="1:18" x14ac:dyDescent="0.2">
      <c r="A11" s="1">
        <v>7</v>
      </c>
      <c r="B11" s="2" t="s">
        <v>34</v>
      </c>
      <c r="C11" s="2" t="s">
        <v>24</v>
      </c>
      <c r="D11" s="2" t="s">
        <v>35</v>
      </c>
      <c r="E11" s="2" t="s">
        <v>15</v>
      </c>
      <c r="F11" s="2" t="s">
        <v>16</v>
      </c>
      <c r="G11" s="3" t="s">
        <v>17</v>
      </c>
      <c r="I11" s="20">
        <v>7</v>
      </c>
      <c r="J11" s="18">
        <f t="shared" si="0"/>
        <v>344810.38474476844</v>
      </c>
      <c r="K11" s="21">
        <f>IFERROR((VLOOKUP(D11,Sheet1!$B$3:$C$58,2,0)*$R$3),0)</f>
        <v>284912.06617655227</v>
      </c>
      <c r="L11" s="18">
        <v>0</v>
      </c>
      <c r="M11" s="22">
        <f t="shared" si="1"/>
        <v>629722.45092132071</v>
      </c>
    </row>
    <row r="12" spans="1:18" x14ac:dyDescent="0.2">
      <c r="A12" s="1">
        <v>8</v>
      </c>
      <c r="B12" s="2" t="s">
        <v>36</v>
      </c>
      <c r="C12" s="2" t="s">
        <v>24</v>
      </c>
      <c r="D12" s="2" t="s">
        <v>37</v>
      </c>
      <c r="E12" s="2" t="s">
        <v>15</v>
      </c>
      <c r="F12" s="2" t="s">
        <v>16</v>
      </c>
      <c r="G12" s="3" t="s">
        <v>17</v>
      </c>
      <c r="I12" s="20">
        <v>8</v>
      </c>
      <c r="J12" s="18">
        <f t="shared" si="0"/>
        <v>344810.38474476844</v>
      </c>
      <c r="K12" s="21">
        <f>IFERROR((VLOOKUP(D12,Sheet1!$B$3:$C$58,2,0)*$R$3),0)</f>
        <v>64803.528777411877</v>
      </c>
      <c r="L12" s="18">
        <v>0</v>
      </c>
      <c r="M12" s="22">
        <f t="shared" si="1"/>
        <v>409613.91352218029</v>
      </c>
    </row>
    <row r="13" spans="1:18" x14ac:dyDescent="0.2">
      <c r="A13" s="1">
        <v>9</v>
      </c>
      <c r="B13" s="2" t="s">
        <v>38</v>
      </c>
      <c r="C13" s="2" t="s">
        <v>24</v>
      </c>
      <c r="D13" s="2" t="s">
        <v>39</v>
      </c>
      <c r="E13" s="2" t="s">
        <v>15</v>
      </c>
      <c r="F13" s="2" t="s">
        <v>16</v>
      </c>
      <c r="G13" s="3" t="s">
        <v>17</v>
      </c>
      <c r="I13" s="20">
        <v>9</v>
      </c>
      <c r="J13" s="18">
        <f t="shared" si="0"/>
        <v>344810.38474476844</v>
      </c>
      <c r="K13" s="21">
        <f>IFERROR((VLOOKUP(D13,Sheet1!$B$3:$C$58,2,0)*$R$3),0)</f>
        <v>0</v>
      </c>
      <c r="L13" s="18">
        <v>0</v>
      </c>
      <c r="M13" s="22">
        <f t="shared" si="1"/>
        <v>344810.38474476844</v>
      </c>
    </row>
    <row r="14" spans="1:18" x14ac:dyDescent="0.2">
      <c r="A14" s="1">
        <v>10</v>
      </c>
      <c r="B14" s="2" t="s">
        <v>40</v>
      </c>
      <c r="C14" s="2" t="s">
        <v>13</v>
      </c>
      <c r="D14" s="2" t="s">
        <v>41</v>
      </c>
      <c r="E14" s="2" t="s">
        <v>15</v>
      </c>
      <c r="F14" s="2" t="s">
        <v>16</v>
      </c>
      <c r="G14" s="3" t="s">
        <v>31</v>
      </c>
      <c r="I14" s="20">
        <v>10</v>
      </c>
      <c r="J14" s="18">
        <f t="shared" si="0"/>
        <v>344810.38474476844</v>
      </c>
      <c r="K14" s="21">
        <f>IFERROR((VLOOKUP(D14,Sheet1!$B$3:$C$58,2,0)*$R$3),0)</f>
        <v>1139648.2647062091</v>
      </c>
      <c r="L14" s="18">
        <f>$R$3*25%</f>
        <v>7758233.6567572905</v>
      </c>
      <c r="M14" s="22">
        <f t="shared" si="1"/>
        <v>9242692.3062082678</v>
      </c>
    </row>
    <row r="15" spans="1:18" x14ac:dyDescent="0.2">
      <c r="A15" s="1">
        <v>11</v>
      </c>
      <c r="B15" s="2" t="s">
        <v>42</v>
      </c>
      <c r="C15" s="2" t="s">
        <v>24</v>
      </c>
      <c r="D15" s="2" t="s">
        <v>43</v>
      </c>
      <c r="E15" s="2" t="s">
        <v>15</v>
      </c>
      <c r="F15" s="2" t="s">
        <v>16</v>
      </c>
      <c r="G15" s="3" t="s">
        <v>17</v>
      </c>
      <c r="I15" s="20">
        <v>11</v>
      </c>
      <c r="J15" s="18">
        <f t="shared" si="0"/>
        <v>344810.38474476844</v>
      </c>
      <c r="K15" s="21">
        <f>IFERROR((VLOOKUP(D15,Sheet1!$B$3:$C$58,2,0)*$R$3),0)</f>
        <v>308096.08724778151</v>
      </c>
      <c r="L15" s="21">
        <v>0</v>
      </c>
      <c r="M15" s="22">
        <f t="shared" si="1"/>
        <v>652906.47199254995</v>
      </c>
    </row>
    <row r="16" spans="1:18" x14ac:dyDescent="0.2">
      <c r="A16" s="1">
        <v>12</v>
      </c>
      <c r="B16" s="2" t="s">
        <v>44</v>
      </c>
      <c r="C16" s="2" t="s">
        <v>24</v>
      </c>
      <c r="D16" s="2" t="s">
        <v>45</v>
      </c>
      <c r="E16" s="2" t="s">
        <v>15</v>
      </c>
      <c r="F16" s="2" t="s">
        <v>16</v>
      </c>
      <c r="G16" s="3" t="s">
        <v>17</v>
      </c>
      <c r="I16" s="20">
        <v>12</v>
      </c>
      <c r="J16" s="18">
        <f t="shared" si="0"/>
        <v>344810.38474476844</v>
      </c>
      <c r="K16" s="21">
        <f>IFERROR((VLOOKUP(D16,Sheet1!$B$3:$C$58,2,0)*$R$3),0)</f>
        <v>0</v>
      </c>
      <c r="L16" s="21">
        <v>0</v>
      </c>
      <c r="M16" s="22">
        <f t="shared" si="1"/>
        <v>344810.38474476844</v>
      </c>
    </row>
    <row r="17" spans="1:13" x14ac:dyDescent="0.2">
      <c r="A17" s="1">
        <v>13</v>
      </c>
      <c r="B17" s="2" t="s">
        <v>46</v>
      </c>
      <c r="C17" s="2" t="s">
        <v>13</v>
      </c>
      <c r="D17" s="2" t="s">
        <v>47</v>
      </c>
      <c r="E17" s="2" t="s">
        <v>15</v>
      </c>
      <c r="F17" s="2" t="s">
        <v>16</v>
      </c>
      <c r="G17" s="3" t="s">
        <v>17</v>
      </c>
      <c r="I17" s="20">
        <v>13</v>
      </c>
      <c r="J17" s="18">
        <f t="shared" si="0"/>
        <v>344810.38474476844</v>
      </c>
      <c r="K17" s="21">
        <f>IFERROR((VLOOKUP(D17,Sheet1!$B$3:$C$58,2,0)*$R$3),0)</f>
        <v>118713.36090689676</v>
      </c>
      <c r="L17" s="18">
        <v>0</v>
      </c>
      <c r="M17" s="22">
        <f t="shared" si="1"/>
        <v>463523.7456516652</v>
      </c>
    </row>
    <row r="18" spans="1:13" x14ac:dyDescent="0.2">
      <c r="A18" s="1">
        <v>14</v>
      </c>
      <c r="B18" s="2" t="s">
        <v>48</v>
      </c>
      <c r="C18" s="2" t="s">
        <v>24</v>
      </c>
      <c r="D18" s="2" t="s">
        <v>49</v>
      </c>
      <c r="E18" s="2" t="s">
        <v>15</v>
      </c>
      <c r="F18" s="2" t="s">
        <v>16</v>
      </c>
      <c r="G18" s="3" t="s">
        <v>17</v>
      </c>
      <c r="I18" s="20">
        <v>14</v>
      </c>
      <c r="J18" s="18">
        <f t="shared" si="0"/>
        <v>344810.38474476844</v>
      </c>
      <c r="K18" s="21">
        <f>IFERROR((VLOOKUP(D18,Sheet1!$B$3:$C$58,2,0)*$R$3),0)</f>
        <v>507534.53357136803</v>
      </c>
      <c r="L18" s="18">
        <v>0</v>
      </c>
      <c r="M18" s="22">
        <f t="shared" si="1"/>
        <v>852344.91831613646</v>
      </c>
    </row>
    <row r="19" spans="1:13" x14ac:dyDescent="0.2">
      <c r="A19" s="1">
        <v>15</v>
      </c>
      <c r="B19" s="2" t="s">
        <v>50</v>
      </c>
      <c r="C19" s="2" t="s">
        <v>24</v>
      </c>
      <c r="D19" s="2" t="s">
        <v>51</v>
      </c>
      <c r="E19" s="2" t="s">
        <v>15</v>
      </c>
      <c r="F19" s="2" t="s">
        <v>16</v>
      </c>
      <c r="G19" s="3" t="s">
        <v>17</v>
      </c>
      <c r="I19" s="20">
        <v>15</v>
      </c>
      <c r="J19" s="18">
        <f t="shared" si="0"/>
        <v>344810.38474476844</v>
      </c>
      <c r="K19" s="21">
        <f>IFERROR((VLOOKUP(D19,Sheet1!$B$3:$C$58,2,0)*$R$3),0)</f>
        <v>1253613.09117683</v>
      </c>
      <c r="L19" s="18">
        <v>0</v>
      </c>
      <c r="M19" s="22">
        <f t="shared" si="1"/>
        <v>1598423.4759215985</v>
      </c>
    </row>
    <row r="20" spans="1:13" x14ac:dyDescent="0.2">
      <c r="A20" s="1">
        <v>16</v>
      </c>
      <c r="B20" s="2" t="s">
        <v>52</v>
      </c>
      <c r="C20" s="2" t="s">
        <v>24</v>
      </c>
      <c r="D20" s="2" t="s">
        <v>53</v>
      </c>
      <c r="E20" s="2" t="s">
        <v>15</v>
      </c>
      <c r="F20" s="2" t="s">
        <v>16</v>
      </c>
      <c r="G20" s="3" t="s">
        <v>17</v>
      </c>
      <c r="I20" s="20">
        <v>16</v>
      </c>
      <c r="J20" s="18">
        <f t="shared" si="0"/>
        <v>344810.38474476844</v>
      </c>
      <c r="K20" s="21">
        <f>IFERROR((VLOOKUP(D20,Sheet1!$B$3:$C$58,2,0)*$R$3),0)</f>
        <v>0</v>
      </c>
      <c r="L20" s="18">
        <v>0</v>
      </c>
      <c r="M20" s="22">
        <f t="shared" si="1"/>
        <v>344810.38474476844</v>
      </c>
    </row>
    <row r="21" spans="1:13" x14ac:dyDescent="0.2">
      <c r="A21" s="1">
        <v>17</v>
      </c>
      <c r="B21" s="2" t="s">
        <v>54</v>
      </c>
      <c r="C21" s="2" t="s">
        <v>24</v>
      </c>
      <c r="D21" s="2" t="s">
        <v>55</v>
      </c>
      <c r="E21" s="2" t="s">
        <v>15</v>
      </c>
      <c r="F21" s="2" t="s">
        <v>16</v>
      </c>
      <c r="G21" s="3" t="s">
        <v>31</v>
      </c>
      <c r="I21" s="20">
        <v>17</v>
      </c>
      <c r="J21" s="18">
        <f t="shared" si="0"/>
        <v>344810.38474476844</v>
      </c>
      <c r="K21" s="21">
        <f>IFERROR((VLOOKUP(D21,Sheet1!$B$3:$C$58,2,0)*$R$3),0)</f>
        <v>0</v>
      </c>
      <c r="L21" s="18">
        <f>$R$3*25%</f>
        <v>7758233.6567572905</v>
      </c>
      <c r="M21" s="22">
        <f t="shared" si="1"/>
        <v>8103044.0415020585</v>
      </c>
    </row>
    <row r="22" spans="1:13" x14ac:dyDescent="0.2">
      <c r="A22" s="1">
        <v>18</v>
      </c>
      <c r="B22" s="2" t="s">
        <v>56</v>
      </c>
      <c r="C22" s="2" t="s">
        <v>24</v>
      </c>
      <c r="D22" s="2" t="s">
        <v>57</v>
      </c>
      <c r="E22" s="2" t="s">
        <v>15</v>
      </c>
      <c r="F22" s="2" t="s">
        <v>16</v>
      </c>
      <c r="G22" s="3" t="s">
        <v>31</v>
      </c>
      <c r="I22" s="20">
        <v>18</v>
      </c>
      <c r="J22" s="18">
        <f t="shared" si="0"/>
        <v>344810.38474476844</v>
      </c>
      <c r="K22" s="21">
        <f>IFERROR((VLOOKUP(D22,Sheet1!$B$3:$C$58,2,0)*$R$3),0)</f>
        <v>0</v>
      </c>
      <c r="L22" s="21">
        <v>0</v>
      </c>
      <c r="M22" s="22">
        <f t="shared" si="1"/>
        <v>344810.38474476844</v>
      </c>
    </row>
    <row r="23" spans="1:13" x14ac:dyDescent="0.2">
      <c r="A23" s="1">
        <v>19</v>
      </c>
      <c r="B23" s="2" t="s">
        <v>60</v>
      </c>
      <c r="C23" s="2" t="s">
        <v>24</v>
      </c>
      <c r="D23" s="2" t="s">
        <v>61</v>
      </c>
      <c r="E23" s="2" t="s">
        <v>15</v>
      </c>
      <c r="F23" s="2" t="s">
        <v>16</v>
      </c>
      <c r="G23" s="3" t="s">
        <v>31</v>
      </c>
      <c r="I23" s="20">
        <v>19</v>
      </c>
      <c r="J23" s="18">
        <f t="shared" si="0"/>
        <v>344810.38474476844</v>
      </c>
      <c r="K23" s="21">
        <f>IFERROR((VLOOKUP(D23,Sheet1!$B$3:$C$58,2,0)*$R$3),0)</f>
        <v>307369.84080458642</v>
      </c>
      <c r="L23" s="18">
        <v>0</v>
      </c>
      <c r="M23" s="22">
        <f t="shared" si="1"/>
        <v>652180.22554935492</v>
      </c>
    </row>
    <row r="24" spans="1:13" x14ac:dyDescent="0.2">
      <c r="A24" s="1">
        <v>20</v>
      </c>
      <c r="B24" s="2" t="s">
        <v>62</v>
      </c>
      <c r="C24" s="2" t="s">
        <v>24</v>
      </c>
      <c r="D24" s="2" t="s">
        <v>63</v>
      </c>
      <c r="E24" s="2" t="s">
        <v>15</v>
      </c>
      <c r="F24" s="2" t="s">
        <v>16</v>
      </c>
      <c r="G24" s="3" t="s">
        <v>17</v>
      </c>
      <c r="I24" s="20">
        <v>20</v>
      </c>
      <c r="J24" s="18">
        <f t="shared" si="0"/>
        <v>344810.38474476844</v>
      </c>
      <c r="K24" s="21">
        <f>IFERROR((VLOOKUP(D24,Sheet1!$B$3:$C$58,2,0)*$R$3),0)</f>
        <v>0</v>
      </c>
      <c r="L24" s="18">
        <v>0</v>
      </c>
      <c r="M24" s="22">
        <f t="shared" si="1"/>
        <v>344810.38474476844</v>
      </c>
    </row>
    <row r="25" spans="1:13" x14ac:dyDescent="0.2">
      <c r="A25" s="1">
        <v>21</v>
      </c>
      <c r="B25" s="2" t="s">
        <v>64</v>
      </c>
      <c r="C25" s="2" t="s">
        <v>24</v>
      </c>
      <c r="D25" s="2" t="s">
        <v>65</v>
      </c>
      <c r="E25" s="2" t="s">
        <v>15</v>
      </c>
      <c r="F25" s="2" t="s">
        <v>16</v>
      </c>
      <c r="G25" s="3" t="s">
        <v>31</v>
      </c>
      <c r="I25" s="20">
        <v>21</v>
      </c>
      <c r="J25" s="18">
        <f t="shared" si="0"/>
        <v>344810.38474476844</v>
      </c>
      <c r="K25" s="21">
        <f>IFERROR((VLOOKUP(D25,Sheet1!$B$3:$C$58,2,0)*$R$3),0)</f>
        <v>858088.10519055719</v>
      </c>
      <c r="L25" s="18">
        <v>0</v>
      </c>
      <c r="M25" s="22">
        <f t="shared" si="1"/>
        <v>1202898.4899353257</v>
      </c>
    </row>
    <row r="26" spans="1:13" x14ac:dyDescent="0.2">
      <c r="A26" s="1">
        <v>22</v>
      </c>
      <c r="B26" s="2" t="s">
        <v>66</v>
      </c>
      <c r="C26" s="2" t="s">
        <v>24</v>
      </c>
      <c r="D26" s="2" t="s">
        <v>67</v>
      </c>
      <c r="E26" s="2" t="s">
        <v>15</v>
      </c>
      <c r="F26" s="2" t="s">
        <v>16</v>
      </c>
      <c r="G26" s="3" t="s">
        <v>17</v>
      </c>
      <c r="I26" s="20">
        <v>22</v>
      </c>
      <c r="J26" s="18">
        <f t="shared" si="0"/>
        <v>344810.38474476844</v>
      </c>
      <c r="K26" s="21">
        <f>IFERROR((VLOOKUP(D26,Sheet1!$B$3:$C$58,2,0)*$R$3),0)</f>
        <v>0</v>
      </c>
      <c r="L26" s="18">
        <v>0</v>
      </c>
      <c r="M26" s="22">
        <f t="shared" si="1"/>
        <v>344810.38474476844</v>
      </c>
    </row>
    <row r="27" spans="1:13" x14ac:dyDescent="0.2">
      <c r="A27" s="1">
        <v>23</v>
      </c>
      <c r="B27" s="2" t="s">
        <v>68</v>
      </c>
      <c r="C27" s="2" t="s">
        <v>24</v>
      </c>
      <c r="D27" s="2" t="s">
        <v>69</v>
      </c>
      <c r="E27" s="2" t="s">
        <v>15</v>
      </c>
      <c r="F27" s="2" t="s">
        <v>16</v>
      </c>
      <c r="G27" s="3" t="s">
        <v>17</v>
      </c>
      <c r="I27" s="20">
        <v>23</v>
      </c>
      <c r="J27" s="18">
        <f t="shared" si="0"/>
        <v>344810.38474476844</v>
      </c>
      <c r="K27" s="21">
        <f>IFERROR((VLOOKUP(D27,Sheet1!$B$3:$C$58,2,0)*$R$3),0)</f>
        <v>797753.78529434616</v>
      </c>
      <c r="L27" s="18">
        <v>0</v>
      </c>
      <c r="M27" s="22">
        <f t="shared" si="1"/>
        <v>1142564.1700391145</v>
      </c>
    </row>
    <row r="28" spans="1:13" x14ac:dyDescent="0.2">
      <c r="A28" s="1">
        <v>24</v>
      </c>
      <c r="B28" s="2" t="s">
        <v>72</v>
      </c>
      <c r="C28" s="2" t="s">
        <v>24</v>
      </c>
      <c r="D28" s="2" t="s">
        <v>73</v>
      </c>
      <c r="E28" s="2" t="s">
        <v>15</v>
      </c>
      <c r="F28" s="2" t="s">
        <v>16</v>
      </c>
      <c r="G28" s="3" t="s">
        <v>31</v>
      </c>
      <c r="I28" s="20">
        <v>24</v>
      </c>
      <c r="J28" s="18">
        <f t="shared" si="0"/>
        <v>344810.38474476844</v>
      </c>
      <c r="K28" s="21">
        <f>IFERROR((VLOOKUP(D28,Sheet1!$B$3:$C$58,2,0)*$R$3),0)</f>
        <v>214661.68907517687</v>
      </c>
      <c r="L28" s="18">
        <v>0</v>
      </c>
      <c r="M28" s="22">
        <f t="shared" si="1"/>
        <v>559472.07381994533</v>
      </c>
    </row>
    <row r="29" spans="1:13" x14ac:dyDescent="0.2">
      <c r="A29" s="1">
        <v>25</v>
      </c>
      <c r="B29" s="2" t="s">
        <v>74</v>
      </c>
      <c r="C29" s="2" t="s">
        <v>24</v>
      </c>
      <c r="D29" s="2" t="s">
        <v>75</v>
      </c>
      <c r="E29" s="2" t="s">
        <v>15</v>
      </c>
      <c r="F29" s="2" t="s">
        <v>16</v>
      </c>
      <c r="G29" s="3" t="s">
        <v>17</v>
      </c>
      <c r="I29" s="20">
        <v>25</v>
      </c>
      <c r="J29" s="18">
        <f t="shared" si="0"/>
        <v>344810.38474476844</v>
      </c>
      <c r="K29" s="21">
        <f>IFERROR((VLOOKUP(D29,Sheet1!$B$3:$C$58,2,0)*$R$3),0)</f>
        <v>615410.06294135284</v>
      </c>
      <c r="L29" s="18">
        <v>0</v>
      </c>
      <c r="M29" s="22">
        <f t="shared" si="1"/>
        <v>960220.44768612133</v>
      </c>
    </row>
    <row r="30" spans="1:13" x14ac:dyDescent="0.2">
      <c r="A30" s="1">
        <v>26</v>
      </c>
      <c r="B30" s="2" t="s">
        <v>80</v>
      </c>
      <c r="C30" s="2" t="s">
        <v>19</v>
      </c>
      <c r="D30" s="2" t="s">
        <v>81</v>
      </c>
      <c r="E30" s="2" t="s">
        <v>15</v>
      </c>
      <c r="F30" s="2" t="s">
        <v>16</v>
      </c>
      <c r="G30" s="3" t="s">
        <v>17</v>
      </c>
      <c r="I30" s="20">
        <v>26</v>
      </c>
      <c r="J30" s="18">
        <f t="shared" si="0"/>
        <v>344810.38474476844</v>
      </c>
      <c r="K30" s="21">
        <f>IFERROR((VLOOKUP(D30,Sheet1!$B$3:$C$58,2,0)*$R$3),0)</f>
        <v>0</v>
      </c>
      <c r="L30" s="18">
        <f>$R$3*8%</f>
        <v>2482634.7701623328</v>
      </c>
      <c r="M30" s="22">
        <f t="shared" si="1"/>
        <v>2827445.1549071013</v>
      </c>
    </row>
    <row r="31" spans="1:13" x14ac:dyDescent="0.2">
      <c r="A31" s="1">
        <v>27</v>
      </c>
      <c r="B31" s="2" t="s">
        <v>82</v>
      </c>
      <c r="C31" s="2" t="s">
        <v>24</v>
      </c>
      <c r="D31" s="2" t="s">
        <v>83</v>
      </c>
      <c r="E31" s="2" t="s">
        <v>15</v>
      </c>
      <c r="F31" s="2" t="s">
        <v>16</v>
      </c>
      <c r="G31" s="3" t="s">
        <v>17</v>
      </c>
      <c r="I31" s="20">
        <v>27</v>
      </c>
      <c r="J31" s="18">
        <f t="shared" si="0"/>
        <v>344810.38474476844</v>
      </c>
      <c r="K31" s="21">
        <f>IFERROR((VLOOKUP(D31,Sheet1!$B$3:$C$58,2,0)*$R$3),0)</f>
        <v>616750.82560571318</v>
      </c>
      <c r="L31" s="18">
        <v>0</v>
      </c>
      <c r="M31" s="22">
        <f t="shared" si="1"/>
        <v>961561.21035048156</v>
      </c>
    </row>
    <row r="32" spans="1:13" x14ac:dyDescent="0.2">
      <c r="A32" s="1">
        <v>28</v>
      </c>
      <c r="B32" s="2" t="s">
        <v>84</v>
      </c>
      <c r="C32" s="2" t="s">
        <v>24</v>
      </c>
      <c r="D32" s="2" t="s">
        <v>85</v>
      </c>
      <c r="E32" s="2" t="s">
        <v>15</v>
      </c>
      <c r="F32" s="2" t="s">
        <v>16</v>
      </c>
      <c r="G32" s="3" t="s">
        <v>17</v>
      </c>
      <c r="I32" s="20">
        <v>28</v>
      </c>
      <c r="J32" s="18">
        <f t="shared" si="0"/>
        <v>344810.38474476844</v>
      </c>
      <c r="K32" s="21">
        <f>IFERROR((VLOOKUP(D32,Sheet1!$B$3:$C$58,2,0)*$R$3),0)</f>
        <v>0</v>
      </c>
      <c r="L32" s="18">
        <v>0</v>
      </c>
      <c r="M32" s="22">
        <f t="shared" si="1"/>
        <v>344810.38474476844</v>
      </c>
    </row>
    <row r="33" spans="1:13" x14ac:dyDescent="0.2">
      <c r="A33" s="1">
        <v>29</v>
      </c>
      <c r="B33" s="2" t="s">
        <v>86</v>
      </c>
      <c r="C33" s="2" t="s">
        <v>13</v>
      </c>
      <c r="D33" s="2" t="s">
        <v>87</v>
      </c>
      <c r="E33" s="2" t="s">
        <v>15</v>
      </c>
      <c r="F33" s="2" t="s">
        <v>16</v>
      </c>
      <c r="G33" s="3" t="s">
        <v>17</v>
      </c>
      <c r="I33" s="20">
        <v>29</v>
      </c>
      <c r="J33" s="18">
        <f t="shared" si="0"/>
        <v>344810.38474476844</v>
      </c>
      <c r="K33" s="21">
        <f>IFERROR((VLOOKUP(D33,Sheet1!$B$3:$C$58,2,0)*$R$3),0)</f>
        <v>556416.50570950226</v>
      </c>
      <c r="L33" s="18">
        <v>0</v>
      </c>
      <c r="M33" s="22">
        <f t="shared" si="1"/>
        <v>901226.89045427064</v>
      </c>
    </row>
    <row r="34" spans="1:13" x14ac:dyDescent="0.2">
      <c r="A34" s="1">
        <v>30</v>
      </c>
      <c r="B34" s="2" t="s">
        <v>88</v>
      </c>
      <c r="C34" s="2" t="s">
        <v>24</v>
      </c>
      <c r="D34" s="2" t="s">
        <v>89</v>
      </c>
      <c r="E34" s="2" t="s">
        <v>15</v>
      </c>
      <c r="F34" s="2" t="s">
        <v>16</v>
      </c>
      <c r="G34" s="3" t="s">
        <v>17</v>
      </c>
      <c r="I34" s="20">
        <v>30</v>
      </c>
      <c r="J34" s="18">
        <f t="shared" si="0"/>
        <v>344810.38474476844</v>
      </c>
      <c r="K34" s="21">
        <f>IFERROR((VLOOKUP(D34,Sheet1!$B$3:$C$58,2,0)*$R$3),0)</f>
        <v>1139648.2647062088</v>
      </c>
      <c r="L34" s="18">
        <v>0</v>
      </c>
      <c r="M34" s="22">
        <f t="shared" si="1"/>
        <v>1484458.6494509773</v>
      </c>
    </row>
    <row r="35" spans="1:13" x14ac:dyDescent="0.2">
      <c r="A35" s="1">
        <v>31</v>
      </c>
      <c r="B35" s="2" t="s">
        <v>90</v>
      </c>
      <c r="C35" s="2" t="s">
        <v>13</v>
      </c>
      <c r="D35" s="2" t="s">
        <v>91</v>
      </c>
      <c r="E35" s="2" t="s">
        <v>15</v>
      </c>
      <c r="F35" s="2" t="s">
        <v>16</v>
      </c>
      <c r="G35" s="3" t="s">
        <v>31</v>
      </c>
      <c r="I35" s="20">
        <v>31</v>
      </c>
      <c r="J35" s="18">
        <f t="shared" si="0"/>
        <v>344810.38474476844</v>
      </c>
      <c r="K35" s="21">
        <f>IFERROR((VLOOKUP(D35,Sheet1!$B$3:$C$58,2,0)*$R$3),0)</f>
        <v>643566.07889291795</v>
      </c>
      <c r="L35" s="21">
        <v>0</v>
      </c>
      <c r="M35" s="22">
        <f t="shared" si="1"/>
        <v>988376.46363768633</v>
      </c>
    </row>
    <row r="36" spans="1:13" x14ac:dyDescent="0.2">
      <c r="A36" s="1">
        <v>32</v>
      </c>
      <c r="B36" s="2" t="s">
        <v>92</v>
      </c>
      <c r="C36" s="2" t="s">
        <v>24</v>
      </c>
      <c r="D36" s="2" t="s">
        <v>93</v>
      </c>
      <c r="E36" s="2" t="s">
        <v>15</v>
      </c>
      <c r="F36" s="2" t="s">
        <v>16</v>
      </c>
      <c r="G36" s="3" t="s">
        <v>17</v>
      </c>
      <c r="I36" s="20">
        <v>32</v>
      </c>
      <c r="J36" s="18">
        <f t="shared" si="0"/>
        <v>344810.38474476844</v>
      </c>
      <c r="K36" s="21">
        <f>IFERROR((VLOOKUP(D36,Sheet1!$B$3:$C$58,2,0)*$R$3),0)</f>
        <v>883227.40514731186</v>
      </c>
      <c r="L36" s="18">
        <v>0</v>
      </c>
      <c r="M36" s="22">
        <f t="shared" si="1"/>
        <v>1228037.7898920802</v>
      </c>
    </row>
    <row r="37" spans="1:13" x14ac:dyDescent="0.2">
      <c r="A37" s="1">
        <v>33</v>
      </c>
      <c r="B37" s="2" t="s">
        <v>94</v>
      </c>
      <c r="C37" s="2" t="s">
        <v>24</v>
      </c>
      <c r="D37" s="2" t="s">
        <v>95</v>
      </c>
      <c r="E37" s="2" t="s">
        <v>15</v>
      </c>
      <c r="F37" s="2" t="s">
        <v>16</v>
      </c>
      <c r="G37" s="3" t="s">
        <v>17</v>
      </c>
      <c r="I37" s="20">
        <v>33</v>
      </c>
      <c r="J37" s="18">
        <f t="shared" si="0"/>
        <v>344810.38474476844</v>
      </c>
      <c r="K37" s="21">
        <f>IFERROR((VLOOKUP(D37,Sheet1!$B$3:$C$58,2,0)*$R$3),0)</f>
        <v>981996.92142184987</v>
      </c>
      <c r="L37" s="21">
        <v>0</v>
      </c>
      <c r="M37" s="22">
        <f t="shared" si="1"/>
        <v>1326807.3061666184</v>
      </c>
    </row>
    <row r="38" spans="1:13" x14ac:dyDescent="0.2">
      <c r="A38" s="1">
        <v>34</v>
      </c>
      <c r="B38" s="2" t="s">
        <v>96</v>
      </c>
      <c r="C38" s="2" t="s">
        <v>13</v>
      </c>
      <c r="D38" s="2" t="s">
        <v>97</v>
      </c>
      <c r="E38" s="2" t="s">
        <v>15</v>
      </c>
      <c r="F38" s="2" t="s">
        <v>16</v>
      </c>
      <c r="G38" s="3" t="s">
        <v>17</v>
      </c>
      <c r="I38" s="20">
        <v>34</v>
      </c>
      <c r="J38" s="18">
        <f t="shared" si="0"/>
        <v>344810.38474476844</v>
      </c>
      <c r="K38" s="21">
        <f>IFERROR((VLOOKUP(D38,Sheet1!$B$3:$C$58,2,0)*$R$3),0)</f>
        <v>1224702.8962265621</v>
      </c>
      <c r="L38" s="18">
        <f>$R$3*8%</f>
        <v>2482634.7701623328</v>
      </c>
      <c r="M38" s="22">
        <f t="shared" si="1"/>
        <v>4052148.0511336634</v>
      </c>
    </row>
    <row r="39" spans="1:13" x14ac:dyDescent="0.2">
      <c r="A39" s="1">
        <v>35</v>
      </c>
      <c r="B39" s="2" t="s">
        <v>100</v>
      </c>
      <c r="C39" s="2" t="s">
        <v>24</v>
      </c>
      <c r="D39" s="2" t="s">
        <v>101</v>
      </c>
      <c r="E39" s="2" t="s">
        <v>15</v>
      </c>
      <c r="F39" s="2" t="s">
        <v>16</v>
      </c>
      <c r="G39" s="3" t="s">
        <v>17</v>
      </c>
      <c r="I39" s="20">
        <v>35</v>
      </c>
      <c r="J39" s="18">
        <f t="shared" si="0"/>
        <v>344810.38474476844</v>
      </c>
      <c r="K39" s="21">
        <f>IFERROR((VLOOKUP(D39,Sheet1!$B$3:$C$58,2,0)*$R$3),0)</f>
        <v>1194954.7246110693</v>
      </c>
      <c r="L39" s="18">
        <v>0</v>
      </c>
      <c r="M39" s="22">
        <f t="shared" si="1"/>
        <v>1539765.1093558378</v>
      </c>
    </row>
    <row r="40" spans="1:13" x14ac:dyDescent="0.2">
      <c r="A40" s="1">
        <v>36</v>
      </c>
      <c r="B40" s="2" t="s">
        <v>102</v>
      </c>
      <c r="C40" s="2" t="s">
        <v>24</v>
      </c>
      <c r="D40" s="2" t="s">
        <v>103</v>
      </c>
      <c r="E40" s="2" t="s">
        <v>15</v>
      </c>
      <c r="F40" s="2" t="s">
        <v>16</v>
      </c>
      <c r="G40" s="3" t="s">
        <v>31</v>
      </c>
      <c r="I40" s="20">
        <v>36</v>
      </c>
      <c r="J40" s="18">
        <f t="shared" si="0"/>
        <v>344810.38474476844</v>
      </c>
      <c r="K40" s="21">
        <f>IFERROR((VLOOKUP(D40,Sheet1!$B$3:$C$58,2,0)*$R$3),0)</f>
        <v>97205.293166117815</v>
      </c>
      <c r="L40" s="18">
        <v>0</v>
      </c>
      <c r="M40" s="22">
        <f t="shared" si="1"/>
        <v>442015.67791088624</v>
      </c>
    </row>
    <row r="41" spans="1:13" x14ac:dyDescent="0.2">
      <c r="A41" s="1">
        <v>37</v>
      </c>
      <c r="B41" s="2" t="s">
        <v>104</v>
      </c>
      <c r="C41" s="2" t="s">
        <v>24</v>
      </c>
      <c r="D41" s="2" t="s">
        <v>105</v>
      </c>
      <c r="E41" s="2" t="s">
        <v>15</v>
      </c>
      <c r="F41" s="2" t="s">
        <v>16</v>
      </c>
      <c r="G41" s="3" t="s">
        <v>17</v>
      </c>
      <c r="I41" s="20">
        <v>37</v>
      </c>
      <c r="J41" s="18">
        <f t="shared" si="0"/>
        <v>344810.38474476844</v>
      </c>
      <c r="K41" s="21">
        <f>IFERROR((VLOOKUP(D41,Sheet1!$B$3:$C$58,2,0)*$R$3),0)</f>
        <v>0</v>
      </c>
      <c r="L41" s="18">
        <v>0</v>
      </c>
      <c r="M41" s="22">
        <f t="shared" si="1"/>
        <v>344810.38474476844</v>
      </c>
    </row>
    <row r="42" spans="1:13" x14ac:dyDescent="0.2">
      <c r="A42" s="1">
        <v>38</v>
      </c>
      <c r="B42" s="2" t="s">
        <v>106</v>
      </c>
      <c r="C42" s="2" t="s">
        <v>24</v>
      </c>
      <c r="D42" s="2" t="s">
        <v>107</v>
      </c>
      <c r="E42" s="2" t="s">
        <v>15</v>
      </c>
      <c r="F42" s="2" t="s">
        <v>16</v>
      </c>
      <c r="G42" s="3" t="s">
        <v>17</v>
      </c>
      <c r="I42" s="20">
        <v>38</v>
      </c>
      <c r="J42" s="18">
        <f t="shared" si="0"/>
        <v>344810.38474476844</v>
      </c>
      <c r="K42" s="21">
        <f>IFERROR((VLOOKUP(D42,Sheet1!$B$3:$C$58,2,0)*$R$3),0)</f>
        <v>0</v>
      </c>
      <c r="L42" s="18">
        <v>0</v>
      </c>
      <c r="M42" s="22">
        <f t="shared" si="1"/>
        <v>344810.38474476844</v>
      </c>
    </row>
    <row r="43" spans="1:13" x14ac:dyDescent="0.2">
      <c r="A43" s="1">
        <v>39</v>
      </c>
      <c r="B43" s="2" t="s">
        <v>108</v>
      </c>
      <c r="C43" s="2" t="s">
        <v>24</v>
      </c>
      <c r="D43" s="2" t="s">
        <v>109</v>
      </c>
      <c r="E43" s="2" t="s">
        <v>15</v>
      </c>
      <c r="F43" s="2" t="s">
        <v>16</v>
      </c>
      <c r="G43" s="3" t="s">
        <v>17</v>
      </c>
      <c r="I43" s="20">
        <v>39</v>
      </c>
      <c r="J43" s="18">
        <f t="shared" si="0"/>
        <v>344810.38474476844</v>
      </c>
      <c r="K43" s="21">
        <f>IFERROR((VLOOKUP(D43,Sheet1!$B$3:$C$58,2,0)*$R$3),0)</f>
        <v>0</v>
      </c>
      <c r="L43" s="21">
        <v>0</v>
      </c>
      <c r="M43" s="22">
        <f t="shared" si="1"/>
        <v>344810.38474476844</v>
      </c>
    </row>
    <row r="44" spans="1:13" x14ac:dyDescent="0.2">
      <c r="A44" s="1">
        <v>40</v>
      </c>
      <c r="B44" s="2" t="s">
        <v>111</v>
      </c>
      <c r="C44" s="2" t="s">
        <v>24</v>
      </c>
      <c r="D44" s="2" t="s">
        <v>112</v>
      </c>
      <c r="E44" s="2" t="s">
        <v>15</v>
      </c>
      <c r="F44" s="2" t="s">
        <v>16</v>
      </c>
      <c r="G44" s="3" t="s">
        <v>17</v>
      </c>
      <c r="I44" s="20">
        <v>40</v>
      </c>
      <c r="J44" s="18">
        <f t="shared" si="0"/>
        <v>344810.38474476844</v>
      </c>
      <c r="K44" s="21">
        <f>IFERROR((VLOOKUP(D44,Sheet1!$B$3:$C$58,2,0)*$R$3),0)</f>
        <v>100557.19982701844</v>
      </c>
      <c r="L44" s="18">
        <v>0</v>
      </c>
      <c r="M44" s="22">
        <f t="shared" si="1"/>
        <v>445367.58457178687</v>
      </c>
    </row>
    <row r="45" spans="1:13" x14ac:dyDescent="0.2">
      <c r="A45" s="1">
        <v>41</v>
      </c>
      <c r="B45" s="2" t="s">
        <v>113</v>
      </c>
      <c r="C45" s="2" t="s">
        <v>24</v>
      </c>
      <c r="D45" s="2" t="s">
        <v>114</v>
      </c>
      <c r="E45" s="2" t="s">
        <v>15</v>
      </c>
      <c r="F45" s="2" t="s">
        <v>16</v>
      </c>
      <c r="G45" s="3" t="s">
        <v>17</v>
      </c>
      <c r="I45" s="20">
        <v>41</v>
      </c>
      <c r="J45" s="18">
        <f t="shared" si="0"/>
        <v>344810.38474476844</v>
      </c>
      <c r="K45" s="21">
        <f>IFERROR((VLOOKUP(D45,Sheet1!$B$3:$C$58,2,0)*$R$3),0)</f>
        <v>121506.61645764729</v>
      </c>
      <c r="L45" s="21">
        <v>0</v>
      </c>
      <c r="M45" s="22">
        <f t="shared" si="1"/>
        <v>466317.00120241573</v>
      </c>
    </row>
    <row r="46" spans="1:13" x14ac:dyDescent="0.2">
      <c r="A46" s="1">
        <v>42</v>
      </c>
      <c r="B46" s="2" t="s">
        <v>115</v>
      </c>
      <c r="C46" s="2" t="s">
        <v>24</v>
      </c>
      <c r="D46" s="2" t="s">
        <v>116</v>
      </c>
      <c r="E46" s="2" t="s">
        <v>15</v>
      </c>
      <c r="F46" s="2" t="s">
        <v>16</v>
      </c>
      <c r="G46" s="3" t="s">
        <v>17</v>
      </c>
      <c r="I46" s="20">
        <v>42</v>
      </c>
      <c r="J46" s="18">
        <f t="shared" si="0"/>
        <v>344810.38474476844</v>
      </c>
      <c r="K46" s="21">
        <f>IFERROR((VLOOKUP(D46,Sheet1!$B$3:$C$58,2,0)*$R$3),0)</f>
        <v>0</v>
      </c>
      <c r="L46" s="18">
        <v>0</v>
      </c>
      <c r="M46" s="22">
        <f t="shared" si="1"/>
        <v>344810.38474476844</v>
      </c>
    </row>
    <row r="47" spans="1:13" x14ac:dyDescent="0.2">
      <c r="A47" s="1">
        <v>43</v>
      </c>
      <c r="B47" s="2" t="s">
        <v>120</v>
      </c>
      <c r="C47" s="2" t="s">
        <v>24</v>
      </c>
      <c r="D47" s="2" t="s">
        <v>121</v>
      </c>
      <c r="E47" s="2" t="s">
        <v>15</v>
      </c>
      <c r="F47" s="2" t="s">
        <v>16</v>
      </c>
      <c r="G47" s="3" t="s">
        <v>31</v>
      </c>
      <c r="I47" s="20">
        <v>43</v>
      </c>
      <c r="J47" s="18">
        <f t="shared" si="0"/>
        <v>344810.38474476844</v>
      </c>
      <c r="K47" s="21">
        <f>IFERROR((VLOOKUP(D47,Sheet1!$B$3:$C$58,2,0)*$R$3),0)</f>
        <v>0</v>
      </c>
      <c r="L47" s="18">
        <v>0</v>
      </c>
      <c r="M47" s="22">
        <f t="shared" si="1"/>
        <v>344810.38474476844</v>
      </c>
    </row>
    <row r="48" spans="1:13" x14ac:dyDescent="0.2">
      <c r="A48" s="1">
        <v>44</v>
      </c>
      <c r="B48" s="2" t="s">
        <v>122</v>
      </c>
      <c r="C48" s="2" t="s">
        <v>24</v>
      </c>
      <c r="D48" s="2" t="s">
        <v>123</v>
      </c>
      <c r="E48" s="2" t="s">
        <v>15</v>
      </c>
      <c r="F48" s="2" t="s">
        <v>16</v>
      </c>
      <c r="G48" s="3" t="s">
        <v>17</v>
      </c>
      <c r="I48" s="20">
        <v>44</v>
      </c>
      <c r="J48" s="18">
        <f t="shared" si="0"/>
        <v>344810.38474476844</v>
      </c>
      <c r="K48" s="21">
        <f>IFERROR((VLOOKUP(D48,Sheet1!$B$3:$C$58,2,0)*$R$3),0)</f>
        <v>0</v>
      </c>
      <c r="L48" s="18">
        <v>0</v>
      </c>
      <c r="M48" s="22">
        <f t="shared" si="1"/>
        <v>344810.38474476844</v>
      </c>
    </row>
    <row r="49" spans="1:13" x14ac:dyDescent="0.2">
      <c r="A49" s="1">
        <v>45</v>
      </c>
      <c r="B49" s="2" t="s">
        <v>124</v>
      </c>
      <c r="C49" s="2" t="s">
        <v>24</v>
      </c>
      <c r="D49" s="2" t="s">
        <v>125</v>
      </c>
      <c r="E49" s="2" t="s">
        <v>15</v>
      </c>
      <c r="F49" s="2" t="s">
        <v>110</v>
      </c>
      <c r="G49" s="3" t="s">
        <v>31</v>
      </c>
      <c r="I49" s="20">
        <v>45</v>
      </c>
      <c r="J49" s="18">
        <f t="shared" si="0"/>
        <v>344810.38474476844</v>
      </c>
      <c r="K49" s="21">
        <f>IFERROR((VLOOKUP(D49,Sheet1!$B$3:$C$58,2,0)*$R$3),0)</f>
        <v>462563.1192042848</v>
      </c>
      <c r="L49" s="18">
        <v>0</v>
      </c>
      <c r="M49" s="22">
        <f t="shared" si="1"/>
        <v>807373.50394905324</v>
      </c>
    </row>
    <row r="50" spans="1:13" x14ac:dyDescent="0.2">
      <c r="A50" s="1">
        <v>46</v>
      </c>
      <c r="B50" s="2" t="s">
        <v>126</v>
      </c>
      <c r="C50" s="2" t="s">
        <v>24</v>
      </c>
      <c r="D50" s="2" t="s">
        <v>127</v>
      </c>
      <c r="E50" s="2" t="s">
        <v>15</v>
      </c>
      <c r="F50" s="2" t="s">
        <v>16</v>
      </c>
      <c r="G50" s="3" t="s">
        <v>17</v>
      </c>
      <c r="I50" s="20">
        <v>46</v>
      </c>
      <c r="J50" s="18">
        <f t="shared" si="0"/>
        <v>344810.38474476844</v>
      </c>
      <c r="K50" s="21">
        <f>IFERROR((VLOOKUP(D50,Sheet1!$B$3:$C$58,2,0)*$R$3),0)</f>
        <v>0</v>
      </c>
      <c r="L50" s="18">
        <v>0</v>
      </c>
      <c r="M50" s="22">
        <f t="shared" si="1"/>
        <v>344810.38474476844</v>
      </c>
    </row>
    <row r="51" spans="1:13" x14ac:dyDescent="0.2">
      <c r="A51" s="1">
        <v>47</v>
      </c>
      <c r="B51" s="2" t="s">
        <v>128</v>
      </c>
      <c r="C51" s="2" t="s">
        <v>13</v>
      </c>
      <c r="D51" s="2" t="s">
        <v>129</v>
      </c>
      <c r="E51" s="2" t="s">
        <v>15</v>
      </c>
      <c r="F51" s="2" t="s">
        <v>16</v>
      </c>
      <c r="G51" s="3" t="s">
        <v>17</v>
      </c>
      <c r="I51" s="20">
        <v>47</v>
      </c>
      <c r="J51" s="18">
        <f t="shared" si="0"/>
        <v>344810.38474476844</v>
      </c>
      <c r="K51" s="21">
        <f>IFERROR((VLOOKUP(D51,Sheet1!$B$3:$C$58,2,0)*$R$3),0)</f>
        <v>364519.84937294183</v>
      </c>
      <c r="L51" s="18">
        <v>0</v>
      </c>
      <c r="M51" s="22">
        <f t="shared" si="1"/>
        <v>709330.23411771026</v>
      </c>
    </row>
    <row r="52" spans="1:13" x14ac:dyDescent="0.2">
      <c r="A52" s="1">
        <v>48</v>
      </c>
      <c r="B52" s="2" t="s">
        <v>130</v>
      </c>
      <c r="C52" s="2" t="s">
        <v>24</v>
      </c>
      <c r="D52" s="2" t="s">
        <v>131</v>
      </c>
      <c r="E52" s="2" t="s">
        <v>15</v>
      </c>
      <c r="F52" s="2" t="s">
        <v>117</v>
      </c>
      <c r="G52" s="3" t="s">
        <v>17</v>
      </c>
      <c r="I52" s="20">
        <v>48</v>
      </c>
      <c r="J52" s="18">
        <f t="shared" si="0"/>
        <v>344810.38474476844</v>
      </c>
      <c r="K52" s="21">
        <f>IFERROR((VLOOKUP(D52,Sheet1!$B$3:$C$58,2,0)*$R$3),0)</f>
        <v>858088.10519055719</v>
      </c>
      <c r="L52" s="18">
        <v>0</v>
      </c>
      <c r="M52" s="22">
        <f t="shared" si="1"/>
        <v>1202898.4899353257</v>
      </c>
    </row>
    <row r="53" spans="1:13" x14ac:dyDescent="0.2">
      <c r="A53" s="1">
        <v>49</v>
      </c>
      <c r="B53" s="2" t="s">
        <v>134</v>
      </c>
      <c r="C53" s="2" t="s">
        <v>24</v>
      </c>
      <c r="D53" s="2" t="s">
        <v>135</v>
      </c>
      <c r="E53" s="2" t="s">
        <v>15</v>
      </c>
      <c r="F53" s="2" t="s">
        <v>16</v>
      </c>
      <c r="G53" s="3" t="s">
        <v>17</v>
      </c>
      <c r="I53" s="20">
        <v>49</v>
      </c>
      <c r="J53" s="18">
        <f t="shared" si="0"/>
        <v>344810.38474476844</v>
      </c>
      <c r="K53" s="21">
        <f>IFERROR((VLOOKUP(D53,Sheet1!$B$3:$C$58,2,0)*$R$3),0)</f>
        <v>0</v>
      </c>
      <c r="L53" s="18">
        <v>0</v>
      </c>
      <c r="M53" s="22">
        <f t="shared" si="1"/>
        <v>344810.38474476844</v>
      </c>
    </row>
    <row r="54" spans="1:13" x14ac:dyDescent="0.2">
      <c r="A54" s="1">
        <v>50</v>
      </c>
      <c r="B54" s="2" t="s">
        <v>136</v>
      </c>
      <c r="C54" s="2" t="s">
        <v>13</v>
      </c>
      <c r="D54" s="2" t="s">
        <v>137</v>
      </c>
      <c r="E54" s="2" t="s">
        <v>15</v>
      </c>
      <c r="F54" s="2" t="s">
        <v>110</v>
      </c>
      <c r="G54" s="3" t="s">
        <v>31</v>
      </c>
      <c r="I54" s="20">
        <v>50</v>
      </c>
      <c r="J54" s="18">
        <f t="shared" si="0"/>
        <v>344810.38474476844</v>
      </c>
      <c r="K54" s="21">
        <f>IFERROR((VLOOKUP(D54,Sheet1!$B$3:$C$58,2,0)*$R$3),0)</f>
        <v>0</v>
      </c>
      <c r="L54" s="21">
        <v>0</v>
      </c>
      <c r="M54" s="22">
        <f t="shared" si="1"/>
        <v>344810.38474476844</v>
      </c>
    </row>
    <row r="55" spans="1:13" x14ac:dyDescent="0.2">
      <c r="A55" s="1">
        <v>51</v>
      </c>
      <c r="B55" s="2" t="s">
        <v>138</v>
      </c>
      <c r="C55" s="2" t="s">
        <v>24</v>
      </c>
      <c r="D55" s="2" t="s">
        <v>139</v>
      </c>
      <c r="E55" s="2" t="s">
        <v>15</v>
      </c>
      <c r="F55" s="2" t="s">
        <v>26</v>
      </c>
      <c r="G55" s="3" t="s">
        <v>17</v>
      </c>
      <c r="I55" s="20">
        <v>51</v>
      </c>
      <c r="J55" s="18">
        <f t="shared" si="0"/>
        <v>344810.38474476844</v>
      </c>
      <c r="K55" s="21">
        <f>IFERROR((VLOOKUP(D55,Sheet1!$B$3:$C$58,2,0)*$R$3),0)</f>
        <v>0</v>
      </c>
      <c r="L55" s="18">
        <v>0</v>
      </c>
      <c r="M55" s="22">
        <f t="shared" si="1"/>
        <v>344810.38474476844</v>
      </c>
    </row>
    <row r="56" spans="1:13" x14ac:dyDescent="0.2">
      <c r="A56" s="1">
        <v>52</v>
      </c>
      <c r="B56" s="2" t="s">
        <v>144</v>
      </c>
      <c r="C56" s="2" t="s">
        <v>24</v>
      </c>
      <c r="D56" s="2" t="s">
        <v>145</v>
      </c>
      <c r="E56" s="2" t="s">
        <v>15</v>
      </c>
      <c r="F56" s="2" t="s">
        <v>26</v>
      </c>
      <c r="G56" s="3" t="s">
        <v>17</v>
      </c>
      <c r="I56" s="20">
        <v>52</v>
      </c>
      <c r="J56" s="18">
        <f t="shared" si="0"/>
        <v>344810.38474476844</v>
      </c>
      <c r="K56" s="21">
        <f>IFERROR((VLOOKUP(D56,Sheet1!$B$3:$C$58,2,0)*$R$3),0)</f>
        <v>502785.99913509219</v>
      </c>
      <c r="L56" s="18">
        <v>0</v>
      </c>
      <c r="M56" s="22">
        <f t="shared" si="1"/>
        <v>847596.38387986063</v>
      </c>
    </row>
    <row r="57" spans="1:13" x14ac:dyDescent="0.2">
      <c r="A57" s="1">
        <v>53</v>
      </c>
      <c r="B57" s="2" t="s">
        <v>146</v>
      </c>
      <c r="C57" s="2" t="s">
        <v>24</v>
      </c>
      <c r="D57" s="2" t="s">
        <v>147</v>
      </c>
      <c r="E57" s="2" t="s">
        <v>15</v>
      </c>
      <c r="F57" s="2" t="s">
        <v>117</v>
      </c>
      <c r="G57" s="3" t="s">
        <v>17</v>
      </c>
      <c r="I57" s="20">
        <v>53</v>
      </c>
      <c r="J57" s="18">
        <f t="shared" si="0"/>
        <v>344810.38474476844</v>
      </c>
      <c r="K57" s="21">
        <f>IFERROR((VLOOKUP(D57,Sheet1!$B$3:$C$58,2,0)*$R$3),0)</f>
        <v>956769.63391524693</v>
      </c>
      <c r="L57" s="18">
        <v>0</v>
      </c>
      <c r="M57" s="22">
        <f t="shared" si="1"/>
        <v>1301580.0186600154</v>
      </c>
    </row>
    <row r="58" spans="1:13" x14ac:dyDescent="0.2">
      <c r="A58" s="1">
        <v>54</v>
      </c>
      <c r="B58" s="2" t="s">
        <v>150</v>
      </c>
      <c r="C58" s="2" t="s">
        <v>24</v>
      </c>
      <c r="D58" s="2" t="s">
        <v>151</v>
      </c>
      <c r="E58" s="2" t="s">
        <v>15</v>
      </c>
      <c r="F58" s="2" t="s">
        <v>16</v>
      </c>
      <c r="G58" s="3" t="s">
        <v>17</v>
      </c>
      <c r="I58" s="20">
        <v>54</v>
      </c>
      <c r="J58" s="18">
        <f t="shared" si="0"/>
        <v>344810.38474476844</v>
      </c>
      <c r="K58" s="21">
        <f>IFERROR((VLOOKUP(D58,Sheet1!$B$3:$C$58,2,0)*$R$3),0)</f>
        <v>1340762.6643602459</v>
      </c>
      <c r="L58" s="18">
        <v>0</v>
      </c>
      <c r="M58" s="22">
        <f t="shared" si="1"/>
        <v>1685573.0491050144</v>
      </c>
    </row>
    <row r="59" spans="1:13" x14ac:dyDescent="0.2">
      <c r="A59" s="1">
        <v>55</v>
      </c>
      <c r="B59" s="2" t="s">
        <v>152</v>
      </c>
      <c r="C59" s="2" t="s">
        <v>24</v>
      </c>
      <c r="D59" s="2" t="s">
        <v>153</v>
      </c>
      <c r="E59" s="2" t="s">
        <v>15</v>
      </c>
      <c r="F59" s="2" t="s">
        <v>16</v>
      </c>
      <c r="G59" s="3" t="s">
        <v>17</v>
      </c>
      <c r="I59" s="20">
        <v>55</v>
      </c>
      <c r="J59" s="18">
        <f t="shared" si="0"/>
        <v>344810.38474476844</v>
      </c>
      <c r="K59" s="21">
        <f>IFERROR((VLOOKUP(D59,Sheet1!$B$3:$C$58,2,0)*$R$3),0)</f>
        <v>243013.23291529459</v>
      </c>
      <c r="L59" s="18">
        <v>0</v>
      </c>
      <c r="M59" s="22">
        <f t="shared" si="1"/>
        <v>587823.61766006309</v>
      </c>
    </row>
    <row r="60" spans="1:13" x14ac:dyDescent="0.2">
      <c r="A60" s="1">
        <v>56</v>
      </c>
      <c r="B60" s="2" t="s">
        <v>154</v>
      </c>
      <c r="C60" s="2" t="s">
        <v>24</v>
      </c>
      <c r="D60" s="2" t="s">
        <v>155</v>
      </c>
      <c r="E60" s="2" t="s">
        <v>15</v>
      </c>
      <c r="F60" s="2" t="s">
        <v>16</v>
      </c>
      <c r="G60" s="3" t="s">
        <v>17</v>
      </c>
      <c r="I60" s="20">
        <v>56</v>
      </c>
      <c r="J60" s="18">
        <f t="shared" si="0"/>
        <v>344810.38474476844</v>
      </c>
      <c r="K60" s="21">
        <f>IFERROR((VLOOKUP(D60,Sheet1!$B$3:$C$58,2,0)*$R$3),0)</f>
        <v>603343.19896211068</v>
      </c>
      <c r="L60" s="18">
        <v>0</v>
      </c>
      <c r="M60" s="22">
        <f t="shared" si="1"/>
        <v>948153.58370687906</v>
      </c>
    </row>
    <row r="61" spans="1:13" x14ac:dyDescent="0.2">
      <c r="A61" s="1">
        <v>57</v>
      </c>
      <c r="B61" s="2" t="s">
        <v>156</v>
      </c>
      <c r="C61" s="2" t="s">
        <v>13</v>
      </c>
      <c r="D61" s="2" t="s">
        <v>157</v>
      </c>
      <c r="E61" s="2" t="s">
        <v>15</v>
      </c>
      <c r="F61" s="2" t="s">
        <v>16</v>
      </c>
      <c r="G61" s="3" t="s">
        <v>17</v>
      </c>
      <c r="I61" s="20">
        <v>57</v>
      </c>
      <c r="J61" s="18">
        <f t="shared" si="0"/>
        <v>344810.38474476844</v>
      </c>
      <c r="K61" s="21">
        <f>IFERROR((VLOOKUP(D61,Sheet1!$B$3:$C$58,2,0)*$R$3),0)</f>
        <v>0</v>
      </c>
      <c r="L61" s="18">
        <v>0</v>
      </c>
      <c r="M61" s="22">
        <f t="shared" si="1"/>
        <v>344810.38474476844</v>
      </c>
    </row>
    <row r="62" spans="1:13" x14ac:dyDescent="0.2">
      <c r="A62" s="1">
        <v>58</v>
      </c>
      <c r="B62" s="2" t="s">
        <v>158</v>
      </c>
      <c r="C62" s="2" t="s">
        <v>24</v>
      </c>
      <c r="D62" s="2" t="s">
        <v>159</v>
      </c>
      <c r="E62" s="2" t="s">
        <v>15</v>
      </c>
      <c r="F62" s="2" t="s">
        <v>16</v>
      </c>
      <c r="G62" s="3" t="s">
        <v>17</v>
      </c>
      <c r="I62" s="20">
        <v>58</v>
      </c>
      <c r="J62" s="18">
        <f t="shared" si="0"/>
        <v>344810.38474476844</v>
      </c>
      <c r="K62" s="21">
        <f>IFERROR((VLOOKUP(D62,Sheet1!$B$3:$C$58,2,0)*$R$3),0)</f>
        <v>142716.73693967948</v>
      </c>
      <c r="L62" s="18">
        <v>0</v>
      </c>
      <c r="M62" s="22">
        <f t="shared" si="1"/>
        <v>487527.12168444792</v>
      </c>
    </row>
    <row r="63" spans="1:13" x14ac:dyDescent="0.2">
      <c r="A63" s="1">
        <v>59</v>
      </c>
      <c r="B63" s="2" t="s">
        <v>162</v>
      </c>
      <c r="C63" s="2" t="s">
        <v>24</v>
      </c>
      <c r="D63" s="2" t="s">
        <v>163</v>
      </c>
      <c r="E63" s="2" t="s">
        <v>15</v>
      </c>
      <c r="F63" s="2" t="s">
        <v>16</v>
      </c>
      <c r="G63" s="3" t="s">
        <v>17</v>
      </c>
      <c r="I63" s="20">
        <v>59</v>
      </c>
      <c r="J63" s="18">
        <f t="shared" si="0"/>
        <v>344810.38474476844</v>
      </c>
      <c r="K63" s="21">
        <f>IFERROR((VLOOKUP(D63,Sheet1!$B$3:$C$58,2,0)*$R$3),0)</f>
        <v>553064.59904860146</v>
      </c>
      <c r="L63" s="18">
        <v>0</v>
      </c>
      <c r="M63" s="22">
        <f t="shared" si="1"/>
        <v>897874.98379336996</v>
      </c>
    </row>
    <row r="64" spans="1:13" x14ac:dyDescent="0.2">
      <c r="A64" s="1">
        <v>60</v>
      </c>
      <c r="B64" s="2" t="s">
        <v>164</v>
      </c>
      <c r="C64" s="2" t="s">
        <v>24</v>
      </c>
      <c r="D64" s="2" t="s">
        <v>165</v>
      </c>
      <c r="E64" s="2" t="s">
        <v>15</v>
      </c>
      <c r="F64" s="2" t="s">
        <v>16</v>
      </c>
      <c r="G64" s="3" t="s">
        <v>17</v>
      </c>
      <c r="I64" s="20">
        <v>60</v>
      </c>
      <c r="J64" s="18">
        <f t="shared" si="0"/>
        <v>344810.38474476844</v>
      </c>
      <c r="K64" s="21">
        <f>IFERROR((VLOOKUP(D64,Sheet1!$B$3:$C$58,2,0)*$R$3),0)</f>
        <v>97205.293166117801</v>
      </c>
      <c r="L64" s="18">
        <v>0</v>
      </c>
      <c r="M64" s="22">
        <f t="shared" si="1"/>
        <v>442015.67791088624</v>
      </c>
    </row>
    <row r="65" spans="1:16" x14ac:dyDescent="0.2">
      <c r="A65" s="1">
        <v>61</v>
      </c>
      <c r="B65" s="2" t="s">
        <v>166</v>
      </c>
      <c r="C65" s="2" t="s">
        <v>24</v>
      </c>
      <c r="D65" s="2" t="s">
        <v>167</v>
      </c>
      <c r="E65" s="2" t="s">
        <v>15</v>
      </c>
      <c r="F65" s="2" t="s">
        <v>16</v>
      </c>
      <c r="G65" s="3" t="s">
        <v>17</v>
      </c>
      <c r="I65" s="20">
        <v>61</v>
      </c>
      <c r="J65" s="18">
        <f t="shared" si="0"/>
        <v>344810.38474476844</v>
      </c>
      <c r="K65" s="21">
        <f>IFERROR((VLOOKUP(D65,Sheet1!$B$3:$C$58,2,0)*$R$3),0)</f>
        <v>754178.99870263832</v>
      </c>
      <c r="L65" s="18">
        <v>0</v>
      </c>
      <c r="M65" s="22">
        <f t="shared" si="1"/>
        <v>1098989.3834474068</v>
      </c>
    </row>
    <row r="66" spans="1:16" x14ac:dyDescent="0.2">
      <c r="A66" s="1">
        <v>62</v>
      </c>
      <c r="B66" s="2" t="s">
        <v>168</v>
      </c>
      <c r="C66" s="2" t="s">
        <v>13</v>
      </c>
      <c r="D66" s="2" t="s">
        <v>169</v>
      </c>
      <c r="E66" s="2" t="s">
        <v>15</v>
      </c>
      <c r="F66" s="2" t="s">
        <v>16</v>
      </c>
      <c r="G66" s="3" t="s">
        <v>17</v>
      </c>
      <c r="I66" s="20">
        <v>62</v>
      </c>
      <c r="J66" s="18">
        <f t="shared" si="0"/>
        <v>344810.38474476844</v>
      </c>
      <c r="K66" s="21">
        <f>IFERROR((VLOOKUP(D66,Sheet1!$B$3:$C$58,2,0)*$R$3),0)</f>
        <v>0</v>
      </c>
      <c r="L66" s="18">
        <v>0</v>
      </c>
      <c r="M66" s="22">
        <f t="shared" si="1"/>
        <v>344810.38474476844</v>
      </c>
    </row>
    <row r="67" spans="1:16" x14ac:dyDescent="0.2">
      <c r="A67" s="1">
        <v>63</v>
      </c>
      <c r="B67" s="2" t="s">
        <v>172</v>
      </c>
      <c r="C67" s="2" t="s">
        <v>24</v>
      </c>
      <c r="D67" s="2" t="s">
        <v>173</v>
      </c>
      <c r="E67" s="2" t="s">
        <v>15</v>
      </c>
      <c r="F67" s="2" t="s">
        <v>16</v>
      </c>
      <c r="G67" s="3" t="s">
        <v>17</v>
      </c>
      <c r="I67" s="20">
        <v>63</v>
      </c>
      <c r="J67" s="18">
        <f t="shared" si="0"/>
        <v>344810.38474476844</v>
      </c>
      <c r="K67" s="21">
        <f>IFERROR((VLOOKUP(D67,Sheet1!$B$3:$C$58,2,0)*$R$3),0)</f>
        <v>569824.13235310442</v>
      </c>
      <c r="L67" s="18">
        <v>0</v>
      </c>
      <c r="M67" s="22">
        <f t="shared" si="1"/>
        <v>914634.51709787291</v>
      </c>
    </row>
    <row r="68" spans="1:16" x14ac:dyDescent="0.2">
      <c r="A68" s="1">
        <v>64</v>
      </c>
      <c r="B68" s="2" t="s">
        <v>174</v>
      </c>
      <c r="C68" s="2" t="s">
        <v>24</v>
      </c>
      <c r="D68" s="2" t="s">
        <v>175</v>
      </c>
      <c r="E68" s="2" t="s">
        <v>15</v>
      </c>
      <c r="F68" s="2" t="s">
        <v>16</v>
      </c>
      <c r="G68" s="3" t="s">
        <v>17</v>
      </c>
      <c r="I68" s="20">
        <v>64</v>
      </c>
      <c r="J68" s="18">
        <f t="shared" si="0"/>
        <v>344810.38474476844</v>
      </c>
      <c r="K68" s="21">
        <f>IFERROR((VLOOKUP(D68,Sheet1!$B$3:$C$58,2,0)*$R$3),0)</f>
        <v>0</v>
      </c>
      <c r="L68" s="18">
        <v>0</v>
      </c>
      <c r="M68" s="22">
        <f t="shared" si="1"/>
        <v>344810.38474476844</v>
      </c>
    </row>
    <row r="69" spans="1:16" x14ac:dyDescent="0.2">
      <c r="A69" s="1">
        <v>65</v>
      </c>
      <c r="B69" s="2" t="s">
        <v>176</v>
      </c>
      <c r="C69" s="2" t="s">
        <v>24</v>
      </c>
      <c r="D69" s="2" t="s">
        <v>177</v>
      </c>
      <c r="E69" s="2" t="s">
        <v>15</v>
      </c>
      <c r="F69" s="2" t="s">
        <v>16</v>
      </c>
      <c r="G69" s="3" t="s">
        <v>17</v>
      </c>
      <c r="I69" s="20">
        <v>65</v>
      </c>
      <c r="J69" s="18">
        <f t="shared" si="0"/>
        <v>344810.38474476844</v>
      </c>
      <c r="K69" s="21">
        <f>IFERROR((VLOOKUP(D69,Sheet1!$B$3:$C$58,2,0)*$R$3),0)</f>
        <v>650828.54332486936</v>
      </c>
      <c r="L69" s="18">
        <v>0</v>
      </c>
      <c r="M69" s="22">
        <f t="shared" si="1"/>
        <v>995638.92806963786</v>
      </c>
      <c r="P69" s="55">
        <f>P70+P71</f>
        <v>155611996.09155387</v>
      </c>
    </row>
    <row r="70" spans="1:16" x14ac:dyDescent="0.2">
      <c r="A70" s="1">
        <v>66</v>
      </c>
      <c r="B70" s="2" t="s">
        <v>178</v>
      </c>
      <c r="C70" s="2" t="s">
        <v>24</v>
      </c>
      <c r="D70" s="2" t="s">
        <v>179</v>
      </c>
      <c r="E70" s="2" t="s">
        <v>15</v>
      </c>
      <c r="F70" s="2" t="s">
        <v>16</v>
      </c>
      <c r="G70" s="3" t="s">
        <v>17</v>
      </c>
      <c r="I70" s="20">
        <v>66</v>
      </c>
      <c r="J70" s="18">
        <f t="shared" ref="J70:J83" si="2">$R$3/($I$1-3)</f>
        <v>344810.38474476844</v>
      </c>
      <c r="K70" s="21">
        <f>IFERROR((VLOOKUP(D70,Sheet1!$B$3:$C$58,2,0)*$R$3),0)</f>
        <v>0</v>
      </c>
      <c r="L70" s="18">
        <v>0</v>
      </c>
      <c r="M70" s="22">
        <f t="shared" ref="M70:M83" si="3">SUM(J70:L70)</f>
        <v>344810.38474476844</v>
      </c>
      <c r="P70" s="7">
        <v>62513192.2104664</v>
      </c>
    </row>
    <row r="71" spans="1:16" x14ac:dyDescent="0.2">
      <c r="A71" s="1">
        <v>67</v>
      </c>
      <c r="B71" s="2" t="s">
        <v>180</v>
      </c>
      <c r="C71" s="2" t="s">
        <v>24</v>
      </c>
      <c r="D71" s="2" t="s">
        <v>181</v>
      </c>
      <c r="E71" s="2" t="s">
        <v>15</v>
      </c>
      <c r="F71" s="2" t="s">
        <v>16</v>
      </c>
      <c r="G71" s="3" t="s">
        <v>17</v>
      </c>
      <c r="I71" s="20">
        <v>67</v>
      </c>
      <c r="J71" s="18">
        <f t="shared" si="2"/>
        <v>344810.38474476844</v>
      </c>
      <c r="K71" s="21">
        <f>IFERROR((VLOOKUP(D71,Sheet1!$B$3:$C$58,2,0)*$R$3),0)</f>
        <v>1139648.2647062088</v>
      </c>
      <c r="L71" s="18">
        <v>0</v>
      </c>
      <c r="M71" s="22">
        <f t="shared" si="3"/>
        <v>1484458.6494509773</v>
      </c>
      <c r="P71" s="7">
        <v>93098803.881087482</v>
      </c>
    </row>
    <row r="72" spans="1:16" x14ac:dyDescent="0.2">
      <c r="A72" s="1">
        <v>68</v>
      </c>
      <c r="B72" s="2" t="s">
        <v>182</v>
      </c>
      <c r="C72" s="2" t="s">
        <v>24</v>
      </c>
      <c r="D72" s="2" t="s">
        <v>183</v>
      </c>
      <c r="E72" s="2" t="s">
        <v>15</v>
      </c>
      <c r="F72" s="2" t="s">
        <v>16</v>
      </c>
      <c r="G72" s="3" t="s">
        <v>31</v>
      </c>
      <c r="I72" s="20">
        <v>68</v>
      </c>
      <c r="J72" s="18">
        <f t="shared" si="2"/>
        <v>344810.38474476844</v>
      </c>
      <c r="K72" s="21">
        <f>IFERROR((VLOOKUP(D72,Sheet1!$B$3:$C$58,2,0)*$R$3),0)</f>
        <v>341894.47941186273</v>
      </c>
      <c r="L72" s="18">
        <v>0</v>
      </c>
      <c r="M72" s="22">
        <f t="shared" si="3"/>
        <v>686704.86415663117</v>
      </c>
      <c r="P72" s="7"/>
    </row>
    <row r="73" spans="1:16" x14ac:dyDescent="0.2">
      <c r="A73" s="1">
        <v>69</v>
      </c>
      <c r="B73" s="2" t="s">
        <v>186</v>
      </c>
      <c r="C73" s="2" t="s">
        <v>19</v>
      </c>
      <c r="D73" s="2" t="s">
        <v>187</v>
      </c>
      <c r="E73" s="2" t="s">
        <v>15</v>
      </c>
      <c r="F73" s="2" t="s">
        <v>16</v>
      </c>
      <c r="G73" s="3" t="s">
        <v>17</v>
      </c>
      <c r="I73" s="20">
        <v>69</v>
      </c>
      <c r="J73" s="18">
        <f t="shared" si="2"/>
        <v>344810.38474476844</v>
      </c>
      <c r="K73" s="21">
        <f>IFERROR((VLOOKUP(D73,Sheet1!$B$3:$C$58,2,0)*$R$3),0)</f>
        <v>0</v>
      </c>
      <c r="L73" s="18">
        <v>0</v>
      </c>
      <c r="M73" s="22">
        <f t="shared" si="3"/>
        <v>344810.38474476844</v>
      </c>
      <c r="P73" s="7"/>
    </row>
    <row r="74" spans="1:16" x14ac:dyDescent="0.2">
      <c r="A74" s="1">
        <v>70</v>
      </c>
      <c r="B74" s="2" t="s">
        <v>188</v>
      </c>
      <c r="C74" s="2" t="s">
        <v>24</v>
      </c>
      <c r="D74" s="2" t="s">
        <v>189</v>
      </c>
      <c r="E74" s="2" t="s">
        <v>15</v>
      </c>
      <c r="F74" s="2" t="s">
        <v>16</v>
      </c>
      <c r="G74" s="3" t="s">
        <v>17</v>
      </c>
      <c r="I74" s="20">
        <v>70</v>
      </c>
      <c r="J74" s="18">
        <f t="shared" si="2"/>
        <v>344810.38474476844</v>
      </c>
      <c r="K74" s="21">
        <f>IFERROR((VLOOKUP(D74,Sheet1!$B$3:$C$58,2,0)*$R$3),0)</f>
        <v>569824.13235310442</v>
      </c>
      <c r="L74" s="18">
        <v>0</v>
      </c>
      <c r="M74" s="22">
        <f t="shared" si="3"/>
        <v>914634.51709787291</v>
      </c>
      <c r="P74" s="7"/>
    </row>
    <row r="75" spans="1:16" x14ac:dyDescent="0.2">
      <c r="A75" s="1">
        <v>71</v>
      </c>
      <c r="B75" s="2" t="s">
        <v>190</v>
      </c>
      <c r="C75" s="2" t="s">
        <v>24</v>
      </c>
      <c r="D75" s="2" t="s">
        <v>191</v>
      </c>
      <c r="E75" s="2" t="s">
        <v>15</v>
      </c>
      <c r="F75" s="2" t="s">
        <v>16</v>
      </c>
      <c r="G75" s="3" t="s">
        <v>17</v>
      </c>
      <c r="I75" s="20">
        <v>71</v>
      </c>
      <c r="J75" s="18">
        <f t="shared" si="2"/>
        <v>344810.38474476844</v>
      </c>
      <c r="K75" s="21">
        <f>IFERROR((VLOOKUP(D75,Sheet1!$B$3:$C$58,2,0)*$R$3),0)</f>
        <v>563120.31903130305</v>
      </c>
      <c r="L75" s="18">
        <v>0</v>
      </c>
      <c r="M75" s="22">
        <f t="shared" si="3"/>
        <v>907930.70377607155</v>
      </c>
      <c r="P75" s="7">
        <f>+'[2]MUTASI 2026'!$I$149+'[2]MUTASI 2026'!$I$154</f>
        <v>-92122144</v>
      </c>
    </row>
    <row r="76" spans="1:16" x14ac:dyDescent="0.2">
      <c r="A76" s="1">
        <v>72</v>
      </c>
      <c r="B76" s="2" t="s">
        <v>192</v>
      </c>
      <c r="C76" s="2" t="s">
        <v>24</v>
      </c>
      <c r="D76" s="2" t="s">
        <v>193</v>
      </c>
      <c r="E76" s="2" t="s">
        <v>15</v>
      </c>
      <c r="F76" s="2" t="s">
        <v>16</v>
      </c>
      <c r="G76" s="3" t="s">
        <v>17</v>
      </c>
      <c r="I76" s="20">
        <v>72</v>
      </c>
      <c r="J76" s="18">
        <f t="shared" si="2"/>
        <v>344810.38474476844</v>
      </c>
      <c r="K76" s="21">
        <f>IFERROR((VLOOKUP(D76,Sheet1!$B$3:$C$58,2,0)*$R$3),0)</f>
        <v>0</v>
      </c>
      <c r="L76" s="18">
        <v>0</v>
      </c>
      <c r="M76" s="22">
        <f t="shared" si="3"/>
        <v>344810.38474476844</v>
      </c>
      <c r="P76" s="7"/>
    </row>
    <row r="77" spans="1:16" x14ac:dyDescent="0.2">
      <c r="A77" s="1">
        <v>73</v>
      </c>
      <c r="B77" s="2" t="s">
        <v>194</v>
      </c>
      <c r="C77" s="2" t="s">
        <v>24</v>
      </c>
      <c r="D77" s="2" t="s">
        <v>195</v>
      </c>
      <c r="E77" s="2" t="s">
        <v>15</v>
      </c>
      <c r="F77" s="2" t="s">
        <v>16</v>
      </c>
      <c r="G77" s="3" t="s">
        <v>17</v>
      </c>
      <c r="I77" s="20">
        <v>73</v>
      </c>
      <c r="J77" s="18">
        <f t="shared" si="2"/>
        <v>344810.38474476844</v>
      </c>
      <c r="K77" s="21">
        <f>IFERROR((VLOOKUP(D77,Sheet1!$B$3:$C$58,2,0)*$R$3),0)</f>
        <v>281560.15951565164</v>
      </c>
      <c r="L77" s="18">
        <v>0</v>
      </c>
      <c r="M77" s="22">
        <f t="shared" si="3"/>
        <v>626370.54426042014</v>
      </c>
      <c r="P77" s="7"/>
    </row>
    <row r="78" spans="1:16" x14ac:dyDescent="0.2">
      <c r="A78" s="1">
        <v>74</v>
      </c>
      <c r="B78" s="2" t="s">
        <v>196</v>
      </c>
      <c r="C78" s="2" t="s">
        <v>13</v>
      </c>
      <c r="D78" s="2" t="s">
        <v>197</v>
      </c>
      <c r="E78" s="2" t="s">
        <v>15</v>
      </c>
      <c r="F78" s="2" t="s">
        <v>26</v>
      </c>
      <c r="G78" s="3" t="s">
        <v>17</v>
      </c>
      <c r="I78" s="20">
        <v>74</v>
      </c>
      <c r="J78" s="18">
        <f t="shared" si="2"/>
        <v>344810.38474476844</v>
      </c>
      <c r="K78" s="21">
        <f>IFERROR((VLOOKUP(D78,Sheet1!$B$3:$C$58,2,0)*$R$3),0)</f>
        <v>0</v>
      </c>
      <c r="L78" s="18">
        <v>0</v>
      </c>
      <c r="M78" s="22">
        <f t="shared" si="3"/>
        <v>344810.38474476844</v>
      </c>
    </row>
    <row r="79" spans="1:16" x14ac:dyDescent="0.2">
      <c r="A79" s="1">
        <v>75</v>
      </c>
      <c r="B79" s="2" t="s">
        <v>200</v>
      </c>
      <c r="C79" s="2" t="s">
        <v>24</v>
      </c>
      <c r="D79" s="2" t="s">
        <v>201</v>
      </c>
      <c r="E79" s="2" t="s">
        <v>15</v>
      </c>
      <c r="F79" s="2" t="s">
        <v>16</v>
      </c>
      <c r="G79" s="3" t="s">
        <v>17</v>
      </c>
      <c r="I79" s="20">
        <v>75</v>
      </c>
      <c r="J79" s="18">
        <v>0</v>
      </c>
      <c r="K79" s="21">
        <f>IFERROR((VLOOKUP(D79,Sheet1!$B$3:$C$58,2,0)*$R$3),0)</f>
        <v>0</v>
      </c>
      <c r="L79" s="18">
        <v>0</v>
      </c>
      <c r="M79" s="22">
        <f t="shared" si="3"/>
        <v>0</v>
      </c>
    </row>
    <row r="80" spans="1:16" x14ac:dyDescent="0.2">
      <c r="A80" s="1">
        <v>76</v>
      </c>
      <c r="B80" s="2" t="s">
        <v>202</v>
      </c>
      <c r="C80" s="2" t="s">
        <v>24</v>
      </c>
      <c r="D80" s="2" t="s">
        <v>203</v>
      </c>
      <c r="E80" s="2" t="s">
        <v>15</v>
      </c>
      <c r="F80" s="2" t="s">
        <v>16</v>
      </c>
      <c r="G80" s="3" t="s">
        <v>17</v>
      </c>
      <c r="I80" s="20">
        <v>76</v>
      </c>
      <c r="J80" s="18">
        <v>0</v>
      </c>
      <c r="K80" s="21">
        <f>IFERROR((VLOOKUP(D80,Sheet1!$B$3:$C$58,2,0)*$R$3),0)</f>
        <v>0</v>
      </c>
      <c r="L80" s="18">
        <v>0</v>
      </c>
      <c r="M80" s="22">
        <f t="shared" si="3"/>
        <v>0</v>
      </c>
    </row>
    <row r="81" spans="1:13" x14ac:dyDescent="0.2">
      <c r="A81" s="1">
        <v>77</v>
      </c>
      <c r="B81" s="2" t="s">
        <v>204</v>
      </c>
      <c r="C81" s="2" t="s">
        <v>24</v>
      </c>
      <c r="D81" s="2" t="s">
        <v>205</v>
      </c>
      <c r="E81" s="2" t="s">
        <v>15</v>
      </c>
      <c r="F81" s="2" t="s">
        <v>16</v>
      </c>
      <c r="G81" s="3" t="s">
        <v>17</v>
      </c>
      <c r="I81" s="20">
        <v>77</v>
      </c>
      <c r="J81" s="18">
        <v>0</v>
      </c>
      <c r="K81" s="21">
        <f>IFERROR((VLOOKUP(D81,Sheet1!$B$3:$C$58,2,0)*$R$3),0)</f>
        <v>0</v>
      </c>
      <c r="L81" s="18">
        <v>0</v>
      </c>
      <c r="M81" s="22">
        <f t="shared" si="3"/>
        <v>0</v>
      </c>
    </row>
    <row r="82" spans="1:13" x14ac:dyDescent="0.2">
      <c r="A82" s="1">
        <v>78</v>
      </c>
      <c r="B82" s="2" t="s">
        <v>198</v>
      </c>
      <c r="C82" s="2" t="s">
        <v>24</v>
      </c>
      <c r="D82" s="2" t="s">
        <v>199</v>
      </c>
      <c r="E82" s="2" t="s">
        <v>15</v>
      </c>
      <c r="F82" s="2" t="s">
        <v>16</v>
      </c>
      <c r="G82" s="3" t="s">
        <v>17</v>
      </c>
      <c r="I82" s="20">
        <v>78</v>
      </c>
      <c r="J82" s="18">
        <f t="shared" si="2"/>
        <v>344810.38474476844</v>
      </c>
      <c r="K82" s="21">
        <f>IFERROR((VLOOKUP(D82,Sheet1!$B$3:$C$58,2,0)*$R$3),0)</f>
        <v>251392.9995675461</v>
      </c>
      <c r="L82" s="18">
        <v>0</v>
      </c>
      <c r="M82" s="22">
        <f t="shared" si="3"/>
        <v>596203.38431231456</v>
      </c>
    </row>
    <row r="83" spans="1:13" ht="12.75" thickBot="1" x14ac:dyDescent="0.25">
      <c r="A83" s="1">
        <v>79</v>
      </c>
      <c r="B83" s="2" t="s">
        <v>214</v>
      </c>
      <c r="C83" s="2" t="s">
        <v>24</v>
      </c>
      <c r="D83" s="2" t="s">
        <v>213</v>
      </c>
      <c r="E83" s="2" t="s">
        <v>15</v>
      </c>
      <c r="F83" s="2" t="s">
        <v>110</v>
      </c>
      <c r="G83" s="3" t="s">
        <v>17</v>
      </c>
      <c r="I83" s="23">
        <v>79</v>
      </c>
      <c r="J83" s="24">
        <f t="shared" si="2"/>
        <v>344810.38474476844</v>
      </c>
      <c r="K83" s="24">
        <f>IFERROR((VLOOKUP(D83,Sheet1!$B$3:$C$58,2,0)*$R$3),0)</f>
        <v>0</v>
      </c>
      <c r="L83" s="24">
        <v>0</v>
      </c>
      <c r="M83" s="25">
        <f t="shared" si="3"/>
        <v>344810.38474476844</v>
      </c>
    </row>
    <row r="84" spans="1:13" s="26" customFormat="1" ht="13.5" thickTop="1" thickBot="1" x14ac:dyDescent="0.25">
      <c r="A84" s="1"/>
      <c r="G84" s="27"/>
      <c r="H84" s="27"/>
      <c r="I84" s="27"/>
      <c r="J84" s="28"/>
      <c r="K84" s="28"/>
      <c r="L84" s="28"/>
      <c r="M84" s="29"/>
    </row>
    <row r="85" spans="1:13" ht="13.5" thickTop="1" thickBot="1" x14ac:dyDescent="0.25">
      <c r="C85" s="2" t="s">
        <v>206</v>
      </c>
      <c r="D85" s="2" t="s">
        <v>207</v>
      </c>
      <c r="I85" s="30"/>
      <c r="J85" s="31">
        <v>0</v>
      </c>
      <c r="K85" s="31">
        <f>IFERROR((VLOOKUP(D85,'[1]Kontribusi Laba 2023'!$B$2:$D$98,3,0)),0)</f>
        <v>0</v>
      </c>
      <c r="L85" s="31">
        <f>$R$3*7%</f>
        <v>2172305.4238920417</v>
      </c>
      <c r="M85" s="32">
        <f>SUM(J85:L85)</f>
        <v>2172305.4238920417</v>
      </c>
    </row>
    <row r="86" spans="1:13" ht="13.5" thickTop="1" thickBot="1" x14ac:dyDescent="0.25">
      <c r="J86" s="28"/>
      <c r="K86" s="28"/>
      <c r="L86" s="28"/>
      <c r="M86" s="33"/>
    </row>
    <row r="87" spans="1:13" s="34" customFormat="1" ht="12.75" thickTop="1" x14ac:dyDescent="0.2">
      <c r="A87" s="1">
        <v>1</v>
      </c>
      <c r="B87" s="34" t="s">
        <v>18</v>
      </c>
      <c r="C87" s="34" t="s">
        <v>19</v>
      </c>
      <c r="D87" s="34" t="s">
        <v>20</v>
      </c>
      <c r="E87" s="34" t="s">
        <v>211</v>
      </c>
      <c r="F87" s="34" t="s">
        <v>16</v>
      </c>
      <c r="G87" s="35" t="s">
        <v>17</v>
      </c>
      <c r="H87" s="35"/>
      <c r="I87" s="36">
        <v>1</v>
      </c>
      <c r="J87" s="37">
        <f t="shared" ref="J87:J100" si="4">$R$3/($I$1-3)</f>
        <v>344810.38474476844</v>
      </c>
      <c r="K87" s="37">
        <f>IFERROR((VLOOKUP(D87,Sheet1!$B$3:$C$58,2,0)*$R$3),0)</f>
        <v>0</v>
      </c>
      <c r="L87" s="37">
        <v>0</v>
      </c>
      <c r="M87" s="38">
        <f t="shared" ref="M87:M100" si="5">SUM(J87:L87)</f>
        <v>344810.38474476844</v>
      </c>
    </row>
    <row r="88" spans="1:13" s="34" customFormat="1" x14ac:dyDescent="0.2">
      <c r="A88" s="1">
        <v>2</v>
      </c>
      <c r="B88" s="34" t="s">
        <v>70</v>
      </c>
      <c r="C88" s="34" t="s">
        <v>19</v>
      </c>
      <c r="D88" s="34" t="s">
        <v>71</v>
      </c>
      <c r="E88" s="34" t="s">
        <v>208</v>
      </c>
      <c r="F88" s="34" t="s">
        <v>16</v>
      </c>
      <c r="G88" s="35" t="s">
        <v>17</v>
      </c>
      <c r="H88" s="35"/>
      <c r="I88" s="20">
        <v>2</v>
      </c>
      <c r="J88" s="21">
        <f t="shared" si="4"/>
        <v>344810.38474476844</v>
      </c>
      <c r="K88" s="21">
        <f>IFERROR((VLOOKUP(D88,Sheet1!$B$3:$C$58,2,0)*$R$3),0)</f>
        <v>527925.2990918468</v>
      </c>
      <c r="L88" s="18">
        <v>0</v>
      </c>
      <c r="M88" s="22">
        <f t="shared" si="5"/>
        <v>872735.68383661518</v>
      </c>
    </row>
    <row r="89" spans="1:13" s="34" customFormat="1" x14ac:dyDescent="0.2">
      <c r="A89" s="1">
        <v>3</v>
      </c>
      <c r="B89" s="34" t="s">
        <v>98</v>
      </c>
      <c r="C89" s="34" t="s">
        <v>24</v>
      </c>
      <c r="D89" s="34" t="s">
        <v>99</v>
      </c>
      <c r="E89" s="34" t="s">
        <v>208</v>
      </c>
      <c r="F89" s="34" t="s">
        <v>16</v>
      </c>
      <c r="G89" s="35" t="s">
        <v>17</v>
      </c>
      <c r="H89" s="35"/>
      <c r="I89" s="20">
        <v>3</v>
      </c>
      <c r="J89" s="21">
        <f t="shared" si="4"/>
        <v>344810.38474476844</v>
      </c>
      <c r="K89" s="21">
        <f>IFERROR((VLOOKUP(D89,Sheet1!$B$3:$C$58,2,0)*$R$3),0)</f>
        <v>173125.97903551676</v>
      </c>
      <c r="L89" s="18">
        <v>0</v>
      </c>
      <c r="M89" s="22">
        <f t="shared" si="5"/>
        <v>517936.36378028523</v>
      </c>
    </row>
    <row r="90" spans="1:13" s="34" customFormat="1" x14ac:dyDescent="0.2">
      <c r="A90" s="1">
        <v>4</v>
      </c>
      <c r="B90" s="34" t="s">
        <v>160</v>
      </c>
      <c r="C90" s="34" t="s">
        <v>24</v>
      </c>
      <c r="D90" s="34" t="s">
        <v>161</v>
      </c>
      <c r="E90" s="34" t="s">
        <v>208</v>
      </c>
      <c r="F90" s="34" t="s">
        <v>16</v>
      </c>
      <c r="G90" s="35" t="s">
        <v>17</v>
      </c>
      <c r="H90" s="35"/>
      <c r="I90" s="20">
        <v>4</v>
      </c>
      <c r="J90" s="21">
        <f t="shared" si="4"/>
        <v>344810.38474476844</v>
      </c>
      <c r="K90" s="21">
        <f>IFERROR((VLOOKUP(D90,Sheet1!$B$3:$C$58,2,0)*$R$3),0)</f>
        <v>121506.61645764729</v>
      </c>
      <c r="L90" s="18">
        <v>0</v>
      </c>
      <c r="M90" s="22">
        <f t="shared" si="5"/>
        <v>466317.00120241573</v>
      </c>
    </row>
    <row r="91" spans="1:13" s="34" customFormat="1" x14ac:dyDescent="0.2">
      <c r="A91" s="1">
        <v>5</v>
      </c>
      <c r="B91" s="34" t="s">
        <v>142</v>
      </c>
      <c r="C91" s="34" t="s">
        <v>24</v>
      </c>
      <c r="D91" s="34" t="s">
        <v>143</v>
      </c>
      <c r="E91" s="34" t="s">
        <v>208</v>
      </c>
      <c r="F91" s="34" t="s">
        <v>16</v>
      </c>
      <c r="G91" s="35" t="s">
        <v>17</v>
      </c>
      <c r="H91" s="35"/>
      <c r="I91" s="20">
        <v>5</v>
      </c>
      <c r="J91" s="21">
        <f t="shared" si="4"/>
        <v>344810.38474476844</v>
      </c>
      <c r="K91" s="21">
        <f>IFERROR((VLOOKUP(D91,Sheet1!$B$3:$C$58,2,0)*$R$3),0)</f>
        <v>186142.54990201414</v>
      </c>
      <c r="L91" s="18">
        <v>0</v>
      </c>
      <c r="M91" s="22">
        <f t="shared" si="5"/>
        <v>530952.93464678258</v>
      </c>
    </row>
    <row r="92" spans="1:13" s="34" customFormat="1" x14ac:dyDescent="0.2">
      <c r="A92" s="1">
        <v>6</v>
      </c>
      <c r="B92" s="34" t="s">
        <v>76</v>
      </c>
      <c r="C92" s="34" t="s">
        <v>24</v>
      </c>
      <c r="D92" s="34" t="s">
        <v>77</v>
      </c>
      <c r="E92" s="34" t="s">
        <v>209</v>
      </c>
      <c r="F92" s="34" t="s">
        <v>16</v>
      </c>
      <c r="G92" s="35" t="s">
        <v>17</v>
      </c>
      <c r="H92" s="35"/>
      <c r="I92" s="20">
        <v>6</v>
      </c>
      <c r="J92" s="21">
        <f t="shared" si="4"/>
        <v>344810.38474476844</v>
      </c>
      <c r="K92" s="21">
        <f>IFERROR((VLOOKUP(D92,Sheet1!$B$3:$C$58,2,0)*$R$3),0)</f>
        <v>0</v>
      </c>
      <c r="L92" s="18">
        <v>0</v>
      </c>
      <c r="M92" s="22">
        <f t="shared" si="5"/>
        <v>344810.38474476844</v>
      </c>
    </row>
    <row r="93" spans="1:13" s="34" customFormat="1" x14ac:dyDescent="0.2">
      <c r="A93" s="1">
        <v>7</v>
      </c>
      <c r="B93" s="34" t="s">
        <v>118</v>
      </c>
      <c r="C93" s="34" t="s">
        <v>24</v>
      </c>
      <c r="D93" s="34" t="s">
        <v>119</v>
      </c>
      <c r="E93" s="34" t="s">
        <v>209</v>
      </c>
      <c r="F93" s="34" t="s">
        <v>16</v>
      </c>
      <c r="G93" s="35" t="s">
        <v>17</v>
      </c>
      <c r="H93" s="35"/>
      <c r="I93" s="20">
        <v>7</v>
      </c>
      <c r="J93" s="21">
        <f t="shared" si="4"/>
        <v>344810.38474476844</v>
      </c>
      <c r="K93" s="21">
        <f>IFERROR((VLOOKUP(D93,Sheet1!$B$3:$C$58,2,0)*$R$3),0)</f>
        <v>0</v>
      </c>
      <c r="L93" s="18">
        <v>0</v>
      </c>
      <c r="M93" s="22">
        <f t="shared" si="5"/>
        <v>344810.38474476844</v>
      </c>
    </row>
    <row r="94" spans="1:13" s="34" customFormat="1" x14ac:dyDescent="0.2">
      <c r="A94" s="1">
        <v>8</v>
      </c>
      <c r="B94" s="34" t="s">
        <v>78</v>
      </c>
      <c r="C94" s="34" t="s">
        <v>24</v>
      </c>
      <c r="D94" s="34" t="s">
        <v>79</v>
      </c>
      <c r="E94" s="34" t="s">
        <v>208</v>
      </c>
      <c r="F94" s="34" t="s">
        <v>16</v>
      </c>
      <c r="G94" s="35" t="s">
        <v>17</v>
      </c>
      <c r="H94" s="35"/>
      <c r="I94" s="20">
        <v>8</v>
      </c>
      <c r="J94" s="21">
        <f t="shared" si="4"/>
        <v>344810.38474476844</v>
      </c>
      <c r="K94" s="21">
        <f>IFERROR((VLOOKUP(D94,Sheet1!$B$3:$C$58,2,0)*$R$3),0)</f>
        <v>0</v>
      </c>
      <c r="L94" s="18">
        <v>0</v>
      </c>
      <c r="M94" s="22">
        <f t="shared" si="5"/>
        <v>344810.38474476844</v>
      </c>
    </row>
    <row r="95" spans="1:13" s="34" customFormat="1" x14ac:dyDescent="0.2">
      <c r="A95" s="1">
        <v>9</v>
      </c>
      <c r="B95" s="34" t="s">
        <v>140</v>
      </c>
      <c r="C95" s="34" t="s">
        <v>24</v>
      </c>
      <c r="D95" s="34" t="s">
        <v>141</v>
      </c>
      <c r="E95" s="34" t="s">
        <v>208</v>
      </c>
      <c r="F95" s="34" t="s">
        <v>16</v>
      </c>
      <c r="G95" s="35" t="s">
        <v>17</v>
      </c>
      <c r="H95" s="35"/>
      <c r="I95" s="20">
        <v>9</v>
      </c>
      <c r="J95" s="21">
        <f t="shared" si="4"/>
        <v>344810.38474476844</v>
      </c>
      <c r="K95" s="21">
        <f>IFERROR((VLOOKUP(D95,Sheet1!$B$3:$C$58,2,0)*$R$3),0)</f>
        <v>739654.06983873574</v>
      </c>
      <c r="L95" s="18">
        <v>0</v>
      </c>
      <c r="M95" s="22">
        <f t="shared" si="5"/>
        <v>1084464.4545835042</v>
      </c>
    </row>
    <row r="96" spans="1:13" s="34" customFormat="1" x14ac:dyDescent="0.2">
      <c r="A96" s="1">
        <v>10</v>
      </c>
      <c r="B96" s="34" t="s">
        <v>132</v>
      </c>
      <c r="C96" s="34" t="s">
        <v>24</v>
      </c>
      <c r="D96" s="34" t="s">
        <v>133</v>
      </c>
      <c r="E96" s="34" t="s">
        <v>208</v>
      </c>
      <c r="F96" s="34" t="s">
        <v>16</v>
      </c>
      <c r="G96" s="35" t="s">
        <v>17</v>
      </c>
      <c r="H96" s="35"/>
      <c r="I96" s="20">
        <v>10</v>
      </c>
      <c r="J96" s="21">
        <f t="shared" si="4"/>
        <v>344810.38474476844</v>
      </c>
      <c r="K96" s="21">
        <f>IFERROR((VLOOKUP(D96,Sheet1!$B$3:$C$58,2,0)*$R$3),0)</f>
        <v>141757.7192005885</v>
      </c>
      <c r="L96" s="18">
        <v>0</v>
      </c>
      <c r="M96" s="22">
        <f t="shared" si="5"/>
        <v>486568.10394535691</v>
      </c>
    </row>
    <row r="97" spans="1:13" s="34" customFormat="1" x14ac:dyDescent="0.2">
      <c r="A97" s="1">
        <v>11</v>
      </c>
      <c r="B97" s="34" t="s">
        <v>148</v>
      </c>
      <c r="C97" s="34" t="s">
        <v>24</v>
      </c>
      <c r="D97" s="34" t="s">
        <v>149</v>
      </c>
      <c r="E97" s="34" t="s">
        <v>211</v>
      </c>
      <c r="F97" s="34" t="s">
        <v>16</v>
      </c>
      <c r="G97" s="35" t="s">
        <v>17</v>
      </c>
      <c r="H97" s="35"/>
      <c r="I97" s="20">
        <v>11</v>
      </c>
      <c r="J97" s="21">
        <f t="shared" si="4"/>
        <v>344810.38474476844</v>
      </c>
      <c r="K97" s="21">
        <f>IFERROR((VLOOKUP(D97,Sheet1!$B$3:$C$58,2,0)*$R$3),0)</f>
        <v>137707.49865200027</v>
      </c>
      <c r="L97" s="18">
        <v>0</v>
      </c>
      <c r="M97" s="22">
        <f t="shared" si="5"/>
        <v>482517.88339676871</v>
      </c>
    </row>
    <row r="98" spans="1:13" s="34" customFormat="1" x14ac:dyDescent="0.2">
      <c r="A98" s="1">
        <v>12</v>
      </c>
      <c r="B98" s="34" t="s">
        <v>170</v>
      </c>
      <c r="C98" s="34" t="s">
        <v>24</v>
      </c>
      <c r="D98" s="34" t="s">
        <v>171</v>
      </c>
      <c r="E98" s="34" t="s">
        <v>212</v>
      </c>
      <c r="F98" s="34" t="s">
        <v>16</v>
      </c>
      <c r="G98" s="35" t="s">
        <v>17</v>
      </c>
      <c r="H98" s="35"/>
      <c r="I98" s="20">
        <v>12</v>
      </c>
      <c r="J98" s="21">
        <f t="shared" si="4"/>
        <v>344810.38474476844</v>
      </c>
      <c r="K98" s="21">
        <f>IFERROR((VLOOKUP(D98,Sheet1!$B$3:$C$58,2,0)*$R$3),0)</f>
        <v>531835.85686289752</v>
      </c>
      <c r="L98" s="18">
        <v>0</v>
      </c>
      <c r="M98" s="22">
        <f t="shared" si="5"/>
        <v>876646.24160766602</v>
      </c>
    </row>
    <row r="99" spans="1:13" s="34" customFormat="1" x14ac:dyDescent="0.2">
      <c r="A99" s="1">
        <v>13</v>
      </c>
      <c r="B99" s="34" t="s">
        <v>58</v>
      </c>
      <c r="C99" s="34" t="s">
        <v>24</v>
      </c>
      <c r="D99" s="34" t="s">
        <v>59</v>
      </c>
      <c r="E99" s="34" t="s">
        <v>208</v>
      </c>
      <c r="F99" s="34" t="s">
        <v>16</v>
      </c>
      <c r="G99" s="35" t="s">
        <v>17</v>
      </c>
      <c r="H99" s="35"/>
      <c r="I99" s="20">
        <v>13</v>
      </c>
      <c r="J99" s="21">
        <f t="shared" si="4"/>
        <v>344810.38474476844</v>
      </c>
      <c r="K99" s="21">
        <f>IFERROR((VLOOKUP(D99,Sheet1!$B$3:$C$58,2,0)*$R$3),0)</f>
        <v>456529.68721466383</v>
      </c>
      <c r="L99" s="18">
        <v>0</v>
      </c>
      <c r="M99" s="22">
        <f t="shared" si="5"/>
        <v>801340.07195943221</v>
      </c>
    </row>
    <row r="100" spans="1:13" s="34" customFormat="1" ht="12.75" thickBot="1" x14ac:dyDescent="0.25">
      <c r="A100" s="1">
        <v>14</v>
      </c>
      <c r="B100" s="34" t="s">
        <v>184</v>
      </c>
      <c r="C100" s="34" t="s">
        <v>24</v>
      </c>
      <c r="D100" s="34" t="s">
        <v>185</v>
      </c>
      <c r="E100" s="34" t="s">
        <v>208</v>
      </c>
      <c r="F100" s="34" t="s">
        <v>16</v>
      </c>
      <c r="G100" s="35" t="s">
        <v>17</v>
      </c>
      <c r="H100" s="35"/>
      <c r="I100" s="23">
        <v>14</v>
      </c>
      <c r="J100" s="24">
        <f t="shared" si="4"/>
        <v>344810.38474476844</v>
      </c>
      <c r="K100" s="24">
        <f>IFERROR((VLOOKUP(D100,Sheet1!$B$3:$C$58,2,0)*$R$3),0)</f>
        <v>350274.24606411421</v>
      </c>
      <c r="L100" s="24">
        <v>0</v>
      </c>
      <c r="M100" s="25">
        <f t="shared" si="5"/>
        <v>695084.63080888265</v>
      </c>
    </row>
    <row r="101" spans="1:13" ht="12.75" thickTop="1" x14ac:dyDescent="0.2"/>
  </sheetData>
  <autoFilter ref="A4:M100" xr:uid="{46EAC12C-C255-4DBC-BA39-D5DCADB957F3}"/>
  <mergeCells count="1">
    <mergeCell ref="I3:M3"/>
  </mergeCells>
  <pageMargins left="0.7" right="0.7" top="0.75" bottom="0.75" header="0.3" footer="0.3"/>
  <ignoredErrors>
    <ignoredError sqref="M79:M8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F353-F896-48BD-8C57-AD1B0B3259CF}">
  <dimension ref="B2:P64"/>
  <sheetViews>
    <sheetView zoomScaleNormal="10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F26" sqref="F26"/>
    </sheetView>
  </sheetViews>
  <sheetFormatPr defaultRowHeight="15" x14ac:dyDescent="0.25"/>
  <cols>
    <col min="2" max="2" width="29.7109375" bestFit="1" customWidth="1"/>
    <col min="4" max="4" width="14.28515625" style="39" bestFit="1" customWidth="1"/>
    <col min="5" max="5" width="15" style="39" bestFit="1" customWidth="1"/>
    <col min="6" max="15" width="14.28515625" style="39" bestFit="1" customWidth="1"/>
    <col min="16" max="16" width="15.28515625" style="44" bestFit="1" customWidth="1"/>
  </cols>
  <sheetData>
    <row r="2" spans="2:16" s="40" customFormat="1" x14ac:dyDescent="0.25">
      <c r="D2" s="41" t="s">
        <v>218</v>
      </c>
      <c r="E2" s="41" t="s">
        <v>219</v>
      </c>
      <c r="F2" s="41" t="s">
        <v>220</v>
      </c>
      <c r="G2" s="41" t="s">
        <v>221</v>
      </c>
      <c r="H2" s="41" t="s">
        <v>222</v>
      </c>
      <c r="I2" s="41" t="s">
        <v>223</v>
      </c>
      <c r="J2" s="41" t="s">
        <v>224</v>
      </c>
      <c r="K2" s="41" t="s">
        <v>225</v>
      </c>
      <c r="L2" s="41" t="s">
        <v>226</v>
      </c>
      <c r="M2" s="41" t="s">
        <v>227</v>
      </c>
      <c r="N2" s="41" t="s">
        <v>228</v>
      </c>
      <c r="O2" s="41" t="s">
        <v>229</v>
      </c>
      <c r="P2" s="40" t="s">
        <v>230</v>
      </c>
    </row>
    <row r="3" spans="2:16" x14ac:dyDescent="0.25">
      <c r="B3" t="s">
        <v>14</v>
      </c>
      <c r="C3" s="48">
        <f t="shared" ref="C3:C34" si="0">P3/$P$60</f>
        <v>1.8361915790483997E-2</v>
      </c>
      <c r="D3" s="39">
        <v>354166.66666666669</v>
      </c>
      <c r="E3" s="39">
        <v>354166.66666666669</v>
      </c>
      <c r="F3" s="39">
        <v>354166.66666666669</v>
      </c>
      <c r="G3" s="39">
        <v>354166.66666666669</v>
      </c>
      <c r="H3" s="39">
        <v>354166.66666666669</v>
      </c>
      <c r="I3" s="39">
        <v>354166.66666666669</v>
      </c>
      <c r="J3" s="39">
        <v>354166.66666666669</v>
      </c>
      <c r="K3" s="39">
        <v>354166.66666666669</v>
      </c>
      <c r="L3" s="39">
        <v>354166.66666666669</v>
      </c>
      <c r="M3" s="39">
        <v>354166.66666666669</v>
      </c>
      <c r="N3" s="39">
        <v>354166.66666666669</v>
      </c>
      <c r="O3" s="39">
        <v>354166.66666666669</v>
      </c>
      <c r="P3" s="49">
        <f t="shared" ref="P3:P34" si="1">SUM(D3:O3)</f>
        <v>4249999.9999999991</v>
      </c>
    </row>
    <row r="4" spans="2:16" x14ac:dyDescent="0.25">
      <c r="B4" t="s">
        <v>22</v>
      </c>
      <c r="C4" s="48">
        <f t="shared" si="0"/>
        <v>3.2889431518837511E-2</v>
      </c>
      <c r="D4" s="39">
        <v>708333.33333333337</v>
      </c>
      <c r="E4" s="39">
        <v>708333.33333333337</v>
      </c>
      <c r="F4" s="39">
        <v>708333.33333333337</v>
      </c>
      <c r="G4" s="39">
        <v>708333.33333333337</v>
      </c>
      <c r="H4" s="39">
        <v>708333.33333333337</v>
      </c>
      <c r="I4" s="39">
        <v>708333.33333333337</v>
      </c>
      <c r="J4" s="39">
        <v>708333.33333333337</v>
      </c>
      <c r="K4" s="39">
        <v>708333.33333333337</v>
      </c>
      <c r="L4" s="39">
        <v>708333.33333333337</v>
      </c>
      <c r="M4" s="39">
        <v>708333.33333333337</v>
      </c>
      <c r="N4" s="39">
        <v>264583.33333333337</v>
      </c>
      <c r="O4" s="39">
        <v>264583.33333333337</v>
      </c>
      <c r="P4" s="49">
        <f t="shared" si="1"/>
        <v>7612499.9999999981</v>
      </c>
    </row>
    <row r="5" spans="2:16" x14ac:dyDescent="0.25">
      <c r="B5" t="s">
        <v>33</v>
      </c>
      <c r="C5" s="48">
        <f t="shared" si="0"/>
        <v>2.5706682106677595E-2</v>
      </c>
      <c r="D5" s="39">
        <v>495833.33333333331</v>
      </c>
      <c r="E5" s="39">
        <v>495833.33333333331</v>
      </c>
      <c r="F5" s="39">
        <v>495833.33333333331</v>
      </c>
      <c r="G5" s="39">
        <v>495833.33333333331</v>
      </c>
      <c r="H5" s="39">
        <v>495833.33333333331</v>
      </c>
      <c r="I5" s="39">
        <v>495833.33333333331</v>
      </c>
      <c r="J5" s="39">
        <v>495833.33333333331</v>
      </c>
      <c r="K5" s="39">
        <v>495833.33333333331</v>
      </c>
      <c r="L5" s="39">
        <v>495833.33333333331</v>
      </c>
      <c r="M5" s="39">
        <v>495833.33333333331</v>
      </c>
      <c r="N5" s="39">
        <v>495833.33333333331</v>
      </c>
      <c r="O5" s="39">
        <v>495833.33333333331</v>
      </c>
      <c r="P5" s="49">
        <f t="shared" si="1"/>
        <v>5949999.9999999991</v>
      </c>
    </row>
    <row r="6" spans="2:16" x14ac:dyDescent="0.25">
      <c r="B6" t="s">
        <v>35</v>
      </c>
      <c r="C6" s="48">
        <f t="shared" si="0"/>
        <v>9.1809578952420003E-3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708333.33333333337</v>
      </c>
      <c r="N6" s="39">
        <v>708333.33333333337</v>
      </c>
      <c r="O6" s="39">
        <v>708333.33333333337</v>
      </c>
      <c r="P6" s="49">
        <f t="shared" si="1"/>
        <v>2125000</v>
      </c>
    </row>
    <row r="7" spans="2:16" x14ac:dyDescent="0.25">
      <c r="B7" t="s">
        <v>37</v>
      </c>
      <c r="C7" s="48">
        <f t="shared" si="0"/>
        <v>2.0882178742119058E-3</v>
      </c>
      <c r="D7" s="39">
        <v>241666.66666666666</v>
      </c>
      <c r="E7" s="39">
        <v>241666.66666666666</v>
      </c>
      <c r="F7" s="39">
        <f>241666.666666667-241666.666666667</f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49">
        <f t="shared" si="1"/>
        <v>483333.33333333331</v>
      </c>
    </row>
    <row r="8" spans="2:16" x14ac:dyDescent="0.25">
      <c r="B8" t="s">
        <v>41</v>
      </c>
      <c r="C8" s="48">
        <f t="shared" si="0"/>
        <v>3.6723831580968001E-2</v>
      </c>
      <c r="D8" s="39">
        <v>0</v>
      </c>
      <c r="E8" s="39">
        <v>0</v>
      </c>
      <c r="F8" s="39">
        <v>850000</v>
      </c>
      <c r="G8" s="39">
        <v>0</v>
      </c>
      <c r="H8" s="39">
        <v>1700000</v>
      </c>
      <c r="I8" s="39">
        <v>0</v>
      </c>
      <c r="J8" s="39">
        <v>850000</v>
      </c>
      <c r="K8" s="39">
        <v>1700000</v>
      </c>
      <c r="L8" s="39">
        <v>850000</v>
      </c>
      <c r="M8" s="39">
        <v>850000</v>
      </c>
      <c r="N8" s="39">
        <v>850000</v>
      </c>
      <c r="O8" s="39">
        <v>850000</v>
      </c>
      <c r="P8" s="49">
        <f t="shared" si="1"/>
        <v>8500000</v>
      </c>
    </row>
    <row r="9" spans="2:16" x14ac:dyDescent="0.25">
      <c r="B9" t="s">
        <v>43</v>
      </c>
      <c r="C9" s="48">
        <f t="shared" si="0"/>
        <v>9.9280358416195362E-3</v>
      </c>
      <c r="D9" s="39">
        <v>156250</v>
      </c>
      <c r="E9" s="39">
        <v>156250</v>
      </c>
      <c r="F9" s="39">
        <v>156250</v>
      </c>
      <c r="G9" s="39">
        <v>156250</v>
      </c>
      <c r="H9" s="39">
        <v>156250</v>
      </c>
      <c r="I9" s="39">
        <v>216666.66666666666</v>
      </c>
      <c r="J9" s="39">
        <v>216666.66666666666</v>
      </c>
      <c r="K9" s="39">
        <v>216666.66666666666</v>
      </c>
      <c r="L9" s="39">
        <v>216666.66666666666</v>
      </c>
      <c r="M9" s="39">
        <v>216666.66666666666</v>
      </c>
      <c r="N9" s="39">
        <v>216666.66666666666</v>
      </c>
      <c r="O9" s="39">
        <v>216666.66666666666</v>
      </c>
      <c r="P9" s="49">
        <f t="shared" si="1"/>
        <v>2297916.666666667</v>
      </c>
    </row>
    <row r="10" spans="2:16" x14ac:dyDescent="0.25">
      <c r="B10" t="s">
        <v>47</v>
      </c>
      <c r="C10" s="48">
        <f t="shared" si="0"/>
        <v>3.8253991230175E-3</v>
      </c>
      <c r="D10" s="39">
        <v>666666.66666666663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218750</v>
      </c>
      <c r="P10" s="49">
        <f t="shared" si="1"/>
        <v>885416.66666666663</v>
      </c>
    </row>
    <row r="11" spans="2:16" x14ac:dyDescent="0.25">
      <c r="B11" t="s">
        <v>49</v>
      </c>
      <c r="C11" s="48">
        <f t="shared" si="0"/>
        <v>1.6354706368288934E-2</v>
      </c>
      <c r="D11" s="39">
        <v>310416.66666666669</v>
      </c>
      <c r="E11" s="39">
        <v>310416.66666666669</v>
      </c>
      <c r="F11" s="39">
        <v>310416.66666666669</v>
      </c>
      <c r="G11" s="39">
        <v>310416.66666666669</v>
      </c>
      <c r="H11" s="39">
        <v>310416.66666666669</v>
      </c>
      <c r="I11" s="39">
        <v>310416.66666666669</v>
      </c>
      <c r="J11" s="39">
        <v>310416.66666666669</v>
      </c>
      <c r="K11" s="39">
        <v>310416.66666666669</v>
      </c>
      <c r="L11" s="39">
        <v>310416.66666666669</v>
      </c>
      <c r="M11" s="39">
        <v>310416.66666666669</v>
      </c>
      <c r="N11" s="39">
        <v>340625</v>
      </c>
      <c r="O11" s="39">
        <v>340625</v>
      </c>
      <c r="P11" s="49">
        <f t="shared" si="1"/>
        <v>3785416.6666666665</v>
      </c>
    </row>
    <row r="12" spans="2:16" x14ac:dyDescent="0.25">
      <c r="B12" t="s">
        <v>51</v>
      </c>
      <c r="C12" s="48">
        <f t="shared" si="0"/>
        <v>4.0396214739064809E-2</v>
      </c>
      <c r="D12" s="39">
        <v>779166.66666666674</v>
      </c>
      <c r="E12" s="39">
        <v>779166.66666666674</v>
      </c>
      <c r="F12" s="39">
        <v>779166.66666666674</v>
      </c>
      <c r="G12" s="39">
        <v>779166.66666666674</v>
      </c>
      <c r="H12" s="39">
        <v>779166.66666666674</v>
      </c>
      <c r="I12" s="39">
        <v>779166.66666666674</v>
      </c>
      <c r="J12" s="39">
        <v>779166.66666666674</v>
      </c>
      <c r="K12" s="39">
        <v>779166.66666666674</v>
      </c>
      <c r="L12" s="39">
        <v>779166.66666666674</v>
      </c>
      <c r="M12" s="39">
        <v>779166.66666666674</v>
      </c>
      <c r="N12" s="39">
        <v>779166.66666666674</v>
      </c>
      <c r="O12" s="39">
        <v>779166.66666666674</v>
      </c>
      <c r="P12" s="49">
        <f t="shared" si="1"/>
        <v>9350000.0000000019</v>
      </c>
    </row>
    <row r="13" spans="2:16" x14ac:dyDescent="0.25">
      <c r="B13" t="s">
        <v>199</v>
      </c>
      <c r="C13" s="48">
        <f t="shared" si="0"/>
        <v>8.1008452016841179E-3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312500</v>
      </c>
      <c r="K13" s="39">
        <v>312500</v>
      </c>
      <c r="L13" s="39">
        <v>312500</v>
      </c>
      <c r="M13" s="39">
        <v>312500</v>
      </c>
      <c r="N13" s="39">
        <v>312500</v>
      </c>
      <c r="O13" s="39">
        <v>312500</v>
      </c>
      <c r="P13" s="49">
        <f t="shared" si="1"/>
        <v>1875000</v>
      </c>
    </row>
    <row r="14" spans="2:16" x14ac:dyDescent="0.25">
      <c r="B14" t="s">
        <v>59</v>
      </c>
      <c r="C14" s="48">
        <f t="shared" si="0"/>
        <v>1.4711134886258363E-2</v>
      </c>
      <c r="D14" s="39">
        <v>378333.33333333337</v>
      </c>
      <c r="E14" s="39">
        <v>378333.33333333337</v>
      </c>
      <c r="F14" s="39">
        <v>378333.33333333337</v>
      </c>
      <c r="G14" s="39">
        <v>378333.33333333337</v>
      </c>
      <c r="H14" s="39">
        <v>378333.33333333337</v>
      </c>
      <c r="I14" s="39">
        <v>378333.33333333337</v>
      </c>
      <c r="J14" s="39">
        <v>378333.33333333337</v>
      </c>
      <c r="K14" s="39">
        <v>378333.33333333337</v>
      </c>
      <c r="L14" s="39">
        <v>378333.33333333337</v>
      </c>
      <c r="M14" s="39">
        <v>0</v>
      </c>
      <c r="N14" s="39">
        <v>0</v>
      </c>
      <c r="O14" s="39">
        <v>0</v>
      </c>
      <c r="P14" s="49">
        <f t="shared" si="1"/>
        <v>3405000.0000000009</v>
      </c>
    </row>
    <row r="15" spans="2:16" x14ac:dyDescent="0.25">
      <c r="B15" t="s">
        <v>61</v>
      </c>
      <c r="C15" s="48">
        <f t="shared" si="0"/>
        <v>9.904633399925783E-3</v>
      </c>
      <c r="D15" s="39">
        <v>186666.66666666666</v>
      </c>
      <c r="E15" s="39">
        <v>186666.66666666666</v>
      </c>
      <c r="F15" s="39">
        <v>186666.66666666666</v>
      </c>
      <c r="G15" s="39">
        <v>186666.66666666666</v>
      </c>
      <c r="H15" s="39">
        <v>186666.66666666666</v>
      </c>
      <c r="I15" s="39">
        <v>186666.66666666666</v>
      </c>
      <c r="J15" s="39">
        <v>186666.66666666666</v>
      </c>
      <c r="K15" s="39">
        <v>186666.66666666666</v>
      </c>
      <c r="L15" s="39">
        <v>186666.66666666666</v>
      </c>
      <c r="M15" s="39">
        <v>204166.66666666672</v>
      </c>
      <c r="N15" s="39">
        <v>204166.66666666672</v>
      </c>
      <c r="O15" s="39">
        <v>204166.66666666672</v>
      </c>
      <c r="P15" s="49">
        <f t="shared" si="1"/>
        <v>2292500.0000000005</v>
      </c>
    </row>
    <row r="16" spans="2:16" x14ac:dyDescent="0.25">
      <c r="B16" t="s">
        <v>65</v>
      </c>
      <c r="C16" s="48">
        <f t="shared" si="0"/>
        <v>2.7650884955081785E-2</v>
      </c>
      <c r="D16" s="39">
        <v>533333.33333333337</v>
      </c>
      <c r="E16" s="39">
        <v>533333.33333333337</v>
      </c>
      <c r="F16" s="39">
        <v>533333.33333333337</v>
      </c>
      <c r="G16" s="39">
        <v>533333.33333333337</v>
      </c>
      <c r="H16" s="39">
        <v>533333.33333333337</v>
      </c>
      <c r="I16" s="39">
        <v>533333.33333333337</v>
      </c>
      <c r="J16" s="39">
        <v>533333.33333333337</v>
      </c>
      <c r="K16" s="39">
        <v>533333.33333333337</v>
      </c>
      <c r="L16" s="39">
        <v>533333.33333333337</v>
      </c>
      <c r="M16" s="39">
        <v>533333.33333333337</v>
      </c>
      <c r="N16" s="39">
        <v>533333.33333333337</v>
      </c>
      <c r="O16" s="39">
        <v>533333.33333333337</v>
      </c>
      <c r="P16" s="49">
        <f t="shared" si="1"/>
        <v>6399999.9999999991</v>
      </c>
    </row>
    <row r="17" spans="2:16" x14ac:dyDescent="0.25">
      <c r="B17" t="s">
        <v>69</v>
      </c>
      <c r="C17" s="48">
        <f t="shared" si="0"/>
        <v>2.5706682106677595E-2</v>
      </c>
      <c r="D17" s="39">
        <v>495833.33333333331</v>
      </c>
      <c r="E17" s="39">
        <v>495833.33333333331</v>
      </c>
      <c r="F17" s="39">
        <v>495833.33333333331</v>
      </c>
      <c r="G17" s="39">
        <v>495833.33333333331</v>
      </c>
      <c r="H17" s="39">
        <v>495833.33333333331</v>
      </c>
      <c r="I17" s="39">
        <v>495833.33333333331</v>
      </c>
      <c r="J17" s="39">
        <v>495833.33333333331</v>
      </c>
      <c r="K17" s="39">
        <v>495833.33333333331</v>
      </c>
      <c r="L17" s="39">
        <v>495833.33333333331</v>
      </c>
      <c r="M17" s="39">
        <v>495833.33333333331</v>
      </c>
      <c r="N17" s="39">
        <v>495833.33333333331</v>
      </c>
      <c r="O17" s="39">
        <v>495833.33333333331</v>
      </c>
      <c r="P17" s="49">
        <f t="shared" si="1"/>
        <v>5949999.9999999991</v>
      </c>
    </row>
    <row r="18" spans="2:16" x14ac:dyDescent="0.25">
      <c r="B18" t="s">
        <v>71</v>
      </c>
      <c r="C18" s="48">
        <f t="shared" si="0"/>
        <v>1.7011774923536647E-2</v>
      </c>
      <c r="D18" s="39">
        <v>437500</v>
      </c>
      <c r="E18" s="39">
        <v>437500</v>
      </c>
      <c r="F18" s="39">
        <v>437500</v>
      </c>
      <c r="G18" s="39">
        <v>437500</v>
      </c>
      <c r="H18" s="39">
        <v>437500</v>
      </c>
      <c r="I18" s="39">
        <v>437500</v>
      </c>
      <c r="J18" s="39">
        <v>437500</v>
      </c>
      <c r="K18" s="39">
        <v>437500</v>
      </c>
      <c r="L18" s="39">
        <v>437500</v>
      </c>
      <c r="M18" s="39">
        <v>0</v>
      </c>
      <c r="N18" s="39">
        <v>0</v>
      </c>
      <c r="P18" s="49">
        <f t="shared" si="1"/>
        <v>3937500</v>
      </c>
    </row>
    <row r="19" spans="2:16" x14ac:dyDescent="0.25">
      <c r="B19" t="s">
        <v>73</v>
      </c>
      <c r="C19" s="48">
        <f t="shared" si="0"/>
        <v>6.9172217083269382E-3</v>
      </c>
      <c r="D19" s="39">
        <v>151041.66666666666</v>
      </c>
      <c r="E19" s="39">
        <v>151041.66666666666</v>
      </c>
      <c r="F19" s="39">
        <v>151041.66666666666</v>
      </c>
      <c r="G19" s="39">
        <v>151041.66666666666</v>
      </c>
      <c r="H19" s="39">
        <v>120833.33333333333</v>
      </c>
      <c r="I19" s="39">
        <v>120833.33333333333</v>
      </c>
      <c r="J19" s="39">
        <v>120833.33333333333</v>
      </c>
      <c r="K19" s="39">
        <v>120833.33333333333</v>
      </c>
      <c r="L19" s="39">
        <v>120833.33333333333</v>
      </c>
      <c r="M19" s="39">
        <v>120833.33333333333</v>
      </c>
      <c r="N19" s="39">
        <v>120833.33333333333</v>
      </c>
      <c r="O19" s="39">
        <v>151041.66666666666</v>
      </c>
      <c r="P19" s="49">
        <f t="shared" si="1"/>
        <v>1601041.6666666665</v>
      </c>
    </row>
    <row r="20" spans="2:16" x14ac:dyDescent="0.25">
      <c r="B20" t="s">
        <v>75</v>
      </c>
      <c r="C20" s="48">
        <f t="shared" si="0"/>
        <v>1.9830869053722722E-2</v>
      </c>
      <c r="D20" s="39">
        <v>382500</v>
      </c>
      <c r="E20" s="39">
        <v>382500</v>
      </c>
      <c r="F20" s="39">
        <v>382500</v>
      </c>
      <c r="G20" s="39">
        <v>382500</v>
      </c>
      <c r="H20" s="39">
        <v>382500</v>
      </c>
      <c r="I20" s="39">
        <v>382500</v>
      </c>
      <c r="J20" s="39">
        <v>382500</v>
      </c>
      <c r="K20" s="39">
        <v>382500</v>
      </c>
      <c r="L20" s="39">
        <v>382500</v>
      </c>
      <c r="M20" s="39">
        <v>382500</v>
      </c>
      <c r="N20" s="39">
        <v>382500</v>
      </c>
      <c r="O20" s="39">
        <v>382500</v>
      </c>
      <c r="P20" s="49">
        <f t="shared" si="1"/>
        <v>4590000</v>
      </c>
    </row>
    <row r="21" spans="2:16" x14ac:dyDescent="0.25">
      <c r="B21" t="s">
        <v>83</v>
      </c>
      <c r="C21" s="48">
        <f t="shared" si="0"/>
        <v>1.987407356146504E-2</v>
      </c>
      <c r="D21" s="39">
        <v>383333.33333333337</v>
      </c>
      <c r="E21" s="39">
        <v>383333.33333333337</v>
      </c>
      <c r="F21" s="39">
        <v>383333.33333333337</v>
      </c>
      <c r="G21" s="39">
        <v>383333.33333333337</v>
      </c>
      <c r="H21" s="39">
        <v>383333.33333333337</v>
      </c>
      <c r="I21" s="39">
        <v>383333.33333333337</v>
      </c>
      <c r="J21" s="39">
        <v>383333.33333333337</v>
      </c>
      <c r="K21" s="39">
        <v>383333.33333333337</v>
      </c>
      <c r="L21" s="39">
        <v>383333.33333333337</v>
      </c>
      <c r="M21" s="39">
        <v>383333.33333333337</v>
      </c>
      <c r="N21" s="39">
        <v>383333.33333333337</v>
      </c>
      <c r="O21" s="39">
        <v>383333.33333333337</v>
      </c>
      <c r="P21" s="49">
        <f t="shared" si="1"/>
        <v>4600000.0000000009</v>
      </c>
    </row>
    <row r="22" spans="2:16" x14ac:dyDescent="0.25">
      <c r="B22" t="s">
        <v>87</v>
      </c>
      <c r="C22" s="48">
        <f t="shared" si="0"/>
        <v>1.7929870713060854E-2</v>
      </c>
      <c r="D22" s="39">
        <v>345833.33333333337</v>
      </c>
      <c r="E22" s="39">
        <v>345833.33333333337</v>
      </c>
      <c r="F22" s="39">
        <v>345833.33333333337</v>
      </c>
      <c r="G22" s="39">
        <v>345833.33333333337</v>
      </c>
      <c r="H22" s="39">
        <v>345833.33333333337</v>
      </c>
      <c r="I22" s="39">
        <v>345833.33333333337</v>
      </c>
      <c r="J22" s="39">
        <v>345833.33333333337</v>
      </c>
      <c r="K22" s="39">
        <v>345833.33333333337</v>
      </c>
      <c r="L22" s="39">
        <v>345833.33333333337</v>
      </c>
      <c r="M22" s="39">
        <v>345833.33333333337</v>
      </c>
      <c r="N22" s="39">
        <v>345833.33333333337</v>
      </c>
      <c r="O22" s="39">
        <v>345833.33333333337</v>
      </c>
      <c r="P22" s="49">
        <f t="shared" si="1"/>
        <v>4150000.0000000014</v>
      </c>
    </row>
    <row r="23" spans="2:16" x14ac:dyDescent="0.25">
      <c r="B23" t="s">
        <v>89</v>
      </c>
      <c r="C23" s="48">
        <f t="shared" si="0"/>
        <v>3.6723831580967994E-2</v>
      </c>
      <c r="D23" s="39">
        <v>708333.33333333337</v>
      </c>
      <c r="E23" s="39">
        <v>708333.33333333337</v>
      </c>
      <c r="F23" s="39">
        <v>708333.33333333337</v>
      </c>
      <c r="G23" s="39">
        <v>708333.33333333337</v>
      </c>
      <c r="H23" s="39">
        <v>708333.33333333337</v>
      </c>
      <c r="I23" s="39">
        <v>708333.33333333337</v>
      </c>
      <c r="J23" s="39">
        <v>708333.33333333337</v>
      </c>
      <c r="K23" s="39">
        <v>708333.33333333337</v>
      </c>
      <c r="L23" s="39">
        <v>708333.33333333337</v>
      </c>
      <c r="M23" s="39">
        <v>708333.33333333337</v>
      </c>
      <c r="N23" s="39">
        <v>708333.33333333337</v>
      </c>
      <c r="O23" s="39">
        <v>708333.33333333337</v>
      </c>
      <c r="P23" s="49">
        <f t="shared" si="1"/>
        <v>8499999.9999999981</v>
      </c>
    </row>
    <row r="24" spans="2:16" x14ac:dyDescent="0.25">
      <c r="B24" t="s">
        <v>91</v>
      </c>
      <c r="C24" s="48">
        <f t="shared" si="0"/>
        <v>2.0738163716311341E-2</v>
      </c>
      <c r="D24" s="39">
        <v>400000</v>
      </c>
      <c r="E24" s="39">
        <v>400000</v>
      </c>
      <c r="F24" s="39">
        <v>400000</v>
      </c>
      <c r="G24" s="39">
        <v>400000</v>
      </c>
      <c r="H24" s="39">
        <v>400000</v>
      </c>
      <c r="I24" s="39">
        <v>400000</v>
      </c>
      <c r="J24" s="39">
        <v>400000</v>
      </c>
      <c r="K24" s="39">
        <v>400000</v>
      </c>
      <c r="L24" s="39">
        <v>400000</v>
      </c>
      <c r="M24" s="39">
        <v>400000</v>
      </c>
      <c r="N24" s="39">
        <v>400000</v>
      </c>
      <c r="O24" s="39">
        <v>400000</v>
      </c>
      <c r="P24" s="49">
        <f t="shared" si="1"/>
        <v>4800000</v>
      </c>
    </row>
    <row r="25" spans="2:16" x14ac:dyDescent="0.25">
      <c r="B25" t="s">
        <v>93</v>
      </c>
      <c r="C25" s="48">
        <f t="shared" si="0"/>
        <v>2.8460969475250196E-2</v>
      </c>
      <c r="D25" s="39">
        <v>495833.33333333331</v>
      </c>
      <c r="E25" s="39">
        <v>495833.33333333331</v>
      </c>
      <c r="F25" s="39">
        <v>495833.33333333331</v>
      </c>
      <c r="G25" s="39">
        <v>495833.33333333331</v>
      </c>
      <c r="H25" s="39">
        <v>495833.33333333331</v>
      </c>
      <c r="I25" s="39">
        <v>495833.33333333331</v>
      </c>
      <c r="J25" s="39">
        <v>495833.33333333331</v>
      </c>
      <c r="K25" s="39">
        <v>495833.33333333331</v>
      </c>
      <c r="L25" s="39">
        <v>495833.33333333331</v>
      </c>
      <c r="M25" s="39">
        <v>708333.33333333337</v>
      </c>
      <c r="N25" s="39">
        <v>708333.33333333337</v>
      </c>
      <c r="O25" s="39">
        <v>708333.33333333337</v>
      </c>
      <c r="P25" s="49">
        <f t="shared" si="1"/>
        <v>6587499.9999999991</v>
      </c>
    </row>
    <row r="26" spans="2:16" x14ac:dyDescent="0.25">
      <c r="B26" t="s">
        <v>95</v>
      </c>
      <c r="C26" s="48">
        <f t="shared" si="0"/>
        <v>3.1643701545600755E-2</v>
      </c>
      <c r="D26" s="39">
        <v>0</v>
      </c>
      <c r="E26" s="39">
        <v>665833.33333333337</v>
      </c>
      <c r="F26" s="39">
        <v>665833.33333333337</v>
      </c>
      <c r="G26" s="39">
        <v>665833.33333333337</v>
      </c>
      <c r="H26" s="39">
        <v>665833.33333333337</v>
      </c>
      <c r="I26" s="39">
        <v>665833.33333333337</v>
      </c>
      <c r="J26" s="39">
        <v>665833.33333333337</v>
      </c>
      <c r="K26" s="39">
        <v>665833.33333333337</v>
      </c>
      <c r="L26" s="39">
        <v>665833.33333333337</v>
      </c>
      <c r="M26" s="39">
        <v>665833.33333333337</v>
      </c>
      <c r="N26" s="39">
        <v>665833.33333333337</v>
      </c>
      <c r="O26" s="39">
        <v>665833.33333333337</v>
      </c>
      <c r="P26" s="49">
        <f t="shared" si="1"/>
        <v>7324166.666666666</v>
      </c>
    </row>
    <row r="27" spans="2:16" x14ac:dyDescent="0.25">
      <c r="B27" t="s">
        <v>97</v>
      </c>
      <c r="C27" s="48">
        <f t="shared" si="0"/>
        <v>3.9464617540871126E-2</v>
      </c>
      <c r="D27" s="39">
        <v>798958.33333333337</v>
      </c>
      <c r="E27" s="39">
        <v>798958.33333333337</v>
      </c>
      <c r="F27" s="39">
        <v>798958.33333333337</v>
      </c>
      <c r="G27" s="39">
        <v>798958.33333333337</v>
      </c>
      <c r="H27" s="39">
        <v>798958.33333333337</v>
      </c>
      <c r="I27" s="39">
        <v>798958.33333333337</v>
      </c>
      <c r="J27" s="39">
        <v>798958.33333333337</v>
      </c>
      <c r="K27" s="39">
        <v>708333.33333333337</v>
      </c>
      <c r="L27" s="39">
        <v>708333.33333333337</v>
      </c>
      <c r="M27" s="39">
        <v>708333.33333333337</v>
      </c>
      <c r="N27" s="39">
        <v>708333.33333333337</v>
      </c>
      <c r="O27" s="39">
        <v>708333.33333333337</v>
      </c>
      <c r="P27" s="49">
        <f t="shared" si="1"/>
        <v>9134375</v>
      </c>
    </row>
    <row r="28" spans="2:16" x14ac:dyDescent="0.25">
      <c r="B28" t="s">
        <v>99</v>
      </c>
      <c r="C28" s="48">
        <f t="shared" si="0"/>
        <v>5.5787820622264627E-3</v>
      </c>
      <c r="D28" s="39">
        <v>430416.66666666669</v>
      </c>
      <c r="E28" s="39">
        <v>430416.66666666669</v>
      </c>
      <c r="F28" s="39">
        <v>430416.66666666669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9">
        <f t="shared" si="1"/>
        <v>1291250</v>
      </c>
    </row>
    <row r="29" spans="2:16" x14ac:dyDescent="0.25">
      <c r="B29" t="s">
        <v>101</v>
      </c>
      <c r="C29" s="48">
        <f t="shared" si="0"/>
        <v>3.8506017525338512E-2</v>
      </c>
      <c r="D29" s="39">
        <v>754166.66666666674</v>
      </c>
      <c r="E29" s="39">
        <v>754166.66666666674</v>
      </c>
      <c r="F29" s="39">
        <v>754166.66666666674</v>
      </c>
      <c r="G29" s="39">
        <v>754166.66666666674</v>
      </c>
      <c r="H29" s="39">
        <v>754166.66666666674</v>
      </c>
      <c r="I29" s="39">
        <v>754166.66666666674</v>
      </c>
      <c r="J29" s="39">
        <v>754166.66666666674</v>
      </c>
      <c r="K29" s="39">
        <v>754166.66666666674</v>
      </c>
      <c r="L29" s="39">
        <v>754166.66666666674</v>
      </c>
      <c r="M29" s="39">
        <v>708333.33333333337</v>
      </c>
      <c r="N29" s="39">
        <v>708333.33333333337</v>
      </c>
      <c r="O29" s="39">
        <v>708333.33333333337</v>
      </c>
      <c r="P29" s="49">
        <f t="shared" si="1"/>
        <v>8912500.0000000019</v>
      </c>
    </row>
    <row r="30" spans="2:16" x14ac:dyDescent="0.25">
      <c r="B30" t="s">
        <v>103</v>
      </c>
      <c r="C30" s="48">
        <f t="shared" si="0"/>
        <v>3.1323268113178588E-3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120833.33333333333</v>
      </c>
      <c r="K30" s="39">
        <v>120833.33333333333</v>
      </c>
      <c r="L30" s="39">
        <v>120833.33333333333</v>
      </c>
      <c r="M30" s="39">
        <v>120833.33333333333</v>
      </c>
      <c r="N30" s="39">
        <v>120833.33333333333</v>
      </c>
      <c r="O30" s="39">
        <v>120833.33333333333</v>
      </c>
      <c r="P30" s="49">
        <f t="shared" si="1"/>
        <v>725000</v>
      </c>
    </row>
    <row r="31" spans="2:16" x14ac:dyDescent="0.25">
      <c r="B31" t="s">
        <v>112</v>
      </c>
      <c r="C31" s="48">
        <f t="shared" si="0"/>
        <v>3.2403380806736472E-3</v>
      </c>
      <c r="D31" s="39">
        <v>62500</v>
      </c>
      <c r="E31" s="39">
        <v>62500</v>
      </c>
      <c r="F31" s="39">
        <v>62500</v>
      </c>
      <c r="G31" s="39">
        <v>62500</v>
      </c>
      <c r="H31" s="39">
        <v>62500</v>
      </c>
      <c r="I31" s="39">
        <v>62500</v>
      </c>
      <c r="J31" s="39">
        <v>62500</v>
      </c>
      <c r="K31" s="39">
        <v>62500</v>
      </c>
      <c r="L31" s="39">
        <v>62500</v>
      </c>
      <c r="M31" s="39">
        <v>62500</v>
      </c>
      <c r="N31" s="39">
        <v>62500</v>
      </c>
      <c r="O31" s="39">
        <v>62500</v>
      </c>
      <c r="P31" s="49">
        <f t="shared" si="1"/>
        <v>750000</v>
      </c>
    </row>
    <row r="32" spans="2:16" x14ac:dyDescent="0.25">
      <c r="B32" t="s">
        <v>114</v>
      </c>
      <c r="C32" s="48">
        <f t="shared" si="0"/>
        <v>3.9154085141473241E-3</v>
      </c>
      <c r="D32" s="39">
        <v>181250</v>
      </c>
      <c r="E32" s="39">
        <v>181250</v>
      </c>
      <c r="F32" s="39">
        <v>181250</v>
      </c>
      <c r="G32" s="39">
        <v>181250</v>
      </c>
      <c r="H32" s="39">
        <v>181250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49">
        <f t="shared" si="1"/>
        <v>906250</v>
      </c>
    </row>
    <row r="33" spans="2:16" x14ac:dyDescent="0.25">
      <c r="B33" t="s">
        <v>125</v>
      </c>
      <c r="C33" s="48">
        <f t="shared" si="0"/>
        <v>1.4905555171098777E-2</v>
      </c>
      <c r="D33" s="39">
        <v>181250</v>
      </c>
      <c r="E33" s="39">
        <v>181250</v>
      </c>
      <c r="F33" s="39">
        <v>181250</v>
      </c>
      <c r="G33" s="39">
        <v>181250</v>
      </c>
      <c r="H33" s="39">
        <v>181250</v>
      </c>
      <c r="I33" s="39">
        <v>181250</v>
      </c>
      <c r="J33" s="39">
        <v>181250</v>
      </c>
      <c r="K33" s="39">
        <v>181250</v>
      </c>
      <c r="L33" s="39">
        <v>500000</v>
      </c>
      <c r="M33" s="39">
        <v>500000</v>
      </c>
      <c r="N33" s="39">
        <v>500000</v>
      </c>
      <c r="O33" s="39">
        <v>500000</v>
      </c>
      <c r="P33" s="49">
        <f t="shared" si="1"/>
        <v>3450000</v>
      </c>
    </row>
    <row r="34" spans="2:16" x14ac:dyDescent="0.25">
      <c r="B34" t="s">
        <v>129</v>
      </c>
      <c r="C34" s="48">
        <f t="shared" si="0"/>
        <v>1.1746225542441971E-2</v>
      </c>
      <c r="D34" s="39">
        <v>0</v>
      </c>
      <c r="E34" s="39">
        <v>0</v>
      </c>
      <c r="F34" s="39">
        <v>0</v>
      </c>
      <c r="G34" s="39">
        <v>302083.33333333331</v>
      </c>
      <c r="H34" s="39">
        <v>302083.33333333331</v>
      </c>
      <c r="I34" s="39">
        <v>302083.33333333331</v>
      </c>
      <c r="J34" s="39">
        <v>302083.33333333331</v>
      </c>
      <c r="K34" s="39">
        <v>302083.33333333331</v>
      </c>
      <c r="L34" s="39">
        <v>302083.33333333331</v>
      </c>
      <c r="M34" s="39">
        <v>302083.33333333331</v>
      </c>
      <c r="N34" s="39">
        <v>302083.33333333331</v>
      </c>
      <c r="O34" s="39">
        <v>302083.33333333331</v>
      </c>
      <c r="P34" s="49">
        <f t="shared" si="1"/>
        <v>2718750</v>
      </c>
    </row>
    <row r="35" spans="2:16" x14ac:dyDescent="0.25">
      <c r="B35" t="s">
        <v>131</v>
      </c>
      <c r="C35" s="48">
        <f t="shared" ref="C35:C58" si="2">P35/$P$60</f>
        <v>2.7650884955081785E-2</v>
      </c>
      <c r="D35" s="39">
        <v>533333.33333333337</v>
      </c>
      <c r="E35" s="39">
        <v>533333.33333333337</v>
      </c>
      <c r="F35" s="39">
        <v>533333.33333333337</v>
      </c>
      <c r="G35" s="39">
        <v>533333.33333333337</v>
      </c>
      <c r="H35" s="39">
        <v>533333.33333333337</v>
      </c>
      <c r="I35" s="39">
        <v>533333.33333333337</v>
      </c>
      <c r="J35" s="39">
        <v>533333.33333333337</v>
      </c>
      <c r="K35" s="39">
        <v>533333.33333333337</v>
      </c>
      <c r="L35" s="39">
        <v>533333.33333333337</v>
      </c>
      <c r="M35" s="39">
        <v>533333.33333333337</v>
      </c>
      <c r="N35" s="39">
        <v>533333.33333333337</v>
      </c>
      <c r="O35" s="39">
        <v>533333.33333333337</v>
      </c>
      <c r="P35" s="49">
        <f t="shared" ref="P35:P58" si="3">SUM(D35:O35)</f>
        <v>6399999.9999999991</v>
      </c>
    </row>
    <row r="36" spans="2:16" x14ac:dyDescent="0.25">
      <c r="B36" t="s">
        <v>133</v>
      </c>
      <c r="C36" s="48">
        <f t="shared" si="2"/>
        <v>4.5679765998385448E-3</v>
      </c>
      <c r="D36" s="39">
        <v>211458.33333333334</v>
      </c>
      <c r="E36" s="39">
        <v>211458.33333333334</v>
      </c>
      <c r="F36" s="39">
        <v>211458.33333333334</v>
      </c>
      <c r="G36" s="39">
        <v>211458.33333333334</v>
      </c>
      <c r="H36" s="39">
        <v>211458.33333333334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49">
        <f t="shared" si="3"/>
        <v>1057291.6666666667</v>
      </c>
    </row>
    <row r="37" spans="2:16" x14ac:dyDescent="0.25">
      <c r="B37" t="s">
        <v>141</v>
      </c>
      <c r="C37" s="48">
        <f t="shared" si="2"/>
        <v>2.3834486771177273E-2</v>
      </c>
      <c r="D37" s="39">
        <v>689583.33333333337</v>
      </c>
      <c r="E37" s="39">
        <v>689583.33333333337</v>
      </c>
      <c r="F37" s="39">
        <v>689583.33333333337</v>
      </c>
      <c r="G37" s="39">
        <v>689583.33333333337</v>
      </c>
      <c r="H37" s="39">
        <v>689583.33333333337</v>
      </c>
      <c r="I37" s="39">
        <v>689583.33333333337</v>
      </c>
      <c r="J37" s="39">
        <v>689583.33333333337</v>
      </c>
      <c r="K37" s="39">
        <v>689583.33333333337</v>
      </c>
      <c r="L37" s="39">
        <v>0</v>
      </c>
      <c r="M37" s="39">
        <v>0</v>
      </c>
      <c r="N37" s="39">
        <v>0</v>
      </c>
      <c r="O37" s="39">
        <v>0</v>
      </c>
      <c r="P37" s="49">
        <f t="shared" si="3"/>
        <v>5516666.666666667</v>
      </c>
    </row>
    <row r="38" spans="2:16" x14ac:dyDescent="0.25">
      <c r="B38" t="s">
        <v>143</v>
      </c>
      <c r="C38" s="48">
        <f t="shared" si="2"/>
        <v>5.998225824891441E-3</v>
      </c>
      <c r="D38" s="39">
        <v>347083.33333333337</v>
      </c>
      <c r="E38" s="39">
        <v>347083.33333333337</v>
      </c>
      <c r="F38" s="39">
        <v>347083.33333333337</v>
      </c>
      <c r="G38" s="39">
        <v>347083.33333333337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49">
        <f t="shared" si="3"/>
        <v>1388333.3333333335</v>
      </c>
    </row>
    <row r="39" spans="2:16" x14ac:dyDescent="0.25">
      <c r="B39" t="s">
        <v>145</v>
      </c>
      <c r="C39" s="48">
        <f t="shared" si="2"/>
        <v>1.6201690403368236E-2</v>
      </c>
      <c r="D39" s="39">
        <v>312500</v>
      </c>
      <c r="E39" s="39">
        <v>312500</v>
      </c>
      <c r="F39" s="39">
        <v>312500</v>
      </c>
      <c r="G39" s="39">
        <v>312500</v>
      </c>
      <c r="H39" s="39">
        <v>312500</v>
      </c>
      <c r="I39" s="39">
        <v>312500</v>
      </c>
      <c r="J39" s="39">
        <v>312500</v>
      </c>
      <c r="K39" s="39">
        <v>312500</v>
      </c>
      <c r="L39" s="39">
        <v>312500</v>
      </c>
      <c r="M39" s="39">
        <v>312500</v>
      </c>
      <c r="N39" s="39">
        <v>312500</v>
      </c>
      <c r="O39" s="39">
        <v>312500</v>
      </c>
      <c r="P39" s="49">
        <f t="shared" si="3"/>
        <v>3750000</v>
      </c>
    </row>
    <row r="40" spans="2:16" x14ac:dyDescent="0.25">
      <c r="B40" t="s">
        <v>147</v>
      </c>
      <c r="C40" s="48">
        <f t="shared" si="2"/>
        <v>3.0830781729611765E-2</v>
      </c>
      <c r="D40" s="39">
        <v>596875.00000000012</v>
      </c>
      <c r="E40" s="39">
        <v>596875.00000000012</v>
      </c>
      <c r="F40" s="39">
        <v>596875.00000000012</v>
      </c>
      <c r="G40" s="39">
        <v>596875.00000000012</v>
      </c>
      <c r="H40" s="39">
        <v>596875.00000000012</v>
      </c>
      <c r="I40" s="39">
        <v>596875.00000000012</v>
      </c>
      <c r="J40" s="39">
        <v>596875.00000000012</v>
      </c>
      <c r="K40" s="39">
        <v>596875.00000000012</v>
      </c>
      <c r="L40" s="39">
        <v>596875.00000000012</v>
      </c>
      <c r="M40" s="39">
        <v>596875.00000000012</v>
      </c>
      <c r="N40" s="39">
        <v>596875.00000000012</v>
      </c>
      <c r="O40" s="39">
        <v>570385.41666666674</v>
      </c>
      <c r="P40" s="49">
        <f t="shared" si="3"/>
        <v>7136010.4166666679</v>
      </c>
    </row>
    <row r="41" spans="2:16" x14ac:dyDescent="0.25">
      <c r="B41" t="s">
        <v>149</v>
      </c>
      <c r="C41" s="48">
        <f t="shared" si="2"/>
        <v>4.437462982700301E-3</v>
      </c>
      <c r="D41" s="39">
        <v>90625</v>
      </c>
      <c r="E41" s="39">
        <v>90625</v>
      </c>
      <c r="F41" s="39">
        <v>120833.33333333333</v>
      </c>
      <c r="G41" s="39">
        <v>120833.33333333333</v>
      </c>
      <c r="H41" s="39">
        <v>120833.33333333333</v>
      </c>
      <c r="I41" s="39">
        <v>120833.33333333333</v>
      </c>
      <c r="J41" s="39">
        <v>120833.33333333333</v>
      </c>
      <c r="K41" s="39">
        <v>120833.33333333333</v>
      </c>
      <c r="L41" s="39">
        <v>120833.33333333333</v>
      </c>
      <c r="M41" s="39">
        <v>0</v>
      </c>
      <c r="N41" s="39">
        <v>0</v>
      </c>
      <c r="O41" s="39">
        <v>0</v>
      </c>
      <c r="P41" s="49">
        <f t="shared" si="3"/>
        <v>1027083.3333333335</v>
      </c>
    </row>
    <row r="42" spans="2:16" x14ac:dyDescent="0.25">
      <c r="B42" t="s">
        <v>151</v>
      </c>
      <c r="C42" s="48">
        <f t="shared" si="2"/>
        <v>4.3204507742315296E-2</v>
      </c>
      <c r="D42" s="39">
        <v>833333.33333333337</v>
      </c>
      <c r="E42" s="39">
        <v>833333.33333333337</v>
      </c>
      <c r="F42" s="39">
        <v>833333.33333333337</v>
      </c>
      <c r="G42" s="39">
        <v>833333.33333333337</v>
      </c>
      <c r="H42" s="39">
        <v>833333.33333333337</v>
      </c>
      <c r="I42" s="39">
        <v>833333.33333333337</v>
      </c>
      <c r="J42" s="39">
        <v>833333.33333333337</v>
      </c>
      <c r="K42" s="39">
        <v>833333.33333333337</v>
      </c>
      <c r="L42" s="39">
        <v>833333.33333333337</v>
      </c>
      <c r="M42" s="39">
        <v>833333.33333333337</v>
      </c>
      <c r="N42" s="39">
        <v>833333.33333333337</v>
      </c>
      <c r="O42" s="39">
        <v>833333.33333333337</v>
      </c>
      <c r="P42" s="49">
        <f t="shared" si="3"/>
        <v>10000000</v>
      </c>
    </row>
    <row r="43" spans="2:16" x14ac:dyDescent="0.25">
      <c r="B43" t="s">
        <v>153</v>
      </c>
      <c r="C43" s="48">
        <f t="shared" si="2"/>
        <v>7.8308170282946482E-3</v>
      </c>
      <c r="D43" s="39">
        <v>151041.66666666666</v>
      </c>
      <c r="E43" s="39">
        <v>151041.66666666666</v>
      </c>
      <c r="F43" s="39">
        <v>151041.66666666666</v>
      </c>
      <c r="G43" s="39">
        <v>151041.66666666666</v>
      </c>
      <c r="H43" s="39">
        <v>151041.66666666666</v>
      </c>
      <c r="I43" s="39">
        <v>151041.66666666666</v>
      </c>
      <c r="J43" s="39">
        <v>151041.66666666666</v>
      </c>
      <c r="K43" s="39">
        <v>151041.66666666666</v>
      </c>
      <c r="L43" s="39">
        <v>151041.66666666666</v>
      </c>
      <c r="M43" s="39">
        <v>151041.66666666666</v>
      </c>
      <c r="N43" s="39">
        <v>151041.66666666666</v>
      </c>
      <c r="O43" s="39">
        <v>151041.66666666666</v>
      </c>
      <c r="P43" s="49">
        <f t="shared" si="3"/>
        <v>1812500.0000000002</v>
      </c>
    </row>
    <row r="44" spans="2:16" x14ac:dyDescent="0.25">
      <c r="B44" t="s">
        <v>155</v>
      </c>
      <c r="C44" s="48">
        <f t="shared" si="2"/>
        <v>1.9442028484041883E-2</v>
      </c>
      <c r="D44" s="39">
        <v>375000</v>
      </c>
      <c r="E44" s="39">
        <v>375000</v>
      </c>
      <c r="F44" s="39">
        <v>375000</v>
      </c>
      <c r="G44" s="39">
        <v>375000</v>
      </c>
      <c r="H44" s="39">
        <v>375000</v>
      </c>
      <c r="I44" s="39">
        <v>375000</v>
      </c>
      <c r="J44" s="39">
        <v>375000</v>
      </c>
      <c r="K44" s="39">
        <v>375000</v>
      </c>
      <c r="L44" s="39">
        <v>375000</v>
      </c>
      <c r="M44" s="39">
        <v>375000</v>
      </c>
      <c r="N44" s="39">
        <v>375000</v>
      </c>
      <c r="O44" s="39">
        <v>375000</v>
      </c>
      <c r="P44" s="49">
        <f t="shared" si="3"/>
        <v>4500000</v>
      </c>
    </row>
    <row r="45" spans="2:16" x14ac:dyDescent="0.25">
      <c r="B45" t="s">
        <v>159</v>
      </c>
      <c r="C45" s="48">
        <f t="shared" si="2"/>
        <v>4.5988798241264495E-3</v>
      </c>
      <c r="D45" s="39">
        <v>93333.333333333328</v>
      </c>
      <c r="E45" s="39">
        <v>93333.333333333328</v>
      </c>
      <c r="F45" s="39">
        <v>96666.666666666672</v>
      </c>
      <c r="G45" s="39">
        <v>96666.666666666672</v>
      </c>
      <c r="H45" s="39">
        <v>85555.555555555562</v>
      </c>
      <c r="I45" s="39">
        <v>85555.555555555562</v>
      </c>
      <c r="J45" s="39">
        <v>85555.555555555562</v>
      </c>
      <c r="K45" s="39">
        <v>85555.555555555562</v>
      </c>
      <c r="L45" s="39">
        <v>85555.555555555562</v>
      </c>
      <c r="M45" s="39">
        <v>85555.555555555562</v>
      </c>
      <c r="N45" s="39">
        <v>85555.555555555562</v>
      </c>
      <c r="O45" s="39">
        <v>85555.555555555562</v>
      </c>
      <c r="P45" s="49">
        <f t="shared" si="3"/>
        <v>1064444.4444444443</v>
      </c>
    </row>
    <row r="46" spans="2:16" x14ac:dyDescent="0.25">
      <c r="B46" t="s">
        <v>161</v>
      </c>
      <c r="C46" s="48">
        <f t="shared" si="2"/>
        <v>3.9154085141473241E-3</v>
      </c>
      <c r="D46" s="39">
        <v>302083.33333333331</v>
      </c>
      <c r="E46" s="39">
        <v>302083.33333333331</v>
      </c>
      <c r="F46" s="39">
        <v>302083.33333333331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49">
        <f t="shared" si="3"/>
        <v>906250</v>
      </c>
    </row>
    <row r="47" spans="2:16" x14ac:dyDescent="0.25">
      <c r="B47" t="s">
        <v>163</v>
      </c>
      <c r="C47" s="48">
        <f t="shared" si="2"/>
        <v>1.7821859443705061E-2</v>
      </c>
      <c r="D47" s="39">
        <v>343750</v>
      </c>
      <c r="E47" s="39">
        <v>343750</v>
      </c>
      <c r="F47" s="39">
        <v>343750</v>
      </c>
      <c r="G47" s="39">
        <v>343750</v>
      </c>
      <c r="H47" s="39">
        <v>343750</v>
      </c>
      <c r="I47" s="39">
        <v>343750</v>
      </c>
      <c r="J47" s="39">
        <v>343750</v>
      </c>
      <c r="K47" s="39">
        <v>343750</v>
      </c>
      <c r="L47" s="39">
        <v>343750</v>
      </c>
      <c r="M47" s="39">
        <v>343750</v>
      </c>
      <c r="N47" s="39">
        <v>343750</v>
      </c>
      <c r="O47" s="39">
        <v>343750</v>
      </c>
      <c r="P47" s="49">
        <f t="shared" si="3"/>
        <v>4125000</v>
      </c>
    </row>
    <row r="48" spans="2:16" x14ac:dyDescent="0.25">
      <c r="B48" t="s">
        <v>165</v>
      </c>
      <c r="C48" s="48">
        <f t="shared" si="2"/>
        <v>3.1323268113178583E-3</v>
      </c>
      <c r="D48" s="39">
        <v>60416.666666666664</v>
      </c>
      <c r="E48" s="39">
        <v>60416.666666666664</v>
      </c>
      <c r="F48" s="39">
        <v>60416.666666666664</v>
      </c>
      <c r="G48" s="39">
        <v>60416.666666666664</v>
      </c>
      <c r="H48" s="39">
        <v>60416.666666666664</v>
      </c>
      <c r="I48" s="39">
        <v>60416.666666666664</v>
      </c>
      <c r="J48" s="39">
        <v>60416.666666666664</v>
      </c>
      <c r="K48" s="39">
        <v>60416.666666666664</v>
      </c>
      <c r="L48" s="39">
        <v>60416.666666666664</v>
      </c>
      <c r="M48" s="39">
        <v>60416.666666666664</v>
      </c>
      <c r="N48" s="39">
        <v>60416.666666666664</v>
      </c>
      <c r="O48" s="39">
        <v>60416.666666666664</v>
      </c>
      <c r="P48" s="49">
        <f t="shared" si="3"/>
        <v>724999.99999999988</v>
      </c>
    </row>
    <row r="49" spans="2:16" x14ac:dyDescent="0.25">
      <c r="B49" t="s">
        <v>167</v>
      </c>
      <c r="C49" s="48">
        <f t="shared" si="2"/>
        <v>2.4302535605052356E-2</v>
      </c>
      <c r="D49" s="39">
        <v>468750</v>
      </c>
      <c r="E49" s="39">
        <v>468750</v>
      </c>
      <c r="F49" s="39">
        <v>468750</v>
      </c>
      <c r="G49" s="39">
        <v>468750</v>
      </c>
      <c r="H49" s="39">
        <v>468750</v>
      </c>
      <c r="I49" s="39">
        <v>468750</v>
      </c>
      <c r="J49" s="39">
        <v>468750</v>
      </c>
      <c r="K49" s="39">
        <v>468750</v>
      </c>
      <c r="L49" s="39">
        <v>468750</v>
      </c>
      <c r="M49" s="39">
        <v>468750</v>
      </c>
      <c r="N49" s="39">
        <v>468750</v>
      </c>
      <c r="O49" s="39">
        <v>468750</v>
      </c>
      <c r="P49" s="49">
        <f t="shared" si="3"/>
        <v>5625000</v>
      </c>
    </row>
    <row r="50" spans="2:16" x14ac:dyDescent="0.25">
      <c r="B50" t="s">
        <v>171</v>
      </c>
      <c r="C50" s="48">
        <f t="shared" si="2"/>
        <v>1.71377880711184E-2</v>
      </c>
      <c r="D50" s="39">
        <v>495833.33333333331</v>
      </c>
      <c r="E50" s="39">
        <v>495833.33333333331</v>
      </c>
      <c r="F50" s="39">
        <v>495833.33333333331</v>
      </c>
      <c r="G50" s="39">
        <v>495833.33333333331</v>
      </c>
      <c r="H50" s="39">
        <v>495833.33333333331</v>
      </c>
      <c r="I50" s="39">
        <v>495833.33333333331</v>
      </c>
      <c r="J50" s="39">
        <v>495833.33333333331</v>
      </c>
      <c r="K50" s="39">
        <v>495833.33333333331</v>
      </c>
      <c r="L50" s="39">
        <v>0</v>
      </c>
      <c r="M50" s="39">
        <v>0</v>
      </c>
      <c r="N50" s="39">
        <v>0</v>
      </c>
      <c r="O50" s="39">
        <v>0</v>
      </c>
      <c r="P50" s="49">
        <f t="shared" si="3"/>
        <v>3966666.666666667</v>
      </c>
    </row>
    <row r="51" spans="2:16" x14ac:dyDescent="0.25">
      <c r="B51" t="s">
        <v>173</v>
      </c>
      <c r="C51" s="48">
        <f t="shared" si="2"/>
        <v>1.8361915790483997E-2</v>
      </c>
      <c r="D51" s="39">
        <v>354166.66666666669</v>
      </c>
      <c r="E51" s="39">
        <v>354166.66666666669</v>
      </c>
      <c r="F51" s="39">
        <v>354166.66666666669</v>
      </c>
      <c r="G51" s="39">
        <v>354166.66666666669</v>
      </c>
      <c r="H51" s="39">
        <v>354166.66666666669</v>
      </c>
      <c r="I51" s="39">
        <v>354166.66666666669</v>
      </c>
      <c r="J51" s="39">
        <v>354166.66666666669</v>
      </c>
      <c r="K51" s="39">
        <v>354166.66666666669</v>
      </c>
      <c r="L51" s="39">
        <v>354166.66666666669</v>
      </c>
      <c r="M51" s="39">
        <v>354166.66666666669</v>
      </c>
      <c r="N51" s="39">
        <v>354166.66666666669</v>
      </c>
      <c r="O51" s="39">
        <v>354166.66666666669</v>
      </c>
      <c r="P51" s="49">
        <f t="shared" si="3"/>
        <v>4249999.9999999991</v>
      </c>
    </row>
    <row r="52" spans="2:16" x14ac:dyDescent="0.25">
      <c r="B52" t="s">
        <v>177</v>
      </c>
      <c r="C52" s="48">
        <f t="shared" si="2"/>
        <v>2.0972188133248883E-2</v>
      </c>
      <c r="D52" s="39">
        <v>407500.00000000006</v>
      </c>
      <c r="E52" s="39">
        <v>400000</v>
      </c>
      <c r="F52" s="39">
        <v>400000</v>
      </c>
      <c r="G52" s="39">
        <v>400000</v>
      </c>
      <c r="H52" s="39">
        <v>400000</v>
      </c>
      <c r="I52" s="39">
        <v>400000</v>
      </c>
      <c r="J52" s="39">
        <v>400000</v>
      </c>
      <c r="K52" s="39">
        <v>400000</v>
      </c>
      <c r="L52" s="39">
        <v>400000</v>
      </c>
      <c r="M52" s="39">
        <v>400000</v>
      </c>
      <c r="N52" s="39">
        <v>400000</v>
      </c>
      <c r="O52" s="39">
        <v>446666.66666666669</v>
      </c>
      <c r="P52" s="49">
        <f t="shared" si="3"/>
        <v>4854166.666666667</v>
      </c>
    </row>
    <row r="53" spans="2:16" x14ac:dyDescent="0.25">
      <c r="B53" t="s">
        <v>181</v>
      </c>
      <c r="C53" s="48">
        <f t="shared" si="2"/>
        <v>3.6723831580967994E-2</v>
      </c>
      <c r="D53" s="39">
        <v>708333.33333333337</v>
      </c>
      <c r="E53" s="39">
        <v>708333.33333333337</v>
      </c>
      <c r="F53" s="39">
        <v>708333.33333333337</v>
      </c>
      <c r="G53" s="39">
        <v>708333.33333333337</v>
      </c>
      <c r="H53" s="39">
        <v>708333.33333333337</v>
      </c>
      <c r="I53" s="39">
        <v>708333.33333333337</v>
      </c>
      <c r="J53" s="39">
        <v>708333.33333333337</v>
      </c>
      <c r="K53" s="39">
        <v>708333.33333333337</v>
      </c>
      <c r="L53" s="39">
        <v>708333.33333333337</v>
      </c>
      <c r="M53" s="39">
        <v>708333.33333333337</v>
      </c>
      <c r="N53" s="39">
        <v>708333.33333333337</v>
      </c>
      <c r="O53" s="39">
        <v>708333.33333333337</v>
      </c>
      <c r="P53" s="49">
        <f t="shared" si="3"/>
        <v>8499999.9999999981</v>
      </c>
    </row>
    <row r="54" spans="2:16" x14ac:dyDescent="0.25">
      <c r="B54" t="s">
        <v>183</v>
      </c>
      <c r="C54" s="48">
        <f t="shared" si="2"/>
        <v>1.1017149474290401E-2</v>
      </c>
      <c r="D54" s="39">
        <v>212500</v>
      </c>
      <c r="E54" s="39">
        <v>212500</v>
      </c>
      <c r="F54" s="39">
        <v>212500</v>
      </c>
      <c r="G54" s="39">
        <v>212500</v>
      </c>
      <c r="H54" s="39">
        <v>212500</v>
      </c>
      <c r="I54" s="39">
        <v>212500</v>
      </c>
      <c r="J54" s="39">
        <v>212500</v>
      </c>
      <c r="K54" s="39">
        <v>212500</v>
      </c>
      <c r="L54" s="39">
        <v>212500</v>
      </c>
      <c r="M54" s="39">
        <v>212500</v>
      </c>
      <c r="N54" s="39">
        <v>212500</v>
      </c>
      <c r="O54" s="39">
        <v>212500</v>
      </c>
      <c r="P54" s="49">
        <f t="shared" si="3"/>
        <v>2550000</v>
      </c>
    </row>
    <row r="55" spans="2:16" x14ac:dyDescent="0.25">
      <c r="B55" t="s">
        <v>185</v>
      </c>
      <c r="C55" s="48">
        <f t="shared" si="2"/>
        <v>1.128717764767987E-2</v>
      </c>
      <c r="D55" s="39">
        <v>237500</v>
      </c>
      <c r="E55" s="39">
        <v>237500</v>
      </c>
      <c r="F55" s="39">
        <v>237500</v>
      </c>
      <c r="G55" s="39">
        <v>237500</v>
      </c>
      <c r="H55" s="39">
        <v>237500</v>
      </c>
      <c r="I55" s="39">
        <v>237500</v>
      </c>
      <c r="J55" s="39">
        <v>237500</v>
      </c>
      <c r="K55" s="39">
        <v>237500</v>
      </c>
      <c r="L55" s="39">
        <v>237500</v>
      </c>
      <c r="M55" s="39">
        <v>237500</v>
      </c>
      <c r="N55" s="39">
        <v>237500</v>
      </c>
      <c r="O55" s="39">
        <v>0</v>
      </c>
      <c r="P55" s="49">
        <f t="shared" si="3"/>
        <v>2612500</v>
      </c>
    </row>
    <row r="56" spans="2:16" x14ac:dyDescent="0.25">
      <c r="B56" t="s">
        <v>189</v>
      </c>
      <c r="C56" s="48">
        <f t="shared" si="2"/>
        <v>1.8361915790483997E-2</v>
      </c>
      <c r="D56" s="39">
        <v>354166.66666666669</v>
      </c>
      <c r="E56" s="39">
        <v>354166.66666666669</v>
      </c>
      <c r="F56" s="39">
        <v>354166.66666666669</v>
      </c>
      <c r="G56" s="39">
        <v>354166.66666666669</v>
      </c>
      <c r="H56" s="39">
        <v>354166.66666666669</v>
      </c>
      <c r="I56" s="39">
        <v>354166.66666666669</v>
      </c>
      <c r="J56" s="39">
        <v>354166.66666666669</v>
      </c>
      <c r="K56" s="39">
        <v>354166.66666666669</v>
      </c>
      <c r="L56" s="39">
        <v>354166.66666666669</v>
      </c>
      <c r="M56" s="39">
        <v>354166.66666666669</v>
      </c>
      <c r="N56" s="39">
        <v>354166.66666666669</v>
      </c>
      <c r="O56" s="39">
        <v>354166.66666666669</v>
      </c>
      <c r="P56" s="49">
        <f t="shared" si="3"/>
        <v>4249999.9999999991</v>
      </c>
    </row>
    <row r="57" spans="2:16" x14ac:dyDescent="0.25">
      <c r="B57" t="s">
        <v>191</v>
      </c>
      <c r="C57" s="48">
        <f t="shared" si="2"/>
        <v>1.8145893251772419E-2</v>
      </c>
      <c r="D57" s="39">
        <v>166666.66666666666</v>
      </c>
      <c r="E57" s="39">
        <v>366666.66666666663</v>
      </c>
      <c r="F57" s="39">
        <v>366666.66666666663</v>
      </c>
      <c r="G57" s="39">
        <v>366666.66666666663</v>
      </c>
      <c r="H57" s="39">
        <v>366666.66666666663</v>
      </c>
      <c r="I57" s="39">
        <v>366666.66666666663</v>
      </c>
      <c r="J57" s="39">
        <v>366666.66666666663</v>
      </c>
      <c r="K57" s="39">
        <v>366666.66666666663</v>
      </c>
      <c r="L57" s="39">
        <v>366666.66666666663</v>
      </c>
      <c r="M57" s="39">
        <v>366666.66666666663</v>
      </c>
      <c r="N57" s="39">
        <v>366666.66666666663</v>
      </c>
      <c r="O57" s="39">
        <v>366666.66666666663</v>
      </c>
      <c r="P57" s="49">
        <f t="shared" si="3"/>
        <v>4199999.9999999991</v>
      </c>
    </row>
    <row r="58" spans="2:16" x14ac:dyDescent="0.25">
      <c r="B58" t="s">
        <v>195</v>
      </c>
      <c r="C58" s="48">
        <f t="shared" si="2"/>
        <v>9.0729466258862128E-3</v>
      </c>
      <c r="D58" s="39">
        <v>125000</v>
      </c>
      <c r="E58" s="39">
        <v>125000</v>
      </c>
      <c r="F58" s="39">
        <v>125000</v>
      </c>
      <c r="G58" s="39">
        <v>125000</v>
      </c>
      <c r="H58" s="39">
        <v>125000</v>
      </c>
      <c r="I58" s="39">
        <v>125000</v>
      </c>
      <c r="J58" s="39">
        <v>125000</v>
      </c>
      <c r="K58" s="39">
        <v>125000</v>
      </c>
      <c r="L58" s="39">
        <v>125000</v>
      </c>
      <c r="M58" s="39">
        <v>125000</v>
      </c>
      <c r="N58" s="39">
        <v>425000</v>
      </c>
      <c r="O58" s="39">
        <v>425000</v>
      </c>
      <c r="P58" s="49">
        <f t="shared" si="3"/>
        <v>2100000</v>
      </c>
    </row>
    <row r="59" spans="2:16" x14ac:dyDescent="0.25">
      <c r="L59" s="39">
        <v>0</v>
      </c>
    </row>
    <row r="60" spans="2:16" x14ac:dyDescent="0.25">
      <c r="B60" s="44" t="s">
        <v>215</v>
      </c>
      <c r="D60" s="42">
        <f>SUM(D3:D58)</f>
        <v>19490416.666666672</v>
      </c>
      <c r="E60" s="42">
        <f t="shared" ref="E60:P60" si="4">SUM(E3:E58)</f>
        <v>19682083.333333336</v>
      </c>
      <c r="F60" s="42">
        <f t="shared" si="4"/>
        <v>20323958.333333336</v>
      </c>
      <c r="G60" s="42">
        <f t="shared" si="4"/>
        <v>19043541.666666668</v>
      </c>
      <c r="H60" s="42">
        <f t="shared" si="4"/>
        <v>20355138.888888892</v>
      </c>
      <c r="I60" s="42">
        <f t="shared" si="4"/>
        <v>18322847.222222224</v>
      </c>
      <c r="J60" s="42">
        <f t="shared" si="4"/>
        <v>19606180.55555556</v>
      </c>
      <c r="K60" s="42">
        <f t="shared" si="4"/>
        <v>20365555.55555556</v>
      </c>
      <c r="L60" s="42">
        <f t="shared" si="4"/>
        <v>18648888.888888892</v>
      </c>
      <c r="M60" s="42">
        <f t="shared" si="4"/>
        <v>18604722.222222224</v>
      </c>
      <c r="N60" s="42">
        <f t="shared" si="4"/>
        <v>18491180.55555556</v>
      </c>
      <c r="O60" s="42">
        <f t="shared" si="4"/>
        <v>18522815.972222224</v>
      </c>
      <c r="P60" s="42">
        <f t="shared" si="4"/>
        <v>231457329.8611111</v>
      </c>
    </row>
    <row r="61" spans="2:16" x14ac:dyDescent="0.25">
      <c r="B61" s="45" t="s">
        <v>217</v>
      </c>
      <c r="D61" s="43">
        <f>+D60-D62</f>
        <v>0</v>
      </c>
      <c r="E61" s="43">
        <f t="shared" ref="E61:O61" si="5">+E60-E62</f>
        <v>0</v>
      </c>
      <c r="F61" s="43">
        <f t="shared" si="5"/>
        <v>0.6666666641831398</v>
      </c>
      <c r="G61" s="43">
        <f t="shared" si="5"/>
        <v>0</v>
      </c>
      <c r="H61" s="43">
        <f t="shared" si="5"/>
        <v>-3.3527612686157227E-8</v>
      </c>
      <c r="I61" s="43">
        <f t="shared" si="5"/>
        <v>-4.4703483581542969E-8</v>
      </c>
      <c r="J61" s="43">
        <f t="shared" si="5"/>
        <v>-1110000.000000082</v>
      </c>
      <c r="K61" s="43">
        <f t="shared" si="5"/>
        <v>3.7252902984619141E-8</v>
      </c>
      <c r="L61" s="43">
        <f t="shared" si="5"/>
        <v>-6.3329935073852539E-8</v>
      </c>
      <c r="M61" s="43">
        <f t="shared" si="5"/>
        <v>0.2222222238779068</v>
      </c>
      <c r="N61" s="43">
        <f t="shared" si="5"/>
        <v>1999999.9999999776</v>
      </c>
      <c r="O61" s="43">
        <f t="shared" si="5"/>
        <v>0</v>
      </c>
      <c r="P61" s="50">
        <f>SUM(D61:O61)</f>
        <v>890000.88888867944</v>
      </c>
    </row>
    <row r="62" spans="2:16" s="46" customFormat="1" x14ac:dyDescent="0.25">
      <c r="B62" s="46" t="s">
        <v>216</v>
      </c>
      <c r="D62" s="47">
        <v>19490416.666666657</v>
      </c>
      <c r="E62" s="47">
        <v>19682083.333333328</v>
      </c>
      <c r="F62" s="47">
        <v>20323957.666666672</v>
      </c>
      <c r="G62" s="47">
        <v>19043541.666666687</v>
      </c>
      <c r="H62" s="47">
        <v>20355138.888888925</v>
      </c>
      <c r="I62" s="47">
        <v>18322847.222222269</v>
      </c>
      <c r="J62" s="47">
        <v>20716180.555555642</v>
      </c>
      <c r="K62" s="47">
        <v>20365555.555555522</v>
      </c>
      <c r="L62" s="47">
        <v>18648888.888888955</v>
      </c>
      <c r="M62" s="47">
        <v>18604722</v>
      </c>
      <c r="N62" s="47">
        <v>16491180.555555582</v>
      </c>
      <c r="O62" s="47">
        <v>18522815.972222209</v>
      </c>
      <c r="P62" s="51">
        <f>SUM(D62:O62)</f>
        <v>230567328.97222245</v>
      </c>
    </row>
    <row r="64" spans="2:16" x14ac:dyDescent="0.25">
      <c r="J64" s="39" t="s">
        <v>231</v>
      </c>
      <c r="N64" s="39" t="s">
        <v>232</v>
      </c>
    </row>
  </sheetData>
  <sortState xmlns:xlrd2="http://schemas.microsoft.com/office/spreadsheetml/2017/richdata2" ref="B3:O58">
    <sortCondition ref="B3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SHU TB 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Adita</dc:creator>
  <cp:lastModifiedBy>PT. Gresik Cipta Sejahtera</cp:lastModifiedBy>
  <dcterms:created xsi:type="dcterms:W3CDTF">2025-02-27T01:21:21Z</dcterms:created>
  <dcterms:modified xsi:type="dcterms:W3CDTF">2026-08-26T04:50:35Z</dcterms:modified>
</cp:coreProperties>
</file>