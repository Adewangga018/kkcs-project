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 KERJA\K K C S\Laporan Bulanan\2026\"/>
    </mc:Choice>
  </mc:AlternateContent>
  <xr:revisionPtr revIDLastSave="0" documentId="13_ncr:1_{BC8CDFC6-8D7F-4BF7-B8B5-E9527043FB14}" xr6:coauthVersionLast="47" xr6:coauthVersionMax="47" xr10:uidLastSave="{00000000-0000-0000-0000-000000000000}"/>
  <bookViews>
    <workbookView xWindow="-120" yWindow="-120" windowWidth="29040" windowHeight="15720" xr2:uid="{97CE4977-F499-468B-9AC7-D6C68C1EF891}"/>
  </bookViews>
  <sheets>
    <sheet name="Master" sheetId="1" r:id="rId1"/>
    <sheet name="Sheet2" sheetId="2" r:id="rId2"/>
  </sheets>
  <definedNames>
    <definedName name="_xlnm._FilterDatabase" localSheetId="0" hidden="1">Master!$J$4:$BI$104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82" i="1" l="1"/>
  <c r="BA82" i="1" s="1"/>
  <c r="BE82" i="1" s="1"/>
  <c r="BI82" i="1" s="1"/>
  <c r="P82" i="1"/>
  <c r="T82" i="1" s="1"/>
  <c r="X82" i="1" s="1"/>
  <c r="AB82" i="1" s="1"/>
  <c r="AF82" i="1" s="1"/>
  <c r="AJ82" i="1" s="1"/>
  <c r="AN82" i="1" s="1"/>
  <c r="AR82" i="1" s="1"/>
  <c r="AV82" i="1" s="1"/>
  <c r="AZ82" i="1" s="1"/>
  <c r="BD82" i="1" s="1"/>
  <c r="BH82" i="1" s="1"/>
  <c r="AW81" i="1"/>
  <c r="BA81" i="1" s="1"/>
  <c r="BE81" i="1" s="1"/>
  <c r="BI81" i="1" s="1"/>
  <c r="P81" i="1"/>
  <c r="T81" i="1" s="1"/>
  <c r="X81" i="1" s="1"/>
  <c r="AB81" i="1" s="1"/>
  <c r="AF81" i="1" s="1"/>
  <c r="AJ81" i="1" s="1"/>
  <c r="AN81" i="1" s="1"/>
  <c r="AR81" i="1" s="1"/>
  <c r="AV81" i="1" s="1"/>
  <c r="AZ81" i="1" s="1"/>
  <c r="BD81" i="1" s="1"/>
  <c r="BH81" i="1" s="1"/>
  <c r="Q100" i="1"/>
  <c r="U100" i="1" s="1"/>
  <c r="Y100" i="1" s="1"/>
  <c r="AC100" i="1" s="1"/>
  <c r="AG100" i="1" s="1"/>
  <c r="AK100" i="1" s="1"/>
  <c r="AO100" i="1" s="1"/>
  <c r="AS100" i="1" s="1"/>
  <c r="P100" i="1"/>
  <c r="T100" i="1" s="1"/>
  <c r="X100" i="1" s="1"/>
  <c r="AB100" i="1" s="1"/>
  <c r="AF100" i="1" s="1"/>
  <c r="AJ100" i="1" s="1"/>
  <c r="AN100" i="1" s="1"/>
  <c r="AR100" i="1" s="1"/>
  <c r="AV100" i="1" s="1"/>
  <c r="AZ100" i="1" s="1"/>
  <c r="BD100" i="1" s="1"/>
  <c r="BH100" i="1" s="1"/>
  <c r="Z1" i="1" l="1"/>
  <c r="Q99" i="1"/>
  <c r="U99" i="1" s="1"/>
  <c r="Y99" i="1" s="1"/>
  <c r="P99" i="1"/>
  <c r="T99" i="1" s="1"/>
  <c r="X99" i="1" s="1"/>
  <c r="AB99" i="1" s="1"/>
  <c r="AF99" i="1" s="1"/>
  <c r="AJ99" i="1" s="1"/>
  <c r="AN99" i="1" s="1"/>
  <c r="AR99" i="1" s="1"/>
  <c r="AV99" i="1" s="1"/>
  <c r="AZ99" i="1" s="1"/>
  <c r="BD99" i="1" s="1"/>
  <c r="BH99" i="1" s="1"/>
  <c r="Y79" i="1" l="1"/>
  <c r="AC79" i="1" s="1"/>
  <c r="AG79" i="1" s="1"/>
  <c r="AK79" i="1" s="1"/>
  <c r="AO79" i="1" s="1"/>
  <c r="AS79" i="1" s="1"/>
  <c r="AW79" i="1" s="1"/>
  <c r="BA79" i="1" s="1"/>
  <c r="BE79" i="1" s="1"/>
  <c r="BI79" i="1" s="1"/>
  <c r="Y78" i="1"/>
  <c r="AC78" i="1" s="1"/>
  <c r="AG78" i="1" s="1"/>
  <c r="AK78" i="1" s="1"/>
  <c r="AO78" i="1" s="1"/>
  <c r="AS78" i="1" s="1"/>
  <c r="AW78" i="1" s="1"/>
  <c r="BA78" i="1" s="1"/>
  <c r="BE78" i="1" s="1"/>
  <c r="BI78" i="1" s="1"/>
  <c r="Y77" i="1"/>
  <c r="AC77" i="1" s="1"/>
  <c r="AG77" i="1" s="1"/>
  <c r="AK77" i="1" s="1"/>
  <c r="AO77" i="1" s="1"/>
  <c r="AS77" i="1" s="1"/>
  <c r="AW77" i="1" s="1"/>
  <c r="BA77" i="1" s="1"/>
  <c r="BE77" i="1" s="1"/>
  <c r="BI77" i="1" s="1"/>
  <c r="Q98" i="1"/>
  <c r="U98" i="1" s="1"/>
  <c r="P98" i="1"/>
  <c r="T98" i="1" s="1"/>
  <c r="X98" i="1" s="1"/>
  <c r="AB98" i="1" s="1"/>
  <c r="AF98" i="1" s="1"/>
  <c r="AJ98" i="1" s="1"/>
  <c r="AN98" i="1" s="1"/>
  <c r="AR98" i="1" s="1"/>
  <c r="AV98" i="1" s="1"/>
  <c r="AZ98" i="1" s="1"/>
  <c r="BD98" i="1" s="1"/>
  <c r="BH98" i="1" s="1"/>
  <c r="L1" i="1"/>
  <c r="J1" i="1"/>
  <c r="Q97" i="1"/>
  <c r="U97" i="1" s="1"/>
  <c r="P97" i="1"/>
  <c r="T97" i="1" s="1"/>
  <c r="X97" i="1" s="1"/>
  <c r="AB97" i="1" s="1"/>
  <c r="AF97" i="1" s="1"/>
  <c r="AJ97" i="1" s="1"/>
  <c r="AN97" i="1" s="1"/>
  <c r="AR97" i="1" s="1"/>
  <c r="AV97" i="1" s="1"/>
  <c r="AZ97" i="1" s="1"/>
  <c r="BD97" i="1" s="1"/>
  <c r="BH97" i="1" s="1"/>
  <c r="P102" i="1"/>
  <c r="T102" i="1" s="1"/>
  <c r="X102" i="1" s="1"/>
  <c r="AB102" i="1" s="1"/>
  <c r="AF102" i="1" s="1"/>
  <c r="AJ102" i="1" s="1"/>
  <c r="AN102" i="1" s="1"/>
  <c r="AR102" i="1" s="1"/>
  <c r="AV102" i="1" s="1"/>
  <c r="AZ102" i="1" s="1"/>
  <c r="BD102" i="1" s="1"/>
  <c r="BH102" i="1" s="1"/>
  <c r="P101" i="1"/>
  <c r="T101" i="1" s="1"/>
  <c r="X101" i="1" s="1"/>
  <c r="AB101" i="1" s="1"/>
  <c r="AF101" i="1" s="1"/>
  <c r="AJ101" i="1" s="1"/>
  <c r="AN101" i="1" s="1"/>
  <c r="AR101" i="1" s="1"/>
  <c r="AV101" i="1" s="1"/>
  <c r="AZ101" i="1" s="1"/>
  <c r="BD101" i="1" s="1"/>
  <c r="BH101" i="1" s="1"/>
  <c r="P96" i="1"/>
  <c r="T96" i="1" s="1"/>
  <c r="X96" i="1" s="1"/>
  <c r="AB96" i="1" s="1"/>
  <c r="AF96" i="1" s="1"/>
  <c r="AJ96" i="1" s="1"/>
  <c r="AN96" i="1" s="1"/>
  <c r="AR96" i="1" s="1"/>
  <c r="AV96" i="1" s="1"/>
  <c r="AZ96" i="1" s="1"/>
  <c r="BD96" i="1" s="1"/>
  <c r="BH96" i="1" s="1"/>
  <c r="P79" i="1" l="1"/>
  <c r="T79" i="1" s="1"/>
  <c r="X79" i="1" s="1"/>
  <c r="AB79" i="1" s="1"/>
  <c r="AF79" i="1" s="1"/>
  <c r="AJ79" i="1" s="1"/>
  <c r="AN79" i="1" s="1"/>
  <c r="AR79" i="1" s="1"/>
  <c r="AV79" i="1" s="1"/>
  <c r="AZ79" i="1" s="1"/>
  <c r="BD79" i="1" s="1"/>
  <c r="BH79" i="1" s="1"/>
  <c r="P78" i="1"/>
  <c r="T78" i="1" s="1"/>
  <c r="X78" i="1" s="1"/>
  <c r="AB78" i="1" s="1"/>
  <c r="AF78" i="1" s="1"/>
  <c r="AJ78" i="1" s="1"/>
  <c r="AN78" i="1" s="1"/>
  <c r="AR78" i="1" s="1"/>
  <c r="AV78" i="1" s="1"/>
  <c r="AZ78" i="1" s="1"/>
  <c r="BD78" i="1" s="1"/>
  <c r="BH78" i="1" s="1"/>
  <c r="P77" i="1"/>
  <c r="T77" i="1" s="1"/>
  <c r="X77" i="1" s="1"/>
  <c r="AB77" i="1" s="1"/>
  <c r="AF77" i="1" s="1"/>
  <c r="AJ77" i="1" s="1"/>
  <c r="AN77" i="1" s="1"/>
  <c r="AR77" i="1" s="1"/>
  <c r="AV77" i="1" s="1"/>
  <c r="AZ77" i="1" s="1"/>
  <c r="BD77" i="1" s="1"/>
  <c r="BH77" i="1" s="1"/>
  <c r="Q76" i="1"/>
  <c r="U76" i="1" s="1"/>
  <c r="Y76" i="1" s="1"/>
  <c r="AC76" i="1" s="1"/>
  <c r="AG76" i="1" s="1"/>
  <c r="AK76" i="1" s="1"/>
  <c r="AO76" i="1" s="1"/>
  <c r="AS76" i="1" s="1"/>
  <c r="AW76" i="1" s="1"/>
  <c r="BA76" i="1" s="1"/>
  <c r="BE76" i="1" s="1"/>
  <c r="BI76" i="1" s="1"/>
  <c r="P76" i="1"/>
  <c r="T76" i="1" s="1"/>
  <c r="X76" i="1" s="1"/>
  <c r="AB76" i="1" s="1"/>
  <c r="AF76" i="1" s="1"/>
  <c r="AJ76" i="1" s="1"/>
  <c r="AN76" i="1" s="1"/>
  <c r="AR76" i="1" s="1"/>
  <c r="AV76" i="1" s="1"/>
  <c r="AZ76" i="1" s="1"/>
  <c r="BD76" i="1" s="1"/>
  <c r="BH76" i="1" s="1"/>
  <c r="P87" i="1" l="1"/>
  <c r="T87" i="1" s="1"/>
  <c r="X87" i="1" s="1"/>
  <c r="AB87" i="1" s="1"/>
  <c r="AF87" i="1" s="1"/>
  <c r="AJ87" i="1" s="1"/>
  <c r="AN87" i="1" s="1"/>
  <c r="AR87" i="1" s="1"/>
  <c r="AV87" i="1" s="1"/>
  <c r="AZ87" i="1" s="1"/>
  <c r="BD87" i="1" s="1"/>
  <c r="BH87" i="1" s="1"/>
  <c r="P86" i="1"/>
  <c r="T86" i="1" s="1"/>
  <c r="X86" i="1" s="1"/>
  <c r="AB86" i="1" s="1"/>
  <c r="AF86" i="1" s="1"/>
  <c r="AJ86" i="1" s="1"/>
  <c r="AN86" i="1" s="1"/>
  <c r="AR86" i="1" s="1"/>
  <c r="AV86" i="1" s="1"/>
  <c r="AZ86" i="1" s="1"/>
  <c r="BD86" i="1" s="1"/>
  <c r="BH86" i="1" s="1"/>
  <c r="P85" i="1"/>
  <c r="T85" i="1" s="1"/>
  <c r="X85" i="1" s="1"/>
  <c r="AB85" i="1" s="1"/>
  <c r="AF85" i="1" s="1"/>
  <c r="AJ85" i="1" s="1"/>
  <c r="AN85" i="1" s="1"/>
  <c r="AR85" i="1" s="1"/>
  <c r="AV85" i="1" s="1"/>
  <c r="AZ85" i="1" s="1"/>
  <c r="BD85" i="1" s="1"/>
  <c r="BH85" i="1" s="1"/>
  <c r="P88" i="1"/>
  <c r="T88" i="1" s="1"/>
  <c r="X88" i="1" s="1"/>
  <c r="AB88" i="1" s="1"/>
  <c r="AF88" i="1" s="1"/>
  <c r="AJ88" i="1" s="1"/>
  <c r="AN88" i="1" s="1"/>
  <c r="AR88" i="1" s="1"/>
  <c r="AV88" i="1" s="1"/>
  <c r="AZ88" i="1" s="1"/>
  <c r="BD88" i="1" s="1"/>
  <c r="BH88" i="1" s="1"/>
  <c r="P84" i="1"/>
  <c r="T84" i="1" s="1"/>
  <c r="X84" i="1" s="1"/>
  <c r="AB84" i="1" s="1"/>
  <c r="AF84" i="1" s="1"/>
  <c r="AJ84" i="1" s="1"/>
  <c r="AN84" i="1" s="1"/>
  <c r="AR84" i="1" s="1"/>
  <c r="AV84" i="1" s="1"/>
  <c r="AZ84" i="1" s="1"/>
  <c r="BD84" i="1" s="1"/>
  <c r="BH84" i="1" s="1"/>
  <c r="AK80" i="1"/>
  <c r="AO80" i="1" s="1"/>
  <c r="AS80" i="1" s="1"/>
  <c r="AW80" i="1" s="1"/>
  <c r="BA80" i="1" s="1"/>
  <c r="BE80" i="1" s="1"/>
  <c r="BI80" i="1" s="1"/>
  <c r="Q75" i="1"/>
  <c r="U75" i="1" s="1"/>
  <c r="Y75" i="1" s="1"/>
  <c r="AC75" i="1" s="1"/>
  <c r="AG75" i="1" s="1"/>
  <c r="AK75" i="1" s="1"/>
  <c r="AO75" i="1" s="1"/>
  <c r="AS75" i="1" s="1"/>
  <c r="AW75" i="1" s="1"/>
  <c r="BA75" i="1" s="1"/>
  <c r="BE75" i="1" s="1"/>
  <c r="BI75" i="1" s="1"/>
  <c r="Q74" i="1"/>
  <c r="U74" i="1" s="1"/>
  <c r="Y74" i="1" s="1"/>
  <c r="AC74" i="1" s="1"/>
  <c r="AG74" i="1" s="1"/>
  <c r="AK74" i="1" s="1"/>
  <c r="AO74" i="1" s="1"/>
  <c r="AS74" i="1" s="1"/>
  <c r="AW74" i="1" s="1"/>
  <c r="BA74" i="1" s="1"/>
  <c r="BE74" i="1" s="1"/>
  <c r="BI74" i="1" s="1"/>
  <c r="Q73" i="1"/>
  <c r="U73" i="1" s="1"/>
  <c r="Y73" i="1" s="1"/>
  <c r="AC73" i="1" s="1"/>
  <c r="AG73" i="1" s="1"/>
  <c r="AK73" i="1" s="1"/>
  <c r="AO73" i="1" s="1"/>
  <c r="AS73" i="1" s="1"/>
  <c r="AW73" i="1" s="1"/>
  <c r="BA73" i="1" s="1"/>
  <c r="BE73" i="1" s="1"/>
  <c r="BI73" i="1" s="1"/>
  <c r="Q72" i="1"/>
  <c r="U72" i="1" s="1"/>
  <c r="Y72" i="1" s="1"/>
  <c r="AC72" i="1" s="1"/>
  <c r="AG72" i="1" s="1"/>
  <c r="AK72" i="1" s="1"/>
  <c r="AO72" i="1" s="1"/>
  <c r="AS72" i="1" s="1"/>
  <c r="AW72" i="1" s="1"/>
  <c r="BA72" i="1" s="1"/>
  <c r="BE72" i="1" s="1"/>
  <c r="BI72" i="1" s="1"/>
  <c r="Q71" i="1"/>
  <c r="U71" i="1" s="1"/>
  <c r="Y71" i="1" s="1"/>
  <c r="AC71" i="1" s="1"/>
  <c r="AG71" i="1" s="1"/>
  <c r="AK71" i="1" s="1"/>
  <c r="AO71" i="1" s="1"/>
  <c r="AS71" i="1" s="1"/>
  <c r="AW71" i="1" s="1"/>
  <c r="BA71" i="1" s="1"/>
  <c r="BE71" i="1" s="1"/>
  <c r="BI71" i="1" s="1"/>
  <c r="Q70" i="1"/>
  <c r="U70" i="1" s="1"/>
  <c r="Y70" i="1" s="1"/>
  <c r="AC70" i="1" s="1"/>
  <c r="AG70" i="1" s="1"/>
  <c r="AK70" i="1" s="1"/>
  <c r="AO70" i="1" s="1"/>
  <c r="AS70" i="1" s="1"/>
  <c r="AW70" i="1" s="1"/>
  <c r="BA70" i="1" s="1"/>
  <c r="BE70" i="1" s="1"/>
  <c r="BI70" i="1" s="1"/>
  <c r="Q69" i="1"/>
  <c r="U69" i="1" s="1"/>
  <c r="Y69" i="1" s="1"/>
  <c r="AC69" i="1" s="1"/>
  <c r="AG69" i="1" s="1"/>
  <c r="AK69" i="1" s="1"/>
  <c r="AO69" i="1" s="1"/>
  <c r="AS69" i="1" s="1"/>
  <c r="AW69" i="1" s="1"/>
  <c r="BA69" i="1" s="1"/>
  <c r="BE69" i="1" s="1"/>
  <c r="BI69" i="1" s="1"/>
  <c r="Q68" i="1"/>
  <c r="U68" i="1" s="1"/>
  <c r="Y68" i="1" s="1"/>
  <c r="AC68" i="1" s="1"/>
  <c r="AG68" i="1" s="1"/>
  <c r="AK68" i="1" s="1"/>
  <c r="AO68" i="1" s="1"/>
  <c r="AS68" i="1" s="1"/>
  <c r="AW68" i="1" s="1"/>
  <c r="BA68" i="1" s="1"/>
  <c r="BE68" i="1" s="1"/>
  <c r="BI68" i="1" s="1"/>
  <c r="Q67" i="1"/>
  <c r="U67" i="1" s="1"/>
  <c r="Y67" i="1" s="1"/>
  <c r="AC67" i="1" s="1"/>
  <c r="AG67" i="1" s="1"/>
  <c r="AK67" i="1" s="1"/>
  <c r="AO67" i="1" s="1"/>
  <c r="AS67" i="1" s="1"/>
  <c r="AW67" i="1" s="1"/>
  <c r="BA67" i="1" s="1"/>
  <c r="BE67" i="1" s="1"/>
  <c r="BI67" i="1" s="1"/>
  <c r="Q66" i="1"/>
  <c r="U66" i="1" s="1"/>
  <c r="Y66" i="1" s="1"/>
  <c r="AC66" i="1" s="1"/>
  <c r="AG66" i="1" s="1"/>
  <c r="AK66" i="1" s="1"/>
  <c r="AO66" i="1" s="1"/>
  <c r="AS66" i="1" s="1"/>
  <c r="AW66" i="1" s="1"/>
  <c r="BA66" i="1" s="1"/>
  <c r="BE66" i="1" s="1"/>
  <c r="BI66" i="1" s="1"/>
  <c r="Q65" i="1"/>
  <c r="U65" i="1" s="1"/>
  <c r="Y65" i="1" s="1"/>
  <c r="AC65" i="1" s="1"/>
  <c r="AG65" i="1" s="1"/>
  <c r="AK65" i="1" s="1"/>
  <c r="AO65" i="1" s="1"/>
  <c r="AS65" i="1" s="1"/>
  <c r="AW65" i="1" s="1"/>
  <c r="BA65" i="1" s="1"/>
  <c r="BE65" i="1" s="1"/>
  <c r="BI65" i="1" s="1"/>
  <c r="Q64" i="1"/>
  <c r="U64" i="1" s="1"/>
  <c r="Y64" i="1" s="1"/>
  <c r="AC64" i="1" s="1"/>
  <c r="AG64" i="1" s="1"/>
  <c r="AK64" i="1" s="1"/>
  <c r="AO64" i="1" s="1"/>
  <c r="AS64" i="1" s="1"/>
  <c r="AW64" i="1" s="1"/>
  <c r="BA64" i="1" s="1"/>
  <c r="BE64" i="1" s="1"/>
  <c r="BI64" i="1" s="1"/>
  <c r="Q63" i="1"/>
  <c r="U63" i="1" s="1"/>
  <c r="Y63" i="1" s="1"/>
  <c r="AC63" i="1" s="1"/>
  <c r="AG63" i="1" s="1"/>
  <c r="AK63" i="1" s="1"/>
  <c r="AO63" i="1" s="1"/>
  <c r="AS63" i="1" s="1"/>
  <c r="AW63" i="1" s="1"/>
  <c r="BA63" i="1" s="1"/>
  <c r="BE63" i="1" s="1"/>
  <c r="BI63" i="1" s="1"/>
  <c r="Q62" i="1"/>
  <c r="U62" i="1" s="1"/>
  <c r="Y62" i="1" s="1"/>
  <c r="AC62" i="1" s="1"/>
  <c r="AG62" i="1" s="1"/>
  <c r="AK62" i="1" s="1"/>
  <c r="AO62" i="1" s="1"/>
  <c r="AS62" i="1" s="1"/>
  <c r="AW62" i="1" s="1"/>
  <c r="BA62" i="1" s="1"/>
  <c r="BE62" i="1" s="1"/>
  <c r="BI62" i="1" s="1"/>
  <c r="Q61" i="1"/>
  <c r="U61" i="1" s="1"/>
  <c r="Y61" i="1" s="1"/>
  <c r="AC61" i="1" s="1"/>
  <c r="AG61" i="1" s="1"/>
  <c r="AK61" i="1" s="1"/>
  <c r="AO61" i="1" s="1"/>
  <c r="AS61" i="1" s="1"/>
  <c r="AW61" i="1" s="1"/>
  <c r="BA61" i="1" s="1"/>
  <c r="BE61" i="1" s="1"/>
  <c r="BI61" i="1" s="1"/>
  <c r="Q60" i="1"/>
  <c r="U60" i="1" s="1"/>
  <c r="Y60" i="1" s="1"/>
  <c r="AC60" i="1" s="1"/>
  <c r="AG60" i="1" s="1"/>
  <c r="AK60" i="1" s="1"/>
  <c r="AO60" i="1" s="1"/>
  <c r="AS60" i="1" s="1"/>
  <c r="AW60" i="1" s="1"/>
  <c r="BA60" i="1" s="1"/>
  <c r="BE60" i="1" s="1"/>
  <c r="BI60" i="1" s="1"/>
  <c r="Q59" i="1"/>
  <c r="U59" i="1" s="1"/>
  <c r="Y59" i="1" s="1"/>
  <c r="AC59" i="1" s="1"/>
  <c r="AG59" i="1" s="1"/>
  <c r="AK59" i="1" s="1"/>
  <c r="AO59" i="1" s="1"/>
  <c r="AS59" i="1" s="1"/>
  <c r="AW59" i="1" s="1"/>
  <c r="BA59" i="1" s="1"/>
  <c r="BE59" i="1" s="1"/>
  <c r="BI59" i="1" s="1"/>
  <c r="Q58" i="1"/>
  <c r="U58" i="1" s="1"/>
  <c r="Y58" i="1" s="1"/>
  <c r="AC58" i="1" s="1"/>
  <c r="AG58" i="1" s="1"/>
  <c r="AK58" i="1" s="1"/>
  <c r="AO58" i="1" s="1"/>
  <c r="AS58" i="1" s="1"/>
  <c r="AW58" i="1" s="1"/>
  <c r="BA58" i="1" s="1"/>
  <c r="BE58" i="1" s="1"/>
  <c r="BI58" i="1" s="1"/>
  <c r="Q57" i="1"/>
  <c r="U57" i="1" s="1"/>
  <c r="Y57" i="1" s="1"/>
  <c r="AC57" i="1" s="1"/>
  <c r="AG57" i="1" s="1"/>
  <c r="AK57" i="1" s="1"/>
  <c r="AO57" i="1" s="1"/>
  <c r="AS57" i="1" s="1"/>
  <c r="AW57" i="1" s="1"/>
  <c r="BA57" i="1" s="1"/>
  <c r="BE57" i="1" s="1"/>
  <c r="BI57" i="1" s="1"/>
  <c r="Q56" i="1"/>
  <c r="U56" i="1" s="1"/>
  <c r="Y56" i="1" s="1"/>
  <c r="AC56" i="1" s="1"/>
  <c r="AG56" i="1" s="1"/>
  <c r="AK56" i="1" s="1"/>
  <c r="AO56" i="1" s="1"/>
  <c r="AS56" i="1" s="1"/>
  <c r="AW56" i="1" s="1"/>
  <c r="BA56" i="1" s="1"/>
  <c r="BE56" i="1" s="1"/>
  <c r="BI56" i="1" s="1"/>
  <c r="Q55" i="1"/>
  <c r="U55" i="1" s="1"/>
  <c r="Y55" i="1" s="1"/>
  <c r="AC55" i="1" s="1"/>
  <c r="AG55" i="1" s="1"/>
  <c r="AK55" i="1" s="1"/>
  <c r="AO55" i="1" s="1"/>
  <c r="AS55" i="1" s="1"/>
  <c r="AW55" i="1" s="1"/>
  <c r="BA55" i="1" s="1"/>
  <c r="BE55" i="1" s="1"/>
  <c r="BI55" i="1" s="1"/>
  <c r="Q54" i="1"/>
  <c r="U54" i="1" s="1"/>
  <c r="Y54" i="1" s="1"/>
  <c r="AC54" i="1" s="1"/>
  <c r="AG54" i="1" s="1"/>
  <c r="AK54" i="1" s="1"/>
  <c r="AO54" i="1" s="1"/>
  <c r="AS54" i="1" s="1"/>
  <c r="AW54" i="1" s="1"/>
  <c r="BA54" i="1" s="1"/>
  <c r="BE54" i="1" s="1"/>
  <c r="BI54" i="1" s="1"/>
  <c r="Q53" i="1"/>
  <c r="U53" i="1" s="1"/>
  <c r="Y53" i="1" s="1"/>
  <c r="AC53" i="1" s="1"/>
  <c r="AG53" i="1" s="1"/>
  <c r="AK53" i="1" s="1"/>
  <c r="AO53" i="1" s="1"/>
  <c r="AS53" i="1" s="1"/>
  <c r="AW53" i="1" s="1"/>
  <c r="BA53" i="1" s="1"/>
  <c r="BE53" i="1" s="1"/>
  <c r="BI53" i="1" s="1"/>
  <c r="Q52" i="1"/>
  <c r="U52" i="1" s="1"/>
  <c r="Y52" i="1" s="1"/>
  <c r="AC52" i="1" s="1"/>
  <c r="AG52" i="1" s="1"/>
  <c r="AK52" i="1" s="1"/>
  <c r="AO52" i="1" s="1"/>
  <c r="AS52" i="1" s="1"/>
  <c r="AW52" i="1" s="1"/>
  <c r="BA52" i="1" s="1"/>
  <c r="BE52" i="1" s="1"/>
  <c r="BI52" i="1" s="1"/>
  <c r="Q51" i="1"/>
  <c r="U51" i="1" s="1"/>
  <c r="Y51" i="1" s="1"/>
  <c r="AC51" i="1" s="1"/>
  <c r="AG51" i="1" s="1"/>
  <c r="AK51" i="1" s="1"/>
  <c r="AO51" i="1" s="1"/>
  <c r="AS51" i="1" s="1"/>
  <c r="AW51" i="1" s="1"/>
  <c r="BA51" i="1" s="1"/>
  <c r="BE51" i="1" s="1"/>
  <c r="BI51" i="1" s="1"/>
  <c r="Q50" i="1"/>
  <c r="U50" i="1" s="1"/>
  <c r="Y50" i="1" s="1"/>
  <c r="AC50" i="1" s="1"/>
  <c r="AG50" i="1" s="1"/>
  <c r="AK50" i="1" s="1"/>
  <c r="AO50" i="1" s="1"/>
  <c r="AS50" i="1" s="1"/>
  <c r="AW50" i="1" s="1"/>
  <c r="BA50" i="1" s="1"/>
  <c r="BE50" i="1" s="1"/>
  <c r="BI50" i="1" s="1"/>
  <c r="Q49" i="1"/>
  <c r="U49" i="1" s="1"/>
  <c r="Y49" i="1" s="1"/>
  <c r="AC49" i="1" s="1"/>
  <c r="AG49" i="1" s="1"/>
  <c r="AK49" i="1" s="1"/>
  <c r="AO49" i="1" s="1"/>
  <c r="AS49" i="1" s="1"/>
  <c r="AW49" i="1" s="1"/>
  <c r="BA49" i="1" s="1"/>
  <c r="BE49" i="1" s="1"/>
  <c r="BI49" i="1" s="1"/>
  <c r="Q48" i="1"/>
  <c r="U48" i="1" s="1"/>
  <c r="Y48" i="1" s="1"/>
  <c r="AC48" i="1" s="1"/>
  <c r="AG48" i="1" s="1"/>
  <c r="AK48" i="1" s="1"/>
  <c r="AO48" i="1" s="1"/>
  <c r="AS48" i="1" s="1"/>
  <c r="AW48" i="1" s="1"/>
  <c r="BA48" i="1" s="1"/>
  <c r="BE48" i="1" s="1"/>
  <c r="BI48" i="1" s="1"/>
  <c r="Q47" i="1"/>
  <c r="U47" i="1" s="1"/>
  <c r="Y47" i="1" s="1"/>
  <c r="AC47" i="1" s="1"/>
  <c r="AG47" i="1" s="1"/>
  <c r="AK47" i="1" s="1"/>
  <c r="AO47" i="1" s="1"/>
  <c r="AS47" i="1" s="1"/>
  <c r="AW47" i="1" s="1"/>
  <c r="BA47" i="1" s="1"/>
  <c r="BE47" i="1" s="1"/>
  <c r="BI47" i="1" s="1"/>
  <c r="Q46" i="1"/>
  <c r="U46" i="1" s="1"/>
  <c r="Y46" i="1" s="1"/>
  <c r="AC46" i="1" s="1"/>
  <c r="AG46" i="1" s="1"/>
  <c r="AK46" i="1" s="1"/>
  <c r="AO46" i="1" s="1"/>
  <c r="AS46" i="1" s="1"/>
  <c r="AW46" i="1" s="1"/>
  <c r="BA46" i="1" s="1"/>
  <c r="BE46" i="1" s="1"/>
  <c r="BI46" i="1" s="1"/>
  <c r="Q45" i="1"/>
  <c r="U45" i="1" s="1"/>
  <c r="Y45" i="1" s="1"/>
  <c r="AC45" i="1" s="1"/>
  <c r="AG45" i="1" s="1"/>
  <c r="AK45" i="1" s="1"/>
  <c r="AO45" i="1" s="1"/>
  <c r="AS45" i="1" s="1"/>
  <c r="AW45" i="1" s="1"/>
  <c r="BA45" i="1" s="1"/>
  <c r="BE45" i="1" s="1"/>
  <c r="BI45" i="1" s="1"/>
  <c r="Q44" i="1"/>
  <c r="U44" i="1" s="1"/>
  <c r="Y44" i="1" s="1"/>
  <c r="AC44" i="1" s="1"/>
  <c r="AG44" i="1" s="1"/>
  <c r="AK44" i="1" s="1"/>
  <c r="AO44" i="1" s="1"/>
  <c r="AS44" i="1" s="1"/>
  <c r="AW44" i="1" s="1"/>
  <c r="BA44" i="1" s="1"/>
  <c r="BE44" i="1" s="1"/>
  <c r="BI44" i="1" s="1"/>
  <c r="Q43" i="1"/>
  <c r="U43" i="1" s="1"/>
  <c r="Y43" i="1" s="1"/>
  <c r="AC43" i="1" s="1"/>
  <c r="AG43" i="1" s="1"/>
  <c r="AK43" i="1" s="1"/>
  <c r="AO43" i="1" s="1"/>
  <c r="AS43" i="1" s="1"/>
  <c r="AW43" i="1" s="1"/>
  <c r="BA43" i="1" s="1"/>
  <c r="BE43" i="1" s="1"/>
  <c r="BI43" i="1" s="1"/>
  <c r="Q42" i="1"/>
  <c r="U42" i="1" s="1"/>
  <c r="Y42" i="1" s="1"/>
  <c r="AC42" i="1" s="1"/>
  <c r="AG42" i="1" s="1"/>
  <c r="AK42" i="1" s="1"/>
  <c r="AO42" i="1" s="1"/>
  <c r="AS42" i="1" s="1"/>
  <c r="AW42" i="1" s="1"/>
  <c r="BA42" i="1" s="1"/>
  <c r="BE42" i="1" s="1"/>
  <c r="BI42" i="1" s="1"/>
  <c r="Q41" i="1"/>
  <c r="U41" i="1" s="1"/>
  <c r="Y41" i="1" s="1"/>
  <c r="AC41" i="1" s="1"/>
  <c r="AG41" i="1" s="1"/>
  <c r="AK41" i="1" s="1"/>
  <c r="AO41" i="1" s="1"/>
  <c r="AS41" i="1" s="1"/>
  <c r="AW41" i="1" s="1"/>
  <c r="BA41" i="1" s="1"/>
  <c r="BE41" i="1" s="1"/>
  <c r="BI41" i="1" s="1"/>
  <c r="Q40" i="1"/>
  <c r="U40" i="1" s="1"/>
  <c r="Y40" i="1" s="1"/>
  <c r="AC40" i="1" s="1"/>
  <c r="AG40" i="1" s="1"/>
  <c r="AK40" i="1" s="1"/>
  <c r="AO40" i="1" s="1"/>
  <c r="AS40" i="1" s="1"/>
  <c r="AW40" i="1" s="1"/>
  <c r="BA40" i="1" s="1"/>
  <c r="BE40" i="1" s="1"/>
  <c r="BI40" i="1" s="1"/>
  <c r="Q39" i="1"/>
  <c r="U39" i="1" s="1"/>
  <c r="Y39" i="1" s="1"/>
  <c r="AC39" i="1" s="1"/>
  <c r="AG39" i="1" s="1"/>
  <c r="AK39" i="1" s="1"/>
  <c r="AO39" i="1" s="1"/>
  <c r="AS39" i="1" s="1"/>
  <c r="AW39" i="1" s="1"/>
  <c r="BA39" i="1" s="1"/>
  <c r="BE39" i="1" s="1"/>
  <c r="BI39" i="1" s="1"/>
  <c r="Q38" i="1"/>
  <c r="U38" i="1" s="1"/>
  <c r="Y38" i="1" s="1"/>
  <c r="AC38" i="1" s="1"/>
  <c r="AG38" i="1" s="1"/>
  <c r="AK38" i="1" s="1"/>
  <c r="AO38" i="1" s="1"/>
  <c r="AS38" i="1" s="1"/>
  <c r="AW38" i="1" s="1"/>
  <c r="BA38" i="1" s="1"/>
  <c r="BE38" i="1" s="1"/>
  <c r="BI38" i="1" s="1"/>
  <c r="Q37" i="1"/>
  <c r="U37" i="1" s="1"/>
  <c r="Y37" i="1" s="1"/>
  <c r="AC37" i="1" s="1"/>
  <c r="AG37" i="1" s="1"/>
  <c r="AK37" i="1" s="1"/>
  <c r="AO37" i="1" s="1"/>
  <c r="AS37" i="1" s="1"/>
  <c r="AW37" i="1" s="1"/>
  <c r="BA37" i="1" s="1"/>
  <c r="BE37" i="1" s="1"/>
  <c r="BI37" i="1" s="1"/>
  <c r="Q36" i="1"/>
  <c r="U36" i="1" s="1"/>
  <c r="Y36" i="1" s="1"/>
  <c r="AC36" i="1" s="1"/>
  <c r="AG36" i="1" s="1"/>
  <c r="AK36" i="1" s="1"/>
  <c r="AO36" i="1" s="1"/>
  <c r="AS36" i="1" s="1"/>
  <c r="AW36" i="1" s="1"/>
  <c r="BA36" i="1" s="1"/>
  <c r="BE36" i="1" s="1"/>
  <c r="BI36" i="1" s="1"/>
  <c r="Q35" i="1"/>
  <c r="U35" i="1" s="1"/>
  <c r="Y35" i="1" s="1"/>
  <c r="AC35" i="1" s="1"/>
  <c r="AG35" i="1" s="1"/>
  <c r="AK35" i="1" s="1"/>
  <c r="AO35" i="1" s="1"/>
  <c r="AS35" i="1" s="1"/>
  <c r="AW35" i="1" s="1"/>
  <c r="BA35" i="1" s="1"/>
  <c r="BE35" i="1" s="1"/>
  <c r="BI35" i="1" s="1"/>
  <c r="Q34" i="1"/>
  <c r="U34" i="1" s="1"/>
  <c r="Y34" i="1" s="1"/>
  <c r="AC34" i="1" s="1"/>
  <c r="AG34" i="1" s="1"/>
  <c r="AK34" i="1" s="1"/>
  <c r="AO34" i="1" s="1"/>
  <c r="AS34" i="1" s="1"/>
  <c r="AW34" i="1" s="1"/>
  <c r="BA34" i="1" s="1"/>
  <c r="BE34" i="1" s="1"/>
  <c r="BI34" i="1" s="1"/>
  <c r="Q33" i="1"/>
  <c r="U33" i="1" s="1"/>
  <c r="Y33" i="1" s="1"/>
  <c r="AC33" i="1" s="1"/>
  <c r="AG33" i="1" s="1"/>
  <c r="AK33" i="1" s="1"/>
  <c r="AO33" i="1" s="1"/>
  <c r="AS33" i="1" s="1"/>
  <c r="AW33" i="1" s="1"/>
  <c r="BA33" i="1" s="1"/>
  <c r="BE33" i="1" s="1"/>
  <c r="BI33" i="1" s="1"/>
  <c r="Q32" i="1"/>
  <c r="U32" i="1" s="1"/>
  <c r="Y32" i="1" s="1"/>
  <c r="AC32" i="1" s="1"/>
  <c r="AG32" i="1" s="1"/>
  <c r="AK32" i="1" s="1"/>
  <c r="AO32" i="1" s="1"/>
  <c r="AS32" i="1" s="1"/>
  <c r="AW32" i="1" s="1"/>
  <c r="BA32" i="1" s="1"/>
  <c r="BE32" i="1" s="1"/>
  <c r="BI32" i="1" s="1"/>
  <c r="Q31" i="1"/>
  <c r="U31" i="1" s="1"/>
  <c r="Y31" i="1" s="1"/>
  <c r="AC31" i="1" s="1"/>
  <c r="AG31" i="1" s="1"/>
  <c r="AK31" i="1" s="1"/>
  <c r="AO31" i="1" s="1"/>
  <c r="AS31" i="1" s="1"/>
  <c r="AW31" i="1" s="1"/>
  <c r="BA31" i="1" s="1"/>
  <c r="BE31" i="1" s="1"/>
  <c r="BI31" i="1" s="1"/>
  <c r="Q30" i="1"/>
  <c r="U30" i="1" s="1"/>
  <c r="Y30" i="1" s="1"/>
  <c r="AC30" i="1" s="1"/>
  <c r="AG30" i="1" s="1"/>
  <c r="AK30" i="1" s="1"/>
  <c r="AO30" i="1" s="1"/>
  <c r="AS30" i="1" s="1"/>
  <c r="AW30" i="1" s="1"/>
  <c r="BA30" i="1" s="1"/>
  <c r="BE30" i="1" s="1"/>
  <c r="BI30" i="1" s="1"/>
  <c r="Q29" i="1"/>
  <c r="U29" i="1" s="1"/>
  <c r="Y29" i="1" s="1"/>
  <c r="AC29" i="1" s="1"/>
  <c r="AG29" i="1" s="1"/>
  <c r="AK29" i="1" s="1"/>
  <c r="AO29" i="1" s="1"/>
  <c r="AS29" i="1" s="1"/>
  <c r="AW29" i="1" s="1"/>
  <c r="BA29" i="1" s="1"/>
  <c r="BE29" i="1" s="1"/>
  <c r="BI29" i="1" s="1"/>
  <c r="Q28" i="1"/>
  <c r="U28" i="1" s="1"/>
  <c r="Y28" i="1" s="1"/>
  <c r="AC28" i="1" s="1"/>
  <c r="AG28" i="1" s="1"/>
  <c r="AK28" i="1" s="1"/>
  <c r="AO28" i="1" s="1"/>
  <c r="AS28" i="1" s="1"/>
  <c r="AW28" i="1" s="1"/>
  <c r="BA28" i="1" s="1"/>
  <c r="BE28" i="1" s="1"/>
  <c r="BI28" i="1" s="1"/>
  <c r="Q27" i="1"/>
  <c r="U27" i="1" s="1"/>
  <c r="Y27" i="1" s="1"/>
  <c r="AC27" i="1" s="1"/>
  <c r="AG27" i="1" s="1"/>
  <c r="AK27" i="1" s="1"/>
  <c r="AO27" i="1" s="1"/>
  <c r="AS27" i="1" s="1"/>
  <c r="AW27" i="1" s="1"/>
  <c r="BA27" i="1" s="1"/>
  <c r="BE27" i="1" s="1"/>
  <c r="BI27" i="1" s="1"/>
  <c r="Q26" i="1"/>
  <c r="U26" i="1" s="1"/>
  <c r="Y26" i="1" s="1"/>
  <c r="AC26" i="1" s="1"/>
  <c r="AG26" i="1" s="1"/>
  <c r="AK26" i="1" s="1"/>
  <c r="AO26" i="1" s="1"/>
  <c r="AS26" i="1" s="1"/>
  <c r="AW26" i="1" s="1"/>
  <c r="BA26" i="1" s="1"/>
  <c r="BE26" i="1" s="1"/>
  <c r="BI26" i="1" s="1"/>
  <c r="Q25" i="1"/>
  <c r="U25" i="1" s="1"/>
  <c r="Y25" i="1" s="1"/>
  <c r="AC25" i="1" s="1"/>
  <c r="AG25" i="1" s="1"/>
  <c r="AK25" i="1" s="1"/>
  <c r="AO25" i="1" s="1"/>
  <c r="AS25" i="1" s="1"/>
  <c r="AW25" i="1" s="1"/>
  <c r="BA25" i="1" s="1"/>
  <c r="BE25" i="1" s="1"/>
  <c r="BI25" i="1" s="1"/>
  <c r="Q24" i="1"/>
  <c r="U24" i="1" s="1"/>
  <c r="Y24" i="1" s="1"/>
  <c r="AC24" i="1" s="1"/>
  <c r="AG24" i="1" s="1"/>
  <c r="AK24" i="1" s="1"/>
  <c r="AO24" i="1" s="1"/>
  <c r="AS24" i="1" s="1"/>
  <c r="AW24" i="1" s="1"/>
  <c r="BA24" i="1" s="1"/>
  <c r="BE24" i="1" s="1"/>
  <c r="BI24" i="1" s="1"/>
  <c r="Q23" i="1"/>
  <c r="U23" i="1" s="1"/>
  <c r="Y23" i="1" s="1"/>
  <c r="AC23" i="1" s="1"/>
  <c r="AG23" i="1" s="1"/>
  <c r="AK23" i="1" s="1"/>
  <c r="AO23" i="1" s="1"/>
  <c r="AS23" i="1" s="1"/>
  <c r="AW23" i="1" s="1"/>
  <c r="BA23" i="1" s="1"/>
  <c r="BE23" i="1" s="1"/>
  <c r="BI23" i="1" s="1"/>
  <c r="Q22" i="1"/>
  <c r="U22" i="1" s="1"/>
  <c r="Y22" i="1" s="1"/>
  <c r="AC22" i="1" s="1"/>
  <c r="AG22" i="1" s="1"/>
  <c r="AK22" i="1" s="1"/>
  <c r="AO22" i="1" s="1"/>
  <c r="AS22" i="1" s="1"/>
  <c r="AW22" i="1" s="1"/>
  <c r="BA22" i="1" s="1"/>
  <c r="BE22" i="1" s="1"/>
  <c r="BI22" i="1" s="1"/>
  <c r="Q21" i="1"/>
  <c r="U21" i="1" s="1"/>
  <c r="Y21" i="1" s="1"/>
  <c r="AC21" i="1" s="1"/>
  <c r="AG21" i="1" s="1"/>
  <c r="AK21" i="1" s="1"/>
  <c r="AO21" i="1" s="1"/>
  <c r="AS21" i="1" s="1"/>
  <c r="AW21" i="1" s="1"/>
  <c r="BA21" i="1" s="1"/>
  <c r="BE21" i="1" s="1"/>
  <c r="BI21" i="1" s="1"/>
  <c r="Q20" i="1"/>
  <c r="U20" i="1" s="1"/>
  <c r="Y20" i="1" s="1"/>
  <c r="AC20" i="1" s="1"/>
  <c r="AG20" i="1" s="1"/>
  <c r="AK20" i="1" s="1"/>
  <c r="AO20" i="1" s="1"/>
  <c r="AS20" i="1" s="1"/>
  <c r="AW20" i="1" s="1"/>
  <c r="BA20" i="1" s="1"/>
  <c r="BE20" i="1" s="1"/>
  <c r="BI20" i="1" s="1"/>
  <c r="Q19" i="1"/>
  <c r="U19" i="1" s="1"/>
  <c r="Y19" i="1" s="1"/>
  <c r="AC19" i="1" s="1"/>
  <c r="AG19" i="1" s="1"/>
  <c r="AK19" i="1" s="1"/>
  <c r="AO19" i="1" s="1"/>
  <c r="AS19" i="1" s="1"/>
  <c r="AW19" i="1" s="1"/>
  <c r="BA19" i="1" s="1"/>
  <c r="BE19" i="1" s="1"/>
  <c r="BI19" i="1" s="1"/>
  <c r="Q18" i="1"/>
  <c r="U18" i="1" s="1"/>
  <c r="Y18" i="1" s="1"/>
  <c r="AC18" i="1" s="1"/>
  <c r="AG18" i="1" s="1"/>
  <c r="AK18" i="1" s="1"/>
  <c r="AO18" i="1" s="1"/>
  <c r="AS18" i="1" s="1"/>
  <c r="AW18" i="1" s="1"/>
  <c r="BA18" i="1" s="1"/>
  <c r="BE18" i="1" s="1"/>
  <c r="BI18" i="1" s="1"/>
  <c r="Q17" i="1"/>
  <c r="U17" i="1" s="1"/>
  <c r="Y17" i="1" s="1"/>
  <c r="AC17" i="1" s="1"/>
  <c r="AG17" i="1" s="1"/>
  <c r="AK17" i="1" s="1"/>
  <c r="AO17" i="1" s="1"/>
  <c r="AS17" i="1" s="1"/>
  <c r="AW17" i="1" s="1"/>
  <c r="BA17" i="1" s="1"/>
  <c r="BE17" i="1" s="1"/>
  <c r="BI17" i="1" s="1"/>
  <c r="Q16" i="1"/>
  <c r="U16" i="1" s="1"/>
  <c r="Y16" i="1" s="1"/>
  <c r="AC16" i="1" s="1"/>
  <c r="AG16" i="1" s="1"/>
  <c r="AK16" i="1" s="1"/>
  <c r="AO16" i="1" s="1"/>
  <c r="AS16" i="1" s="1"/>
  <c r="AW16" i="1" s="1"/>
  <c r="BA16" i="1" s="1"/>
  <c r="BE16" i="1" s="1"/>
  <c r="BI16" i="1" s="1"/>
  <c r="Q15" i="1"/>
  <c r="U15" i="1" s="1"/>
  <c r="Y15" i="1" s="1"/>
  <c r="AC15" i="1" s="1"/>
  <c r="AG15" i="1" s="1"/>
  <c r="AK15" i="1" s="1"/>
  <c r="AO15" i="1" s="1"/>
  <c r="AS15" i="1" s="1"/>
  <c r="AW15" i="1" s="1"/>
  <c r="BA15" i="1" s="1"/>
  <c r="BE15" i="1" s="1"/>
  <c r="BI15" i="1" s="1"/>
  <c r="Q14" i="1"/>
  <c r="U14" i="1" s="1"/>
  <c r="Y14" i="1" s="1"/>
  <c r="AC14" i="1" s="1"/>
  <c r="AG14" i="1" s="1"/>
  <c r="AK14" i="1" s="1"/>
  <c r="AO14" i="1" s="1"/>
  <c r="AS14" i="1" s="1"/>
  <c r="AW14" i="1" s="1"/>
  <c r="BA14" i="1" s="1"/>
  <c r="BE14" i="1" s="1"/>
  <c r="BI14" i="1" s="1"/>
  <c r="Q13" i="1"/>
  <c r="U13" i="1" s="1"/>
  <c r="Y13" i="1" s="1"/>
  <c r="AC13" i="1" s="1"/>
  <c r="AG13" i="1" s="1"/>
  <c r="AK13" i="1" s="1"/>
  <c r="AO13" i="1" s="1"/>
  <c r="AS13" i="1" s="1"/>
  <c r="AW13" i="1" s="1"/>
  <c r="BA13" i="1" s="1"/>
  <c r="BE13" i="1" s="1"/>
  <c r="BI13" i="1" s="1"/>
  <c r="Q12" i="1"/>
  <c r="U12" i="1" s="1"/>
  <c r="Y12" i="1" s="1"/>
  <c r="AC12" i="1" s="1"/>
  <c r="AG12" i="1" s="1"/>
  <c r="AK12" i="1" s="1"/>
  <c r="AO12" i="1" s="1"/>
  <c r="AS12" i="1" s="1"/>
  <c r="AW12" i="1" s="1"/>
  <c r="BA12" i="1" s="1"/>
  <c r="BE12" i="1" s="1"/>
  <c r="BI12" i="1" s="1"/>
  <c r="Q11" i="1"/>
  <c r="U11" i="1" s="1"/>
  <c r="Y11" i="1" s="1"/>
  <c r="AC11" i="1" s="1"/>
  <c r="AG11" i="1" s="1"/>
  <c r="AK11" i="1" s="1"/>
  <c r="AO11" i="1" s="1"/>
  <c r="AS11" i="1" s="1"/>
  <c r="AW11" i="1" s="1"/>
  <c r="BA11" i="1" s="1"/>
  <c r="BE11" i="1" s="1"/>
  <c r="BI11" i="1" s="1"/>
  <c r="Q10" i="1"/>
  <c r="U10" i="1" s="1"/>
  <c r="Y10" i="1" s="1"/>
  <c r="AC10" i="1" s="1"/>
  <c r="AG10" i="1" s="1"/>
  <c r="AK10" i="1" s="1"/>
  <c r="AO10" i="1" s="1"/>
  <c r="AS10" i="1" s="1"/>
  <c r="AW10" i="1" s="1"/>
  <c r="BA10" i="1" s="1"/>
  <c r="BE10" i="1" s="1"/>
  <c r="BI10" i="1" s="1"/>
  <c r="Q9" i="1"/>
  <c r="U9" i="1" s="1"/>
  <c r="Y9" i="1" s="1"/>
  <c r="AC9" i="1" s="1"/>
  <c r="AG9" i="1" s="1"/>
  <c r="AK9" i="1" s="1"/>
  <c r="AO9" i="1" s="1"/>
  <c r="AS9" i="1" s="1"/>
  <c r="AW9" i="1" s="1"/>
  <c r="BA9" i="1" s="1"/>
  <c r="BE9" i="1" s="1"/>
  <c r="BI9" i="1" s="1"/>
  <c r="Q8" i="1"/>
  <c r="U8" i="1" s="1"/>
  <c r="Y8" i="1" s="1"/>
  <c r="AC8" i="1" s="1"/>
  <c r="AG8" i="1" s="1"/>
  <c r="AK8" i="1" s="1"/>
  <c r="AO8" i="1" s="1"/>
  <c r="AS8" i="1" s="1"/>
  <c r="AW8" i="1" s="1"/>
  <c r="BA8" i="1" s="1"/>
  <c r="BE8" i="1" s="1"/>
  <c r="BI8" i="1" s="1"/>
  <c r="Q7" i="1"/>
  <c r="U7" i="1" s="1"/>
  <c r="Y7" i="1" s="1"/>
  <c r="AC7" i="1" s="1"/>
  <c r="AG7" i="1" s="1"/>
  <c r="AK7" i="1" s="1"/>
  <c r="AO7" i="1" s="1"/>
  <c r="AS7" i="1" s="1"/>
  <c r="AW7" i="1" s="1"/>
  <c r="BA7" i="1" s="1"/>
  <c r="BE7" i="1" s="1"/>
  <c r="BI7" i="1" s="1"/>
  <c r="Q6" i="1"/>
  <c r="U6" i="1" s="1"/>
  <c r="Y6" i="1" s="1"/>
  <c r="AC6" i="1" s="1"/>
  <c r="AG6" i="1" s="1"/>
  <c r="AK6" i="1" s="1"/>
  <c r="AO6" i="1" s="1"/>
  <c r="AS6" i="1" s="1"/>
  <c r="AW6" i="1" s="1"/>
  <c r="BA6" i="1" s="1"/>
  <c r="BE6" i="1" s="1"/>
  <c r="BI6" i="1" s="1"/>
  <c r="Q5" i="1"/>
  <c r="U5" i="1" s="1"/>
  <c r="Y5" i="1" s="1"/>
  <c r="AC5" i="1" s="1"/>
  <c r="AG5" i="1" s="1"/>
  <c r="AK5" i="1" s="1"/>
  <c r="AO5" i="1" s="1"/>
  <c r="AS5" i="1" s="1"/>
  <c r="AW5" i="1" s="1"/>
  <c r="BA5" i="1" s="1"/>
  <c r="BE5" i="1" s="1"/>
  <c r="BI5" i="1" s="1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36" i="2"/>
  <c r="P104" i="1"/>
  <c r="T104" i="1" s="1"/>
  <c r="X104" i="1" s="1"/>
  <c r="AB104" i="1" s="1"/>
  <c r="AF104" i="1" s="1"/>
  <c r="AJ104" i="1" s="1"/>
  <c r="AN104" i="1" s="1"/>
  <c r="AR104" i="1" s="1"/>
  <c r="AV104" i="1" s="1"/>
  <c r="AZ104" i="1" s="1"/>
  <c r="BD104" i="1" s="1"/>
  <c r="BH104" i="1" s="1"/>
  <c r="P103" i="1"/>
  <c r="T103" i="1" s="1"/>
  <c r="X103" i="1" s="1"/>
  <c r="AB103" i="1" s="1"/>
  <c r="AF103" i="1" s="1"/>
  <c r="AJ103" i="1" s="1"/>
  <c r="AN103" i="1" s="1"/>
  <c r="AR103" i="1" s="1"/>
  <c r="AV103" i="1" s="1"/>
  <c r="AZ103" i="1" s="1"/>
  <c r="BD103" i="1" s="1"/>
  <c r="BH103" i="1" s="1"/>
  <c r="P95" i="1"/>
  <c r="T95" i="1" s="1"/>
  <c r="X95" i="1" s="1"/>
  <c r="AB95" i="1" s="1"/>
  <c r="AF95" i="1" s="1"/>
  <c r="AJ95" i="1" s="1"/>
  <c r="AN95" i="1" s="1"/>
  <c r="AR95" i="1" s="1"/>
  <c r="AV95" i="1" s="1"/>
  <c r="AZ95" i="1" s="1"/>
  <c r="BD95" i="1" s="1"/>
  <c r="BH95" i="1" s="1"/>
  <c r="P94" i="1"/>
  <c r="T94" i="1" s="1"/>
  <c r="X94" i="1" s="1"/>
  <c r="AB94" i="1" s="1"/>
  <c r="AF94" i="1" s="1"/>
  <c r="AJ94" i="1" s="1"/>
  <c r="AN94" i="1" s="1"/>
  <c r="AR94" i="1" s="1"/>
  <c r="AV94" i="1" s="1"/>
  <c r="AZ94" i="1" s="1"/>
  <c r="BD94" i="1" s="1"/>
  <c r="BH94" i="1" s="1"/>
  <c r="P93" i="1"/>
  <c r="T93" i="1" s="1"/>
  <c r="X93" i="1" s="1"/>
  <c r="AB93" i="1" s="1"/>
  <c r="AF93" i="1" s="1"/>
  <c r="AJ93" i="1" s="1"/>
  <c r="AN93" i="1" s="1"/>
  <c r="AR93" i="1" s="1"/>
  <c r="AV93" i="1" s="1"/>
  <c r="AZ93" i="1" s="1"/>
  <c r="BD93" i="1" s="1"/>
  <c r="BH93" i="1" s="1"/>
  <c r="P92" i="1"/>
  <c r="T92" i="1" s="1"/>
  <c r="X92" i="1" s="1"/>
  <c r="AB92" i="1" s="1"/>
  <c r="AF92" i="1" s="1"/>
  <c r="AJ92" i="1" s="1"/>
  <c r="AN92" i="1" s="1"/>
  <c r="AR92" i="1" s="1"/>
  <c r="AV92" i="1" s="1"/>
  <c r="AZ92" i="1" s="1"/>
  <c r="BD92" i="1" s="1"/>
  <c r="BH92" i="1" s="1"/>
  <c r="P91" i="1"/>
  <c r="T91" i="1" s="1"/>
  <c r="X91" i="1" s="1"/>
  <c r="AB91" i="1" s="1"/>
  <c r="AF91" i="1" s="1"/>
  <c r="AJ91" i="1" s="1"/>
  <c r="AN91" i="1" s="1"/>
  <c r="AR91" i="1" s="1"/>
  <c r="AV91" i="1" s="1"/>
  <c r="AZ91" i="1" s="1"/>
  <c r="BD91" i="1" s="1"/>
  <c r="BH91" i="1" s="1"/>
  <c r="P90" i="1"/>
  <c r="T90" i="1" s="1"/>
  <c r="X90" i="1" s="1"/>
  <c r="AB90" i="1" s="1"/>
  <c r="AF90" i="1" s="1"/>
  <c r="AJ90" i="1" s="1"/>
  <c r="AN90" i="1" s="1"/>
  <c r="AR90" i="1" s="1"/>
  <c r="AV90" i="1" s="1"/>
  <c r="AZ90" i="1" s="1"/>
  <c r="BD90" i="1" s="1"/>
  <c r="BH90" i="1" s="1"/>
  <c r="P80" i="1"/>
  <c r="T80" i="1" s="1"/>
  <c r="X80" i="1" s="1"/>
  <c r="AB80" i="1" s="1"/>
  <c r="P75" i="1"/>
  <c r="T75" i="1" s="1"/>
  <c r="X75" i="1" s="1"/>
  <c r="AB75" i="1" s="1"/>
  <c r="AF75" i="1" s="1"/>
  <c r="AJ75" i="1" s="1"/>
  <c r="AN75" i="1" s="1"/>
  <c r="AR75" i="1" s="1"/>
  <c r="AV75" i="1" s="1"/>
  <c r="AZ75" i="1" s="1"/>
  <c r="BD75" i="1" s="1"/>
  <c r="BH75" i="1" s="1"/>
  <c r="P74" i="1"/>
  <c r="T74" i="1" s="1"/>
  <c r="X74" i="1" s="1"/>
  <c r="AB74" i="1" s="1"/>
  <c r="AF74" i="1" s="1"/>
  <c r="AJ74" i="1" s="1"/>
  <c r="AN74" i="1" s="1"/>
  <c r="AR74" i="1" s="1"/>
  <c r="AV74" i="1" s="1"/>
  <c r="AZ74" i="1" s="1"/>
  <c r="BD74" i="1" s="1"/>
  <c r="BH74" i="1" s="1"/>
  <c r="P73" i="1"/>
  <c r="T73" i="1" s="1"/>
  <c r="X73" i="1" s="1"/>
  <c r="AB73" i="1" s="1"/>
  <c r="AF73" i="1" s="1"/>
  <c r="AJ73" i="1" s="1"/>
  <c r="AN73" i="1" s="1"/>
  <c r="AR73" i="1" s="1"/>
  <c r="AV73" i="1" s="1"/>
  <c r="AZ73" i="1" s="1"/>
  <c r="BD73" i="1" s="1"/>
  <c r="BH73" i="1" s="1"/>
  <c r="P72" i="1"/>
  <c r="T72" i="1" s="1"/>
  <c r="X72" i="1" s="1"/>
  <c r="AB72" i="1" s="1"/>
  <c r="AF72" i="1" s="1"/>
  <c r="AJ72" i="1" s="1"/>
  <c r="AN72" i="1" s="1"/>
  <c r="AR72" i="1" s="1"/>
  <c r="AV72" i="1" s="1"/>
  <c r="AZ72" i="1" s="1"/>
  <c r="BD72" i="1" s="1"/>
  <c r="BH72" i="1" s="1"/>
  <c r="P71" i="1"/>
  <c r="T71" i="1" s="1"/>
  <c r="X71" i="1" s="1"/>
  <c r="AB71" i="1" s="1"/>
  <c r="AF71" i="1" s="1"/>
  <c r="AJ71" i="1" s="1"/>
  <c r="AN71" i="1" s="1"/>
  <c r="AR71" i="1" s="1"/>
  <c r="AV71" i="1" s="1"/>
  <c r="AZ71" i="1" s="1"/>
  <c r="BD71" i="1" s="1"/>
  <c r="BH71" i="1" s="1"/>
  <c r="P70" i="1"/>
  <c r="T70" i="1" s="1"/>
  <c r="X70" i="1" s="1"/>
  <c r="AB70" i="1" s="1"/>
  <c r="AF70" i="1" s="1"/>
  <c r="AJ70" i="1" s="1"/>
  <c r="AN70" i="1" s="1"/>
  <c r="AR70" i="1" s="1"/>
  <c r="AV70" i="1" s="1"/>
  <c r="AZ70" i="1" s="1"/>
  <c r="BD70" i="1" s="1"/>
  <c r="BH70" i="1" s="1"/>
  <c r="P69" i="1"/>
  <c r="T69" i="1" s="1"/>
  <c r="X69" i="1" s="1"/>
  <c r="AB69" i="1" s="1"/>
  <c r="AF69" i="1" s="1"/>
  <c r="AJ69" i="1" s="1"/>
  <c r="AN69" i="1" s="1"/>
  <c r="AR69" i="1" s="1"/>
  <c r="AV69" i="1" s="1"/>
  <c r="AZ69" i="1" s="1"/>
  <c r="BD69" i="1" s="1"/>
  <c r="BH69" i="1" s="1"/>
  <c r="P68" i="1"/>
  <c r="T68" i="1" s="1"/>
  <c r="X68" i="1" s="1"/>
  <c r="AB68" i="1" s="1"/>
  <c r="AF68" i="1" s="1"/>
  <c r="AJ68" i="1" s="1"/>
  <c r="AN68" i="1" s="1"/>
  <c r="AR68" i="1" s="1"/>
  <c r="AV68" i="1" s="1"/>
  <c r="AZ68" i="1" s="1"/>
  <c r="BD68" i="1" s="1"/>
  <c r="BH68" i="1" s="1"/>
  <c r="P67" i="1"/>
  <c r="T67" i="1" s="1"/>
  <c r="X67" i="1" s="1"/>
  <c r="AB67" i="1" s="1"/>
  <c r="AF67" i="1" s="1"/>
  <c r="AJ67" i="1" s="1"/>
  <c r="AN67" i="1" s="1"/>
  <c r="AR67" i="1" s="1"/>
  <c r="AV67" i="1" s="1"/>
  <c r="AZ67" i="1" s="1"/>
  <c r="BD67" i="1" s="1"/>
  <c r="BH67" i="1" s="1"/>
  <c r="P66" i="1"/>
  <c r="T66" i="1" s="1"/>
  <c r="X66" i="1" s="1"/>
  <c r="AB66" i="1" s="1"/>
  <c r="AF66" i="1" s="1"/>
  <c r="AJ66" i="1" s="1"/>
  <c r="AN66" i="1" s="1"/>
  <c r="AR66" i="1" s="1"/>
  <c r="AV66" i="1" s="1"/>
  <c r="AZ66" i="1" s="1"/>
  <c r="BD66" i="1" s="1"/>
  <c r="BH66" i="1" s="1"/>
  <c r="P65" i="1"/>
  <c r="T65" i="1" s="1"/>
  <c r="X65" i="1" s="1"/>
  <c r="AB65" i="1" s="1"/>
  <c r="AF65" i="1" s="1"/>
  <c r="AJ65" i="1" s="1"/>
  <c r="AN65" i="1" s="1"/>
  <c r="AR65" i="1" s="1"/>
  <c r="AV65" i="1" s="1"/>
  <c r="AZ65" i="1" s="1"/>
  <c r="BD65" i="1" s="1"/>
  <c r="BH65" i="1" s="1"/>
  <c r="P64" i="1"/>
  <c r="T64" i="1" s="1"/>
  <c r="X64" i="1" s="1"/>
  <c r="AB64" i="1" s="1"/>
  <c r="AF64" i="1" s="1"/>
  <c r="AJ64" i="1" s="1"/>
  <c r="AN64" i="1" s="1"/>
  <c r="AR64" i="1" s="1"/>
  <c r="AV64" i="1" s="1"/>
  <c r="AZ64" i="1" s="1"/>
  <c r="BD64" i="1" s="1"/>
  <c r="BH64" i="1" s="1"/>
  <c r="P63" i="1"/>
  <c r="T63" i="1" s="1"/>
  <c r="X63" i="1" s="1"/>
  <c r="AB63" i="1" s="1"/>
  <c r="AF63" i="1" s="1"/>
  <c r="AJ63" i="1" s="1"/>
  <c r="AN63" i="1" s="1"/>
  <c r="AR63" i="1" s="1"/>
  <c r="AV63" i="1" s="1"/>
  <c r="AZ63" i="1" s="1"/>
  <c r="BD63" i="1" s="1"/>
  <c r="BH63" i="1" s="1"/>
  <c r="P62" i="1"/>
  <c r="T62" i="1" s="1"/>
  <c r="X62" i="1" s="1"/>
  <c r="AB62" i="1" s="1"/>
  <c r="AF62" i="1" s="1"/>
  <c r="AJ62" i="1" s="1"/>
  <c r="AN62" i="1" s="1"/>
  <c r="AR62" i="1" s="1"/>
  <c r="AV62" i="1" s="1"/>
  <c r="AZ62" i="1" s="1"/>
  <c r="BD62" i="1" s="1"/>
  <c r="BH62" i="1" s="1"/>
  <c r="P61" i="1"/>
  <c r="T61" i="1" s="1"/>
  <c r="X61" i="1" s="1"/>
  <c r="AB61" i="1" s="1"/>
  <c r="AF61" i="1" s="1"/>
  <c r="AJ61" i="1" s="1"/>
  <c r="AN61" i="1" s="1"/>
  <c r="AR61" i="1" s="1"/>
  <c r="AV61" i="1" s="1"/>
  <c r="AZ61" i="1" s="1"/>
  <c r="BD61" i="1" s="1"/>
  <c r="BH61" i="1" s="1"/>
  <c r="P60" i="1"/>
  <c r="T60" i="1" s="1"/>
  <c r="X60" i="1" s="1"/>
  <c r="AB60" i="1" s="1"/>
  <c r="AF60" i="1" s="1"/>
  <c r="AJ60" i="1" s="1"/>
  <c r="AN60" i="1" s="1"/>
  <c r="AR60" i="1" s="1"/>
  <c r="AV60" i="1" s="1"/>
  <c r="AZ60" i="1" s="1"/>
  <c r="BD60" i="1" s="1"/>
  <c r="BH60" i="1" s="1"/>
  <c r="P59" i="1"/>
  <c r="T59" i="1" s="1"/>
  <c r="X59" i="1" s="1"/>
  <c r="AB59" i="1" s="1"/>
  <c r="AF59" i="1" s="1"/>
  <c r="AJ59" i="1" s="1"/>
  <c r="AN59" i="1" s="1"/>
  <c r="AR59" i="1" s="1"/>
  <c r="AV59" i="1" s="1"/>
  <c r="AZ59" i="1" s="1"/>
  <c r="BD59" i="1" s="1"/>
  <c r="BH59" i="1" s="1"/>
  <c r="P58" i="1"/>
  <c r="T58" i="1" s="1"/>
  <c r="X58" i="1" s="1"/>
  <c r="AB58" i="1" s="1"/>
  <c r="AF58" i="1" s="1"/>
  <c r="AJ58" i="1" s="1"/>
  <c r="AN58" i="1" s="1"/>
  <c r="AR58" i="1" s="1"/>
  <c r="AV58" i="1" s="1"/>
  <c r="AZ58" i="1" s="1"/>
  <c r="BD58" i="1" s="1"/>
  <c r="BH58" i="1" s="1"/>
  <c r="P57" i="1"/>
  <c r="T57" i="1" s="1"/>
  <c r="X57" i="1" s="1"/>
  <c r="AB57" i="1" s="1"/>
  <c r="AF57" i="1" s="1"/>
  <c r="AJ57" i="1" s="1"/>
  <c r="AN57" i="1" s="1"/>
  <c r="AR57" i="1" s="1"/>
  <c r="AV57" i="1" s="1"/>
  <c r="AZ57" i="1" s="1"/>
  <c r="BD57" i="1" s="1"/>
  <c r="BH57" i="1" s="1"/>
  <c r="P56" i="1"/>
  <c r="T56" i="1" s="1"/>
  <c r="X56" i="1" s="1"/>
  <c r="AB56" i="1" s="1"/>
  <c r="AF56" i="1" s="1"/>
  <c r="AJ56" i="1" s="1"/>
  <c r="AN56" i="1" s="1"/>
  <c r="AR56" i="1" s="1"/>
  <c r="AV56" i="1" s="1"/>
  <c r="AZ56" i="1" s="1"/>
  <c r="BD56" i="1" s="1"/>
  <c r="BH56" i="1" s="1"/>
  <c r="P55" i="1"/>
  <c r="T55" i="1" s="1"/>
  <c r="X55" i="1" s="1"/>
  <c r="AB55" i="1" s="1"/>
  <c r="AF55" i="1" s="1"/>
  <c r="AJ55" i="1" s="1"/>
  <c r="AN55" i="1" s="1"/>
  <c r="AR55" i="1" s="1"/>
  <c r="AV55" i="1" s="1"/>
  <c r="AZ55" i="1" s="1"/>
  <c r="BD55" i="1" s="1"/>
  <c r="BH55" i="1" s="1"/>
  <c r="P54" i="1"/>
  <c r="T54" i="1" s="1"/>
  <c r="X54" i="1" s="1"/>
  <c r="AB54" i="1" s="1"/>
  <c r="AF54" i="1" s="1"/>
  <c r="AJ54" i="1" s="1"/>
  <c r="AN54" i="1" s="1"/>
  <c r="AR54" i="1" s="1"/>
  <c r="AV54" i="1" s="1"/>
  <c r="AZ54" i="1" s="1"/>
  <c r="BD54" i="1" s="1"/>
  <c r="BH54" i="1" s="1"/>
  <c r="P53" i="1"/>
  <c r="T53" i="1" s="1"/>
  <c r="X53" i="1" s="1"/>
  <c r="AB53" i="1" s="1"/>
  <c r="AF53" i="1" s="1"/>
  <c r="AJ53" i="1" s="1"/>
  <c r="AN53" i="1" s="1"/>
  <c r="AR53" i="1" s="1"/>
  <c r="AV53" i="1" s="1"/>
  <c r="AZ53" i="1" s="1"/>
  <c r="BD53" i="1" s="1"/>
  <c r="BH53" i="1" s="1"/>
  <c r="P52" i="1"/>
  <c r="T52" i="1" s="1"/>
  <c r="X52" i="1" s="1"/>
  <c r="AB52" i="1" s="1"/>
  <c r="AF52" i="1" s="1"/>
  <c r="AJ52" i="1" s="1"/>
  <c r="AN52" i="1" s="1"/>
  <c r="AR52" i="1" s="1"/>
  <c r="AV52" i="1" s="1"/>
  <c r="AZ52" i="1" s="1"/>
  <c r="BD52" i="1" s="1"/>
  <c r="BH52" i="1" s="1"/>
  <c r="P51" i="1"/>
  <c r="T51" i="1" s="1"/>
  <c r="X51" i="1" s="1"/>
  <c r="AB51" i="1" s="1"/>
  <c r="AF51" i="1" s="1"/>
  <c r="AJ51" i="1" s="1"/>
  <c r="AN51" i="1" s="1"/>
  <c r="AR51" i="1" s="1"/>
  <c r="AV51" i="1" s="1"/>
  <c r="AZ51" i="1" s="1"/>
  <c r="BD51" i="1" s="1"/>
  <c r="BH51" i="1" s="1"/>
  <c r="P50" i="1"/>
  <c r="T50" i="1" s="1"/>
  <c r="X50" i="1" s="1"/>
  <c r="AB50" i="1" s="1"/>
  <c r="AF50" i="1" s="1"/>
  <c r="AJ50" i="1" s="1"/>
  <c r="AN50" i="1" s="1"/>
  <c r="AR50" i="1" s="1"/>
  <c r="AV50" i="1" s="1"/>
  <c r="AZ50" i="1" s="1"/>
  <c r="BD50" i="1" s="1"/>
  <c r="BH50" i="1" s="1"/>
  <c r="P49" i="1"/>
  <c r="T49" i="1" s="1"/>
  <c r="X49" i="1" s="1"/>
  <c r="AB49" i="1" s="1"/>
  <c r="AF49" i="1" s="1"/>
  <c r="AJ49" i="1" s="1"/>
  <c r="AN49" i="1" s="1"/>
  <c r="AR49" i="1" s="1"/>
  <c r="AV49" i="1" s="1"/>
  <c r="AZ49" i="1" s="1"/>
  <c r="BD49" i="1" s="1"/>
  <c r="BH49" i="1" s="1"/>
  <c r="P48" i="1"/>
  <c r="T48" i="1" s="1"/>
  <c r="X48" i="1" s="1"/>
  <c r="AB48" i="1" s="1"/>
  <c r="AF48" i="1" s="1"/>
  <c r="AJ48" i="1" s="1"/>
  <c r="AN48" i="1" s="1"/>
  <c r="AR48" i="1" s="1"/>
  <c r="AV48" i="1" s="1"/>
  <c r="AZ48" i="1" s="1"/>
  <c r="BD48" i="1" s="1"/>
  <c r="BH48" i="1" s="1"/>
  <c r="P47" i="1"/>
  <c r="T47" i="1" s="1"/>
  <c r="X47" i="1" s="1"/>
  <c r="AB47" i="1" s="1"/>
  <c r="AF47" i="1" s="1"/>
  <c r="AJ47" i="1" s="1"/>
  <c r="AN47" i="1" s="1"/>
  <c r="AR47" i="1" s="1"/>
  <c r="AV47" i="1" s="1"/>
  <c r="AZ47" i="1" s="1"/>
  <c r="BD47" i="1" s="1"/>
  <c r="BH47" i="1" s="1"/>
  <c r="P46" i="1"/>
  <c r="T46" i="1" s="1"/>
  <c r="X46" i="1" s="1"/>
  <c r="AB46" i="1" s="1"/>
  <c r="AF46" i="1" s="1"/>
  <c r="AJ46" i="1" s="1"/>
  <c r="AN46" i="1" s="1"/>
  <c r="AR46" i="1" s="1"/>
  <c r="AV46" i="1" s="1"/>
  <c r="AZ46" i="1" s="1"/>
  <c r="BD46" i="1" s="1"/>
  <c r="BH46" i="1" s="1"/>
  <c r="P45" i="1"/>
  <c r="T45" i="1" s="1"/>
  <c r="X45" i="1" s="1"/>
  <c r="AB45" i="1" s="1"/>
  <c r="AF45" i="1" s="1"/>
  <c r="AJ45" i="1" s="1"/>
  <c r="AN45" i="1" s="1"/>
  <c r="AR45" i="1" s="1"/>
  <c r="AV45" i="1" s="1"/>
  <c r="AZ45" i="1" s="1"/>
  <c r="BD45" i="1" s="1"/>
  <c r="BH45" i="1" s="1"/>
  <c r="P44" i="1"/>
  <c r="T44" i="1" s="1"/>
  <c r="X44" i="1" s="1"/>
  <c r="AB44" i="1" s="1"/>
  <c r="AF44" i="1" s="1"/>
  <c r="AJ44" i="1" s="1"/>
  <c r="AN44" i="1" s="1"/>
  <c r="AR44" i="1" s="1"/>
  <c r="AV44" i="1" s="1"/>
  <c r="AZ44" i="1" s="1"/>
  <c r="BD44" i="1" s="1"/>
  <c r="BH44" i="1" s="1"/>
  <c r="P43" i="1"/>
  <c r="T43" i="1" s="1"/>
  <c r="X43" i="1" s="1"/>
  <c r="AB43" i="1" s="1"/>
  <c r="AF43" i="1" s="1"/>
  <c r="AJ43" i="1" s="1"/>
  <c r="AN43" i="1" s="1"/>
  <c r="AR43" i="1" s="1"/>
  <c r="AV43" i="1" s="1"/>
  <c r="AZ43" i="1" s="1"/>
  <c r="BD43" i="1" s="1"/>
  <c r="BH43" i="1" s="1"/>
  <c r="P42" i="1"/>
  <c r="T42" i="1" s="1"/>
  <c r="X42" i="1" s="1"/>
  <c r="AB42" i="1" s="1"/>
  <c r="AF42" i="1" s="1"/>
  <c r="AJ42" i="1" s="1"/>
  <c r="AN42" i="1" s="1"/>
  <c r="AR42" i="1" s="1"/>
  <c r="AV42" i="1" s="1"/>
  <c r="AZ42" i="1" s="1"/>
  <c r="BD42" i="1" s="1"/>
  <c r="BH42" i="1" s="1"/>
  <c r="P41" i="1"/>
  <c r="T41" i="1" s="1"/>
  <c r="X41" i="1" s="1"/>
  <c r="AB41" i="1" s="1"/>
  <c r="AF41" i="1" s="1"/>
  <c r="AJ41" i="1" s="1"/>
  <c r="AN41" i="1" s="1"/>
  <c r="AR41" i="1" s="1"/>
  <c r="AV41" i="1" s="1"/>
  <c r="AZ41" i="1" s="1"/>
  <c r="BD41" i="1" s="1"/>
  <c r="BH41" i="1" s="1"/>
  <c r="P40" i="1"/>
  <c r="T40" i="1" s="1"/>
  <c r="X40" i="1" s="1"/>
  <c r="AB40" i="1" s="1"/>
  <c r="AF40" i="1" s="1"/>
  <c r="AJ40" i="1" s="1"/>
  <c r="AN40" i="1" s="1"/>
  <c r="AR40" i="1" s="1"/>
  <c r="AV40" i="1" s="1"/>
  <c r="AZ40" i="1" s="1"/>
  <c r="BD40" i="1" s="1"/>
  <c r="BH40" i="1" s="1"/>
  <c r="P39" i="1"/>
  <c r="T39" i="1" s="1"/>
  <c r="X39" i="1" s="1"/>
  <c r="AB39" i="1" s="1"/>
  <c r="AF39" i="1" s="1"/>
  <c r="AJ39" i="1" s="1"/>
  <c r="AN39" i="1" s="1"/>
  <c r="AR39" i="1" s="1"/>
  <c r="AV39" i="1" s="1"/>
  <c r="AZ39" i="1" s="1"/>
  <c r="BD39" i="1" s="1"/>
  <c r="BH39" i="1" s="1"/>
  <c r="P38" i="1"/>
  <c r="T38" i="1" s="1"/>
  <c r="X38" i="1" s="1"/>
  <c r="AB38" i="1" s="1"/>
  <c r="AF38" i="1" s="1"/>
  <c r="AJ38" i="1" s="1"/>
  <c r="AN38" i="1" s="1"/>
  <c r="AR38" i="1" s="1"/>
  <c r="AV38" i="1" s="1"/>
  <c r="AZ38" i="1" s="1"/>
  <c r="BD38" i="1" s="1"/>
  <c r="BH38" i="1" s="1"/>
  <c r="P37" i="1"/>
  <c r="T37" i="1" s="1"/>
  <c r="X37" i="1" s="1"/>
  <c r="AB37" i="1" s="1"/>
  <c r="AF37" i="1" s="1"/>
  <c r="AJ37" i="1" s="1"/>
  <c r="AN37" i="1" s="1"/>
  <c r="AR37" i="1" s="1"/>
  <c r="AV37" i="1" s="1"/>
  <c r="AZ37" i="1" s="1"/>
  <c r="BD37" i="1" s="1"/>
  <c r="BH37" i="1" s="1"/>
  <c r="P36" i="1"/>
  <c r="T36" i="1" s="1"/>
  <c r="X36" i="1" s="1"/>
  <c r="AB36" i="1" s="1"/>
  <c r="AF36" i="1" s="1"/>
  <c r="AJ36" i="1" s="1"/>
  <c r="AN36" i="1" s="1"/>
  <c r="AR36" i="1" s="1"/>
  <c r="AV36" i="1" s="1"/>
  <c r="AZ36" i="1" s="1"/>
  <c r="BD36" i="1" s="1"/>
  <c r="BH36" i="1" s="1"/>
  <c r="P35" i="1"/>
  <c r="T35" i="1" s="1"/>
  <c r="X35" i="1" s="1"/>
  <c r="AB35" i="1" s="1"/>
  <c r="AF35" i="1" s="1"/>
  <c r="AJ35" i="1" s="1"/>
  <c r="AN35" i="1" s="1"/>
  <c r="AR35" i="1" s="1"/>
  <c r="AV35" i="1" s="1"/>
  <c r="AZ35" i="1" s="1"/>
  <c r="BD35" i="1" s="1"/>
  <c r="BH35" i="1" s="1"/>
  <c r="P34" i="1"/>
  <c r="T34" i="1" s="1"/>
  <c r="X34" i="1" s="1"/>
  <c r="AB34" i="1" s="1"/>
  <c r="AF34" i="1" s="1"/>
  <c r="AJ34" i="1" s="1"/>
  <c r="AN34" i="1" s="1"/>
  <c r="AR34" i="1" s="1"/>
  <c r="AV34" i="1" s="1"/>
  <c r="AZ34" i="1" s="1"/>
  <c r="BD34" i="1" s="1"/>
  <c r="BH34" i="1" s="1"/>
  <c r="P33" i="1"/>
  <c r="T33" i="1" s="1"/>
  <c r="X33" i="1" s="1"/>
  <c r="AB33" i="1" s="1"/>
  <c r="AF33" i="1" s="1"/>
  <c r="AJ33" i="1" s="1"/>
  <c r="AN33" i="1" s="1"/>
  <c r="AR33" i="1" s="1"/>
  <c r="AV33" i="1" s="1"/>
  <c r="AZ33" i="1" s="1"/>
  <c r="BD33" i="1" s="1"/>
  <c r="BH33" i="1" s="1"/>
  <c r="P32" i="1"/>
  <c r="T32" i="1" s="1"/>
  <c r="X32" i="1" s="1"/>
  <c r="AB32" i="1" s="1"/>
  <c r="AF32" i="1" s="1"/>
  <c r="AJ32" i="1" s="1"/>
  <c r="AN32" i="1" s="1"/>
  <c r="AR32" i="1" s="1"/>
  <c r="AV32" i="1" s="1"/>
  <c r="AZ32" i="1" s="1"/>
  <c r="BD32" i="1" s="1"/>
  <c r="BH32" i="1" s="1"/>
  <c r="P31" i="1"/>
  <c r="T31" i="1" s="1"/>
  <c r="X31" i="1" s="1"/>
  <c r="AB31" i="1" s="1"/>
  <c r="AF31" i="1" s="1"/>
  <c r="AJ31" i="1" s="1"/>
  <c r="AN31" i="1" s="1"/>
  <c r="AR31" i="1" s="1"/>
  <c r="AV31" i="1" s="1"/>
  <c r="AZ31" i="1" s="1"/>
  <c r="BD31" i="1" s="1"/>
  <c r="BH31" i="1" s="1"/>
  <c r="P30" i="1"/>
  <c r="T30" i="1" s="1"/>
  <c r="X30" i="1" s="1"/>
  <c r="AB30" i="1" s="1"/>
  <c r="AF30" i="1" s="1"/>
  <c r="AJ30" i="1" s="1"/>
  <c r="AN30" i="1" s="1"/>
  <c r="AR30" i="1" s="1"/>
  <c r="AV30" i="1" s="1"/>
  <c r="AZ30" i="1" s="1"/>
  <c r="BD30" i="1" s="1"/>
  <c r="BH30" i="1" s="1"/>
  <c r="P29" i="1"/>
  <c r="T29" i="1" s="1"/>
  <c r="X29" i="1" s="1"/>
  <c r="AB29" i="1" s="1"/>
  <c r="AF29" i="1" s="1"/>
  <c r="AJ29" i="1" s="1"/>
  <c r="AN29" i="1" s="1"/>
  <c r="AR29" i="1" s="1"/>
  <c r="AV29" i="1" s="1"/>
  <c r="AZ29" i="1" s="1"/>
  <c r="BD29" i="1" s="1"/>
  <c r="BH29" i="1" s="1"/>
  <c r="P28" i="1"/>
  <c r="T28" i="1" s="1"/>
  <c r="X28" i="1" s="1"/>
  <c r="AB28" i="1" s="1"/>
  <c r="AF28" i="1" s="1"/>
  <c r="AJ28" i="1" s="1"/>
  <c r="AN28" i="1" s="1"/>
  <c r="AR28" i="1" s="1"/>
  <c r="AV28" i="1" s="1"/>
  <c r="AZ28" i="1" s="1"/>
  <c r="BD28" i="1" s="1"/>
  <c r="BH28" i="1" s="1"/>
  <c r="P27" i="1"/>
  <c r="T27" i="1" s="1"/>
  <c r="X27" i="1" s="1"/>
  <c r="AB27" i="1" s="1"/>
  <c r="AF27" i="1" s="1"/>
  <c r="AJ27" i="1" s="1"/>
  <c r="AN27" i="1" s="1"/>
  <c r="AR27" i="1" s="1"/>
  <c r="AV27" i="1" s="1"/>
  <c r="AZ27" i="1" s="1"/>
  <c r="BD27" i="1" s="1"/>
  <c r="BH27" i="1" s="1"/>
  <c r="P26" i="1"/>
  <c r="T26" i="1" s="1"/>
  <c r="X26" i="1" s="1"/>
  <c r="AB26" i="1" s="1"/>
  <c r="AF26" i="1" s="1"/>
  <c r="AJ26" i="1" s="1"/>
  <c r="AN26" i="1" s="1"/>
  <c r="AR26" i="1" s="1"/>
  <c r="AV26" i="1" s="1"/>
  <c r="AZ26" i="1" s="1"/>
  <c r="BD26" i="1" s="1"/>
  <c r="BH26" i="1" s="1"/>
  <c r="P25" i="1"/>
  <c r="T25" i="1" s="1"/>
  <c r="X25" i="1" s="1"/>
  <c r="AB25" i="1" s="1"/>
  <c r="AF25" i="1" s="1"/>
  <c r="AJ25" i="1" s="1"/>
  <c r="AN25" i="1" s="1"/>
  <c r="AR25" i="1" s="1"/>
  <c r="AV25" i="1" s="1"/>
  <c r="AZ25" i="1" s="1"/>
  <c r="BD25" i="1" s="1"/>
  <c r="BH25" i="1" s="1"/>
  <c r="P24" i="1"/>
  <c r="T24" i="1" s="1"/>
  <c r="X24" i="1" s="1"/>
  <c r="AB24" i="1" s="1"/>
  <c r="AF24" i="1" s="1"/>
  <c r="AJ24" i="1" s="1"/>
  <c r="AN24" i="1" s="1"/>
  <c r="AR24" i="1" s="1"/>
  <c r="AV24" i="1" s="1"/>
  <c r="AZ24" i="1" s="1"/>
  <c r="BD24" i="1" s="1"/>
  <c r="BH24" i="1" s="1"/>
  <c r="P23" i="1"/>
  <c r="T23" i="1" s="1"/>
  <c r="X23" i="1" s="1"/>
  <c r="AB23" i="1" s="1"/>
  <c r="AF23" i="1" s="1"/>
  <c r="AJ23" i="1" s="1"/>
  <c r="AN23" i="1" s="1"/>
  <c r="AR23" i="1" s="1"/>
  <c r="AV23" i="1" s="1"/>
  <c r="AZ23" i="1" s="1"/>
  <c r="BD23" i="1" s="1"/>
  <c r="BH23" i="1" s="1"/>
  <c r="P22" i="1"/>
  <c r="T22" i="1" s="1"/>
  <c r="X22" i="1" s="1"/>
  <c r="AB22" i="1" s="1"/>
  <c r="AF22" i="1" s="1"/>
  <c r="AJ22" i="1" s="1"/>
  <c r="AN22" i="1" s="1"/>
  <c r="AR22" i="1" s="1"/>
  <c r="AV22" i="1" s="1"/>
  <c r="AZ22" i="1" s="1"/>
  <c r="BD22" i="1" s="1"/>
  <c r="BH22" i="1" s="1"/>
  <c r="P21" i="1"/>
  <c r="T21" i="1" s="1"/>
  <c r="X21" i="1" s="1"/>
  <c r="AB21" i="1" s="1"/>
  <c r="AF21" i="1" s="1"/>
  <c r="AJ21" i="1" s="1"/>
  <c r="AN21" i="1" s="1"/>
  <c r="AR21" i="1" s="1"/>
  <c r="AV21" i="1" s="1"/>
  <c r="AZ21" i="1" s="1"/>
  <c r="BD21" i="1" s="1"/>
  <c r="BH21" i="1" s="1"/>
  <c r="P20" i="1"/>
  <c r="T20" i="1" s="1"/>
  <c r="X20" i="1" s="1"/>
  <c r="AB20" i="1" s="1"/>
  <c r="AF20" i="1" s="1"/>
  <c r="AJ20" i="1" s="1"/>
  <c r="AN20" i="1" s="1"/>
  <c r="AR20" i="1" s="1"/>
  <c r="AV20" i="1" s="1"/>
  <c r="AZ20" i="1" s="1"/>
  <c r="BD20" i="1" s="1"/>
  <c r="BH20" i="1" s="1"/>
  <c r="P19" i="1"/>
  <c r="T19" i="1" s="1"/>
  <c r="X19" i="1" s="1"/>
  <c r="AB19" i="1" s="1"/>
  <c r="AF19" i="1" s="1"/>
  <c r="AJ19" i="1" s="1"/>
  <c r="AN19" i="1" s="1"/>
  <c r="AR19" i="1" s="1"/>
  <c r="AV19" i="1" s="1"/>
  <c r="AZ19" i="1" s="1"/>
  <c r="BD19" i="1" s="1"/>
  <c r="BH19" i="1" s="1"/>
  <c r="P18" i="1"/>
  <c r="T18" i="1" s="1"/>
  <c r="X18" i="1" s="1"/>
  <c r="AB18" i="1" s="1"/>
  <c r="AF18" i="1" s="1"/>
  <c r="AJ18" i="1" s="1"/>
  <c r="AN18" i="1" s="1"/>
  <c r="AR18" i="1" s="1"/>
  <c r="AV18" i="1" s="1"/>
  <c r="AZ18" i="1" s="1"/>
  <c r="BD18" i="1" s="1"/>
  <c r="BH18" i="1" s="1"/>
  <c r="P17" i="1"/>
  <c r="T17" i="1" s="1"/>
  <c r="X17" i="1" s="1"/>
  <c r="AB17" i="1" s="1"/>
  <c r="AF17" i="1" s="1"/>
  <c r="AJ17" i="1" s="1"/>
  <c r="AN17" i="1" s="1"/>
  <c r="AR17" i="1" s="1"/>
  <c r="AV17" i="1" s="1"/>
  <c r="AZ17" i="1" s="1"/>
  <c r="BD17" i="1" s="1"/>
  <c r="BH17" i="1" s="1"/>
  <c r="P16" i="1"/>
  <c r="T16" i="1" s="1"/>
  <c r="X16" i="1" s="1"/>
  <c r="AB16" i="1" s="1"/>
  <c r="AF16" i="1" s="1"/>
  <c r="AJ16" i="1" s="1"/>
  <c r="AN16" i="1" s="1"/>
  <c r="AR16" i="1" s="1"/>
  <c r="AV16" i="1" s="1"/>
  <c r="AZ16" i="1" s="1"/>
  <c r="BD16" i="1" s="1"/>
  <c r="BH16" i="1" s="1"/>
  <c r="P15" i="1"/>
  <c r="T15" i="1" s="1"/>
  <c r="X15" i="1" s="1"/>
  <c r="AB15" i="1" s="1"/>
  <c r="AF15" i="1" s="1"/>
  <c r="AJ15" i="1" s="1"/>
  <c r="AN15" i="1" s="1"/>
  <c r="AR15" i="1" s="1"/>
  <c r="AV15" i="1" s="1"/>
  <c r="AZ15" i="1" s="1"/>
  <c r="BD15" i="1" s="1"/>
  <c r="BH15" i="1" s="1"/>
  <c r="P14" i="1"/>
  <c r="T14" i="1" s="1"/>
  <c r="X14" i="1" s="1"/>
  <c r="AB14" i="1" s="1"/>
  <c r="AF14" i="1" s="1"/>
  <c r="AJ14" i="1" s="1"/>
  <c r="AN14" i="1" s="1"/>
  <c r="AR14" i="1" s="1"/>
  <c r="AV14" i="1" s="1"/>
  <c r="AZ14" i="1" s="1"/>
  <c r="BD14" i="1" s="1"/>
  <c r="BH14" i="1" s="1"/>
  <c r="P13" i="1"/>
  <c r="T13" i="1" s="1"/>
  <c r="X13" i="1" s="1"/>
  <c r="AB13" i="1" s="1"/>
  <c r="AF13" i="1" s="1"/>
  <c r="AJ13" i="1" s="1"/>
  <c r="AN13" i="1" s="1"/>
  <c r="AR13" i="1" s="1"/>
  <c r="AV13" i="1" s="1"/>
  <c r="AZ13" i="1" s="1"/>
  <c r="BD13" i="1" s="1"/>
  <c r="BH13" i="1" s="1"/>
  <c r="P12" i="1"/>
  <c r="T12" i="1" s="1"/>
  <c r="X12" i="1" s="1"/>
  <c r="AB12" i="1" s="1"/>
  <c r="AF12" i="1" s="1"/>
  <c r="AJ12" i="1" s="1"/>
  <c r="AN12" i="1" s="1"/>
  <c r="AR12" i="1" s="1"/>
  <c r="AV12" i="1" s="1"/>
  <c r="AZ12" i="1" s="1"/>
  <c r="BD12" i="1" s="1"/>
  <c r="BH12" i="1" s="1"/>
  <c r="P11" i="1"/>
  <c r="T11" i="1" s="1"/>
  <c r="X11" i="1" s="1"/>
  <c r="AB11" i="1" s="1"/>
  <c r="AF11" i="1" s="1"/>
  <c r="AJ11" i="1" s="1"/>
  <c r="AN11" i="1" s="1"/>
  <c r="AR11" i="1" s="1"/>
  <c r="AV11" i="1" s="1"/>
  <c r="AZ11" i="1" s="1"/>
  <c r="BD11" i="1" s="1"/>
  <c r="BH11" i="1" s="1"/>
  <c r="P10" i="1"/>
  <c r="T10" i="1" s="1"/>
  <c r="X10" i="1" s="1"/>
  <c r="AB10" i="1" s="1"/>
  <c r="AF10" i="1" s="1"/>
  <c r="AJ10" i="1" s="1"/>
  <c r="AN10" i="1" s="1"/>
  <c r="AR10" i="1" s="1"/>
  <c r="AV10" i="1" s="1"/>
  <c r="AZ10" i="1" s="1"/>
  <c r="BD10" i="1" s="1"/>
  <c r="BH10" i="1" s="1"/>
  <c r="P9" i="1"/>
  <c r="T9" i="1" s="1"/>
  <c r="X9" i="1" s="1"/>
  <c r="AB9" i="1" s="1"/>
  <c r="AF9" i="1" s="1"/>
  <c r="AJ9" i="1" s="1"/>
  <c r="AN9" i="1" s="1"/>
  <c r="AR9" i="1" s="1"/>
  <c r="AV9" i="1" s="1"/>
  <c r="AZ9" i="1" s="1"/>
  <c r="BD9" i="1" s="1"/>
  <c r="BH9" i="1" s="1"/>
  <c r="P8" i="1"/>
  <c r="T8" i="1" s="1"/>
  <c r="X8" i="1" s="1"/>
  <c r="AB8" i="1" s="1"/>
  <c r="AF8" i="1" s="1"/>
  <c r="AJ8" i="1" s="1"/>
  <c r="AN8" i="1" s="1"/>
  <c r="AR8" i="1" s="1"/>
  <c r="AV8" i="1" s="1"/>
  <c r="AZ8" i="1" s="1"/>
  <c r="BD8" i="1" s="1"/>
  <c r="BH8" i="1" s="1"/>
  <c r="P7" i="1"/>
  <c r="T7" i="1" s="1"/>
  <c r="X7" i="1" s="1"/>
  <c r="AB7" i="1" s="1"/>
  <c r="AF7" i="1" s="1"/>
  <c r="AJ7" i="1" s="1"/>
  <c r="AN7" i="1" s="1"/>
  <c r="AR7" i="1" s="1"/>
  <c r="AV7" i="1" s="1"/>
  <c r="AZ7" i="1" s="1"/>
  <c r="BD7" i="1" s="1"/>
  <c r="BH7" i="1" s="1"/>
  <c r="P6" i="1"/>
  <c r="T6" i="1" s="1"/>
  <c r="X6" i="1" s="1"/>
  <c r="AB6" i="1" s="1"/>
  <c r="AF6" i="1" s="1"/>
  <c r="AJ6" i="1" s="1"/>
  <c r="AN6" i="1" s="1"/>
  <c r="AR6" i="1" s="1"/>
  <c r="AV6" i="1" s="1"/>
  <c r="AZ6" i="1" s="1"/>
  <c r="BD6" i="1" s="1"/>
  <c r="BH6" i="1" s="1"/>
  <c r="P5" i="1"/>
  <c r="BF1" i="1"/>
  <c r="BB1" i="1"/>
  <c r="AY1" i="1"/>
  <c r="AX1" i="1"/>
  <c r="AT1" i="1"/>
  <c r="AQ1" i="1"/>
  <c r="AP1" i="1"/>
  <c r="AM1" i="1"/>
  <c r="AL1" i="1"/>
  <c r="AI1" i="1"/>
  <c r="AH1" i="1"/>
  <c r="AE1" i="1"/>
  <c r="AD1" i="1"/>
  <c r="AA1" i="1"/>
  <c r="W1" i="1"/>
  <c r="V1" i="1"/>
  <c r="S1" i="1"/>
  <c r="R1" i="1"/>
  <c r="O1" i="1"/>
  <c r="N1" i="1"/>
  <c r="AF80" i="1" l="1"/>
  <c r="AJ80" i="1" s="1"/>
  <c r="AN80" i="1" s="1"/>
  <c r="AR80" i="1" s="1"/>
  <c r="AV80" i="1" s="1"/>
  <c r="AZ80" i="1" s="1"/>
  <c r="BD80" i="1" s="1"/>
  <c r="BH80" i="1" s="1"/>
  <c r="P1" i="1"/>
  <c r="AU1" i="1"/>
  <c r="T5" i="1"/>
  <c r="T1" i="1" s="1"/>
  <c r="X5" i="1" l="1"/>
  <c r="X1" i="1" s="1"/>
  <c r="BC1" i="1" l="1"/>
  <c r="AB5" i="1"/>
  <c r="AB1" i="1" s="1"/>
  <c r="AF5" i="1" l="1"/>
  <c r="AF1" i="1" s="1"/>
  <c r="BG1" i="1"/>
  <c r="AJ5" i="1" l="1"/>
  <c r="AN5" i="1" s="1"/>
  <c r="AR5" i="1" s="1"/>
  <c r="AV5" i="1" s="1"/>
  <c r="AZ5" i="1" s="1"/>
  <c r="BD5" i="1" s="1"/>
  <c r="BH5" i="1" s="1"/>
  <c r="AJ1" i="1" l="1"/>
  <c r="AN1" i="1"/>
  <c r="AR1" i="1" l="1"/>
  <c r="AV1" i="1" l="1"/>
  <c r="AZ1" i="1" l="1"/>
  <c r="BD1" i="1" l="1"/>
  <c r="BH1" i="1" l="1"/>
</calcChain>
</file>

<file path=xl/sharedStrings.xml><?xml version="1.0" encoding="utf-8"?>
<sst xmlns="http://schemas.openxmlformats.org/spreadsheetml/2006/main" count="913" uniqueCount="237">
  <si>
    <t>S I M P A N A N     W A J I B</t>
  </si>
  <si>
    <t>NIK</t>
  </si>
  <si>
    <t>NAMA KARYAWAN</t>
  </si>
  <si>
    <t>KET</t>
  </si>
  <si>
    <t>WILAYAH</t>
  </si>
  <si>
    <t>L/P</t>
  </si>
  <si>
    <t>SIMPKOK</t>
  </si>
  <si>
    <t>T.205232</t>
  </si>
  <si>
    <t>ABDUL RAHMAN, SE</t>
  </si>
  <si>
    <t>AKTIF</t>
  </si>
  <si>
    <t>GRESIK</t>
  </si>
  <si>
    <t>L</t>
  </si>
  <si>
    <t>T.208254</t>
  </si>
  <si>
    <t>ACH. WACHYUDI</t>
  </si>
  <si>
    <t>T.213284</t>
  </si>
  <si>
    <t>ADY PURNOMO</t>
  </si>
  <si>
    <t>MAKASSAR</t>
  </si>
  <si>
    <t>T.217305</t>
  </si>
  <si>
    <t>AENAL DARWIS</t>
  </si>
  <si>
    <t>T.221311</t>
  </si>
  <si>
    <t>AGHNIA PUTRI RUSIANTO</t>
  </si>
  <si>
    <t>P</t>
  </si>
  <si>
    <t>T.205220</t>
  </si>
  <si>
    <t>AHMAD MUKHLIS K.</t>
  </si>
  <si>
    <t>T.211279</t>
  </si>
  <si>
    <t>ARDHI YUNANTO</t>
  </si>
  <si>
    <t>T.211273</t>
  </si>
  <si>
    <t>ARI KUNCORO</t>
  </si>
  <si>
    <t>T.210269</t>
  </si>
  <si>
    <t>ARI RAHAYU</t>
  </si>
  <si>
    <t>T.211275</t>
  </si>
  <si>
    <t>BAGUS ADITA</t>
  </si>
  <si>
    <t>T.205239</t>
  </si>
  <si>
    <t>BAMBANG SYAMADJI</t>
  </si>
  <si>
    <t>T.208257</t>
  </si>
  <si>
    <t>BURNAMA KUSUMA DR.,SE</t>
  </si>
  <si>
    <t>T.208256</t>
  </si>
  <si>
    <t>CHOIRI,SE</t>
  </si>
  <si>
    <t>T.205234</t>
  </si>
  <si>
    <t>DANDUNG KASIATNO</t>
  </si>
  <si>
    <t>T.202207</t>
  </si>
  <si>
    <t>DARWANTO</t>
  </si>
  <si>
    <t>T.940161</t>
  </si>
  <si>
    <t>DEWI FATMAWATI</t>
  </si>
  <si>
    <t>T.211276</t>
  </si>
  <si>
    <t>DIAH PUSPITASARI</t>
  </si>
  <si>
    <t>T.970200</t>
  </si>
  <si>
    <t>DWI RINI P, SE</t>
  </si>
  <si>
    <t>T.211277</t>
  </si>
  <si>
    <t>ERLY NURLIANTI</t>
  </si>
  <si>
    <t>T.205213</t>
  </si>
  <si>
    <t>FABIAN ABDUL GAFFAR</t>
  </si>
  <si>
    <t>T.202203</t>
  </si>
  <si>
    <t>FADELAN CHADARIANTO</t>
  </si>
  <si>
    <t>T.205219</t>
  </si>
  <si>
    <t>FIFI EMMALIA,SE</t>
  </si>
  <si>
    <t>T.208252</t>
  </si>
  <si>
    <t>GOLIK</t>
  </si>
  <si>
    <t>T.210265</t>
  </si>
  <si>
    <t>HANDOKO TEJO SAPUTRO, STp.</t>
  </si>
  <si>
    <t>T.210258</t>
  </si>
  <si>
    <t>HARI EKO SUSANTO, SE</t>
  </si>
  <si>
    <t>T.940151</t>
  </si>
  <si>
    <t>HENY ISTIANA</t>
  </si>
  <si>
    <t>T.990196</t>
  </si>
  <si>
    <t>HERMANTO</t>
  </si>
  <si>
    <t>T.207247</t>
  </si>
  <si>
    <t>HERY PURNOMO</t>
  </si>
  <si>
    <t>T.210261</t>
  </si>
  <si>
    <t>I DEWA PUTU CANDRA K., ST</t>
  </si>
  <si>
    <t>T.205218</t>
  </si>
  <si>
    <t>ISFA'</t>
  </si>
  <si>
    <t>T.970175</t>
  </si>
  <si>
    <t>ITA SUDARWATI</t>
  </si>
  <si>
    <t>T.211272</t>
  </si>
  <si>
    <t>IWAN RANGGA KUSUMA</t>
  </si>
  <si>
    <t>T.221310</t>
  </si>
  <si>
    <t>JAFRINDA REZA ELTRICO</t>
  </si>
  <si>
    <t>T.205221</t>
  </si>
  <si>
    <t>JOKO PURWANTO,SE</t>
  </si>
  <si>
    <t>T.960203</t>
  </si>
  <si>
    <t>KUSNO</t>
  </si>
  <si>
    <t>T.215303</t>
  </si>
  <si>
    <t>LAKSANA MUS ARDHIANTO</t>
  </si>
  <si>
    <t>T.208253</t>
  </si>
  <si>
    <t>LILIK MUNAWATI</t>
  </si>
  <si>
    <t>T.970174</t>
  </si>
  <si>
    <t>LISTYO HARTONO</t>
  </si>
  <si>
    <t>T.213288</t>
  </si>
  <si>
    <t>LUBANA NAZMA S.</t>
  </si>
  <si>
    <t>MEDAN</t>
  </si>
  <si>
    <t>T.205238</t>
  </si>
  <si>
    <t>M. CHASIM</t>
  </si>
  <si>
    <t>T.205212</t>
  </si>
  <si>
    <t>M. NASERUL</t>
  </si>
  <si>
    <t>T.210259</t>
  </si>
  <si>
    <t>M. SYAMSUDDIN, SE</t>
  </si>
  <si>
    <t>LAMPUNG</t>
  </si>
  <si>
    <t>T.217308</t>
  </si>
  <si>
    <t>MONDA MORINA HARAHAP</t>
  </si>
  <si>
    <t>T.213285</t>
  </si>
  <si>
    <t>MUH. ALI S.</t>
  </si>
  <si>
    <t>T.215299</t>
  </si>
  <si>
    <t>MUHAMMAD ARIF SURACHMAN</t>
  </si>
  <si>
    <t>T.213286</t>
  </si>
  <si>
    <t>MUHARI RIZKITA</t>
  </si>
  <si>
    <t>T.206242</t>
  </si>
  <si>
    <t>NANANG BUDI D, SE</t>
  </si>
  <si>
    <t>T.205225</t>
  </si>
  <si>
    <t>NURUDIN</t>
  </si>
  <si>
    <t>T.221312</t>
  </si>
  <si>
    <t>RIADHO KURNIAWAN</t>
  </si>
  <si>
    <t>T.211271</t>
  </si>
  <si>
    <t>RIDLO PATYODI</t>
  </si>
  <si>
    <t>T.221309</t>
  </si>
  <si>
    <t>RIZKY VILIYANT ISMARYONO</t>
  </si>
  <si>
    <t>T.940138</t>
  </si>
  <si>
    <t>SAFI'I</t>
  </si>
  <si>
    <t>T.207248</t>
  </si>
  <si>
    <t>SETYO HARYONO</t>
  </si>
  <si>
    <t>T.202206</t>
  </si>
  <si>
    <t>SLAMET RYADI</t>
  </si>
  <si>
    <t>T.205240</t>
  </si>
  <si>
    <t>SOEYANTO</t>
  </si>
  <si>
    <t>T.940160</t>
  </si>
  <si>
    <t>SOLICHIN</t>
  </si>
  <si>
    <t>T.940152</t>
  </si>
  <si>
    <t>SRI RAHAYU</t>
  </si>
  <si>
    <t>T.205235</t>
  </si>
  <si>
    <t>SUBAGIO JUNAEDI</t>
  </si>
  <si>
    <t>T.205237</t>
  </si>
  <si>
    <t>SUGENG HARIANTO</t>
  </si>
  <si>
    <t>T.980185</t>
  </si>
  <si>
    <t>SUMARSONO</t>
  </si>
  <si>
    <t>T.940141</t>
  </si>
  <si>
    <t>SUNACHI</t>
  </si>
  <si>
    <t>T.214291</t>
  </si>
  <si>
    <t>SUTAN PRIATMAJA</t>
  </si>
  <si>
    <t>T.205241</t>
  </si>
  <si>
    <t>SUWADI</t>
  </si>
  <si>
    <t>T.940159</t>
  </si>
  <si>
    <t>SUWANDI</t>
  </si>
  <si>
    <t>T.207246</t>
  </si>
  <si>
    <t>SYAMSUL HUDA</t>
  </si>
  <si>
    <t>T.213287</t>
  </si>
  <si>
    <t>T. SAFRIZALUDDIN</t>
  </si>
  <si>
    <t>T.980186</t>
  </si>
  <si>
    <t>TEDJO WAHYONO</t>
  </si>
  <si>
    <t>T.215300</t>
  </si>
  <si>
    <t>TEGUH PRIYONO</t>
  </si>
  <si>
    <t>T.980187</t>
  </si>
  <si>
    <t>WIDODO</t>
  </si>
  <si>
    <t>T.208255</t>
  </si>
  <si>
    <t>WIDYA NANANG SURYANTO, ST</t>
  </si>
  <si>
    <t>T.214289</t>
  </si>
  <si>
    <t>WYNFRIED ARDIAN DIDOK</t>
  </si>
  <si>
    <t>T.206247</t>
  </si>
  <si>
    <t>YODI ERMANTO</t>
  </si>
  <si>
    <t>T.215301</t>
  </si>
  <si>
    <t>YUDI ISFANDIYARI</t>
  </si>
  <si>
    <t>T.211270</t>
  </si>
  <si>
    <t>YUDISTIRA SIGIT W.</t>
  </si>
  <si>
    <t>T.840098</t>
  </si>
  <si>
    <t>ACHMAD LUTHFIE/PENSIUN</t>
  </si>
  <si>
    <t>TIDAK AKTIF</t>
  </si>
  <si>
    <t>T.210262</t>
  </si>
  <si>
    <t>ARIEF KRISWANTO, ST</t>
  </si>
  <si>
    <t>T.215302</t>
  </si>
  <si>
    <t>HADI SUYONO</t>
  </si>
  <si>
    <t>T.223313</t>
  </si>
  <si>
    <t>DICKY SUSANTHO</t>
  </si>
  <si>
    <t>T.225315</t>
  </si>
  <si>
    <t>AGA FIRMANSYAH</t>
  </si>
  <si>
    <t>FARID FAHRUDIN</t>
  </si>
  <si>
    <t>T.205211</t>
  </si>
  <si>
    <t>ABDUL ROCHIM,SP.</t>
  </si>
  <si>
    <t>T.910127</t>
  </si>
  <si>
    <t>KUSNAN</t>
  </si>
  <si>
    <t>T.940148</t>
  </si>
  <si>
    <t>SUBKHAN</t>
  </si>
  <si>
    <t>T.940147</t>
  </si>
  <si>
    <t>RUDI HARTONO</t>
  </si>
  <si>
    <t>T.213283</t>
  </si>
  <si>
    <t>HARJO SUCIPTO</t>
  </si>
  <si>
    <t>T.213282</t>
  </si>
  <si>
    <t>MASTUR</t>
  </si>
  <si>
    <t>T.207245</t>
  </si>
  <si>
    <t>HENDRAWAN NDOEN</t>
  </si>
  <si>
    <t>T.202205</t>
  </si>
  <si>
    <t>RONNY P. KUKUH</t>
  </si>
  <si>
    <t>T.202200</t>
  </si>
  <si>
    <t>PURWANTO</t>
  </si>
  <si>
    <t>T.980184</t>
  </si>
  <si>
    <t>SHOLIKIN</t>
  </si>
  <si>
    <t>T.208251</t>
  </si>
  <si>
    <t>SUTO SUSENO</t>
  </si>
  <si>
    <t>T.202202</t>
  </si>
  <si>
    <t>ENDIN TAFRIORO</t>
  </si>
  <si>
    <t>T.202201</t>
  </si>
  <si>
    <t>WAKIMAN</t>
  </si>
  <si>
    <t>T.940150</t>
  </si>
  <si>
    <t>HADI SANYOTO, SE</t>
  </si>
  <si>
    <t>PENSIUN</t>
  </si>
  <si>
    <t>ADWINSYAH, SE</t>
  </si>
  <si>
    <t>T.211278</t>
  </si>
  <si>
    <t>ERMA BINTRI A.</t>
  </si>
  <si>
    <t>MOCH. UDIN</t>
  </si>
  <si>
    <t>T.206248</t>
  </si>
  <si>
    <t>SARING SAIMAN</t>
  </si>
  <si>
    <t>SLAMET MULYONO</t>
  </si>
  <si>
    <t>T.200213</t>
  </si>
  <si>
    <t>SOESILA BRATA, ST</t>
  </si>
  <si>
    <t>Salkir 2025</t>
  </si>
  <si>
    <t>Masa</t>
  </si>
  <si>
    <t>SIMP. POKOK</t>
  </si>
  <si>
    <t>SD. DESEMBER 2024</t>
  </si>
  <si>
    <t>SD. JANUARI 2025</t>
  </si>
  <si>
    <t>POKOK + WAJIB</t>
  </si>
  <si>
    <t xml:space="preserve">DIAH PUSPITASARI </t>
  </si>
  <si>
    <t xml:space="preserve">ISFA' </t>
  </si>
  <si>
    <t>LAKSANA MUSARDIANTO</t>
  </si>
  <si>
    <t>RIADO KURNIAWAN</t>
  </si>
  <si>
    <t>RIZKY VILIANT ISMARYONO</t>
  </si>
  <si>
    <t>GM</t>
  </si>
  <si>
    <t>Staf</t>
  </si>
  <si>
    <t>MGR</t>
  </si>
  <si>
    <t>T.225317</t>
  </si>
  <si>
    <t>T.225319</t>
  </si>
  <si>
    <t>T.225316</t>
  </si>
  <si>
    <t>DWI TEGUH ARIWIBOWO</t>
  </si>
  <si>
    <t>DEWA HENTYARSA UTOMO</t>
  </si>
  <si>
    <t>T.225318</t>
  </si>
  <si>
    <t>ARFANDY NAHSAR</t>
  </si>
  <si>
    <t>TAUFIK HIDAYAT</t>
  </si>
  <si>
    <t>NIKO FREDIKA</t>
  </si>
  <si>
    <t>T.226325</t>
  </si>
  <si>
    <t>T.226326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</si>
</sst>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5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dashed">
        <color auto="1"/>
      </bottom>
      <diagonal/>
    </border>
    <border>
      <left style="thick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 style="thin">
        <color auto="1"/>
      </left>
      <right style="thick">
        <color auto="1"/>
      </right>
      <top/>
      <bottom style="dashed">
        <color auto="1"/>
      </bottom>
      <diagonal/>
    </border>
    <border>
      <left style="thick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thick">
        <color auto="1"/>
      </right>
      <top style="dashed">
        <color auto="1"/>
      </top>
      <bottom/>
      <diagonal/>
    </border>
    <border>
      <left style="thick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thin">
        <color auto="1"/>
      </left>
      <right style="thick">
        <color auto="1"/>
      </right>
      <top style="dashed">
        <color auto="1"/>
      </top>
      <bottom/>
      <diagonal/>
    </border>
    <border>
      <left style="thick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/>
      <top style="dash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ashed">
        <color auto="1"/>
      </bottom>
      <diagonal/>
    </border>
    <border>
      <left style="thin">
        <color auto="1"/>
      </left>
      <right/>
      <top style="thick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dashed">
        <color auto="1"/>
      </bottom>
      <diagonal/>
    </border>
    <border>
      <left style="thick">
        <color auto="1"/>
      </left>
      <right/>
      <top style="dashed">
        <color auto="1"/>
      </top>
      <bottom style="dashed">
        <color auto="1"/>
      </bottom>
      <diagonal/>
    </border>
    <border>
      <left style="thick">
        <color auto="1"/>
      </left>
      <right/>
      <top style="dashed">
        <color auto="1"/>
      </top>
      <bottom/>
      <diagonal/>
    </border>
    <border>
      <left style="thick">
        <color auto="1"/>
      </left>
      <right/>
      <top style="dashed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dashed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43" fontId="4" fillId="0" borderId="1" xfId="0" applyNumberFormat="1" applyFont="1" applyBorder="1"/>
    <xf numFmtId="43" fontId="5" fillId="0" borderId="2" xfId="0" applyNumberFormat="1" applyFont="1" applyBorder="1"/>
    <xf numFmtId="43" fontId="6" fillId="0" borderId="3" xfId="0" applyNumberFormat="1" applyFont="1" applyBorder="1"/>
    <xf numFmtId="43" fontId="3" fillId="0" borderId="0" xfId="0" applyNumberFormat="1" applyFont="1"/>
    <xf numFmtId="0" fontId="7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" fontId="9" fillId="3" borderId="5" xfId="0" applyNumberFormat="1" applyFont="1" applyFill="1" applyBorder="1" applyAlignment="1">
      <alignment horizontal="center"/>
    </xf>
    <xf numFmtId="43" fontId="2" fillId="0" borderId="10" xfId="1" applyFont="1" applyBorder="1"/>
    <xf numFmtId="43" fontId="7" fillId="0" borderId="11" xfId="1" applyFont="1" applyBorder="1"/>
    <xf numFmtId="43" fontId="10" fillId="0" borderId="12" xfId="1" applyFont="1" applyBorder="1"/>
    <xf numFmtId="43" fontId="2" fillId="0" borderId="13" xfId="1" applyFont="1" applyBorder="1"/>
    <xf numFmtId="43" fontId="2" fillId="0" borderId="14" xfId="1" applyFont="1" applyBorder="1"/>
    <xf numFmtId="43" fontId="7" fillId="0" borderId="15" xfId="1" applyFont="1" applyBorder="1"/>
    <xf numFmtId="43" fontId="2" fillId="0" borderId="16" xfId="1" applyFont="1" applyBorder="1"/>
    <xf numFmtId="43" fontId="10" fillId="0" borderId="17" xfId="1" applyFont="1" applyBorder="1"/>
    <xf numFmtId="43" fontId="2" fillId="0" borderId="18" xfId="1" applyFont="1" applyBorder="1"/>
    <xf numFmtId="43" fontId="2" fillId="0" borderId="19" xfId="1" applyFont="1" applyBorder="1"/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/>
    <xf numFmtId="43" fontId="2" fillId="0" borderId="20" xfId="1" applyFont="1" applyBorder="1"/>
    <xf numFmtId="43" fontId="7" fillId="0" borderId="21" xfId="1" applyFont="1" applyBorder="1"/>
    <xf numFmtId="43" fontId="10" fillId="0" borderId="22" xfId="1" applyFont="1" applyBorder="1"/>
    <xf numFmtId="43" fontId="2" fillId="0" borderId="23" xfId="1" applyFont="1" applyBorder="1"/>
    <xf numFmtId="43" fontId="2" fillId="0" borderId="24" xfId="1" applyFont="1" applyBorder="1"/>
    <xf numFmtId="43" fontId="2" fillId="0" borderId="25" xfId="1" applyFont="1" applyBorder="1"/>
    <xf numFmtId="43" fontId="7" fillId="0" borderId="26" xfId="1" applyFont="1" applyFill="1" applyBorder="1"/>
    <xf numFmtId="43" fontId="10" fillId="0" borderId="27" xfId="1" applyFont="1" applyBorder="1"/>
    <xf numFmtId="43" fontId="2" fillId="0" borderId="28" xfId="1" applyFont="1" applyBorder="1"/>
    <xf numFmtId="43" fontId="2" fillId="0" borderId="29" xfId="1" applyFont="1" applyBorder="1"/>
    <xf numFmtId="43" fontId="7" fillId="0" borderId="26" xfId="1" applyFont="1" applyBorder="1"/>
    <xf numFmtId="43" fontId="3" fillId="0" borderId="0" xfId="1" applyFont="1"/>
    <xf numFmtId="43" fontId="7" fillId="0" borderId="0" xfId="1" applyFont="1"/>
    <xf numFmtId="0" fontId="10" fillId="0" borderId="0" xfId="0" applyFont="1"/>
    <xf numFmtId="0" fontId="10" fillId="0" borderId="0" xfId="0" applyFont="1" applyAlignment="1">
      <alignment horizontal="center"/>
    </xf>
    <xf numFmtId="43" fontId="2" fillId="0" borderId="30" xfId="1" applyFont="1" applyBorder="1"/>
    <xf numFmtId="43" fontId="7" fillId="0" borderId="31" xfId="1" applyFont="1" applyBorder="1"/>
    <xf numFmtId="43" fontId="10" fillId="0" borderId="32" xfId="1" applyFont="1" applyBorder="1"/>
    <xf numFmtId="43" fontId="2" fillId="0" borderId="33" xfId="1" applyFont="1" applyBorder="1"/>
    <xf numFmtId="43" fontId="2" fillId="0" borderId="34" xfId="1" applyFont="1" applyBorder="1"/>
    <xf numFmtId="43" fontId="2" fillId="0" borderId="16" xfId="1" applyFont="1" applyFill="1" applyBorder="1"/>
    <xf numFmtId="43" fontId="7" fillId="0" borderId="15" xfId="1" applyFont="1" applyFill="1" applyBorder="1"/>
    <xf numFmtId="43" fontId="10" fillId="0" borderId="17" xfId="1" applyFont="1" applyFill="1" applyBorder="1"/>
    <xf numFmtId="43" fontId="2" fillId="0" borderId="18" xfId="1" applyFont="1" applyFill="1" applyBorder="1"/>
    <xf numFmtId="43" fontId="2" fillId="0" borderId="19" xfId="1" applyFont="1" applyFill="1" applyBorder="1"/>
    <xf numFmtId="43" fontId="2" fillId="0" borderId="25" xfId="1" applyFont="1" applyFill="1" applyBorder="1"/>
    <xf numFmtId="43" fontId="10" fillId="0" borderId="27" xfId="1" applyFont="1" applyFill="1" applyBorder="1"/>
    <xf numFmtId="43" fontId="2" fillId="0" borderId="28" xfId="1" applyFont="1" applyFill="1" applyBorder="1"/>
    <xf numFmtId="43" fontId="2" fillId="0" borderId="29" xfId="1" applyFont="1" applyFill="1" applyBorder="1"/>
    <xf numFmtId="17" fontId="9" fillId="3" borderId="35" xfId="0" applyNumberFormat="1" applyFont="1" applyFill="1" applyBorder="1" applyAlignment="1">
      <alignment horizontal="center"/>
    </xf>
    <xf numFmtId="43" fontId="4" fillId="0" borderId="41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1" applyNumberFormat="1" applyFont="1" applyAlignment="1">
      <alignment horizontal="right"/>
    </xf>
    <xf numFmtId="43" fontId="2" fillId="0" borderId="40" xfId="1" applyFont="1" applyBorder="1" applyAlignment="1">
      <alignment horizontal="right"/>
    </xf>
    <xf numFmtId="43" fontId="2" fillId="0" borderId="36" xfId="1" applyFont="1" applyBorder="1" applyAlignment="1">
      <alignment horizontal="right"/>
    </xf>
    <xf numFmtId="43" fontId="2" fillId="0" borderId="37" xfId="1" applyFont="1" applyBorder="1" applyAlignment="1">
      <alignment horizontal="right"/>
    </xf>
    <xf numFmtId="43" fontId="2" fillId="0" borderId="37" xfId="1" applyFont="1" applyFill="1" applyBorder="1" applyAlignment="1">
      <alignment horizontal="right"/>
    </xf>
    <xf numFmtId="43" fontId="2" fillId="0" borderId="39" xfId="1" applyFont="1" applyFill="1" applyBorder="1" applyAlignment="1">
      <alignment horizontal="right"/>
    </xf>
    <xf numFmtId="43" fontId="3" fillId="0" borderId="0" xfId="0" applyNumberFormat="1" applyFont="1" applyAlignment="1">
      <alignment horizontal="right"/>
    </xf>
    <xf numFmtId="43" fontId="3" fillId="0" borderId="0" xfId="1" applyFont="1" applyAlignment="1">
      <alignment horizontal="right"/>
    </xf>
    <xf numFmtId="0" fontId="11" fillId="0" borderId="36" xfId="1" applyNumberFormat="1" applyFont="1" applyBorder="1" applyAlignment="1">
      <alignment horizontal="right" indent="1"/>
    </xf>
    <xf numFmtId="0" fontId="11" fillId="0" borderId="37" xfId="1" applyNumberFormat="1" applyFont="1" applyBorder="1" applyAlignment="1">
      <alignment horizontal="right" indent="1"/>
    </xf>
    <xf numFmtId="0" fontId="11" fillId="0" borderId="37" xfId="1" applyNumberFormat="1" applyFont="1" applyFill="1" applyBorder="1" applyAlignment="1">
      <alignment horizontal="right" indent="1"/>
    </xf>
    <xf numFmtId="0" fontId="11" fillId="0" borderId="38" xfId="1" applyNumberFormat="1" applyFont="1" applyBorder="1" applyAlignment="1">
      <alignment horizontal="right" indent="1"/>
    </xf>
    <xf numFmtId="0" fontId="11" fillId="0" borderId="39" xfId="1" applyNumberFormat="1" applyFont="1" applyFill="1" applyBorder="1" applyAlignment="1">
      <alignment horizontal="right" indent="1"/>
    </xf>
    <xf numFmtId="0" fontId="11" fillId="0" borderId="10" xfId="1" applyNumberFormat="1" applyFont="1" applyBorder="1" applyAlignment="1">
      <alignment horizontal="right" indent="1"/>
    </xf>
    <xf numFmtId="0" fontId="11" fillId="0" borderId="16" xfId="1" applyNumberFormat="1" applyFont="1" applyBorder="1" applyAlignment="1">
      <alignment horizontal="right" indent="1"/>
    </xf>
    <xf numFmtId="0" fontId="11" fillId="0" borderId="16" xfId="1" applyNumberFormat="1" applyFont="1" applyFill="1" applyBorder="1" applyAlignment="1">
      <alignment horizontal="right" indent="1"/>
    </xf>
    <xf numFmtId="0" fontId="11" fillId="0" borderId="20" xfId="1" applyNumberFormat="1" applyFont="1" applyBorder="1" applyAlignment="1">
      <alignment horizontal="right" indent="1"/>
    </xf>
    <xf numFmtId="0" fontId="11" fillId="0" borderId="25" xfId="1" applyNumberFormat="1" applyFont="1" applyFill="1" applyBorder="1" applyAlignment="1">
      <alignment horizontal="right" indent="1"/>
    </xf>
    <xf numFmtId="43" fontId="2" fillId="0" borderId="30" xfId="1" applyFont="1" applyBorder="1" applyAlignment="1">
      <alignment horizontal="right"/>
    </xf>
    <xf numFmtId="43" fontId="2" fillId="0" borderId="25" xfId="1" applyFont="1" applyFill="1" applyBorder="1" applyAlignment="1">
      <alignment horizontal="right"/>
    </xf>
    <xf numFmtId="43" fontId="2" fillId="0" borderId="10" xfId="1" applyFont="1" applyBorder="1" applyAlignment="1">
      <alignment horizontal="right"/>
    </xf>
    <xf numFmtId="43" fontId="2" fillId="0" borderId="16" xfId="1" applyFont="1" applyBorder="1" applyAlignment="1">
      <alignment horizontal="right"/>
    </xf>
    <xf numFmtId="43" fontId="2" fillId="0" borderId="16" xfId="1" applyFont="1" applyFill="1" applyBorder="1" applyAlignment="1">
      <alignment horizontal="right"/>
    </xf>
    <xf numFmtId="43" fontId="4" fillId="0" borderId="42" xfId="0" applyNumberFormat="1" applyFont="1" applyBorder="1" applyAlignment="1">
      <alignment horizontal="right"/>
    </xf>
    <xf numFmtId="17" fontId="9" fillId="4" borderId="35" xfId="0" applyNumberFormat="1" applyFont="1" applyFill="1" applyBorder="1" applyAlignment="1">
      <alignment horizontal="center"/>
    </xf>
    <xf numFmtId="17" fontId="9" fillId="5" borderId="35" xfId="0" applyNumberFormat="1" applyFont="1" applyFill="1" applyBorder="1" applyAlignment="1">
      <alignment horizontal="center"/>
    </xf>
    <xf numFmtId="17" fontId="9" fillId="5" borderId="5" xfId="0" applyNumberFormat="1" applyFont="1" applyFill="1" applyBorder="1" applyAlignment="1">
      <alignment horizontal="center"/>
    </xf>
    <xf numFmtId="17" fontId="4" fillId="5" borderId="6" xfId="0" applyNumberFormat="1" applyFont="1" applyFill="1" applyBorder="1" applyAlignment="1">
      <alignment horizontal="center"/>
    </xf>
    <xf numFmtId="17" fontId="4" fillId="5" borderId="7" xfId="0" applyNumberFormat="1" applyFont="1" applyFill="1" applyBorder="1" applyAlignment="1">
      <alignment horizontal="center"/>
    </xf>
    <xf numFmtId="17" fontId="4" fillId="5" borderId="9" xfId="0" applyNumberFormat="1" applyFont="1" applyFill="1" applyBorder="1" applyAlignment="1">
      <alignment horizontal="center"/>
    </xf>
    <xf numFmtId="17" fontId="4" fillId="4" borderId="6" xfId="0" applyNumberFormat="1" applyFont="1" applyFill="1" applyBorder="1" applyAlignment="1">
      <alignment horizontal="center"/>
    </xf>
    <xf numFmtId="17" fontId="4" fillId="4" borderId="7" xfId="0" applyNumberFormat="1" applyFont="1" applyFill="1" applyBorder="1" applyAlignment="1">
      <alignment horizontal="center"/>
    </xf>
    <xf numFmtId="17" fontId="4" fillId="4" borderId="9" xfId="0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17" fontId="9" fillId="4" borderId="6" xfId="0" applyNumberFormat="1" applyFont="1" applyFill="1" applyBorder="1" applyAlignment="1">
      <alignment horizontal="center"/>
    </xf>
    <xf numFmtId="17" fontId="9" fillId="4" borderId="7" xfId="0" applyNumberFormat="1" applyFont="1" applyFill="1" applyBorder="1" applyAlignment="1">
      <alignment horizontal="center"/>
    </xf>
    <xf numFmtId="17" fontId="9" fillId="4" borderId="8" xfId="0" applyNumberFormat="1" applyFont="1" applyFill="1" applyBorder="1" applyAlignment="1">
      <alignment horizontal="center"/>
    </xf>
    <xf numFmtId="0" fontId="11" fillId="0" borderId="38" xfId="1" applyNumberFormat="1" applyFont="1" applyFill="1" applyBorder="1" applyAlignment="1">
      <alignment horizontal="right" indent="1"/>
    </xf>
    <xf numFmtId="43" fontId="7" fillId="0" borderId="21" xfId="1" applyFont="1" applyFill="1" applyBorder="1"/>
    <xf numFmtId="0" fontId="11" fillId="0" borderId="20" xfId="1" applyNumberFormat="1" applyFont="1" applyFill="1" applyBorder="1" applyAlignment="1">
      <alignment horizontal="right" indent="1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989E-832F-4FC3-8618-24C1B2B0E47D}">
  <sheetPr>
    <tabColor theme="1"/>
  </sheetPr>
  <dimension ref="A1:BJ108"/>
  <sheetViews>
    <sheetView tabSelected="1" zoomScaleNormal="100" workbookViewId="0">
      <pane xSplit="10" ySplit="4" topLeftCell="AK59" activePane="bottomRight" state="frozen"/>
      <selection pane="topRight" activeCell="M1" sqref="M1"/>
      <selection pane="bottomLeft" activeCell="A5" sqref="A5"/>
      <selection pane="bottomRight" activeCell="E82" sqref="E5:E82"/>
    </sheetView>
  </sheetViews>
  <sheetFormatPr defaultRowHeight="12" x14ac:dyDescent="0.2"/>
  <cols>
    <col min="1" max="2" width="4.5703125" style="1" customWidth="1"/>
    <col min="3" max="4" width="9.140625" style="2"/>
    <col min="5" max="5" width="29.7109375" style="2" bestFit="1" customWidth="1"/>
    <col min="6" max="6" width="13.42578125" style="2" customWidth="1"/>
    <col min="7" max="7" width="11.7109375" style="2" bestFit="1" customWidth="1"/>
    <col min="8" max="9" width="4.42578125" style="3" customWidth="1"/>
    <col min="10" max="10" width="13.28515625" style="2" customWidth="1"/>
    <col min="11" max="11" width="4.42578125" style="3" customWidth="1"/>
    <col min="12" max="12" width="13.28515625" style="2" customWidth="1"/>
    <col min="13" max="13" width="6.5703125" style="56" customWidth="1"/>
    <col min="14" max="14" width="13.28515625" style="2" bestFit="1" customWidth="1"/>
    <col min="15" max="16" width="13.28515625" style="2" customWidth="1"/>
    <col min="17" max="17" width="6.5703125" style="56" customWidth="1"/>
    <col min="18" max="18" width="13.28515625" style="2" bestFit="1" customWidth="1"/>
    <col min="19" max="20" width="13.28515625" style="2" customWidth="1"/>
    <col min="21" max="21" width="6.5703125" style="56" customWidth="1"/>
    <col min="22" max="22" width="13.28515625" style="8" bestFit="1" customWidth="1"/>
    <col min="23" max="24" width="13.28515625" style="2" customWidth="1"/>
    <col min="25" max="25" width="6.5703125" style="56" customWidth="1"/>
    <col min="26" max="26" width="13.28515625" style="8" bestFit="1" customWidth="1"/>
    <col min="27" max="27" width="11.7109375" style="2" bestFit="1" customWidth="1"/>
    <col min="28" max="28" width="12.85546875" style="2" bestFit="1" customWidth="1"/>
    <col min="29" max="29" width="6.5703125" style="56" customWidth="1"/>
    <col min="30" max="30" width="13.28515625" style="8" bestFit="1" customWidth="1"/>
    <col min="31" max="31" width="11.7109375" style="2" bestFit="1" customWidth="1"/>
    <col min="32" max="32" width="12.85546875" style="2" bestFit="1" customWidth="1"/>
    <col min="33" max="33" width="6.5703125" style="56" customWidth="1"/>
    <col min="34" max="34" width="13.28515625" style="8" bestFit="1" customWidth="1"/>
    <col min="35" max="35" width="9.140625" style="2"/>
    <col min="36" max="36" width="12.85546875" style="2" bestFit="1" customWidth="1"/>
    <col min="37" max="37" width="6.5703125" style="56" customWidth="1"/>
    <col min="38" max="38" width="13.28515625" style="8" bestFit="1" customWidth="1"/>
    <col min="39" max="39" width="12.5703125" style="2" bestFit="1" customWidth="1"/>
    <col min="40" max="40" width="12.85546875" style="2" bestFit="1" customWidth="1"/>
    <col min="41" max="41" width="6.5703125" style="56" customWidth="1"/>
    <col min="42" max="42" width="13.28515625" style="8" bestFit="1" customWidth="1"/>
    <col min="43" max="43" width="9.140625" style="2"/>
    <col min="44" max="44" width="12.85546875" style="2" bestFit="1" customWidth="1"/>
    <col min="45" max="45" width="6.5703125" style="56" customWidth="1"/>
    <col min="46" max="46" width="13.28515625" style="8" bestFit="1" customWidth="1"/>
    <col min="47" max="47" width="11.7109375" style="2" bestFit="1" customWidth="1"/>
    <col min="48" max="48" width="12.85546875" style="2" bestFit="1" customWidth="1"/>
    <col min="49" max="49" width="6.5703125" style="56" customWidth="1"/>
    <col min="50" max="50" width="13.28515625" style="8" bestFit="1" customWidth="1"/>
    <col min="51" max="51" width="11.7109375" style="2" bestFit="1" customWidth="1"/>
    <col min="52" max="52" width="12.85546875" style="2" bestFit="1" customWidth="1"/>
    <col min="53" max="53" width="6.5703125" style="56" customWidth="1"/>
    <col min="54" max="54" width="13.28515625" style="8" bestFit="1" customWidth="1"/>
    <col min="55" max="55" width="12.5703125" style="2" bestFit="1" customWidth="1"/>
    <col min="56" max="56" width="12.85546875" style="2" bestFit="1" customWidth="1"/>
    <col min="57" max="57" width="6.5703125" style="56" customWidth="1"/>
    <col min="58" max="58" width="13.28515625" style="8" bestFit="1" customWidth="1"/>
    <col min="59" max="59" width="11.7109375" style="2" bestFit="1" customWidth="1"/>
    <col min="60" max="60" width="12.85546875" style="2" bestFit="1" customWidth="1"/>
    <col min="61" max="61" width="6.5703125" style="56" customWidth="1"/>
    <col min="62" max="62" width="11.140625" style="2" bestFit="1" customWidth="1"/>
    <col min="63" max="16384" width="9.140625" style="2"/>
  </cols>
  <sheetData>
    <row r="1" spans="1:61" ht="13.5" thickTop="1" thickBot="1" x14ac:dyDescent="0.25">
      <c r="J1" s="4">
        <f>SUM(J5:J104)</f>
        <v>9000000</v>
      </c>
      <c r="L1" s="4">
        <f>SUM(L5:L104)</f>
        <v>360210000</v>
      </c>
      <c r="M1" s="55"/>
      <c r="N1" s="5">
        <f>SUM(N5:N104)</f>
        <v>3800000</v>
      </c>
      <c r="O1" s="6">
        <f>SUM(O5:O104)</f>
        <v>0</v>
      </c>
      <c r="P1" s="4">
        <f>SUM(P5:P104)</f>
        <v>364010000</v>
      </c>
      <c r="Q1" s="55"/>
      <c r="R1" s="5">
        <f>SUM(R5:R104)</f>
        <v>4100000</v>
      </c>
      <c r="S1" s="6">
        <f>SUM(S5:S104)</f>
        <v>0</v>
      </c>
      <c r="T1" s="4">
        <f>SUM(T5:T104)</f>
        <v>368110000</v>
      </c>
      <c r="U1" s="55"/>
      <c r="V1" s="5">
        <f>SUM(V5:V104)</f>
        <v>3850000</v>
      </c>
      <c r="W1" s="6">
        <f>SUM(W5:W104)</f>
        <v>0</v>
      </c>
      <c r="X1" s="4">
        <f>SUM(X5:X104)</f>
        <v>371960000</v>
      </c>
      <c r="Y1" s="55"/>
      <c r="Z1" s="5">
        <f>SUM(Z5:Z104)</f>
        <v>3800000</v>
      </c>
      <c r="AA1" s="6">
        <f>SUM(AA5:AA104)</f>
        <v>0</v>
      </c>
      <c r="AB1" s="4">
        <f>SUM(AB5:AB104)</f>
        <v>375760000</v>
      </c>
      <c r="AC1" s="55"/>
      <c r="AD1" s="5">
        <f>SUM(AD5:AD104)</f>
        <v>3850000</v>
      </c>
      <c r="AE1" s="6">
        <f>SUM(AE5:AE104)</f>
        <v>0</v>
      </c>
      <c r="AF1" s="4">
        <f>SUM(AF5:AF104)</f>
        <v>379610000</v>
      </c>
      <c r="AG1" s="55"/>
      <c r="AH1" s="5">
        <f>SUM(AH5:AH104)</f>
        <v>3850000</v>
      </c>
      <c r="AI1" s="6">
        <f>SUM(AI5:AI104)</f>
        <v>0</v>
      </c>
      <c r="AJ1" s="4">
        <f>SUM(AJ5:AJ104)</f>
        <v>383460000</v>
      </c>
      <c r="AK1" s="55"/>
      <c r="AL1" s="5">
        <f>SUM(AL5:AL104)</f>
        <v>3850000</v>
      </c>
      <c r="AM1" s="6">
        <f>SUM(AM5:AM104)</f>
        <v>0</v>
      </c>
      <c r="AN1" s="4">
        <f>SUM(AN5:AN104)</f>
        <v>387310000</v>
      </c>
      <c r="AO1" s="55"/>
      <c r="AP1" s="5">
        <f>SUM(AP5:AP104)</f>
        <v>3850000</v>
      </c>
      <c r="AQ1" s="6">
        <f>SUM(AQ5:AQ104)</f>
        <v>0</v>
      </c>
      <c r="AR1" s="4">
        <f>SUM(AR5:AR104)</f>
        <v>391160000</v>
      </c>
      <c r="AS1" s="55"/>
      <c r="AT1" s="5">
        <f>SUM(AT5:AT104)</f>
        <v>3900000</v>
      </c>
      <c r="AU1" s="6">
        <f>SUM(AU5:AU104)</f>
        <v>0</v>
      </c>
      <c r="AV1" s="4">
        <f>SUM(AV5:AV104)</f>
        <v>395060000</v>
      </c>
      <c r="AW1" s="55"/>
      <c r="AX1" s="5">
        <f>SUM(AX5:AX104)</f>
        <v>0</v>
      </c>
      <c r="AY1" s="6">
        <f>SUM(AY5:AY104)</f>
        <v>0</v>
      </c>
      <c r="AZ1" s="4">
        <f>SUM(AZ5:AZ104)</f>
        <v>395060000</v>
      </c>
      <c r="BA1" s="55"/>
      <c r="BB1" s="5">
        <f>SUM(BB5:BB104)</f>
        <v>0</v>
      </c>
      <c r="BC1" s="6">
        <f>SUM(BC5:BC104)</f>
        <v>0</v>
      </c>
      <c r="BD1" s="4">
        <f>SUM(BD5:BD104)</f>
        <v>395060000</v>
      </c>
      <c r="BE1" s="55"/>
      <c r="BF1" s="5">
        <f>SUM(BF5:BF104)</f>
        <v>0</v>
      </c>
      <c r="BG1" s="6">
        <f>SUM(BG5:BG104)</f>
        <v>0</v>
      </c>
      <c r="BH1" s="4">
        <f>SUM(BH5:BH104)</f>
        <v>395060000</v>
      </c>
      <c r="BI1" s="80"/>
    </row>
    <row r="2" spans="1:61" ht="12.75" thickTop="1" x14ac:dyDescent="0.2">
      <c r="N2" s="7"/>
      <c r="P2" s="7"/>
    </row>
    <row r="3" spans="1:61" ht="15.75" customHeight="1" thickBot="1" x14ac:dyDescent="0.25">
      <c r="J3" s="3"/>
      <c r="L3" s="90" t="s">
        <v>0</v>
      </c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2"/>
    </row>
    <row r="4" spans="1:61" s="10" customFormat="1" ht="13.5" thickTop="1" thickBot="1" x14ac:dyDescent="0.25">
      <c r="A4" s="9">
        <v>2025</v>
      </c>
      <c r="B4" s="9">
        <v>2026</v>
      </c>
      <c r="C4" s="10" t="s">
        <v>1</v>
      </c>
      <c r="E4" s="10" t="s">
        <v>2</v>
      </c>
      <c r="F4" s="10" t="s">
        <v>3</v>
      </c>
      <c r="G4" s="10" t="s">
        <v>4</v>
      </c>
      <c r="H4" s="10" t="s">
        <v>5</v>
      </c>
      <c r="J4" s="11" t="s">
        <v>6</v>
      </c>
      <c r="L4" s="11" t="s">
        <v>212</v>
      </c>
      <c r="M4" s="54" t="s">
        <v>213</v>
      </c>
      <c r="N4" s="91">
        <v>45658</v>
      </c>
      <c r="O4" s="92"/>
      <c r="P4" s="93"/>
      <c r="Q4" s="81" t="s">
        <v>213</v>
      </c>
      <c r="R4" s="84">
        <v>45689</v>
      </c>
      <c r="S4" s="85"/>
      <c r="T4" s="86"/>
      <c r="U4" s="82" t="s">
        <v>213</v>
      </c>
      <c r="V4" s="87">
        <v>45717</v>
      </c>
      <c r="W4" s="88"/>
      <c r="X4" s="89"/>
      <c r="Y4" s="81" t="s">
        <v>213</v>
      </c>
      <c r="Z4" s="84">
        <v>45748</v>
      </c>
      <c r="AA4" s="85"/>
      <c r="AB4" s="86"/>
      <c r="AC4" s="82" t="s">
        <v>213</v>
      </c>
      <c r="AD4" s="87">
        <v>45778</v>
      </c>
      <c r="AE4" s="88"/>
      <c r="AF4" s="89"/>
      <c r="AG4" s="81" t="s">
        <v>213</v>
      </c>
      <c r="AH4" s="84">
        <v>45809</v>
      </c>
      <c r="AI4" s="85"/>
      <c r="AJ4" s="86"/>
      <c r="AK4" s="82" t="s">
        <v>213</v>
      </c>
      <c r="AL4" s="87">
        <v>45839</v>
      </c>
      <c r="AM4" s="88"/>
      <c r="AN4" s="89"/>
      <c r="AO4" s="81" t="s">
        <v>213</v>
      </c>
      <c r="AP4" s="84">
        <v>45870</v>
      </c>
      <c r="AQ4" s="85"/>
      <c r="AR4" s="86"/>
      <c r="AS4" s="82" t="s">
        <v>213</v>
      </c>
      <c r="AT4" s="87">
        <v>45901</v>
      </c>
      <c r="AU4" s="88"/>
      <c r="AV4" s="89"/>
      <c r="AW4" s="81" t="s">
        <v>213</v>
      </c>
      <c r="AX4" s="84">
        <v>45931</v>
      </c>
      <c r="AY4" s="85"/>
      <c r="AZ4" s="86"/>
      <c r="BA4" s="82" t="s">
        <v>213</v>
      </c>
      <c r="BB4" s="87">
        <v>45962</v>
      </c>
      <c r="BC4" s="88"/>
      <c r="BD4" s="89"/>
      <c r="BE4" s="81" t="s">
        <v>213</v>
      </c>
      <c r="BF4" s="84">
        <v>45992</v>
      </c>
      <c r="BG4" s="85"/>
      <c r="BH4" s="86"/>
      <c r="BI4" s="83" t="s">
        <v>213</v>
      </c>
    </row>
    <row r="5" spans="1:61" x14ac:dyDescent="0.2">
      <c r="A5" s="1">
        <v>1</v>
      </c>
      <c r="B5" s="1">
        <v>1</v>
      </c>
      <c r="C5" s="2" t="s">
        <v>7</v>
      </c>
      <c r="D5" s="2" t="s">
        <v>223</v>
      </c>
      <c r="E5" s="2" t="s">
        <v>8</v>
      </c>
      <c r="F5" s="2" t="s">
        <v>9</v>
      </c>
      <c r="G5" s="2" t="s">
        <v>10</v>
      </c>
      <c r="H5" s="3" t="s">
        <v>11</v>
      </c>
      <c r="J5" s="12">
        <v>100000</v>
      </c>
      <c r="L5" s="12">
        <v>4990000</v>
      </c>
      <c r="M5" s="65">
        <v>197</v>
      </c>
      <c r="N5" s="13">
        <v>50000</v>
      </c>
      <c r="O5" s="14">
        <v>0</v>
      </c>
      <c r="P5" s="15">
        <f t="shared" ref="P5:P64" si="0">L5+N5+O5</f>
        <v>5040000</v>
      </c>
      <c r="Q5" s="65">
        <f>IF(N5&lt;&gt;0,M5+1,M5)</f>
        <v>198</v>
      </c>
      <c r="R5" s="13">
        <v>50000</v>
      </c>
      <c r="S5" s="14">
        <v>0</v>
      </c>
      <c r="T5" s="16">
        <f t="shared" ref="T5:T64" si="1">P5+R5+S5</f>
        <v>5090000</v>
      </c>
      <c r="U5" s="65">
        <f>IF(R5&lt;&gt;0,Q5+1,Q5)</f>
        <v>199</v>
      </c>
      <c r="V5" s="13">
        <v>50000</v>
      </c>
      <c r="W5" s="14">
        <v>0</v>
      </c>
      <c r="X5" s="16">
        <f t="shared" ref="X5:X64" si="2">T5+V5+W5</f>
        <v>5140000</v>
      </c>
      <c r="Y5" s="65">
        <f>IF(V5&lt;&gt;0,U5+1,U5)</f>
        <v>200</v>
      </c>
      <c r="Z5" s="13">
        <v>50000</v>
      </c>
      <c r="AA5" s="14">
        <v>0</v>
      </c>
      <c r="AB5" s="16">
        <f t="shared" ref="AB5:AB35" si="3">X5+Z5+AA5</f>
        <v>5190000</v>
      </c>
      <c r="AC5" s="65">
        <f>IF(Z5&lt;&gt;0,Y5+1,Y5)</f>
        <v>201</v>
      </c>
      <c r="AD5" s="13">
        <v>50000</v>
      </c>
      <c r="AE5" s="14">
        <v>0</v>
      </c>
      <c r="AF5" s="16">
        <f t="shared" ref="AF5:AF35" si="4">AB5+AD5+AE5</f>
        <v>5240000</v>
      </c>
      <c r="AG5" s="65">
        <f>IF(AD5&lt;&gt;0,AC5+1,AC5)</f>
        <v>202</v>
      </c>
      <c r="AH5" s="17">
        <v>50000</v>
      </c>
      <c r="AI5" s="14">
        <v>0</v>
      </c>
      <c r="AJ5" s="16">
        <f t="shared" ref="AJ5:AJ35" si="5">AF5+AH5+AI5</f>
        <v>5290000</v>
      </c>
      <c r="AK5" s="65">
        <f>IF(AH5&lt;&gt;0,AG5+1,AG5)</f>
        <v>203</v>
      </c>
      <c r="AL5" s="17">
        <v>50000</v>
      </c>
      <c r="AM5" s="14">
        <v>0</v>
      </c>
      <c r="AN5" s="16">
        <f t="shared" ref="AN5:AN67" si="6">AJ5+AL5+AM5</f>
        <v>5340000</v>
      </c>
      <c r="AO5" s="65">
        <f>IF(AL5&lt;&gt;0,AK5+1,AK5)</f>
        <v>204</v>
      </c>
      <c r="AP5" s="17">
        <v>50000</v>
      </c>
      <c r="AQ5" s="14">
        <v>0</v>
      </c>
      <c r="AR5" s="16">
        <f t="shared" ref="AR5:AR67" si="7">AN5+AP5+AQ5</f>
        <v>5390000</v>
      </c>
      <c r="AS5" s="65">
        <f>IF(AP5&lt;&gt;0,AO5+1,AO5)</f>
        <v>205</v>
      </c>
      <c r="AT5" s="17">
        <v>50000</v>
      </c>
      <c r="AU5" s="14">
        <v>0</v>
      </c>
      <c r="AV5" s="16">
        <f t="shared" ref="AV5:AV67" si="8">AR5+AT5+AU5</f>
        <v>5440000</v>
      </c>
      <c r="AW5" s="65">
        <f>IF(AT5&lt;&gt;0,AS5+1,AS5)</f>
        <v>206</v>
      </c>
      <c r="AX5" s="17">
        <v>0</v>
      </c>
      <c r="AY5" s="14">
        <v>0</v>
      </c>
      <c r="AZ5" s="16">
        <f t="shared" ref="AZ5:AZ67" si="9">AV5+AX5+AY5</f>
        <v>5440000</v>
      </c>
      <c r="BA5" s="65">
        <f>IF(AX5&lt;&gt;0,AW5+1,AW5)</f>
        <v>206</v>
      </c>
      <c r="BB5" s="17">
        <v>0</v>
      </c>
      <c r="BC5" s="14">
        <v>0</v>
      </c>
      <c r="BD5" s="16">
        <f t="shared" ref="BD5:BD67" si="10">AZ5+BB5+BC5</f>
        <v>5440000</v>
      </c>
      <c r="BE5" s="65">
        <f>IF(BB5&lt;&gt;0,BA5+1,BA5)</f>
        <v>206</v>
      </c>
      <c r="BF5" s="17">
        <v>0</v>
      </c>
      <c r="BG5" s="14">
        <v>0</v>
      </c>
      <c r="BH5" s="16">
        <f t="shared" ref="BH5:BH67" si="11">BD5+BF5+BG5</f>
        <v>5440000</v>
      </c>
      <c r="BI5" s="70">
        <f>IF(BF5&lt;&gt;0,BE5+1,BE5)</f>
        <v>206</v>
      </c>
    </row>
    <row r="6" spans="1:61" x14ac:dyDescent="0.2">
      <c r="A6" s="1">
        <v>2</v>
      </c>
      <c r="B6" s="1">
        <v>2</v>
      </c>
      <c r="C6" s="2" t="s">
        <v>12</v>
      </c>
      <c r="D6" s="2" t="s">
        <v>223</v>
      </c>
      <c r="E6" s="2" t="s">
        <v>13</v>
      </c>
      <c r="F6" s="2" t="s">
        <v>9</v>
      </c>
      <c r="G6" s="2" t="s">
        <v>10</v>
      </c>
      <c r="H6" s="3" t="s">
        <v>11</v>
      </c>
      <c r="J6" s="18">
        <v>100000</v>
      </c>
      <c r="L6" s="18">
        <v>4990000</v>
      </c>
      <c r="M6" s="66">
        <v>197</v>
      </c>
      <c r="N6" s="17">
        <v>50000</v>
      </c>
      <c r="O6" s="19">
        <v>0</v>
      </c>
      <c r="P6" s="20">
        <f t="shared" si="0"/>
        <v>5040000</v>
      </c>
      <c r="Q6" s="66">
        <f t="shared" ref="Q6:Q65" si="12">IF(N6&lt;&gt;0,M6+1,M6)</f>
        <v>198</v>
      </c>
      <c r="R6" s="17">
        <v>50000</v>
      </c>
      <c r="S6" s="19">
        <v>0</v>
      </c>
      <c r="T6" s="21">
        <f t="shared" si="1"/>
        <v>5090000</v>
      </c>
      <c r="U6" s="66">
        <f t="shared" ref="U6:U65" si="13">IF(R6&lt;&gt;0,Q6+1,Q6)</f>
        <v>199</v>
      </c>
      <c r="V6" s="17">
        <v>50000</v>
      </c>
      <c r="W6" s="19">
        <v>0</v>
      </c>
      <c r="X6" s="21">
        <f t="shared" si="2"/>
        <v>5140000</v>
      </c>
      <c r="Y6" s="66">
        <f t="shared" ref="Y6:Y67" si="14">IF(V6&lt;&gt;0,U6+1,U6)</f>
        <v>200</v>
      </c>
      <c r="Z6" s="17">
        <v>50000</v>
      </c>
      <c r="AA6" s="19">
        <v>0</v>
      </c>
      <c r="AB6" s="21">
        <f t="shared" si="3"/>
        <v>5190000</v>
      </c>
      <c r="AC6" s="66">
        <f t="shared" ref="AC6:AC67" si="15">IF(Z6&lt;&gt;0,Y6+1,Y6)</f>
        <v>201</v>
      </c>
      <c r="AD6" s="17">
        <v>50000</v>
      </c>
      <c r="AE6" s="19">
        <v>0</v>
      </c>
      <c r="AF6" s="21">
        <f t="shared" si="4"/>
        <v>5240000</v>
      </c>
      <c r="AG6" s="66">
        <f t="shared" ref="AG6:AG68" si="16">IF(AD6&lt;&gt;0,AC6+1,AC6)</f>
        <v>202</v>
      </c>
      <c r="AH6" s="17">
        <v>50000</v>
      </c>
      <c r="AI6" s="19">
        <v>0</v>
      </c>
      <c r="AJ6" s="21">
        <f t="shared" si="5"/>
        <v>5290000</v>
      </c>
      <c r="AK6" s="66">
        <f t="shared" ref="AK6:AK68" si="17">IF(AH6&lt;&gt;0,AG6+1,AG6)</f>
        <v>203</v>
      </c>
      <c r="AL6" s="17">
        <v>50000</v>
      </c>
      <c r="AM6" s="19">
        <v>0</v>
      </c>
      <c r="AN6" s="21">
        <f t="shared" si="6"/>
        <v>5340000</v>
      </c>
      <c r="AO6" s="66">
        <f t="shared" ref="AO6:AO68" si="18">IF(AL6&lt;&gt;0,AK6+1,AK6)</f>
        <v>204</v>
      </c>
      <c r="AP6" s="17">
        <v>50000</v>
      </c>
      <c r="AQ6" s="19">
        <v>0</v>
      </c>
      <c r="AR6" s="21">
        <f t="shared" si="7"/>
        <v>5390000</v>
      </c>
      <c r="AS6" s="66">
        <f t="shared" ref="AS6:AS68" si="19">IF(AP6&lt;&gt;0,AO6+1,AO6)</f>
        <v>205</v>
      </c>
      <c r="AT6" s="17">
        <v>50000</v>
      </c>
      <c r="AU6" s="19">
        <v>0</v>
      </c>
      <c r="AV6" s="21">
        <f t="shared" si="8"/>
        <v>5440000</v>
      </c>
      <c r="AW6" s="66">
        <f t="shared" ref="AW6:AW68" si="20">IF(AT6&lt;&gt;0,AS6+1,AS6)</f>
        <v>206</v>
      </c>
      <c r="AX6" s="17">
        <v>0</v>
      </c>
      <c r="AY6" s="19">
        <v>0</v>
      </c>
      <c r="AZ6" s="21">
        <f t="shared" si="9"/>
        <v>5440000</v>
      </c>
      <c r="BA6" s="66">
        <f t="shared" ref="BA6:BA68" si="21">IF(AX6&lt;&gt;0,AW6+1,AW6)</f>
        <v>206</v>
      </c>
      <c r="BB6" s="17">
        <v>0</v>
      </c>
      <c r="BC6" s="19">
        <v>0</v>
      </c>
      <c r="BD6" s="21">
        <f t="shared" si="10"/>
        <v>5440000</v>
      </c>
      <c r="BE6" s="66">
        <f t="shared" ref="BE6:BE68" si="22">IF(BB6&lt;&gt;0,BA6+1,BA6)</f>
        <v>206</v>
      </c>
      <c r="BF6" s="17">
        <v>0</v>
      </c>
      <c r="BG6" s="19">
        <v>0</v>
      </c>
      <c r="BH6" s="21">
        <f t="shared" si="11"/>
        <v>5440000</v>
      </c>
      <c r="BI6" s="71">
        <f t="shared" ref="BI6:BI68" si="23">IF(BF6&lt;&gt;0,BE6+1,BE6)</f>
        <v>206</v>
      </c>
    </row>
    <row r="7" spans="1:61" x14ac:dyDescent="0.2">
      <c r="A7" s="1">
        <v>3</v>
      </c>
      <c r="B7" s="1">
        <v>3</v>
      </c>
      <c r="C7" s="2" t="s">
        <v>14</v>
      </c>
      <c r="D7" s="2" t="s">
        <v>224</v>
      </c>
      <c r="E7" s="2" t="s">
        <v>15</v>
      </c>
      <c r="F7" s="2" t="s">
        <v>9</v>
      </c>
      <c r="G7" s="2" t="s">
        <v>16</v>
      </c>
      <c r="H7" s="3" t="s">
        <v>11</v>
      </c>
      <c r="J7" s="18">
        <v>100000</v>
      </c>
      <c r="L7" s="18">
        <v>3930000</v>
      </c>
      <c r="M7" s="66">
        <v>144</v>
      </c>
      <c r="N7" s="17">
        <v>50000</v>
      </c>
      <c r="O7" s="19">
        <v>0</v>
      </c>
      <c r="P7" s="20">
        <f t="shared" si="0"/>
        <v>3980000</v>
      </c>
      <c r="Q7" s="66">
        <f t="shared" si="12"/>
        <v>145</v>
      </c>
      <c r="R7" s="17">
        <v>50000</v>
      </c>
      <c r="S7" s="19">
        <v>0</v>
      </c>
      <c r="T7" s="21">
        <f t="shared" si="1"/>
        <v>4030000</v>
      </c>
      <c r="U7" s="66">
        <f t="shared" si="13"/>
        <v>146</v>
      </c>
      <c r="V7" s="17">
        <v>50000</v>
      </c>
      <c r="W7" s="19">
        <v>0</v>
      </c>
      <c r="X7" s="21">
        <f t="shared" si="2"/>
        <v>4080000</v>
      </c>
      <c r="Y7" s="66">
        <f t="shared" si="14"/>
        <v>147</v>
      </c>
      <c r="Z7" s="17">
        <v>50000</v>
      </c>
      <c r="AA7" s="19">
        <v>0</v>
      </c>
      <c r="AB7" s="21">
        <f t="shared" si="3"/>
        <v>4130000</v>
      </c>
      <c r="AC7" s="66">
        <f t="shared" si="15"/>
        <v>148</v>
      </c>
      <c r="AD7" s="17">
        <v>50000</v>
      </c>
      <c r="AE7" s="19">
        <v>0</v>
      </c>
      <c r="AF7" s="21">
        <f t="shared" si="4"/>
        <v>4180000</v>
      </c>
      <c r="AG7" s="66">
        <f t="shared" si="16"/>
        <v>149</v>
      </c>
      <c r="AH7" s="17">
        <v>50000</v>
      </c>
      <c r="AI7" s="19">
        <v>0</v>
      </c>
      <c r="AJ7" s="21">
        <f t="shared" si="5"/>
        <v>4230000</v>
      </c>
      <c r="AK7" s="66">
        <f t="shared" si="17"/>
        <v>150</v>
      </c>
      <c r="AL7" s="17">
        <v>50000</v>
      </c>
      <c r="AM7" s="19">
        <v>0</v>
      </c>
      <c r="AN7" s="21">
        <f t="shared" si="6"/>
        <v>4280000</v>
      </c>
      <c r="AO7" s="66">
        <f t="shared" si="18"/>
        <v>151</v>
      </c>
      <c r="AP7" s="17">
        <v>50000</v>
      </c>
      <c r="AQ7" s="19">
        <v>0</v>
      </c>
      <c r="AR7" s="21">
        <f t="shared" si="7"/>
        <v>4330000</v>
      </c>
      <c r="AS7" s="66">
        <f t="shared" si="19"/>
        <v>152</v>
      </c>
      <c r="AT7" s="17">
        <v>50000</v>
      </c>
      <c r="AU7" s="19">
        <v>0</v>
      </c>
      <c r="AV7" s="21">
        <f t="shared" si="8"/>
        <v>4380000</v>
      </c>
      <c r="AW7" s="66">
        <f t="shared" si="20"/>
        <v>153</v>
      </c>
      <c r="AX7" s="17">
        <v>0</v>
      </c>
      <c r="AY7" s="19">
        <v>0</v>
      </c>
      <c r="AZ7" s="21">
        <f t="shared" si="9"/>
        <v>4380000</v>
      </c>
      <c r="BA7" s="66">
        <f t="shared" si="21"/>
        <v>153</v>
      </c>
      <c r="BB7" s="17">
        <v>0</v>
      </c>
      <c r="BC7" s="19">
        <v>0</v>
      </c>
      <c r="BD7" s="21">
        <f t="shared" si="10"/>
        <v>4380000</v>
      </c>
      <c r="BE7" s="66">
        <f t="shared" si="22"/>
        <v>153</v>
      </c>
      <c r="BF7" s="17">
        <v>0</v>
      </c>
      <c r="BG7" s="19">
        <v>0</v>
      </c>
      <c r="BH7" s="21">
        <f t="shared" si="11"/>
        <v>4380000</v>
      </c>
      <c r="BI7" s="71">
        <f t="shared" si="23"/>
        <v>153</v>
      </c>
    </row>
    <row r="8" spans="1:61" x14ac:dyDescent="0.2">
      <c r="A8" s="1">
        <v>4</v>
      </c>
      <c r="B8" s="1">
        <v>4</v>
      </c>
      <c r="C8" s="2" t="s">
        <v>17</v>
      </c>
      <c r="D8" s="2" t="s">
        <v>224</v>
      </c>
      <c r="E8" s="2" t="s">
        <v>18</v>
      </c>
      <c r="F8" s="2" t="s">
        <v>9</v>
      </c>
      <c r="G8" s="2" t="s">
        <v>16</v>
      </c>
      <c r="H8" s="3" t="s">
        <v>11</v>
      </c>
      <c r="J8" s="18">
        <v>100000</v>
      </c>
      <c r="L8" s="18">
        <v>2530000</v>
      </c>
      <c r="M8" s="66">
        <v>74</v>
      </c>
      <c r="N8" s="17">
        <v>50000</v>
      </c>
      <c r="O8" s="19">
        <v>0</v>
      </c>
      <c r="P8" s="20">
        <f t="shared" si="0"/>
        <v>2580000</v>
      </c>
      <c r="Q8" s="66">
        <f t="shared" si="12"/>
        <v>75</v>
      </c>
      <c r="R8" s="17">
        <v>50000</v>
      </c>
      <c r="S8" s="19">
        <v>0</v>
      </c>
      <c r="T8" s="21">
        <f t="shared" si="1"/>
        <v>2630000</v>
      </c>
      <c r="U8" s="66">
        <f t="shared" si="13"/>
        <v>76</v>
      </c>
      <c r="V8" s="17">
        <v>50000</v>
      </c>
      <c r="W8" s="19">
        <v>0</v>
      </c>
      <c r="X8" s="21">
        <f t="shared" si="2"/>
        <v>2680000</v>
      </c>
      <c r="Y8" s="66">
        <f t="shared" si="14"/>
        <v>77</v>
      </c>
      <c r="Z8" s="17">
        <v>50000</v>
      </c>
      <c r="AA8" s="19">
        <v>0</v>
      </c>
      <c r="AB8" s="21">
        <f t="shared" si="3"/>
        <v>2730000</v>
      </c>
      <c r="AC8" s="66">
        <f t="shared" si="15"/>
        <v>78</v>
      </c>
      <c r="AD8" s="17">
        <v>50000</v>
      </c>
      <c r="AE8" s="19">
        <v>0</v>
      </c>
      <c r="AF8" s="21">
        <f t="shared" si="4"/>
        <v>2780000</v>
      </c>
      <c r="AG8" s="66">
        <f t="shared" si="16"/>
        <v>79</v>
      </c>
      <c r="AH8" s="17">
        <v>50000</v>
      </c>
      <c r="AI8" s="19">
        <v>0</v>
      </c>
      <c r="AJ8" s="21">
        <f t="shared" si="5"/>
        <v>2830000</v>
      </c>
      <c r="AK8" s="66">
        <f t="shared" si="17"/>
        <v>80</v>
      </c>
      <c r="AL8" s="17">
        <v>50000</v>
      </c>
      <c r="AM8" s="19">
        <v>0</v>
      </c>
      <c r="AN8" s="21">
        <f t="shared" si="6"/>
        <v>2880000</v>
      </c>
      <c r="AO8" s="66">
        <f t="shared" si="18"/>
        <v>81</v>
      </c>
      <c r="AP8" s="17">
        <v>50000</v>
      </c>
      <c r="AQ8" s="19">
        <v>0</v>
      </c>
      <c r="AR8" s="21">
        <f t="shared" si="7"/>
        <v>2930000</v>
      </c>
      <c r="AS8" s="66">
        <f t="shared" si="19"/>
        <v>82</v>
      </c>
      <c r="AT8" s="17">
        <v>50000</v>
      </c>
      <c r="AU8" s="19">
        <v>0</v>
      </c>
      <c r="AV8" s="21">
        <f t="shared" si="8"/>
        <v>2980000</v>
      </c>
      <c r="AW8" s="66">
        <f t="shared" si="20"/>
        <v>83</v>
      </c>
      <c r="AX8" s="17">
        <v>0</v>
      </c>
      <c r="AY8" s="19">
        <v>0</v>
      </c>
      <c r="AZ8" s="21">
        <f t="shared" si="9"/>
        <v>2980000</v>
      </c>
      <c r="BA8" s="66">
        <f t="shared" si="21"/>
        <v>83</v>
      </c>
      <c r="BB8" s="17">
        <v>0</v>
      </c>
      <c r="BC8" s="19">
        <v>0</v>
      </c>
      <c r="BD8" s="21">
        <f t="shared" si="10"/>
        <v>2980000</v>
      </c>
      <c r="BE8" s="66">
        <f t="shared" si="22"/>
        <v>83</v>
      </c>
      <c r="BF8" s="17">
        <v>0</v>
      </c>
      <c r="BG8" s="19">
        <v>0</v>
      </c>
      <c r="BH8" s="21">
        <f t="shared" si="11"/>
        <v>2980000</v>
      </c>
      <c r="BI8" s="71">
        <f t="shared" si="23"/>
        <v>83</v>
      </c>
    </row>
    <row r="9" spans="1:61" x14ac:dyDescent="0.2">
      <c r="A9" s="1">
        <v>5</v>
      </c>
      <c r="B9" s="1">
        <v>5</v>
      </c>
      <c r="C9" s="2" t="s">
        <v>19</v>
      </c>
      <c r="D9" s="2" t="s">
        <v>224</v>
      </c>
      <c r="E9" s="2" t="s">
        <v>20</v>
      </c>
      <c r="F9" s="2" t="s">
        <v>9</v>
      </c>
      <c r="G9" s="2" t="s">
        <v>10</v>
      </c>
      <c r="H9" s="3" t="s">
        <v>21</v>
      </c>
      <c r="J9" s="18">
        <v>100000</v>
      </c>
      <c r="L9" s="18">
        <v>2070000</v>
      </c>
      <c r="M9" s="66">
        <v>51</v>
      </c>
      <c r="N9" s="17">
        <v>50000</v>
      </c>
      <c r="O9" s="19">
        <v>0</v>
      </c>
      <c r="P9" s="20">
        <f t="shared" si="0"/>
        <v>2120000</v>
      </c>
      <c r="Q9" s="66">
        <f t="shared" si="12"/>
        <v>52</v>
      </c>
      <c r="R9" s="17">
        <v>50000</v>
      </c>
      <c r="S9" s="19">
        <v>0</v>
      </c>
      <c r="T9" s="21">
        <f t="shared" si="1"/>
        <v>2170000</v>
      </c>
      <c r="U9" s="66">
        <f t="shared" si="13"/>
        <v>53</v>
      </c>
      <c r="V9" s="17">
        <v>50000</v>
      </c>
      <c r="W9" s="19">
        <v>0</v>
      </c>
      <c r="X9" s="21">
        <f t="shared" si="2"/>
        <v>2220000</v>
      </c>
      <c r="Y9" s="66">
        <f t="shared" si="14"/>
        <v>54</v>
      </c>
      <c r="Z9" s="17">
        <v>50000</v>
      </c>
      <c r="AA9" s="19">
        <v>0</v>
      </c>
      <c r="AB9" s="21">
        <f t="shared" si="3"/>
        <v>2270000</v>
      </c>
      <c r="AC9" s="66">
        <f t="shared" si="15"/>
        <v>55</v>
      </c>
      <c r="AD9" s="17">
        <v>50000</v>
      </c>
      <c r="AE9" s="19">
        <v>0</v>
      </c>
      <c r="AF9" s="21">
        <f t="shared" si="4"/>
        <v>2320000</v>
      </c>
      <c r="AG9" s="66">
        <f t="shared" si="16"/>
        <v>56</v>
      </c>
      <c r="AH9" s="17">
        <v>50000</v>
      </c>
      <c r="AI9" s="19">
        <v>0</v>
      </c>
      <c r="AJ9" s="21">
        <f t="shared" si="5"/>
        <v>2370000</v>
      </c>
      <c r="AK9" s="66">
        <f t="shared" si="17"/>
        <v>57</v>
      </c>
      <c r="AL9" s="17">
        <v>50000</v>
      </c>
      <c r="AM9" s="19">
        <v>0</v>
      </c>
      <c r="AN9" s="21">
        <f t="shared" si="6"/>
        <v>2420000</v>
      </c>
      <c r="AO9" s="66">
        <f t="shared" si="18"/>
        <v>58</v>
      </c>
      <c r="AP9" s="17">
        <v>50000</v>
      </c>
      <c r="AQ9" s="19">
        <v>0</v>
      </c>
      <c r="AR9" s="21">
        <f t="shared" si="7"/>
        <v>2470000</v>
      </c>
      <c r="AS9" s="66">
        <f t="shared" si="19"/>
        <v>59</v>
      </c>
      <c r="AT9" s="17">
        <v>50000</v>
      </c>
      <c r="AU9" s="19">
        <v>0</v>
      </c>
      <c r="AV9" s="21">
        <f t="shared" si="8"/>
        <v>2520000</v>
      </c>
      <c r="AW9" s="66">
        <f t="shared" si="20"/>
        <v>60</v>
      </c>
      <c r="AX9" s="17">
        <v>0</v>
      </c>
      <c r="AY9" s="19">
        <v>0</v>
      </c>
      <c r="AZ9" s="21">
        <f t="shared" si="9"/>
        <v>2520000</v>
      </c>
      <c r="BA9" s="66">
        <f t="shared" si="21"/>
        <v>60</v>
      </c>
      <c r="BB9" s="17">
        <v>0</v>
      </c>
      <c r="BC9" s="19">
        <v>0</v>
      </c>
      <c r="BD9" s="21">
        <f t="shared" si="10"/>
        <v>2520000</v>
      </c>
      <c r="BE9" s="66">
        <f t="shared" si="22"/>
        <v>60</v>
      </c>
      <c r="BF9" s="17">
        <v>0</v>
      </c>
      <c r="BG9" s="19">
        <v>0</v>
      </c>
      <c r="BH9" s="21">
        <f t="shared" si="11"/>
        <v>2520000</v>
      </c>
      <c r="BI9" s="71">
        <f t="shared" si="23"/>
        <v>60</v>
      </c>
    </row>
    <row r="10" spans="1:61" x14ac:dyDescent="0.2">
      <c r="A10" s="1">
        <v>6</v>
      </c>
      <c r="B10" s="1">
        <v>6</v>
      </c>
      <c r="C10" s="2" t="s">
        <v>22</v>
      </c>
      <c r="D10" s="2" t="s">
        <v>225</v>
      </c>
      <c r="E10" s="2" t="s">
        <v>23</v>
      </c>
      <c r="F10" s="2" t="s">
        <v>9</v>
      </c>
      <c r="G10" s="2" t="s">
        <v>10</v>
      </c>
      <c r="H10" s="3" t="s">
        <v>11</v>
      </c>
      <c r="J10" s="18">
        <v>100000</v>
      </c>
      <c r="L10" s="18">
        <v>4990000</v>
      </c>
      <c r="M10" s="66">
        <v>197</v>
      </c>
      <c r="N10" s="17">
        <v>50000</v>
      </c>
      <c r="O10" s="19">
        <v>0</v>
      </c>
      <c r="P10" s="20">
        <f t="shared" si="0"/>
        <v>5040000</v>
      </c>
      <c r="Q10" s="66">
        <f t="shared" si="12"/>
        <v>198</v>
      </c>
      <c r="R10" s="17">
        <v>50000</v>
      </c>
      <c r="S10" s="19">
        <v>0</v>
      </c>
      <c r="T10" s="21">
        <f t="shared" si="1"/>
        <v>5090000</v>
      </c>
      <c r="U10" s="66">
        <f t="shared" si="13"/>
        <v>199</v>
      </c>
      <c r="V10" s="17">
        <v>50000</v>
      </c>
      <c r="W10" s="19">
        <v>0</v>
      </c>
      <c r="X10" s="21">
        <f t="shared" si="2"/>
        <v>5140000</v>
      </c>
      <c r="Y10" s="66">
        <f t="shared" si="14"/>
        <v>200</v>
      </c>
      <c r="Z10" s="17">
        <v>50000</v>
      </c>
      <c r="AA10" s="19">
        <v>0</v>
      </c>
      <c r="AB10" s="21">
        <f t="shared" si="3"/>
        <v>5190000</v>
      </c>
      <c r="AC10" s="66">
        <f t="shared" si="15"/>
        <v>201</v>
      </c>
      <c r="AD10" s="17">
        <v>50000</v>
      </c>
      <c r="AE10" s="19">
        <v>0</v>
      </c>
      <c r="AF10" s="21">
        <f t="shared" si="4"/>
        <v>5240000</v>
      </c>
      <c r="AG10" s="66">
        <f t="shared" si="16"/>
        <v>202</v>
      </c>
      <c r="AH10" s="17">
        <v>50000</v>
      </c>
      <c r="AI10" s="19">
        <v>0</v>
      </c>
      <c r="AJ10" s="21">
        <f t="shared" si="5"/>
        <v>5290000</v>
      </c>
      <c r="AK10" s="66">
        <f t="shared" si="17"/>
        <v>203</v>
      </c>
      <c r="AL10" s="17">
        <v>50000</v>
      </c>
      <c r="AM10" s="19">
        <v>0</v>
      </c>
      <c r="AN10" s="21">
        <f t="shared" si="6"/>
        <v>5340000</v>
      </c>
      <c r="AO10" s="66">
        <f t="shared" si="18"/>
        <v>204</v>
      </c>
      <c r="AP10" s="17">
        <v>50000</v>
      </c>
      <c r="AQ10" s="19">
        <v>0</v>
      </c>
      <c r="AR10" s="21">
        <f t="shared" si="7"/>
        <v>5390000</v>
      </c>
      <c r="AS10" s="66">
        <f t="shared" si="19"/>
        <v>205</v>
      </c>
      <c r="AT10" s="17">
        <v>50000</v>
      </c>
      <c r="AU10" s="19">
        <v>0</v>
      </c>
      <c r="AV10" s="21">
        <f t="shared" si="8"/>
        <v>5440000</v>
      </c>
      <c r="AW10" s="66">
        <f t="shared" si="20"/>
        <v>206</v>
      </c>
      <c r="AX10" s="17">
        <v>0</v>
      </c>
      <c r="AY10" s="19">
        <v>0</v>
      </c>
      <c r="AZ10" s="21">
        <f t="shared" si="9"/>
        <v>5440000</v>
      </c>
      <c r="BA10" s="66">
        <f t="shared" si="21"/>
        <v>206</v>
      </c>
      <c r="BB10" s="17">
        <v>0</v>
      </c>
      <c r="BC10" s="19">
        <v>0</v>
      </c>
      <c r="BD10" s="21">
        <f t="shared" si="10"/>
        <v>5440000</v>
      </c>
      <c r="BE10" s="66">
        <f t="shared" si="22"/>
        <v>206</v>
      </c>
      <c r="BF10" s="17">
        <v>0</v>
      </c>
      <c r="BG10" s="19">
        <v>0</v>
      </c>
      <c r="BH10" s="21">
        <f t="shared" si="11"/>
        <v>5440000</v>
      </c>
      <c r="BI10" s="71">
        <f t="shared" si="23"/>
        <v>206</v>
      </c>
    </row>
    <row r="11" spans="1:61" x14ac:dyDescent="0.2">
      <c r="A11" s="1">
        <v>7</v>
      </c>
      <c r="B11" s="1">
        <v>7</v>
      </c>
      <c r="C11" s="2" t="s">
        <v>24</v>
      </c>
      <c r="D11" s="2" t="s">
        <v>224</v>
      </c>
      <c r="E11" s="2" t="s">
        <v>25</v>
      </c>
      <c r="F11" s="2" t="s">
        <v>9</v>
      </c>
      <c r="G11" s="2" t="s">
        <v>10</v>
      </c>
      <c r="H11" s="3" t="s">
        <v>11</v>
      </c>
      <c r="J11" s="18">
        <v>100000</v>
      </c>
      <c r="L11" s="18">
        <v>4370000</v>
      </c>
      <c r="M11" s="66">
        <v>166</v>
      </c>
      <c r="N11" s="17">
        <v>50000</v>
      </c>
      <c r="O11" s="19">
        <v>0</v>
      </c>
      <c r="P11" s="20">
        <f t="shared" si="0"/>
        <v>4420000</v>
      </c>
      <c r="Q11" s="66">
        <f t="shared" si="12"/>
        <v>167</v>
      </c>
      <c r="R11" s="17">
        <v>50000</v>
      </c>
      <c r="S11" s="19">
        <v>0</v>
      </c>
      <c r="T11" s="21">
        <f t="shared" si="1"/>
        <v>4470000</v>
      </c>
      <c r="U11" s="66">
        <f t="shared" si="13"/>
        <v>168</v>
      </c>
      <c r="V11" s="17">
        <v>50000</v>
      </c>
      <c r="W11" s="19">
        <v>0</v>
      </c>
      <c r="X11" s="21">
        <f t="shared" si="2"/>
        <v>4520000</v>
      </c>
      <c r="Y11" s="66">
        <f t="shared" si="14"/>
        <v>169</v>
      </c>
      <c r="Z11" s="17">
        <v>50000</v>
      </c>
      <c r="AA11" s="19">
        <v>0</v>
      </c>
      <c r="AB11" s="21">
        <f t="shared" si="3"/>
        <v>4570000</v>
      </c>
      <c r="AC11" s="66">
        <f t="shared" si="15"/>
        <v>170</v>
      </c>
      <c r="AD11" s="17">
        <v>50000</v>
      </c>
      <c r="AE11" s="19">
        <v>0</v>
      </c>
      <c r="AF11" s="21">
        <f t="shared" si="4"/>
        <v>4620000</v>
      </c>
      <c r="AG11" s="66">
        <f t="shared" si="16"/>
        <v>171</v>
      </c>
      <c r="AH11" s="17">
        <v>50000</v>
      </c>
      <c r="AI11" s="19">
        <v>0</v>
      </c>
      <c r="AJ11" s="21">
        <f t="shared" si="5"/>
        <v>4670000</v>
      </c>
      <c r="AK11" s="66">
        <f t="shared" si="17"/>
        <v>172</v>
      </c>
      <c r="AL11" s="17">
        <v>50000</v>
      </c>
      <c r="AM11" s="19">
        <v>0</v>
      </c>
      <c r="AN11" s="21">
        <f t="shared" si="6"/>
        <v>4720000</v>
      </c>
      <c r="AO11" s="66">
        <f t="shared" si="18"/>
        <v>173</v>
      </c>
      <c r="AP11" s="17">
        <v>50000</v>
      </c>
      <c r="AQ11" s="19">
        <v>0</v>
      </c>
      <c r="AR11" s="21">
        <f t="shared" si="7"/>
        <v>4770000</v>
      </c>
      <c r="AS11" s="66">
        <f t="shared" si="19"/>
        <v>174</v>
      </c>
      <c r="AT11" s="17">
        <v>50000</v>
      </c>
      <c r="AU11" s="19">
        <v>0</v>
      </c>
      <c r="AV11" s="21">
        <f t="shared" si="8"/>
        <v>4820000</v>
      </c>
      <c r="AW11" s="66">
        <f t="shared" si="20"/>
        <v>175</v>
      </c>
      <c r="AX11" s="17">
        <v>0</v>
      </c>
      <c r="AY11" s="19">
        <v>0</v>
      </c>
      <c r="AZ11" s="21">
        <f t="shared" si="9"/>
        <v>4820000</v>
      </c>
      <c r="BA11" s="66">
        <f t="shared" si="21"/>
        <v>175</v>
      </c>
      <c r="BB11" s="17">
        <v>0</v>
      </c>
      <c r="BC11" s="19">
        <v>0</v>
      </c>
      <c r="BD11" s="21">
        <f t="shared" si="10"/>
        <v>4820000</v>
      </c>
      <c r="BE11" s="66">
        <f t="shared" si="22"/>
        <v>175</v>
      </c>
      <c r="BF11" s="17">
        <v>0</v>
      </c>
      <c r="BG11" s="19">
        <v>0</v>
      </c>
      <c r="BH11" s="21">
        <f t="shared" si="11"/>
        <v>4820000</v>
      </c>
      <c r="BI11" s="71">
        <f t="shared" si="23"/>
        <v>175</v>
      </c>
    </row>
    <row r="12" spans="1:61" x14ac:dyDescent="0.2">
      <c r="A12" s="1">
        <v>8</v>
      </c>
      <c r="B12" s="1">
        <v>8</v>
      </c>
      <c r="C12" s="2" t="s">
        <v>26</v>
      </c>
      <c r="D12" s="2" t="s">
        <v>225</v>
      </c>
      <c r="E12" s="2" t="s">
        <v>27</v>
      </c>
      <c r="F12" s="2" t="s">
        <v>9</v>
      </c>
      <c r="G12" s="2" t="s">
        <v>10</v>
      </c>
      <c r="H12" s="3" t="s">
        <v>11</v>
      </c>
      <c r="J12" s="18">
        <v>100000</v>
      </c>
      <c r="L12" s="18">
        <v>4370000</v>
      </c>
      <c r="M12" s="66">
        <v>166</v>
      </c>
      <c r="N12" s="17">
        <v>50000</v>
      </c>
      <c r="O12" s="19">
        <v>0</v>
      </c>
      <c r="P12" s="20">
        <f t="shared" si="0"/>
        <v>4420000</v>
      </c>
      <c r="Q12" s="66">
        <f t="shared" si="12"/>
        <v>167</v>
      </c>
      <c r="R12" s="17">
        <v>50000</v>
      </c>
      <c r="S12" s="19">
        <v>0</v>
      </c>
      <c r="T12" s="21">
        <f t="shared" si="1"/>
        <v>4470000</v>
      </c>
      <c r="U12" s="66">
        <f t="shared" si="13"/>
        <v>168</v>
      </c>
      <c r="V12" s="17">
        <v>50000</v>
      </c>
      <c r="W12" s="19">
        <v>0</v>
      </c>
      <c r="X12" s="21">
        <f t="shared" si="2"/>
        <v>4520000</v>
      </c>
      <c r="Y12" s="66">
        <f t="shared" si="14"/>
        <v>169</v>
      </c>
      <c r="Z12" s="17">
        <v>50000</v>
      </c>
      <c r="AA12" s="19">
        <v>0</v>
      </c>
      <c r="AB12" s="21">
        <f t="shared" si="3"/>
        <v>4570000</v>
      </c>
      <c r="AC12" s="66">
        <f t="shared" si="15"/>
        <v>170</v>
      </c>
      <c r="AD12" s="17">
        <v>50000</v>
      </c>
      <c r="AE12" s="19">
        <v>0</v>
      </c>
      <c r="AF12" s="21">
        <f t="shared" si="4"/>
        <v>4620000</v>
      </c>
      <c r="AG12" s="66">
        <f t="shared" si="16"/>
        <v>171</v>
      </c>
      <c r="AH12" s="17">
        <v>50000</v>
      </c>
      <c r="AI12" s="19">
        <v>0</v>
      </c>
      <c r="AJ12" s="21">
        <f t="shared" si="5"/>
        <v>4670000</v>
      </c>
      <c r="AK12" s="66">
        <f t="shared" si="17"/>
        <v>172</v>
      </c>
      <c r="AL12" s="17">
        <v>50000</v>
      </c>
      <c r="AM12" s="19">
        <v>0</v>
      </c>
      <c r="AN12" s="21">
        <f t="shared" si="6"/>
        <v>4720000</v>
      </c>
      <c r="AO12" s="66">
        <f t="shared" si="18"/>
        <v>173</v>
      </c>
      <c r="AP12" s="17">
        <v>50000</v>
      </c>
      <c r="AQ12" s="19">
        <v>0</v>
      </c>
      <c r="AR12" s="21">
        <f t="shared" si="7"/>
        <v>4770000</v>
      </c>
      <c r="AS12" s="66">
        <f t="shared" si="19"/>
        <v>174</v>
      </c>
      <c r="AT12" s="17">
        <v>50000</v>
      </c>
      <c r="AU12" s="19">
        <v>0</v>
      </c>
      <c r="AV12" s="21">
        <f t="shared" si="8"/>
        <v>4820000</v>
      </c>
      <c r="AW12" s="66">
        <f t="shared" si="20"/>
        <v>175</v>
      </c>
      <c r="AX12" s="17">
        <v>0</v>
      </c>
      <c r="AY12" s="19">
        <v>0</v>
      </c>
      <c r="AZ12" s="21">
        <f t="shared" si="9"/>
        <v>4820000</v>
      </c>
      <c r="BA12" s="66">
        <f t="shared" si="21"/>
        <v>175</v>
      </c>
      <c r="BB12" s="17">
        <v>0</v>
      </c>
      <c r="BC12" s="19">
        <v>0</v>
      </c>
      <c r="BD12" s="21">
        <f t="shared" si="10"/>
        <v>4820000</v>
      </c>
      <c r="BE12" s="66">
        <f t="shared" si="22"/>
        <v>175</v>
      </c>
      <c r="BF12" s="17">
        <v>0</v>
      </c>
      <c r="BG12" s="19">
        <v>0</v>
      </c>
      <c r="BH12" s="21">
        <f t="shared" si="11"/>
        <v>4820000</v>
      </c>
      <c r="BI12" s="71">
        <f t="shared" si="23"/>
        <v>175</v>
      </c>
    </row>
    <row r="13" spans="1:61" x14ac:dyDescent="0.2">
      <c r="A13" s="1">
        <v>9</v>
      </c>
      <c r="B13" s="1">
        <v>9</v>
      </c>
      <c r="C13" s="2" t="s">
        <v>28</v>
      </c>
      <c r="D13" s="2" t="s">
        <v>224</v>
      </c>
      <c r="E13" s="2" t="s">
        <v>29</v>
      </c>
      <c r="F13" s="2" t="s">
        <v>9</v>
      </c>
      <c r="G13" s="2" t="s">
        <v>10</v>
      </c>
      <c r="H13" s="3" t="s">
        <v>21</v>
      </c>
      <c r="J13" s="18">
        <v>100000</v>
      </c>
      <c r="L13" s="18">
        <v>4690000</v>
      </c>
      <c r="M13" s="66">
        <v>182</v>
      </c>
      <c r="N13" s="17">
        <v>50000</v>
      </c>
      <c r="O13" s="19">
        <v>0</v>
      </c>
      <c r="P13" s="20">
        <f t="shared" si="0"/>
        <v>4740000</v>
      </c>
      <c r="Q13" s="66">
        <f t="shared" si="12"/>
        <v>183</v>
      </c>
      <c r="R13" s="17">
        <v>50000</v>
      </c>
      <c r="S13" s="19">
        <v>0</v>
      </c>
      <c r="T13" s="21">
        <f t="shared" si="1"/>
        <v>4790000</v>
      </c>
      <c r="U13" s="66">
        <f t="shared" si="13"/>
        <v>184</v>
      </c>
      <c r="V13" s="17">
        <v>50000</v>
      </c>
      <c r="W13" s="19">
        <v>0</v>
      </c>
      <c r="X13" s="21">
        <f t="shared" si="2"/>
        <v>4840000</v>
      </c>
      <c r="Y13" s="66">
        <f t="shared" si="14"/>
        <v>185</v>
      </c>
      <c r="Z13" s="17">
        <v>50000</v>
      </c>
      <c r="AA13" s="19">
        <v>0</v>
      </c>
      <c r="AB13" s="21">
        <f t="shared" si="3"/>
        <v>4890000</v>
      </c>
      <c r="AC13" s="66">
        <f t="shared" si="15"/>
        <v>186</v>
      </c>
      <c r="AD13" s="17">
        <v>50000</v>
      </c>
      <c r="AE13" s="19">
        <v>0</v>
      </c>
      <c r="AF13" s="21">
        <f t="shared" si="4"/>
        <v>4940000</v>
      </c>
      <c r="AG13" s="66">
        <f t="shared" si="16"/>
        <v>187</v>
      </c>
      <c r="AH13" s="17">
        <v>50000</v>
      </c>
      <c r="AI13" s="19">
        <v>0</v>
      </c>
      <c r="AJ13" s="21">
        <f t="shared" si="5"/>
        <v>4990000</v>
      </c>
      <c r="AK13" s="66">
        <f t="shared" si="17"/>
        <v>188</v>
      </c>
      <c r="AL13" s="17">
        <v>50000</v>
      </c>
      <c r="AM13" s="19">
        <v>0</v>
      </c>
      <c r="AN13" s="21">
        <f t="shared" si="6"/>
        <v>5040000</v>
      </c>
      <c r="AO13" s="66">
        <f t="shared" si="18"/>
        <v>189</v>
      </c>
      <c r="AP13" s="17">
        <v>50000</v>
      </c>
      <c r="AQ13" s="19">
        <v>0</v>
      </c>
      <c r="AR13" s="21">
        <f t="shared" si="7"/>
        <v>5090000</v>
      </c>
      <c r="AS13" s="66">
        <f t="shared" si="19"/>
        <v>190</v>
      </c>
      <c r="AT13" s="17">
        <v>50000</v>
      </c>
      <c r="AU13" s="19">
        <v>0</v>
      </c>
      <c r="AV13" s="21">
        <f t="shared" si="8"/>
        <v>5140000</v>
      </c>
      <c r="AW13" s="66">
        <f t="shared" si="20"/>
        <v>191</v>
      </c>
      <c r="AX13" s="17">
        <v>0</v>
      </c>
      <c r="AY13" s="19">
        <v>0</v>
      </c>
      <c r="AZ13" s="21">
        <f t="shared" si="9"/>
        <v>5140000</v>
      </c>
      <c r="BA13" s="66">
        <f t="shared" si="21"/>
        <v>191</v>
      </c>
      <c r="BB13" s="17">
        <v>0</v>
      </c>
      <c r="BC13" s="19">
        <v>0</v>
      </c>
      <c r="BD13" s="21">
        <f t="shared" si="10"/>
        <v>5140000</v>
      </c>
      <c r="BE13" s="66">
        <f t="shared" si="22"/>
        <v>191</v>
      </c>
      <c r="BF13" s="17">
        <v>0</v>
      </c>
      <c r="BG13" s="19">
        <v>0</v>
      </c>
      <c r="BH13" s="21">
        <f t="shared" si="11"/>
        <v>5140000</v>
      </c>
      <c r="BI13" s="71">
        <f t="shared" si="23"/>
        <v>191</v>
      </c>
    </row>
    <row r="14" spans="1:61" x14ac:dyDescent="0.2">
      <c r="A14" s="1">
        <v>10</v>
      </c>
      <c r="B14" s="1">
        <v>10</v>
      </c>
      <c r="C14" s="2" t="s">
        <v>30</v>
      </c>
      <c r="D14" s="2" t="s">
        <v>225</v>
      </c>
      <c r="E14" s="2" t="s">
        <v>31</v>
      </c>
      <c r="F14" s="2" t="s">
        <v>9</v>
      </c>
      <c r="G14" s="2" t="s">
        <v>10</v>
      </c>
      <c r="H14" s="3" t="s">
        <v>11</v>
      </c>
      <c r="J14" s="18">
        <v>100000</v>
      </c>
      <c r="L14" s="18">
        <v>4370000</v>
      </c>
      <c r="M14" s="66">
        <v>166</v>
      </c>
      <c r="N14" s="17">
        <v>50000</v>
      </c>
      <c r="O14" s="19">
        <v>0</v>
      </c>
      <c r="P14" s="20">
        <f t="shared" si="0"/>
        <v>4420000</v>
      </c>
      <c r="Q14" s="66">
        <f t="shared" si="12"/>
        <v>167</v>
      </c>
      <c r="R14" s="17">
        <v>50000</v>
      </c>
      <c r="S14" s="19">
        <v>0</v>
      </c>
      <c r="T14" s="21">
        <f t="shared" si="1"/>
        <v>4470000</v>
      </c>
      <c r="U14" s="66">
        <f t="shared" si="13"/>
        <v>168</v>
      </c>
      <c r="V14" s="17">
        <v>50000</v>
      </c>
      <c r="W14" s="19">
        <v>0</v>
      </c>
      <c r="X14" s="21">
        <f t="shared" si="2"/>
        <v>4520000</v>
      </c>
      <c r="Y14" s="66">
        <f t="shared" si="14"/>
        <v>169</v>
      </c>
      <c r="Z14" s="17">
        <v>50000</v>
      </c>
      <c r="AA14" s="19">
        <v>0</v>
      </c>
      <c r="AB14" s="21">
        <f t="shared" si="3"/>
        <v>4570000</v>
      </c>
      <c r="AC14" s="66">
        <f t="shared" si="15"/>
        <v>170</v>
      </c>
      <c r="AD14" s="17">
        <v>50000</v>
      </c>
      <c r="AE14" s="19">
        <v>0</v>
      </c>
      <c r="AF14" s="21">
        <f t="shared" si="4"/>
        <v>4620000</v>
      </c>
      <c r="AG14" s="66">
        <f t="shared" si="16"/>
        <v>171</v>
      </c>
      <c r="AH14" s="17">
        <v>50000</v>
      </c>
      <c r="AI14" s="19">
        <v>0</v>
      </c>
      <c r="AJ14" s="21">
        <f t="shared" si="5"/>
        <v>4670000</v>
      </c>
      <c r="AK14" s="66">
        <f t="shared" si="17"/>
        <v>172</v>
      </c>
      <c r="AL14" s="17">
        <v>50000</v>
      </c>
      <c r="AM14" s="19">
        <v>0</v>
      </c>
      <c r="AN14" s="21">
        <f t="shared" si="6"/>
        <v>4720000</v>
      </c>
      <c r="AO14" s="66">
        <f t="shared" si="18"/>
        <v>173</v>
      </c>
      <c r="AP14" s="17">
        <v>50000</v>
      </c>
      <c r="AQ14" s="19">
        <v>0</v>
      </c>
      <c r="AR14" s="21">
        <f t="shared" si="7"/>
        <v>4770000</v>
      </c>
      <c r="AS14" s="66">
        <f t="shared" si="19"/>
        <v>174</v>
      </c>
      <c r="AT14" s="17">
        <v>50000</v>
      </c>
      <c r="AU14" s="19">
        <v>0</v>
      </c>
      <c r="AV14" s="21">
        <f t="shared" si="8"/>
        <v>4820000</v>
      </c>
      <c r="AW14" s="66">
        <f t="shared" si="20"/>
        <v>175</v>
      </c>
      <c r="AX14" s="17">
        <v>0</v>
      </c>
      <c r="AY14" s="19">
        <v>0</v>
      </c>
      <c r="AZ14" s="21">
        <f t="shared" si="9"/>
        <v>4820000</v>
      </c>
      <c r="BA14" s="66">
        <f t="shared" si="21"/>
        <v>175</v>
      </c>
      <c r="BB14" s="17">
        <v>0</v>
      </c>
      <c r="BC14" s="19">
        <v>0</v>
      </c>
      <c r="BD14" s="21">
        <f t="shared" si="10"/>
        <v>4820000</v>
      </c>
      <c r="BE14" s="66">
        <f t="shared" si="22"/>
        <v>175</v>
      </c>
      <c r="BF14" s="17">
        <v>0</v>
      </c>
      <c r="BG14" s="19">
        <v>0</v>
      </c>
      <c r="BH14" s="21">
        <f t="shared" si="11"/>
        <v>4820000</v>
      </c>
      <c r="BI14" s="71">
        <f t="shared" si="23"/>
        <v>175</v>
      </c>
    </row>
    <row r="15" spans="1:61" x14ac:dyDescent="0.2">
      <c r="A15" s="1">
        <v>11</v>
      </c>
      <c r="B15" s="1">
        <v>11</v>
      </c>
      <c r="C15" s="2" t="s">
        <v>32</v>
      </c>
      <c r="D15" s="2" t="s">
        <v>224</v>
      </c>
      <c r="E15" s="2" t="s">
        <v>33</v>
      </c>
      <c r="F15" s="2" t="s">
        <v>9</v>
      </c>
      <c r="G15" s="2" t="s">
        <v>10</v>
      </c>
      <c r="H15" s="3" t="s">
        <v>11</v>
      </c>
      <c r="J15" s="18">
        <v>100000</v>
      </c>
      <c r="L15" s="18">
        <v>4990000</v>
      </c>
      <c r="M15" s="66">
        <v>197</v>
      </c>
      <c r="N15" s="17">
        <v>50000</v>
      </c>
      <c r="O15" s="19">
        <v>0</v>
      </c>
      <c r="P15" s="20">
        <f t="shared" si="0"/>
        <v>5040000</v>
      </c>
      <c r="Q15" s="66">
        <f t="shared" si="12"/>
        <v>198</v>
      </c>
      <c r="R15" s="17">
        <v>50000</v>
      </c>
      <c r="S15" s="19">
        <v>0</v>
      </c>
      <c r="T15" s="21">
        <f t="shared" si="1"/>
        <v>5090000</v>
      </c>
      <c r="U15" s="66">
        <f t="shared" si="13"/>
        <v>199</v>
      </c>
      <c r="V15" s="17">
        <v>50000</v>
      </c>
      <c r="W15" s="19">
        <v>0</v>
      </c>
      <c r="X15" s="21">
        <f t="shared" si="2"/>
        <v>5140000</v>
      </c>
      <c r="Y15" s="66">
        <f t="shared" si="14"/>
        <v>200</v>
      </c>
      <c r="Z15" s="17">
        <v>50000</v>
      </c>
      <c r="AA15" s="19">
        <v>0</v>
      </c>
      <c r="AB15" s="21">
        <f t="shared" si="3"/>
        <v>5190000</v>
      </c>
      <c r="AC15" s="66">
        <f t="shared" si="15"/>
        <v>201</v>
      </c>
      <c r="AD15" s="17">
        <v>50000</v>
      </c>
      <c r="AE15" s="19">
        <v>0</v>
      </c>
      <c r="AF15" s="21">
        <f t="shared" si="4"/>
        <v>5240000</v>
      </c>
      <c r="AG15" s="66">
        <f t="shared" si="16"/>
        <v>202</v>
      </c>
      <c r="AH15" s="17">
        <v>50000</v>
      </c>
      <c r="AI15" s="19">
        <v>0</v>
      </c>
      <c r="AJ15" s="21">
        <f t="shared" si="5"/>
        <v>5290000</v>
      </c>
      <c r="AK15" s="66">
        <f t="shared" si="17"/>
        <v>203</v>
      </c>
      <c r="AL15" s="17">
        <v>50000</v>
      </c>
      <c r="AM15" s="19">
        <v>0</v>
      </c>
      <c r="AN15" s="21">
        <f t="shared" si="6"/>
        <v>5340000</v>
      </c>
      <c r="AO15" s="66">
        <f t="shared" si="18"/>
        <v>204</v>
      </c>
      <c r="AP15" s="17">
        <v>50000</v>
      </c>
      <c r="AQ15" s="19">
        <v>0</v>
      </c>
      <c r="AR15" s="21">
        <f t="shared" si="7"/>
        <v>5390000</v>
      </c>
      <c r="AS15" s="66">
        <f t="shared" si="19"/>
        <v>205</v>
      </c>
      <c r="AT15" s="17">
        <v>50000</v>
      </c>
      <c r="AU15" s="19">
        <v>0</v>
      </c>
      <c r="AV15" s="21">
        <f t="shared" si="8"/>
        <v>5440000</v>
      </c>
      <c r="AW15" s="66">
        <f t="shared" si="20"/>
        <v>206</v>
      </c>
      <c r="AX15" s="17">
        <v>0</v>
      </c>
      <c r="AY15" s="19">
        <v>0</v>
      </c>
      <c r="AZ15" s="21">
        <f t="shared" si="9"/>
        <v>5440000</v>
      </c>
      <c r="BA15" s="66">
        <f t="shared" si="21"/>
        <v>206</v>
      </c>
      <c r="BB15" s="17">
        <v>0</v>
      </c>
      <c r="BC15" s="19">
        <v>0</v>
      </c>
      <c r="BD15" s="21">
        <f t="shared" si="10"/>
        <v>5440000</v>
      </c>
      <c r="BE15" s="66">
        <f t="shared" si="22"/>
        <v>206</v>
      </c>
      <c r="BF15" s="17">
        <v>0</v>
      </c>
      <c r="BG15" s="19">
        <v>0</v>
      </c>
      <c r="BH15" s="21">
        <f t="shared" si="11"/>
        <v>5440000</v>
      </c>
      <c r="BI15" s="71">
        <f t="shared" si="23"/>
        <v>206</v>
      </c>
    </row>
    <row r="16" spans="1:61" x14ac:dyDescent="0.2">
      <c r="A16" s="1">
        <v>12</v>
      </c>
      <c r="B16" s="1">
        <v>12</v>
      </c>
      <c r="C16" s="2" t="s">
        <v>34</v>
      </c>
      <c r="D16" s="2" t="s">
        <v>224</v>
      </c>
      <c r="E16" s="2" t="s">
        <v>35</v>
      </c>
      <c r="F16" s="2" t="s">
        <v>9</v>
      </c>
      <c r="G16" s="2" t="s">
        <v>10</v>
      </c>
      <c r="H16" s="3" t="s">
        <v>11</v>
      </c>
      <c r="J16" s="18">
        <v>100000</v>
      </c>
      <c r="L16" s="18">
        <v>4990000</v>
      </c>
      <c r="M16" s="66">
        <v>197</v>
      </c>
      <c r="N16" s="17">
        <v>50000</v>
      </c>
      <c r="O16" s="19">
        <v>0</v>
      </c>
      <c r="P16" s="20">
        <f t="shared" si="0"/>
        <v>5040000</v>
      </c>
      <c r="Q16" s="66">
        <f t="shared" si="12"/>
        <v>198</v>
      </c>
      <c r="R16" s="17">
        <v>50000</v>
      </c>
      <c r="S16" s="19">
        <v>0</v>
      </c>
      <c r="T16" s="21">
        <f t="shared" si="1"/>
        <v>5090000</v>
      </c>
      <c r="U16" s="66">
        <f t="shared" si="13"/>
        <v>199</v>
      </c>
      <c r="V16" s="17">
        <v>50000</v>
      </c>
      <c r="W16" s="19">
        <v>0</v>
      </c>
      <c r="X16" s="21">
        <f t="shared" si="2"/>
        <v>5140000</v>
      </c>
      <c r="Y16" s="66">
        <f t="shared" si="14"/>
        <v>200</v>
      </c>
      <c r="Z16" s="17">
        <v>50000</v>
      </c>
      <c r="AA16" s="19">
        <v>0</v>
      </c>
      <c r="AB16" s="21">
        <f t="shared" si="3"/>
        <v>5190000</v>
      </c>
      <c r="AC16" s="66">
        <f t="shared" si="15"/>
        <v>201</v>
      </c>
      <c r="AD16" s="17">
        <v>50000</v>
      </c>
      <c r="AE16" s="19">
        <v>0</v>
      </c>
      <c r="AF16" s="21">
        <f t="shared" si="4"/>
        <v>5240000</v>
      </c>
      <c r="AG16" s="66">
        <f t="shared" si="16"/>
        <v>202</v>
      </c>
      <c r="AH16" s="17">
        <v>50000</v>
      </c>
      <c r="AI16" s="19">
        <v>0</v>
      </c>
      <c r="AJ16" s="21">
        <f t="shared" si="5"/>
        <v>5290000</v>
      </c>
      <c r="AK16" s="66">
        <f t="shared" si="17"/>
        <v>203</v>
      </c>
      <c r="AL16" s="17">
        <v>50000</v>
      </c>
      <c r="AM16" s="19">
        <v>0</v>
      </c>
      <c r="AN16" s="21">
        <f t="shared" si="6"/>
        <v>5340000</v>
      </c>
      <c r="AO16" s="66">
        <f t="shared" si="18"/>
        <v>204</v>
      </c>
      <c r="AP16" s="17">
        <v>50000</v>
      </c>
      <c r="AQ16" s="19">
        <v>0</v>
      </c>
      <c r="AR16" s="21">
        <f t="shared" si="7"/>
        <v>5390000</v>
      </c>
      <c r="AS16" s="66">
        <f t="shared" si="19"/>
        <v>205</v>
      </c>
      <c r="AT16" s="17">
        <v>50000</v>
      </c>
      <c r="AU16" s="19">
        <v>0</v>
      </c>
      <c r="AV16" s="21">
        <f t="shared" si="8"/>
        <v>5440000</v>
      </c>
      <c r="AW16" s="66">
        <f t="shared" si="20"/>
        <v>206</v>
      </c>
      <c r="AX16" s="17">
        <v>0</v>
      </c>
      <c r="AY16" s="19">
        <v>0</v>
      </c>
      <c r="AZ16" s="21">
        <f t="shared" si="9"/>
        <v>5440000</v>
      </c>
      <c r="BA16" s="66">
        <f t="shared" si="21"/>
        <v>206</v>
      </c>
      <c r="BB16" s="17">
        <v>0</v>
      </c>
      <c r="BC16" s="19">
        <v>0</v>
      </c>
      <c r="BD16" s="21">
        <f t="shared" si="10"/>
        <v>5440000</v>
      </c>
      <c r="BE16" s="66">
        <f t="shared" si="22"/>
        <v>206</v>
      </c>
      <c r="BF16" s="17">
        <v>0</v>
      </c>
      <c r="BG16" s="19">
        <v>0</v>
      </c>
      <c r="BH16" s="21">
        <f t="shared" si="11"/>
        <v>5440000</v>
      </c>
      <c r="BI16" s="71">
        <f t="shared" si="23"/>
        <v>206</v>
      </c>
    </row>
    <row r="17" spans="1:62" x14ac:dyDescent="0.2">
      <c r="A17" s="1">
        <v>13</v>
      </c>
      <c r="B17" s="1">
        <v>13</v>
      </c>
      <c r="C17" s="2" t="s">
        <v>36</v>
      </c>
      <c r="D17" s="2" t="s">
        <v>225</v>
      </c>
      <c r="E17" s="2" t="s">
        <v>37</v>
      </c>
      <c r="F17" s="2" t="s">
        <v>9</v>
      </c>
      <c r="G17" s="2" t="s">
        <v>10</v>
      </c>
      <c r="H17" s="3" t="s">
        <v>11</v>
      </c>
      <c r="J17" s="18">
        <v>100000</v>
      </c>
      <c r="L17" s="18">
        <v>4990000</v>
      </c>
      <c r="M17" s="66">
        <v>197</v>
      </c>
      <c r="N17" s="17">
        <v>50000</v>
      </c>
      <c r="O17" s="19">
        <v>0</v>
      </c>
      <c r="P17" s="20">
        <f t="shared" si="0"/>
        <v>5040000</v>
      </c>
      <c r="Q17" s="66">
        <f t="shared" si="12"/>
        <v>198</v>
      </c>
      <c r="R17" s="17">
        <v>50000</v>
      </c>
      <c r="S17" s="19">
        <v>0</v>
      </c>
      <c r="T17" s="21">
        <f t="shared" si="1"/>
        <v>5090000</v>
      </c>
      <c r="U17" s="66">
        <f t="shared" si="13"/>
        <v>199</v>
      </c>
      <c r="V17" s="17">
        <v>50000</v>
      </c>
      <c r="W17" s="19">
        <v>0</v>
      </c>
      <c r="X17" s="21">
        <f t="shared" si="2"/>
        <v>5140000</v>
      </c>
      <c r="Y17" s="66">
        <f t="shared" si="14"/>
        <v>200</v>
      </c>
      <c r="Z17" s="17">
        <v>50000</v>
      </c>
      <c r="AA17" s="19">
        <v>0</v>
      </c>
      <c r="AB17" s="21">
        <f t="shared" si="3"/>
        <v>5190000</v>
      </c>
      <c r="AC17" s="66">
        <f t="shared" si="15"/>
        <v>201</v>
      </c>
      <c r="AD17" s="17">
        <v>50000</v>
      </c>
      <c r="AE17" s="19">
        <v>0</v>
      </c>
      <c r="AF17" s="21">
        <f t="shared" si="4"/>
        <v>5240000</v>
      </c>
      <c r="AG17" s="66">
        <f t="shared" si="16"/>
        <v>202</v>
      </c>
      <c r="AH17" s="17">
        <v>50000</v>
      </c>
      <c r="AI17" s="19">
        <v>0</v>
      </c>
      <c r="AJ17" s="21">
        <f t="shared" si="5"/>
        <v>5290000</v>
      </c>
      <c r="AK17" s="66">
        <f t="shared" si="17"/>
        <v>203</v>
      </c>
      <c r="AL17" s="17">
        <v>50000</v>
      </c>
      <c r="AM17" s="19">
        <v>0</v>
      </c>
      <c r="AN17" s="21">
        <f t="shared" si="6"/>
        <v>5340000</v>
      </c>
      <c r="AO17" s="66">
        <f t="shared" si="18"/>
        <v>204</v>
      </c>
      <c r="AP17" s="17">
        <v>50000</v>
      </c>
      <c r="AQ17" s="19">
        <v>0</v>
      </c>
      <c r="AR17" s="21">
        <f t="shared" si="7"/>
        <v>5390000</v>
      </c>
      <c r="AS17" s="66">
        <f t="shared" si="19"/>
        <v>205</v>
      </c>
      <c r="AT17" s="17">
        <v>50000</v>
      </c>
      <c r="AU17" s="19">
        <v>0</v>
      </c>
      <c r="AV17" s="21">
        <f t="shared" si="8"/>
        <v>5440000</v>
      </c>
      <c r="AW17" s="66">
        <f t="shared" si="20"/>
        <v>206</v>
      </c>
      <c r="AX17" s="17">
        <v>0</v>
      </c>
      <c r="AY17" s="19">
        <v>0</v>
      </c>
      <c r="AZ17" s="21">
        <f t="shared" si="9"/>
        <v>5440000</v>
      </c>
      <c r="BA17" s="66">
        <f t="shared" si="21"/>
        <v>206</v>
      </c>
      <c r="BB17" s="17">
        <v>0</v>
      </c>
      <c r="BC17" s="19">
        <v>0</v>
      </c>
      <c r="BD17" s="21">
        <f t="shared" si="10"/>
        <v>5440000</v>
      </c>
      <c r="BE17" s="66">
        <f t="shared" si="22"/>
        <v>206</v>
      </c>
      <c r="BF17" s="17">
        <v>0</v>
      </c>
      <c r="BG17" s="19">
        <v>0</v>
      </c>
      <c r="BH17" s="21">
        <f t="shared" si="11"/>
        <v>5440000</v>
      </c>
      <c r="BI17" s="71">
        <f t="shared" si="23"/>
        <v>206</v>
      </c>
    </row>
    <row r="18" spans="1:62" x14ac:dyDescent="0.2">
      <c r="A18" s="1">
        <v>14</v>
      </c>
      <c r="B18" s="1">
        <v>14</v>
      </c>
      <c r="C18" s="2" t="s">
        <v>38</v>
      </c>
      <c r="D18" s="2" t="s">
        <v>224</v>
      </c>
      <c r="E18" s="2" t="s">
        <v>39</v>
      </c>
      <c r="F18" s="2" t="s">
        <v>9</v>
      </c>
      <c r="G18" s="2" t="s">
        <v>10</v>
      </c>
      <c r="H18" s="3" t="s">
        <v>11</v>
      </c>
      <c r="J18" s="18">
        <v>100000</v>
      </c>
      <c r="L18" s="18">
        <v>4990000</v>
      </c>
      <c r="M18" s="66">
        <v>197</v>
      </c>
      <c r="N18" s="17">
        <v>50000</v>
      </c>
      <c r="O18" s="19">
        <v>0</v>
      </c>
      <c r="P18" s="20">
        <f t="shared" si="0"/>
        <v>5040000</v>
      </c>
      <c r="Q18" s="66">
        <f t="shared" si="12"/>
        <v>198</v>
      </c>
      <c r="R18" s="17">
        <v>50000</v>
      </c>
      <c r="S18" s="19">
        <v>0</v>
      </c>
      <c r="T18" s="21">
        <f t="shared" si="1"/>
        <v>5090000</v>
      </c>
      <c r="U18" s="66">
        <f t="shared" si="13"/>
        <v>199</v>
      </c>
      <c r="V18" s="17">
        <v>50000</v>
      </c>
      <c r="W18" s="19">
        <v>0</v>
      </c>
      <c r="X18" s="21">
        <f t="shared" si="2"/>
        <v>5140000</v>
      </c>
      <c r="Y18" s="66">
        <f t="shared" si="14"/>
        <v>200</v>
      </c>
      <c r="Z18" s="17">
        <v>50000</v>
      </c>
      <c r="AA18" s="19">
        <v>0</v>
      </c>
      <c r="AB18" s="21">
        <f t="shared" si="3"/>
        <v>5190000</v>
      </c>
      <c r="AC18" s="66">
        <f t="shared" si="15"/>
        <v>201</v>
      </c>
      <c r="AD18" s="17">
        <v>50000</v>
      </c>
      <c r="AE18" s="19">
        <v>0</v>
      </c>
      <c r="AF18" s="21">
        <f t="shared" si="4"/>
        <v>5240000</v>
      </c>
      <c r="AG18" s="66">
        <f t="shared" si="16"/>
        <v>202</v>
      </c>
      <c r="AH18" s="17">
        <v>50000</v>
      </c>
      <c r="AI18" s="19">
        <v>0</v>
      </c>
      <c r="AJ18" s="21">
        <f t="shared" si="5"/>
        <v>5290000</v>
      </c>
      <c r="AK18" s="66">
        <f t="shared" si="17"/>
        <v>203</v>
      </c>
      <c r="AL18" s="17">
        <v>50000</v>
      </c>
      <c r="AM18" s="19">
        <v>0</v>
      </c>
      <c r="AN18" s="21">
        <f t="shared" si="6"/>
        <v>5340000</v>
      </c>
      <c r="AO18" s="66">
        <f t="shared" si="18"/>
        <v>204</v>
      </c>
      <c r="AP18" s="17">
        <v>50000</v>
      </c>
      <c r="AQ18" s="19">
        <v>0</v>
      </c>
      <c r="AR18" s="21">
        <f t="shared" si="7"/>
        <v>5390000</v>
      </c>
      <c r="AS18" s="66">
        <f t="shared" si="19"/>
        <v>205</v>
      </c>
      <c r="AT18" s="17">
        <v>50000</v>
      </c>
      <c r="AU18" s="19">
        <v>0</v>
      </c>
      <c r="AV18" s="21">
        <f t="shared" si="8"/>
        <v>5440000</v>
      </c>
      <c r="AW18" s="66">
        <f t="shared" si="20"/>
        <v>206</v>
      </c>
      <c r="AX18" s="17">
        <v>0</v>
      </c>
      <c r="AY18" s="19">
        <v>0</v>
      </c>
      <c r="AZ18" s="21">
        <f t="shared" si="9"/>
        <v>5440000</v>
      </c>
      <c r="BA18" s="66">
        <f t="shared" si="21"/>
        <v>206</v>
      </c>
      <c r="BB18" s="17">
        <v>0</v>
      </c>
      <c r="BC18" s="19">
        <v>0</v>
      </c>
      <c r="BD18" s="21">
        <f t="shared" si="10"/>
        <v>5440000</v>
      </c>
      <c r="BE18" s="66">
        <f t="shared" si="22"/>
        <v>206</v>
      </c>
      <c r="BF18" s="17">
        <v>0</v>
      </c>
      <c r="BG18" s="19">
        <v>0</v>
      </c>
      <c r="BH18" s="21">
        <f t="shared" si="11"/>
        <v>5440000</v>
      </c>
      <c r="BI18" s="71">
        <f t="shared" si="23"/>
        <v>206</v>
      </c>
    </row>
    <row r="19" spans="1:62" x14ac:dyDescent="0.2">
      <c r="A19" s="1">
        <v>15</v>
      </c>
      <c r="B19" s="1">
        <v>15</v>
      </c>
      <c r="C19" s="2" t="s">
        <v>40</v>
      </c>
      <c r="D19" s="2" t="s">
        <v>224</v>
      </c>
      <c r="E19" s="2" t="s">
        <v>41</v>
      </c>
      <c r="F19" s="2" t="s">
        <v>9</v>
      </c>
      <c r="G19" s="2" t="s">
        <v>10</v>
      </c>
      <c r="H19" s="3" t="s">
        <v>11</v>
      </c>
      <c r="J19" s="18">
        <v>100000</v>
      </c>
      <c r="L19" s="18">
        <v>4990000</v>
      </c>
      <c r="M19" s="66">
        <v>197</v>
      </c>
      <c r="N19" s="17">
        <v>50000</v>
      </c>
      <c r="O19" s="19">
        <v>0</v>
      </c>
      <c r="P19" s="20">
        <f t="shared" si="0"/>
        <v>5040000</v>
      </c>
      <c r="Q19" s="66">
        <f t="shared" si="12"/>
        <v>198</v>
      </c>
      <c r="R19" s="17">
        <v>50000</v>
      </c>
      <c r="S19" s="19">
        <v>0</v>
      </c>
      <c r="T19" s="21">
        <f t="shared" si="1"/>
        <v>5090000</v>
      </c>
      <c r="U19" s="66">
        <f t="shared" si="13"/>
        <v>199</v>
      </c>
      <c r="V19" s="17">
        <v>50000</v>
      </c>
      <c r="W19" s="19">
        <v>0</v>
      </c>
      <c r="X19" s="21">
        <f t="shared" si="2"/>
        <v>5140000</v>
      </c>
      <c r="Y19" s="66">
        <f t="shared" si="14"/>
        <v>200</v>
      </c>
      <c r="Z19" s="17">
        <v>50000</v>
      </c>
      <c r="AA19" s="19">
        <v>0</v>
      </c>
      <c r="AB19" s="21">
        <f t="shared" si="3"/>
        <v>5190000</v>
      </c>
      <c r="AC19" s="66">
        <f t="shared" si="15"/>
        <v>201</v>
      </c>
      <c r="AD19" s="17">
        <v>50000</v>
      </c>
      <c r="AE19" s="19">
        <v>0</v>
      </c>
      <c r="AF19" s="21">
        <f t="shared" si="4"/>
        <v>5240000</v>
      </c>
      <c r="AG19" s="66">
        <f t="shared" si="16"/>
        <v>202</v>
      </c>
      <c r="AH19" s="17">
        <v>50000</v>
      </c>
      <c r="AI19" s="19">
        <v>0</v>
      </c>
      <c r="AJ19" s="21">
        <f t="shared" si="5"/>
        <v>5290000</v>
      </c>
      <c r="AK19" s="66">
        <f t="shared" si="17"/>
        <v>203</v>
      </c>
      <c r="AL19" s="17">
        <v>50000</v>
      </c>
      <c r="AM19" s="19">
        <v>0</v>
      </c>
      <c r="AN19" s="21">
        <f t="shared" si="6"/>
        <v>5340000</v>
      </c>
      <c r="AO19" s="66">
        <f t="shared" si="18"/>
        <v>204</v>
      </c>
      <c r="AP19" s="17">
        <v>50000</v>
      </c>
      <c r="AQ19" s="19">
        <v>0</v>
      </c>
      <c r="AR19" s="21">
        <f t="shared" si="7"/>
        <v>5390000</v>
      </c>
      <c r="AS19" s="66">
        <f t="shared" si="19"/>
        <v>205</v>
      </c>
      <c r="AT19" s="17">
        <v>50000</v>
      </c>
      <c r="AU19" s="19">
        <v>0</v>
      </c>
      <c r="AV19" s="21">
        <f t="shared" si="8"/>
        <v>5440000</v>
      </c>
      <c r="AW19" s="66">
        <f t="shared" si="20"/>
        <v>206</v>
      </c>
      <c r="AX19" s="17">
        <v>0</v>
      </c>
      <c r="AY19" s="19">
        <v>0</v>
      </c>
      <c r="AZ19" s="21">
        <f t="shared" si="9"/>
        <v>5440000</v>
      </c>
      <c r="BA19" s="66">
        <f t="shared" si="21"/>
        <v>206</v>
      </c>
      <c r="BB19" s="17">
        <v>0</v>
      </c>
      <c r="BC19" s="19">
        <v>0</v>
      </c>
      <c r="BD19" s="21">
        <f t="shared" si="10"/>
        <v>5440000</v>
      </c>
      <c r="BE19" s="66">
        <f t="shared" si="22"/>
        <v>206</v>
      </c>
      <c r="BF19" s="17">
        <v>0</v>
      </c>
      <c r="BG19" s="19">
        <v>0</v>
      </c>
      <c r="BH19" s="21">
        <f t="shared" si="11"/>
        <v>5440000</v>
      </c>
      <c r="BI19" s="71">
        <f t="shared" si="23"/>
        <v>206</v>
      </c>
    </row>
    <row r="20" spans="1:62" x14ac:dyDescent="0.2">
      <c r="A20" s="1">
        <v>16</v>
      </c>
      <c r="B20" s="1">
        <v>16</v>
      </c>
      <c r="C20" s="2" t="s">
        <v>42</v>
      </c>
      <c r="D20" s="2" t="s">
        <v>224</v>
      </c>
      <c r="E20" s="2" t="s">
        <v>43</v>
      </c>
      <c r="F20" s="2" t="s">
        <v>9</v>
      </c>
      <c r="G20" s="2" t="s">
        <v>10</v>
      </c>
      <c r="H20" s="3" t="s">
        <v>21</v>
      </c>
      <c r="J20" s="18">
        <v>100000</v>
      </c>
      <c r="L20" s="18">
        <v>4990000</v>
      </c>
      <c r="M20" s="66">
        <v>197</v>
      </c>
      <c r="N20" s="17">
        <v>50000</v>
      </c>
      <c r="O20" s="19">
        <v>0</v>
      </c>
      <c r="P20" s="20">
        <f t="shared" si="0"/>
        <v>5040000</v>
      </c>
      <c r="Q20" s="66">
        <f t="shared" si="12"/>
        <v>198</v>
      </c>
      <c r="R20" s="17">
        <v>50000</v>
      </c>
      <c r="S20" s="19">
        <v>0</v>
      </c>
      <c r="T20" s="21">
        <f t="shared" si="1"/>
        <v>5090000</v>
      </c>
      <c r="U20" s="66">
        <f t="shared" si="13"/>
        <v>199</v>
      </c>
      <c r="V20" s="17">
        <v>50000</v>
      </c>
      <c r="W20" s="19">
        <v>0</v>
      </c>
      <c r="X20" s="21">
        <f t="shared" si="2"/>
        <v>5140000</v>
      </c>
      <c r="Y20" s="66">
        <f t="shared" si="14"/>
        <v>200</v>
      </c>
      <c r="Z20" s="17">
        <v>50000</v>
      </c>
      <c r="AA20" s="19">
        <v>0</v>
      </c>
      <c r="AB20" s="21">
        <f t="shared" si="3"/>
        <v>5190000</v>
      </c>
      <c r="AC20" s="66">
        <f t="shared" si="15"/>
        <v>201</v>
      </c>
      <c r="AD20" s="17">
        <v>50000</v>
      </c>
      <c r="AE20" s="19">
        <v>0</v>
      </c>
      <c r="AF20" s="21">
        <f t="shared" si="4"/>
        <v>5240000</v>
      </c>
      <c r="AG20" s="66">
        <f t="shared" si="16"/>
        <v>202</v>
      </c>
      <c r="AH20" s="17">
        <v>50000</v>
      </c>
      <c r="AI20" s="19">
        <v>0</v>
      </c>
      <c r="AJ20" s="21">
        <f t="shared" si="5"/>
        <v>5290000</v>
      </c>
      <c r="AK20" s="66">
        <f t="shared" si="17"/>
        <v>203</v>
      </c>
      <c r="AL20" s="17">
        <v>50000</v>
      </c>
      <c r="AM20" s="19">
        <v>0</v>
      </c>
      <c r="AN20" s="21">
        <f t="shared" si="6"/>
        <v>5340000</v>
      </c>
      <c r="AO20" s="66">
        <f t="shared" si="18"/>
        <v>204</v>
      </c>
      <c r="AP20" s="17">
        <v>50000</v>
      </c>
      <c r="AQ20" s="19">
        <v>0</v>
      </c>
      <c r="AR20" s="21">
        <f t="shared" si="7"/>
        <v>5390000</v>
      </c>
      <c r="AS20" s="66">
        <f t="shared" si="19"/>
        <v>205</v>
      </c>
      <c r="AT20" s="17">
        <v>50000</v>
      </c>
      <c r="AU20" s="19">
        <v>0</v>
      </c>
      <c r="AV20" s="21">
        <f t="shared" si="8"/>
        <v>5440000</v>
      </c>
      <c r="AW20" s="66">
        <f t="shared" si="20"/>
        <v>206</v>
      </c>
      <c r="AX20" s="17">
        <v>0</v>
      </c>
      <c r="AY20" s="19">
        <v>0</v>
      </c>
      <c r="AZ20" s="21">
        <f t="shared" si="9"/>
        <v>5440000</v>
      </c>
      <c r="BA20" s="66">
        <f t="shared" si="21"/>
        <v>206</v>
      </c>
      <c r="BB20" s="17">
        <v>0</v>
      </c>
      <c r="BC20" s="19">
        <v>0</v>
      </c>
      <c r="BD20" s="21">
        <f t="shared" si="10"/>
        <v>5440000</v>
      </c>
      <c r="BE20" s="66">
        <f t="shared" si="22"/>
        <v>206</v>
      </c>
      <c r="BF20" s="17">
        <v>0</v>
      </c>
      <c r="BG20" s="19">
        <v>0</v>
      </c>
      <c r="BH20" s="21">
        <f t="shared" si="11"/>
        <v>5440000</v>
      </c>
      <c r="BI20" s="71">
        <f t="shared" si="23"/>
        <v>206</v>
      </c>
    </row>
    <row r="21" spans="1:62" x14ac:dyDescent="0.2">
      <c r="A21" s="1">
        <v>17</v>
      </c>
      <c r="B21" s="1">
        <v>17</v>
      </c>
      <c r="C21" s="2" t="s">
        <v>44</v>
      </c>
      <c r="D21" s="2" t="s">
        <v>224</v>
      </c>
      <c r="E21" s="2" t="s">
        <v>45</v>
      </c>
      <c r="F21" s="2" t="s">
        <v>9</v>
      </c>
      <c r="G21" s="2" t="s">
        <v>10</v>
      </c>
      <c r="H21" s="3" t="s">
        <v>21</v>
      </c>
      <c r="J21" s="18">
        <v>100000</v>
      </c>
      <c r="L21" s="18">
        <v>4370000</v>
      </c>
      <c r="M21" s="67">
        <v>166</v>
      </c>
      <c r="N21" s="17">
        <v>50000</v>
      </c>
      <c r="O21" s="19">
        <v>0</v>
      </c>
      <c r="P21" s="20">
        <f t="shared" si="0"/>
        <v>4420000</v>
      </c>
      <c r="Q21" s="67">
        <f t="shared" si="12"/>
        <v>167</v>
      </c>
      <c r="R21" s="17">
        <v>50000</v>
      </c>
      <c r="S21" s="19">
        <v>0</v>
      </c>
      <c r="T21" s="21">
        <f t="shared" si="1"/>
        <v>4470000</v>
      </c>
      <c r="U21" s="67">
        <f t="shared" si="13"/>
        <v>168</v>
      </c>
      <c r="V21" s="17">
        <v>50000</v>
      </c>
      <c r="W21" s="19">
        <v>0</v>
      </c>
      <c r="X21" s="21">
        <f t="shared" si="2"/>
        <v>4520000</v>
      </c>
      <c r="Y21" s="67">
        <f t="shared" si="14"/>
        <v>169</v>
      </c>
      <c r="Z21" s="17">
        <v>50000</v>
      </c>
      <c r="AA21" s="19">
        <v>0</v>
      </c>
      <c r="AB21" s="21">
        <f t="shared" si="3"/>
        <v>4570000</v>
      </c>
      <c r="AC21" s="67">
        <f t="shared" si="15"/>
        <v>170</v>
      </c>
      <c r="AD21" s="17">
        <v>50000</v>
      </c>
      <c r="AE21" s="19">
        <v>0</v>
      </c>
      <c r="AF21" s="21">
        <f t="shared" si="4"/>
        <v>4620000</v>
      </c>
      <c r="AG21" s="67">
        <f t="shared" si="16"/>
        <v>171</v>
      </c>
      <c r="AH21" s="17">
        <v>50000</v>
      </c>
      <c r="AI21" s="19">
        <v>0</v>
      </c>
      <c r="AJ21" s="21">
        <f t="shared" si="5"/>
        <v>4670000</v>
      </c>
      <c r="AK21" s="67">
        <f t="shared" si="17"/>
        <v>172</v>
      </c>
      <c r="AL21" s="17">
        <v>50000</v>
      </c>
      <c r="AM21" s="19">
        <v>0</v>
      </c>
      <c r="AN21" s="21">
        <f t="shared" si="6"/>
        <v>4720000</v>
      </c>
      <c r="AO21" s="67">
        <f t="shared" si="18"/>
        <v>173</v>
      </c>
      <c r="AP21" s="17">
        <v>50000</v>
      </c>
      <c r="AQ21" s="19">
        <v>0</v>
      </c>
      <c r="AR21" s="21">
        <f t="shared" si="7"/>
        <v>4770000</v>
      </c>
      <c r="AS21" s="67">
        <f t="shared" si="19"/>
        <v>174</v>
      </c>
      <c r="AT21" s="17">
        <v>50000</v>
      </c>
      <c r="AU21" s="19">
        <v>0</v>
      </c>
      <c r="AV21" s="21">
        <f t="shared" si="8"/>
        <v>4820000</v>
      </c>
      <c r="AW21" s="67">
        <f t="shared" si="20"/>
        <v>175</v>
      </c>
      <c r="AX21" s="17">
        <v>0</v>
      </c>
      <c r="AY21" s="19">
        <v>0</v>
      </c>
      <c r="AZ21" s="21">
        <f t="shared" si="9"/>
        <v>4820000</v>
      </c>
      <c r="BA21" s="67">
        <f t="shared" si="21"/>
        <v>175</v>
      </c>
      <c r="BB21" s="17">
        <v>0</v>
      </c>
      <c r="BC21" s="19">
        <v>0</v>
      </c>
      <c r="BD21" s="21">
        <f t="shared" si="10"/>
        <v>4820000</v>
      </c>
      <c r="BE21" s="67">
        <f t="shared" si="22"/>
        <v>175</v>
      </c>
      <c r="BF21" s="17">
        <v>0</v>
      </c>
      <c r="BG21" s="19">
        <v>0</v>
      </c>
      <c r="BH21" s="21">
        <f t="shared" si="11"/>
        <v>4820000</v>
      </c>
      <c r="BI21" s="72">
        <f t="shared" si="23"/>
        <v>175</v>
      </c>
    </row>
    <row r="22" spans="1:62" x14ac:dyDescent="0.2">
      <c r="A22" s="1">
        <v>18</v>
      </c>
      <c r="B22" s="1">
        <v>18</v>
      </c>
      <c r="C22" s="2" t="s">
        <v>46</v>
      </c>
      <c r="D22" s="2" t="s">
        <v>224</v>
      </c>
      <c r="E22" s="2" t="s">
        <v>47</v>
      </c>
      <c r="F22" s="2" t="s">
        <v>9</v>
      </c>
      <c r="G22" s="2" t="s">
        <v>10</v>
      </c>
      <c r="H22" s="3" t="s">
        <v>21</v>
      </c>
      <c r="J22" s="18">
        <v>100000</v>
      </c>
      <c r="L22" s="18">
        <v>4990000</v>
      </c>
      <c r="M22" s="66">
        <v>197</v>
      </c>
      <c r="N22" s="17">
        <v>50000</v>
      </c>
      <c r="O22" s="19">
        <v>0</v>
      </c>
      <c r="P22" s="20">
        <f t="shared" si="0"/>
        <v>5040000</v>
      </c>
      <c r="Q22" s="66">
        <f t="shared" si="12"/>
        <v>198</v>
      </c>
      <c r="R22" s="17">
        <v>50000</v>
      </c>
      <c r="S22" s="19">
        <v>0</v>
      </c>
      <c r="T22" s="21">
        <f t="shared" si="1"/>
        <v>5090000</v>
      </c>
      <c r="U22" s="66">
        <f t="shared" si="13"/>
        <v>199</v>
      </c>
      <c r="V22" s="17">
        <v>50000</v>
      </c>
      <c r="W22" s="19">
        <v>0</v>
      </c>
      <c r="X22" s="21">
        <f t="shared" si="2"/>
        <v>5140000</v>
      </c>
      <c r="Y22" s="66">
        <f t="shared" si="14"/>
        <v>200</v>
      </c>
      <c r="Z22" s="17">
        <v>50000</v>
      </c>
      <c r="AA22" s="19">
        <v>0</v>
      </c>
      <c r="AB22" s="21">
        <f t="shared" si="3"/>
        <v>5190000</v>
      </c>
      <c r="AC22" s="66">
        <f t="shared" si="15"/>
        <v>201</v>
      </c>
      <c r="AD22" s="17">
        <v>50000</v>
      </c>
      <c r="AE22" s="19">
        <v>0</v>
      </c>
      <c r="AF22" s="21">
        <f t="shared" si="4"/>
        <v>5240000</v>
      </c>
      <c r="AG22" s="66">
        <f t="shared" si="16"/>
        <v>202</v>
      </c>
      <c r="AH22" s="17">
        <v>50000</v>
      </c>
      <c r="AI22" s="19">
        <v>0</v>
      </c>
      <c r="AJ22" s="21">
        <f t="shared" si="5"/>
        <v>5290000</v>
      </c>
      <c r="AK22" s="66">
        <f t="shared" si="17"/>
        <v>203</v>
      </c>
      <c r="AL22" s="17">
        <v>50000</v>
      </c>
      <c r="AM22" s="19">
        <v>0</v>
      </c>
      <c r="AN22" s="21">
        <f t="shared" si="6"/>
        <v>5340000</v>
      </c>
      <c r="AO22" s="66">
        <f t="shared" si="18"/>
        <v>204</v>
      </c>
      <c r="AP22" s="17">
        <v>50000</v>
      </c>
      <c r="AQ22" s="19">
        <v>0</v>
      </c>
      <c r="AR22" s="21">
        <f t="shared" si="7"/>
        <v>5390000</v>
      </c>
      <c r="AS22" s="66">
        <f t="shared" si="19"/>
        <v>205</v>
      </c>
      <c r="AT22" s="17">
        <v>50000</v>
      </c>
      <c r="AU22" s="19">
        <v>0</v>
      </c>
      <c r="AV22" s="21">
        <f t="shared" si="8"/>
        <v>5440000</v>
      </c>
      <c r="AW22" s="66">
        <f t="shared" si="20"/>
        <v>206</v>
      </c>
      <c r="AX22" s="17">
        <v>0</v>
      </c>
      <c r="AY22" s="19">
        <v>0</v>
      </c>
      <c r="AZ22" s="21">
        <f t="shared" si="9"/>
        <v>5440000</v>
      </c>
      <c r="BA22" s="66">
        <f t="shared" si="21"/>
        <v>206</v>
      </c>
      <c r="BB22" s="17">
        <v>0</v>
      </c>
      <c r="BC22" s="19">
        <v>0</v>
      </c>
      <c r="BD22" s="21">
        <f t="shared" si="10"/>
        <v>5440000</v>
      </c>
      <c r="BE22" s="66">
        <f t="shared" si="22"/>
        <v>206</v>
      </c>
      <c r="BF22" s="17">
        <v>0</v>
      </c>
      <c r="BG22" s="19">
        <v>0</v>
      </c>
      <c r="BH22" s="21">
        <f t="shared" si="11"/>
        <v>5440000</v>
      </c>
      <c r="BI22" s="71">
        <f t="shared" si="23"/>
        <v>206</v>
      </c>
    </row>
    <row r="23" spans="1:62" x14ac:dyDescent="0.2">
      <c r="A23" s="1">
        <v>19</v>
      </c>
      <c r="B23" s="1">
        <v>19</v>
      </c>
      <c r="C23" s="2" t="s">
        <v>48</v>
      </c>
      <c r="D23" s="2" t="s">
        <v>224</v>
      </c>
      <c r="E23" s="2" t="s">
        <v>49</v>
      </c>
      <c r="F23" s="2" t="s">
        <v>9</v>
      </c>
      <c r="G23" s="2" t="s">
        <v>10</v>
      </c>
      <c r="H23" s="3" t="s">
        <v>21</v>
      </c>
      <c r="J23" s="18">
        <v>100000</v>
      </c>
      <c r="L23" s="18">
        <v>4370000</v>
      </c>
      <c r="M23" s="66">
        <v>166</v>
      </c>
      <c r="N23" s="17">
        <v>50000</v>
      </c>
      <c r="O23" s="19">
        <v>0</v>
      </c>
      <c r="P23" s="20">
        <f t="shared" si="0"/>
        <v>4420000</v>
      </c>
      <c r="Q23" s="66">
        <f t="shared" si="12"/>
        <v>167</v>
      </c>
      <c r="R23" s="17">
        <v>50000</v>
      </c>
      <c r="S23" s="19">
        <v>0</v>
      </c>
      <c r="T23" s="21">
        <f t="shared" si="1"/>
        <v>4470000</v>
      </c>
      <c r="U23" s="66">
        <f t="shared" si="13"/>
        <v>168</v>
      </c>
      <c r="V23" s="17">
        <v>50000</v>
      </c>
      <c r="W23" s="19">
        <v>0</v>
      </c>
      <c r="X23" s="21">
        <f t="shared" si="2"/>
        <v>4520000</v>
      </c>
      <c r="Y23" s="66">
        <f t="shared" si="14"/>
        <v>169</v>
      </c>
      <c r="Z23" s="17">
        <v>50000</v>
      </c>
      <c r="AA23" s="19">
        <v>0</v>
      </c>
      <c r="AB23" s="21">
        <f t="shared" si="3"/>
        <v>4570000</v>
      </c>
      <c r="AC23" s="66">
        <f t="shared" si="15"/>
        <v>170</v>
      </c>
      <c r="AD23" s="17">
        <v>50000</v>
      </c>
      <c r="AE23" s="19">
        <v>0</v>
      </c>
      <c r="AF23" s="21">
        <f t="shared" si="4"/>
        <v>4620000</v>
      </c>
      <c r="AG23" s="66">
        <f t="shared" si="16"/>
        <v>171</v>
      </c>
      <c r="AH23" s="17">
        <v>50000</v>
      </c>
      <c r="AI23" s="19">
        <v>0</v>
      </c>
      <c r="AJ23" s="21">
        <f t="shared" si="5"/>
        <v>4670000</v>
      </c>
      <c r="AK23" s="66">
        <f t="shared" si="17"/>
        <v>172</v>
      </c>
      <c r="AL23" s="17">
        <v>50000</v>
      </c>
      <c r="AM23" s="19">
        <v>0</v>
      </c>
      <c r="AN23" s="21">
        <f t="shared" si="6"/>
        <v>4720000</v>
      </c>
      <c r="AO23" s="66">
        <f t="shared" si="18"/>
        <v>173</v>
      </c>
      <c r="AP23" s="17">
        <v>50000</v>
      </c>
      <c r="AQ23" s="19">
        <v>0</v>
      </c>
      <c r="AR23" s="21">
        <f t="shared" si="7"/>
        <v>4770000</v>
      </c>
      <c r="AS23" s="66">
        <f t="shared" si="19"/>
        <v>174</v>
      </c>
      <c r="AT23" s="17">
        <v>50000</v>
      </c>
      <c r="AU23" s="19">
        <v>0</v>
      </c>
      <c r="AV23" s="21">
        <f t="shared" si="8"/>
        <v>4820000</v>
      </c>
      <c r="AW23" s="66">
        <f t="shared" si="20"/>
        <v>175</v>
      </c>
      <c r="AX23" s="17">
        <v>0</v>
      </c>
      <c r="AY23" s="19">
        <v>0</v>
      </c>
      <c r="AZ23" s="21">
        <f t="shared" si="9"/>
        <v>4820000</v>
      </c>
      <c r="BA23" s="66">
        <f t="shared" si="21"/>
        <v>175</v>
      </c>
      <c r="BB23" s="17">
        <v>0</v>
      </c>
      <c r="BC23" s="19">
        <v>0</v>
      </c>
      <c r="BD23" s="21">
        <f t="shared" si="10"/>
        <v>4820000</v>
      </c>
      <c r="BE23" s="66">
        <f t="shared" si="22"/>
        <v>175</v>
      </c>
      <c r="BF23" s="17">
        <v>0</v>
      </c>
      <c r="BG23" s="19">
        <v>0</v>
      </c>
      <c r="BH23" s="21">
        <f t="shared" si="11"/>
        <v>4820000</v>
      </c>
      <c r="BI23" s="71">
        <f t="shared" si="23"/>
        <v>175</v>
      </c>
    </row>
    <row r="24" spans="1:62" x14ac:dyDescent="0.2">
      <c r="A24" s="1">
        <v>21</v>
      </c>
      <c r="B24" s="1">
        <v>20</v>
      </c>
      <c r="C24" s="2" t="s">
        <v>52</v>
      </c>
      <c r="D24" s="2" t="s">
        <v>224</v>
      </c>
      <c r="E24" s="2" t="s">
        <v>53</v>
      </c>
      <c r="F24" s="2" t="s">
        <v>9</v>
      </c>
      <c r="G24" s="2" t="s">
        <v>10</v>
      </c>
      <c r="H24" s="3" t="s">
        <v>11</v>
      </c>
      <c r="J24" s="18">
        <v>100000</v>
      </c>
      <c r="L24" s="18">
        <v>4990000</v>
      </c>
      <c r="M24" s="66">
        <v>197</v>
      </c>
      <c r="N24" s="17">
        <v>50000</v>
      </c>
      <c r="O24" s="19">
        <v>0</v>
      </c>
      <c r="P24" s="20">
        <f t="shared" si="0"/>
        <v>5040000</v>
      </c>
      <c r="Q24" s="66">
        <f t="shared" si="12"/>
        <v>198</v>
      </c>
      <c r="R24" s="17">
        <v>50000</v>
      </c>
      <c r="S24" s="19">
        <v>0</v>
      </c>
      <c r="T24" s="21">
        <f t="shared" si="1"/>
        <v>5090000</v>
      </c>
      <c r="U24" s="66">
        <f t="shared" si="13"/>
        <v>199</v>
      </c>
      <c r="V24" s="17">
        <v>50000</v>
      </c>
      <c r="W24" s="19">
        <v>0</v>
      </c>
      <c r="X24" s="21">
        <f t="shared" si="2"/>
        <v>5140000</v>
      </c>
      <c r="Y24" s="66">
        <f t="shared" si="14"/>
        <v>200</v>
      </c>
      <c r="Z24" s="17">
        <v>50000</v>
      </c>
      <c r="AA24" s="19">
        <v>0</v>
      </c>
      <c r="AB24" s="21">
        <f t="shared" si="3"/>
        <v>5190000</v>
      </c>
      <c r="AC24" s="66">
        <f t="shared" si="15"/>
        <v>201</v>
      </c>
      <c r="AD24" s="17">
        <v>50000</v>
      </c>
      <c r="AE24" s="19">
        <v>0</v>
      </c>
      <c r="AF24" s="21">
        <f t="shared" si="4"/>
        <v>5240000</v>
      </c>
      <c r="AG24" s="66">
        <f t="shared" si="16"/>
        <v>202</v>
      </c>
      <c r="AH24" s="17">
        <v>50000</v>
      </c>
      <c r="AI24" s="19">
        <v>0</v>
      </c>
      <c r="AJ24" s="21">
        <f t="shared" si="5"/>
        <v>5290000</v>
      </c>
      <c r="AK24" s="66">
        <f t="shared" si="17"/>
        <v>203</v>
      </c>
      <c r="AL24" s="17">
        <v>50000</v>
      </c>
      <c r="AM24" s="19">
        <v>0</v>
      </c>
      <c r="AN24" s="21">
        <f t="shared" si="6"/>
        <v>5340000</v>
      </c>
      <c r="AO24" s="66">
        <f t="shared" si="18"/>
        <v>204</v>
      </c>
      <c r="AP24" s="17">
        <v>50000</v>
      </c>
      <c r="AQ24" s="19">
        <v>0</v>
      </c>
      <c r="AR24" s="21">
        <f t="shared" si="7"/>
        <v>5390000</v>
      </c>
      <c r="AS24" s="66">
        <f t="shared" si="19"/>
        <v>205</v>
      </c>
      <c r="AT24" s="17">
        <v>50000</v>
      </c>
      <c r="AU24" s="19">
        <v>0</v>
      </c>
      <c r="AV24" s="21">
        <f t="shared" si="8"/>
        <v>5440000</v>
      </c>
      <c r="AW24" s="66">
        <f t="shared" si="20"/>
        <v>206</v>
      </c>
      <c r="AX24" s="17">
        <v>0</v>
      </c>
      <c r="AY24" s="19">
        <v>0</v>
      </c>
      <c r="AZ24" s="21">
        <f t="shared" si="9"/>
        <v>5440000</v>
      </c>
      <c r="BA24" s="66">
        <f t="shared" si="21"/>
        <v>206</v>
      </c>
      <c r="BB24" s="17">
        <v>0</v>
      </c>
      <c r="BC24" s="19">
        <v>0</v>
      </c>
      <c r="BD24" s="21">
        <f t="shared" si="10"/>
        <v>5440000</v>
      </c>
      <c r="BE24" s="66">
        <f t="shared" si="22"/>
        <v>206</v>
      </c>
      <c r="BF24" s="17">
        <v>0</v>
      </c>
      <c r="BG24" s="19">
        <v>0</v>
      </c>
      <c r="BH24" s="21">
        <f t="shared" si="11"/>
        <v>5440000</v>
      </c>
      <c r="BI24" s="71">
        <f t="shared" si="23"/>
        <v>206</v>
      </c>
    </row>
    <row r="25" spans="1:62" x14ac:dyDescent="0.2">
      <c r="A25" s="1">
        <v>22</v>
      </c>
      <c r="B25" s="1">
        <v>21</v>
      </c>
      <c r="C25" s="2" t="s">
        <v>54</v>
      </c>
      <c r="D25" s="2" t="s">
        <v>224</v>
      </c>
      <c r="E25" s="2" t="s">
        <v>55</v>
      </c>
      <c r="F25" s="2" t="s">
        <v>9</v>
      </c>
      <c r="G25" s="2" t="s">
        <v>10</v>
      </c>
      <c r="H25" s="3" t="s">
        <v>21</v>
      </c>
      <c r="J25" s="18">
        <v>100000</v>
      </c>
      <c r="L25" s="18">
        <v>4990000</v>
      </c>
      <c r="M25" s="66">
        <v>197</v>
      </c>
      <c r="N25" s="17">
        <v>50000</v>
      </c>
      <c r="O25" s="19">
        <v>0</v>
      </c>
      <c r="P25" s="20">
        <f t="shared" si="0"/>
        <v>5040000</v>
      </c>
      <c r="Q25" s="66">
        <f t="shared" si="12"/>
        <v>198</v>
      </c>
      <c r="R25" s="17">
        <v>50000</v>
      </c>
      <c r="S25" s="19">
        <v>0</v>
      </c>
      <c r="T25" s="21">
        <f t="shared" si="1"/>
        <v>5090000</v>
      </c>
      <c r="U25" s="66">
        <f t="shared" si="13"/>
        <v>199</v>
      </c>
      <c r="V25" s="17">
        <v>50000</v>
      </c>
      <c r="W25" s="19">
        <v>0</v>
      </c>
      <c r="X25" s="21">
        <f t="shared" si="2"/>
        <v>5140000</v>
      </c>
      <c r="Y25" s="66">
        <f t="shared" si="14"/>
        <v>200</v>
      </c>
      <c r="Z25" s="17">
        <v>50000</v>
      </c>
      <c r="AA25" s="19">
        <v>0</v>
      </c>
      <c r="AB25" s="21">
        <f t="shared" si="3"/>
        <v>5190000</v>
      </c>
      <c r="AC25" s="66">
        <f t="shared" si="15"/>
        <v>201</v>
      </c>
      <c r="AD25" s="17">
        <v>50000</v>
      </c>
      <c r="AE25" s="19">
        <v>0</v>
      </c>
      <c r="AF25" s="21">
        <f t="shared" si="4"/>
        <v>5240000</v>
      </c>
      <c r="AG25" s="66">
        <f t="shared" si="16"/>
        <v>202</v>
      </c>
      <c r="AH25" s="17">
        <v>50000</v>
      </c>
      <c r="AI25" s="19">
        <v>0</v>
      </c>
      <c r="AJ25" s="21">
        <f t="shared" si="5"/>
        <v>5290000</v>
      </c>
      <c r="AK25" s="66">
        <f t="shared" si="17"/>
        <v>203</v>
      </c>
      <c r="AL25" s="17">
        <v>50000</v>
      </c>
      <c r="AM25" s="19">
        <v>0</v>
      </c>
      <c r="AN25" s="21">
        <f t="shared" si="6"/>
        <v>5340000</v>
      </c>
      <c r="AO25" s="66">
        <f t="shared" si="18"/>
        <v>204</v>
      </c>
      <c r="AP25" s="17">
        <v>50000</v>
      </c>
      <c r="AQ25" s="19">
        <v>0</v>
      </c>
      <c r="AR25" s="21">
        <f t="shared" si="7"/>
        <v>5390000</v>
      </c>
      <c r="AS25" s="66">
        <f t="shared" si="19"/>
        <v>205</v>
      </c>
      <c r="AT25" s="17">
        <v>50000</v>
      </c>
      <c r="AU25" s="19">
        <v>0</v>
      </c>
      <c r="AV25" s="21">
        <f t="shared" si="8"/>
        <v>5440000</v>
      </c>
      <c r="AW25" s="66">
        <f t="shared" si="20"/>
        <v>206</v>
      </c>
      <c r="AX25" s="17">
        <v>0</v>
      </c>
      <c r="AY25" s="19">
        <v>0</v>
      </c>
      <c r="AZ25" s="21">
        <f t="shared" si="9"/>
        <v>5440000</v>
      </c>
      <c r="BA25" s="66">
        <f t="shared" si="21"/>
        <v>206</v>
      </c>
      <c r="BB25" s="17">
        <v>0</v>
      </c>
      <c r="BC25" s="19">
        <v>0</v>
      </c>
      <c r="BD25" s="21">
        <f t="shared" si="10"/>
        <v>5440000</v>
      </c>
      <c r="BE25" s="66">
        <f t="shared" si="22"/>
        <v>206</v>
      </c>
      <c r="BF25" s="17">
        <v>0</v>
      </c>
      <c r="BG25" s="19">
        <v>0</v>
      </c>
      <c r="BH25" s="21">
        <f t="shared" si="11"/>
        <v>5440000</v>
      </c>
      <c r="BI25" s="71">
        <f t="shared" si="23"/>
        <v>206</v>
      </c>
    </row>
    <row r="26" spans="1:62" x14ac:dyDescent="0.2">
      <c r="A26" s="1">
        <v>23</v>
      </c>
      <c r="B26" s="1">
        <v>22</v>
      </c>
      <c r="C26" s="2" t="s">
        <v>56</v>
      </c>
      <c r="D26" s="2" t="s">
        <v>225</v>
      </c>
      <c r="E26" s="2" t="s">
        <v>57</v>
      </c>
      <c r="F26" s="2" t="s">
        <v>9</v>
      </c>
      <c r="G26" s="2" t="s">
        <v>10</v>
      </c>
      <c r="H26" s="3" t="s">
        <v>11</v>
      </c>
      <c r="J26" s="18">
        <v>100000</v>
      </c>
      <c r="L26" s="18">
        <v>4990000</v>
      </c>
      <c r="M26" s="66">
        <v>197</v>
      </c>
      <c r="N26" s="17">
        <v>50000</v>
      </c>
      <c r="O26" s="19">
        <v>0</v>
      </c>
      <c r="P26" s="20">
        <f t="shared" si="0"/>
        <v>5040000</v>
      </c>
      <c r="Q26" s="66">
        <f t="shared" si="12"/>
        <v>198</v>
      </c>
      <c r="R26" s="17">
        <v>50000</v>
      </c>
      <c r="S26" s="19">
        <v>0</v>
      </c>
      <c r="T26" s="21">
        <f t="shared" si="1"/>
        <v>5090000</v>
      </c>
      <c r="U26" s="66">
        <f t="shared" si="13"/>
        <v>199</v>
      </c>
      <c r="V26" s="17">
        <v>50000</v>
      </c>
      <c r="W26" s="19">
        <v>0</v>
      </c>
      <c r="X26" s="21">
        <f t="shared" si="2"/>
        <v>5140000</v>
      </c>
      <c r="Y26" s="66">
        <f t="shared" si="14"/>
        <v>200</v>
      </c>
      <c r="Z26" s="17">
        <v>50000</v>
      </c>
      <c r="AA26" s="19">
        <v>0</v>
      </c>
      <c r="AB26" s="21">
        <f t="shared" si="3"/>
        <v>5190000</v>
      </c>
      <c r="AC26" s="66">
        <f t="shared" si="15"/>
        <v>201</v>
      </c>
      <c r="AD26" s="17">
        <v>50000</v>
      </c>
      <c r="AE26" s="19">
        <v>0</v>
      </c>
      <c r="AF26" s="21">
        <f t="shared" si="4"/>
        <v>5240000</v>
      </c>
      <c r="AG26" s="66">
        <f t="shared" si="16"/>
        <v>202</v>
      </c>
      <c r="AH26" s="17">
        <v>50000</v>
      </c>
      <c r="AI26" s="19">
        <v>0</v>
      </c>
      <c r="AJ26" s="21">
        <f t="shared" si="5"/>
        <v>5290000</v>
      </c>
      <c r="AK26" s="66">
        <f t="shared" si="17"/>
        <v>203</v>
      </c>
      <c r="AL26" s="17">
        <v>50000</v>
      </c>
      <c r="AM26" s="19">
        <v>0</v>
      </c>
      <c r="AN26" s="21">
        <f t="shared" si="6"/>
        <v>5340000</v>
      </c>
      <c r="AO26" s="66">
        <f t="shared" si="18"/>
        <v>204</v>
      </c>
      <c r="AP26" s="17">
        <v>50000</v>
      </c>
      <c r="AQ26" s="19">
        <v>0</v>
      </c>
      <c r="AR26" s="21">
        <f t="shared" si="7"/>
        <v>5390000</v>
      </c>
      <c r="AS26" s="66">
        <f t="shared" si="19"/>
        <v>205</v>
      </c>
      <c r="AT26" s="17">
        <v>50000</v>
      </c>
      <c r="AU26" s="19">
        <v>0</v>
      </c>
      <c r="AV26" s="21">
        <f t="shared" si="8"/>
        <v>5440000</v>
      </c>
      <c r="AW26" s="66">
        <f t="shared" si="20"/>
        <v>206</v>
      </c>
      <c r="AX26" s="17">
        <v>0</v>
      </c>
      <c r="AY26" s="19">
        <v>0</v>
      </c>
      <c r="AZ26" s="21">
        <f t="shared" si="9"/>
        <v>5440000</v>
      </c>
      <c r="BA26" s="66">
        <f t="shared" si="21"/>
        <v>206</v>
      </c>
      <c r="BB26" s="17">
        <v>0</v>
      </c>
      <c r="BC26" s="19">
        <v>0</v>
      </c>
      <c r="BD26" s="21">
        <f t="shared" si="10"/>
        <v>5440000</v>
      </c>
      <c r="BE26" s="66">
        <f t="shared" si="22"/>
        <v>206</v>
      </c>
      <c r="BF26" s="17">
        <v>0</v>
      </c>
      <c r="BG26" s="19">
        <v>0</v>
      </c>
      <c r="BH26" s="21">
        <f t="shared" si="11"/>
        <v>5440000</v>
      </c>
      <c r="BI26" s="71">
        <f t="shared" si="23"/>
        <v>206</v>
      </c>
    </row>
    <row r="27" spans="1:62" x14ac:dyDescent="0.2">
      <c r="A27" s="1">
        <v>24</v>
      </c>
      <c r="B27" s="1">
        <v>23</v>
      </c>
      <c r="C27" s="2" t="s">
        <v>58</v>
      </c>
      <c r="D27" s="2" t="s">
        <v>224</v>
      </c>
      <c r="E27" s="2" t="s">
        <v>59</v>
      </c>
      <c r="F27" s="2" t="s">
        <v>9</v>
      </c>
      <c r="G27" s="2" t="s">
        <v>10</v>
      </c>
      <c r="H27" s="3" t="s">
        <v>11</v>
      </c>
      <c r="J27" s="18">
        <v>100000</v>
      </c>
      <c r="L27" s="18">
        <v>4690000</v>
      </c>
      <c r="M27" s="66">
        <v>182</v>
      </c>
      <c r="N27" s="17">
        <v>50000</v>
      </c>
      <c r="O27" s="19">
        <v>0</v>
      </c>
      <c r="P27" s="20">
        <f t="shared" si="0"/>
        <v>4740000</v>
      </c>
      <c r="Q27" s="66">
        <f t="shared" si="12"/>
        <v>183</v>
      </c>
      <c r="R27" s="17">
        <v>50000</v>
      </c>
      <c r="S27" s="19">
        <v>0</v>
      </c>
      <c r="T27" s="21">
        <f t="shared" si="1"/>
        <v>4790000</v>
      </c>
      <c r="U27" s="66">
        <f t="shared" si="13"/>
        <v>184</v>
      </c>
      <c r="V27" s="17">
        <v>50000</v>
      </c>
      <c r="W27" s="19">
        <v>0</v>
      </c>
      <c r="X27" s="21">
        <f t="shared" si="2"/>
        <v>4840000</v>
      </c>
      <c r="Y27" s="66">
        <f t="shared" si="14"/>
        <v>185</v>
      </c>
      <c r="Z27" s="17">
        <v>50000</v>
      </c>
      <c r="AA27" s="19">
        <v>0</v>
      </c>
      <c r="AB27" s="21">
        <f t="shared" si="3"/>
        <v>4890000</v>
      </c>
      <c r="AC27" s="66">
        <f t="shared" si="15"/>
        <v>186</v>
      </c>
      <c r="AD27" s="17">
        <v>50000</v>
      </c>
      <c r="AE27" s="19">
        <v>0</v>
      </c>
      <c r="AF27" s="21">
        <f t="shared" si="4"/>
        <v>4940000</v>
      </c>
      <c r="AG27" s="66">
        <f t="shared" si="16"/>
        <v>187</v>
      </c>
      <c r="AH27" s="17">
        <v>50000</v>
      </c>
      <c r="AI27" s="19">
        <v>0</v>
      </c>
      <c r="AJ27" s="21">
        <f t="shared" si="5"/>
        <v>4990000</v>
      </c>
      <c r="AK27" s="66">
        <f t="shared" si="17"/>
        <v>188</v>
      </c>
      <c r="AL27" s="17">
        <v>50000</v>
      </c>
      <c r="AM27" s="19">
        <v>0</v>
      </c>
      <c r="AN27" s="21">
        <f t="shared" si="6"/>
        <v>5040000</v>
      </c>
      <c r="AO27" s="66">
        <f t="shared" si="18"/>
        <v>189</v>
      </c>
      <c r="AP27" s="17">
        <v>50000</v>
      </c>
      <c r="AQ27" s="19">
        <v>0</v>
      </c>
      <c r="AR27" s="21">
        <f t="shared" si="7"/>
        <v>5090000</v>
      </c>
      <c r="AS27" s="66">
        <f t="shared" si="19"/>
        <v>190</v>
      </c>
      <c r="AT27" s="17">
        <v>50000</v>
      </c>
      <c r="AU27" s="19">
        <v>0</v>
      </c>
      <c r="AV27" s="21">
        <f t="shared" si="8"/>
        <v>5140000</v>
      </c>
      <c r="AW27" s="66">
        <f t="shared" si="20"/>
        <v>191</v>
      </c>
      <c r="AX27" s="17">
        <v>0</v>
      </c>
      <c r="AY27" s="19">
        <v>0</v>
      </c>
      <c r="AZ27" s="21">
        <f t="shared" si="9"/>
        <v>5140000</v>
      </c>
      <c r="BA27" s="66">
        <f t="shared" si="21"/>
        <v>191</v>
      </c>
      <c r="BB27" s="17">
        <v>0</v>
      </c>
      <c r="BC27" s="19">
        <v>0</v>
      </c>
      <c r="BD27" s="21">
        <f t="shared" si="10"/>
        <v>5140000</v>
      </c>
      <c r="BE27" s="66">
        <f t="shared" si="22"/>
        <v>191</v>
      </c>
      <c r="BF27" s="17">
        <v>0</v>
      </c>
      <c r="BG27" s="19">
        <v>0</v>
      </c>
      <c r="BH27" s="21">
        <f t="shared" si="11"/>
        <v>5140000</v>
      </c>
      <c r="BI27" s="71">
        <f t="shared" si="23"/>
        <v>191</v>
      </c>
    </row>
    <row r="28" spans="1:62" x14ac:dyDescent="0.2">
      <c r="A28" s="1">
        <v>25</v>
      </c>
      <c r="B28" s="1">
        <v>24</v>
      </c>
      <c r="C28" s="2" t="s">
        <v>60</v>
      </c>
      <c r="D28" s="2" t="s">
        <v>224</v>
      </c>
      <c r="E28" s="2" t="s">
        <v>61</v>
      </c>
      <c r="F28" s="2" t="s">
        <v>9</v>
      </c>
      <c r="G28" s="2" t="s">
        <v>10</v>
      </c>
      <c r="H28" s="3" t="s">
        <v>11</v>
      </c>
      <c r="J28" s="18">
        <v>100000</v>
      </c>
      <c r="L28" s="18">
        <v>4790000</v>
      </c>
      <c r="M28" s="66">
        <v>187</v>
      </c>
      <c r="N28" s="17">
        <v>50000</v>
      </c>
      <c r="O28" s="19">
        <v>0</v>
      </c>
      <c r="P28" s="20">
        <f t="shared" si="0"/>
        <v>4840000</v>
      </c>
      <c r="Q28" s="66">
        <f t="shared" si="12"/>
        <v>188</v>
      </c>
      <c r="R28" s="17">
        <v>50000</v>
      </c>
      <c r="S28" s="19">
        <v>0</v>
      </c>
      <c r="T28" s="21">
        <f t="shared" si="1"/>
        <v>4890000</v>
      </c>
      <c r="U28" s="66">
        <f t="shared" si="13"/>
        <v>189</v>
      </c>
      <c r="V28" s="17">
        <v>50000</v>
      </c>
      <c r="W28" s="19">
        <v>0</v>
      </c>
      <c r="X28" s="21">
        <f t="shared" si="2"/>
        <v>4940000</v>
      </c>
      <c r="Y28" s="66">
        <f t="shared" si="14"/>
        <v>190</v>
      </c>
      <c r="Z28" s="17">
        <v>50000</v>
      </c>
      <c r="AA28" s="19">
        <v>0</v>
      </c>
      <c r="AB28" s="21">
        <f t="shared" si="3"/>
        <v>4990000</v>
      </c>
      <c r="AC28" s="66">
        <f t="shared" si="15"/>
        <v>191</v>
      </c>
      <c r="AD28" s="17">
        <v>50000</v>
      </c>
      <c r="AE28" s="19">
        <v>0</v>
      </c>
      <c r="AF28" s="21">
        <f t="shared" si="4"/>
        <v>5040000</v>
      </c>
      <c r="AG28" s="66">
        <f t="shared" si="16"/>
        <v>192</v>
      </c>
      <c r="AH28" s="17">
        <v>50000</v>
      </c>
      <c r="AI28" s="19">
        <v>0</v>
      </c>
      <c r="AJ28" s="21">
        <f t="shared" si="5"/>
        <v>5090000</v>
      </c>
      <c r="AK28" s="66">
        <f t="shared" si="17"/>
        <v>193</v>
      </c>
      <c r="AL28" s="17">
        <v>50000</v>
      </c>
      <c r="AM28" s="19">
        <v>0</v>
      </c>
      <c r="AN28" s="21">
        <f t="shared" si="6"/>
        <v>5140000</v>
      </c>
      <c r="AO28" s="66">
        <f t="shared" si="18"/>
        <v>194</v>
      </c>
      <c r="AP28" s="17">
        <v>50000</v>
      </c>
      <c r="AQ28" s="19">
        <v>0</v>
      </c>
      <c r="AR28" s="21">
        <f t="shared" si="7"/>
        <v>5190000</v>
      </c>
      <c r="AS28" s="66">
        <f t="shared" si="19"/>
        <v>195</v>
      </c>
      <c r="AT28" s="17">
        <v>50000</v>
      </c>
      <c r="AU28" s="19">
        <v>0</v>
      </c>
      <c r="AV28" s="21">
        <f t="shared" si="8"/>
        <v>5240000</v>
      </c>
      <c r="AW28" s="66">
        <f t="shared" si="20"/>
        <v>196</v>
      </c>
      <c r="AX28" s="17">
        <v>0</v>
      </c>
      <c r="AY28" s="19">
        <v>0</v>
      </c>
      <c r="AZ28" s="21">
        <f t="shared" si="9"/>
        <v>5240000</v>
      </c>
      <c r="BA28" s="66">
        <f t="shared" si="21"/>
        <v>196</v>
      </c>
      <c r="BB28" s="17">
        <v>0</v>
      </c>
      <c r="BC28" s="19">
        <v>0</v>
      </c>
      <c r="BD28" s="21">
        <f t="shared" si="10"/>
        <v>5240000</v>
      </c>
      <c r="BE28" s="66">
        <f t="shared" si="22"/>
        <v>196</v>
      </c>
      <c r="BF28" s="17">
        <v>0</v>
      </c>
      <c r="BG28" s="19">
        <v>0</v>
      </c>
      <c r="BH28" s="21">
        <f t="shared" si="11"/>
        <v>5240000</v>
      </c>
      <c r="BI28" s="71">
        <f t="shared" si="23"/>
        <v>196</v>
      </c>
    </row>
    <row r="29" spans="1:62" x14ac:dyDescent="0.2">
      <c r="A29" s="1">
        <v>27</v>
      </c>
      <c r="B29" s="1">
        <v>25</v>
      </c>
      <c r="C29" s="2" t="s">
        <v>64</v>
      </c>
      <c r="D29" s="2" t="s">
        <v>224</v>
      </c>
      <c r="E29" s="2" t="s">
        <v>65</v>
      </c>
      <c r="F29" s="2" t="s">
        <v>9</v>
      </c>
      <c r="G29" s="2" t="s">
        <v>10</v>
      </c>
      <c r="H29" s="3" t="s">
        <v>11</v>
      </c>
      <c r="J29" s="18">
        <v>100000</v>
      </c>
      <c r="L29" s="18">
        <v>4990000</v>
      </c>
      <c r="M29" s="66">
        <v>197</v>
      </c>
      <c r="N29" s="17">
        <v>50000</v>
      </c>
      <c r="O29" s="19">
        <v>0</v>
      </c>
      <c r="P29" s="20">
        <f t="shared" si="0"/>
        <v>5040000</v>
      </c>
      <c r="Q29" s="66">
        <f t="shared" si="12"/>
        <v>198</v>
      </c>
      <c r="R29" s="17">
        <v>50000</v>
      </c>
      <c r="S29" s="19">
        <v>0</v>
      </c>
      <c r="T29" s="21">
        <f t="shared" si="1"/>
        <v>5090000</v>
      </c>
      <c r="U29" s="66">
        <f t="shared" si="13"/>
        <v>199</v>
      </c>
      <c r="V29" s="17">
        <v>50000</v>
      </c>
      <c r="W29" s="19">
        <v>0</v>
      </c>
      <c r="X29" s="21">
        <f t="shared" si="2"/>
        <v>5140000</v>
      </c>
      <c r="Y29" s="66">
        <f t="shared" si="14"/>
        <v>200</v>
      </c>
      <c r="Z29" s="17">
        <v>50000</v>
      </c>
      <c r="AA29" s="19">
        <v>0</v>
      </c>
      <c r="AB29" s="21">
        <f t="shared" si="3"/>
        <v>5190000</v>
      </c>
      <c r="AC29" s="66">
        <f t="shared" si="15"/>
        <v>201</v>
      </c>
      <c r="AD29" s="17">
        <v>50000</v>
      </c>
      <c r="AE29" s="19">
        <v>0</v>
      </c>
      <c r="AF29" s="21">
        <f t="shared" si="4"/>
        <v>5240000</v>
      </c>
      <c r="AG29" s="66">
        <f t="shared" si="16"/>
        <v>202</v>
      </c>
      <c r="AH29" s="17">
        <v>50000</v>
      </c>
      <c r="AI29" s="19">
        <v>0</v>
      </c>
      <c r="AJ29" s="21">
        <f t="shared" si="5"/>
        <v>5290000</v>
      </c>
      <c r="AK29" s="66">
        <f t="shared" si="17"/>
        <v>203</v>
      </c>
      <c r="AL29" s="17">
        <v>50000</v>
      </c>
      <c r="AM29" s="19">
        <v>0</v>
      </c>
      <c r="AN29" s="21">
        <f t="shared" si="6"/>
        <v>5340000</v>
      </c>
      <c r="AO29" s="66">
        <f t="shared" si="18"/>
        <v>204</v>
      </c>
      <c r="AP29" s="17">
        <v>50000</v>
      </c>
      <c r="AQ29" s="19">
        <v>0</v>
      </c>
      <c r="AR29" s="21">
        <f t="shared" si="7"/>
        <v>5390000</v>
      </c>
      <c r="AS29" s="66">
        <f t="shared" si="19"/>
        <v>205</v>
      </c>
      <c r="AT29" s="17">
        <v>50000</v>
      </c>
      <c r="AU29" s="19">
        <v>0</v>
      </c>
      <c r="AV29" s="21">
        <f t="shared" si="8"/>
        <v>5440000</v>
      </c>
      <c r="AW29" s="66">
        <f t="shared" si="20"/>
        <v>206</v>
      </c>
      <c r="AX29" s="17">
        <v>0</v>
      </c>
      <c r="AY29" s="19">
        <v>0</v>
      </c>
      <c r="AZ29" s="21">
        <f t="shared" si="9"/>
        <v>5440000</v>
      </c>
      <c r="BA29" s="66">
        <f t="shared" si="21"/>
        <v>206</v>
      </c>
      <c r="BB29" s="17">
        <v>0</v>
      </c>
      <c r="BC29" s="19">
        <v>0</v>
      </c>
      <c r="BD29" s="21">
        <f t="shared" si="10"/>
        <v>5440000</v>
      </c>
      <c r="BE29" s="66">
        <f t="shared" si="22"/>
        <v>206</v>
      </c>
      <c r="BF29" s="17">
        <v>0</v>
      </c>
      <c r="BG29" s="19">
        <v>0</v>
      </c>
      <c r="BH29" s="21">
        <f t="shared" si="11"/>
        <v>5440000</v>
      </c>
      <c r="BI29" s="71">
        <f t="shared" si="23"/>
        <v>206</v>
      </c>
    </row>
    <row r="30" spans="1:62" x14ac:dyDescent="0.2">
      <c r="A30" s="1">
        <v>28</v>
      </c>
      <c r="B30" s="1">
        <v>26</v>
      </c>
      <c r="C30" s="2" t="s">
        <v>66</v>
      </c>
      <c r="D30" s="2" t="s">
        <v>224</v>
      </c>
      <c r="E30" s="2" t="s">
        <v>67</v>
      </c>
      <c r="F30" s="2" t="s">
        <v>9</v>
      </c>
      <c r="G30" s="2" t="s">
        <v>10</v>
      </c>
      <c r="H30" s="3" t="s">
        <v>11</v>
      </c>
      <c r="J30" s="18">
        <v>100000</v>
      </c>
      <c r="L30" s="18">
        <v>4990000</v>
      </c>
      <c r="M30" s="66">
        <v>197</v>
      </c>
      <c r="N30" s="17">
        <v>50000</v>
      </c>
      <c r="O30" s="19">
        <v>0</v>
      </c>
      <c r="P30" s="20">
        <f t="shared" si="0"/>
        <v>5040000</v>
      </c>
      <c r="Q30" s="66">
        <f t="shared" si="12"/>
        <v>198</v>
      </c>
      <c r="R30" s="17">
        <v>50000</v>
      </c>
      <c r="S30" s="19">
        <v>0</v>
      </c>
      <c r="T30" s="21">
        <f t="shared" si="1"/>
        <v>5090000</v>
      </c>
      <c r="U30" s="66">
        <f t="shared" si="13"/>
        <v>199</v>
      </c>
      <c r="V30" s="17">
        <v>50000</v>
      </c>
      <c r="W30" s="19">
        <v>0</v>
      </c>
      <c r="X30" s="21">
        <f t="shared" si="2"/>
        <v>5140000</v>
      </c>
      <c r="Y30" s="66">
        <f t="shared" si="14"/>
        <v>200</v>
      </c>
      <c r="Z30" s="17">
        <v>50000</v>
      </c>
      <c r="AA30" s="19">
        <v>0</v>
      </c>
      <c r="AB30" s="21">
        <f t="shared" si="3"/>
        <v>5190000</v>
      </c>
      <c r="AC30" s="66">
        <f t="shared" si="15"/>
        <v>201</v>
      </c>
      <c r="AD30" s="17">
        <v>50000</v>
      </c>
      <c r="AE30" s="19">
        <v>0</v>
      </c>
      <c r="AF30" s="21">
        <f t="shared" si="4"/>
        <v>5240000</v>
      </c>
      <c r="AG30" s="66">
        <f t="shared" si="16"/>
        <v>202</v>
      </c>
      <c r="AH30" s="17">
        <v>50000</v>
      </c>
      <c r="AI30" s="19">
        <v>0</v>
      </c>
      <c r="AJ30" s="21">
        <f t="shared" si="5"/>
        <v>5290000</v>
      </c>
      <c r="AK30" s="66">
        <f t="shared" si="17"/>
        <v>203</v>
      </c>
      <c r="AL30" s="17">
        <v>50000</v>
      </c>
      <c r="AM30" s="19">
        <v>0</v>
      </c>
      <c r="AN30" s="21">
        <f t="shared" si="6"/>
        <v>5340000</v>
      </c>
      <c r="AO30" s="66">
        <f t="shared" si="18"/>
        <v>204</v>
      </c>
      <c r="AP30" s="17">
        <v>50000</v>
      </c>
      <c r="AQ30" s="19">
        <v>0</v>
      </c>
      <c r="AR30" s="21">
        <f t="shared" si="7"/>
        <v>5390000</v>
      </c>
      <c r="AS30" s="66">
        <f t="shared" si="19"/>
        <v>205</v>
      </c>
      <c r="AT30" s="17">
        <v>50000</v>
      </c>
      <c r="AU30" s="19">
        <v>0</v>
      </c>
      <c r="AV30" s="21">
        <f t="shared" si="8"/>
        <v>5440000</v>
      </c>
      <c r="AW30" s="66">
        <f t="shared" si="20"/>
        <v>206</v>
      </c>
      <c r="AX30" s="17">
        <v>0</v>
      </c>
      <c r="AY30" s="19">
        <v>0</v>
      </c>
      <c r="AZ30" s="21">
        <f t="shared" si="9"/>
        <v>5440000</v>
      </c>
      <c r="BA30" s="66">
        <f t="shared" si="21"/>
        <v>206</v>
      </c>
      <c r="BB30" s="17">
        <v>0</v>
      </c>
      <c r="BC30" s="19">
        <v>0</v>
      </c>
      <c r="BD30" s="21">
        <f t="shared" si="10"/>
        <v>5440000</v>
      </c>
      <c r="BE30" s="66">
        <f t="shared" si="22"/>
        <v>206</v>
      </c>
      <c r="BF30" s="17">
        <v>0</v>
      </c>
      <c r="BG30" s="19">
        <v>0</v>
      </c>
      <c r="BH30" s="21">
        <f t="shared" si="11"/>
        <v>5440000</v>
      </c>
      <c r="BI30" s="71">
        <f t="shared" si="23"/>
        <v>206</v>
      </c>
    </row>
    <row r="31" spans="1:62" x14ac:dyDescent="0.2">
      <c r="A31" s="1">
        <v>29</v>
      </c>
      <c r="B31" s="1">
        <v>27</v>
      </c>
      <c r="C31" s="2" t="s">
        <v>68</v>
      </c>
      <c r="D31" s="2" t="s">
        <v>225</v>
      </c>
      <c r="E31" s="2" t="s">
        <v>69</v>
      </c>
      <c r="F31" s="2" t="s">
        <v>9</v>
      </c>
      <c r="G31" s="2" t="s">
        <v>10</v>
      </c>
      <c r="H31" s="3" t="s">
        <v>11</v>
      </c>
      <c r="J31" s="18">
        <v>100000</v>
      </c>
      <c r="L31" s="18">
        <v>4790000</v>
      </c>
      <c r="M31" s="66">
        <v>187</v>
      </c>
      <c r="N31" s="17">
        <v>50000</v>
      </c>
      <c r="O31" s="19">
        <v>0</v>
      </c>
      <c r="P31" s="20">
        <f t="shared" si="0"/>
        <v>4840000</v>
      </c>
      <c r="Q31" s="66">
        <f t="shared" si="12"/>
        <v>188</v>
      </c>
      <c r="R31" s="17">
        <v>50000</v>
      </c>
      <c r="S31" s="19">
        <v>0</v>
      </c>
      <c r="T31" s="21">
        <f t="shared" si="1"/>
        <v>4890000</v>
      </c>
      <c r="U31" s="66">
        <f t="shared" si="13"/>
        <v>189</v>
      </c>
      <c r="V31" s="17">
        <v>50000</v>
      </c>
      <c r="W31" s="19">
        <v>0</v>
      </c>
      <c r="X31" s="21">
        <f t="shared" si="2"/>
        <v>4940000</v>
      </c>
      <c r="Y31" s="66">
        <f t="shared" si="14"/>
        <v>190</v>
      </c>
      <c r="Z31" s="17">
        <v>50000</v>
      </c>
      <c r="AA31" s="19">
        <v>0</v>
      </c>
      <c r="AB31" s="21">
        <f t="shared" si="3"/>
        <v>4990000</v>
      </c>
      <c r="AC31" s="66">
        <f t="shared" si="15"/>
        <v>191</v>
      </c>
      <c r="AD31" s="17">
        <v>50000</v>
      </c>
      <c r="AE31" s="19">
        <v>0</v>
      </c>
      <c r="AF31" s="21">
        <f t="shared" si="4"/>
        <v>5040000</v>
      </c>
      <c r="AG31" s="66">
        <f t="shared" si="16"/>
        <v>192</v>
      </c>
      <c r="AH31" s="17">
        <v>50000</v>
      </c>
      <c r="AI31" s="19">
        <v>0</v>
      </c>
      <c r="AJ31" s="21">
        <f t="shared" si="5"/>
        <v>5090000</v>
      </c>
      <c r="AK31" s="66">
        <f t="shared" si="17"/>
        <v>193</v>
      </c>
      <c r="AL31" s="17">
        <v>50000</v>
      </c>
      <c r="AM31" s="19">
        <v>0</v>
      </c>
      <c r="AN31" s="21">
        <f t="shared" si="6"/>
        <v>5140000</v>
      </c>
      <c r="AO31" s="66">
        <f t="shared" si="18"/>
        <v>194</v>
      </c>
      <c r="AP31" s="17">
        <v>50000</v>
      </c>
      <c r="AQ31" s="19">
        <v>0</v>
      </c>
      <c r="AR31" s="21">
        <f t="shared" si="7"/>
        <v>5190000</v>
      </c>
      <c r="AS31" s="66">
        <f t="shared" si="19"/>
        <v>195</v>
      </c>
      <c r="AT31" s="17">
        <v>50000</v>
      </c>
      <c r="AU31" s="19">
        <v>0</v>
      </c>
      <c r="AV31" s="21">
        <f t="shared" si="8"/>
        <v>5240000</v>
      </c>
      <c r="AW31" s="66">
        <f t="shared" si="20"/>
        <v>196</v>
      </c>
      <c r="AX31" s="17">
        <v>0</v>
      </c>
      <c r="AY31" s="19">
        <v>0</v>
      </c>
      <c r="AZ31" s="21">
        <f t="shared" si="9"/>
        <v>5240000</v>
      </c>
      <c r="BA31" s="66">
        <f t="shared" si="21"/>
        <v>196</v>
      </c>
      <c r="BB31" s="17">
        <v>0</v>
      </c>
      <c r="BC31" s="19">
        <v>0</v>
      </c>
      <c r="BD31" s="21">
        <f t="shared" si="10"/>
        <v>5240000</v>
      </c>
      <c r="BE31" s="66">
        <f t="shared" si="22"/>
        <v>196</v>
      </c>
      <c r="BF31" s="17">
        <v>0</v>
      </c>
      <c r="BG31" s="19">
        <v>0</v>
      </c>
      <c r="BH31" s="21">
        <f t="shared" si="11"/>
        <v>5240000</v>
      </c>
      <c r="BI31" s="71">
        <f t="shared" si="23"/>
        <v>196</v>
      </c>
      <c r="BJ31" s="7"/>
    </row>
    <row r="32" spans="1:62" x14ac:dyDescent="0.2">
      <c r="A32" s="1">
        <v>30</v>
      </c>
      <c r="B32" s="1">
        <v>28</v>
      </c>
      <c r="C32" s="2" t="s">
        <v>70</v>
      </c>
      <c r="D32" s="2" t="s">
        <v>224</v>
      </c>
      <c r="E32" s="2" t="s">
        <v>71</v>
      </c>
      <c r="F32" s="2" t="s">
        <v>9</v>
      </c>
      <c r="G32" s="2" t="s">
        <v>10</v>
      </c>
      <c r="H32" s="3" t="s">
        <v>11</v>
      </c>
      <c r="J32" s="18">
        <v>100000</v>
      </c>
      <c r="L32" s="18">
        <v>4990000</v>
      </c>
      <c r="M32" s="67">
        <v>197</v>
      </c>
      <c r="N32" s="17">
        <v>50000</v>
      </c>
      <c r="O32" s="19">
        <v>0</v>
      </c>
      <c r="P32" s="20">
        <f t="shared" si="0"/>
        <v>5040000</v>
      </c>
      <c r="Q32" s="67">
        <f t="shared" si="12"/>
        <v>198</v>
      </c>
      <c r="R32" s="17">
        <v>50000</v>
      </c>
      <c r="S32" s="19">
        <v>0</v>
      </c>
      <c r="T32" s="21">
        <f t="shared" si="1"/>
        <v>5090000</v>
      </c>
      <c r="U32" s="67">
        <f t="shared" si="13"/>
        <v>199</v>
      </c>
      <c r="V32" s="17">
        <v>50000</v>
      </c>
      <c r="W32" s="19">
        <v>0</v>
      </c>
      <c r="X32" s="21">
        <f t="shared" si="2"/>
        <v>5140000</v>
      </c>
      <c r="Y32" s="67">
        <f t="shared" si="14"/>
        <v>200</v>
      </c>
      <c r="Z32" s="17">
        <v>50000</v>
      </c>
      <c r="AA32" s="19">
        <v>0</v>
      </c>
      <c r="AB32" s="21">
        <f t="shared" si="3"/>
        <v>5190000</v>
      </c>
      <c r="AC32" s="67">
        <f t="shared" si="15"/>
        <v>201</v>
      </c>
      <c r="AD32" s="17">
        <v>50000</v>
      </c>
      <c r="AE32" s="19">
        <v>0</v>
      </c>
      <c r="AF32" s="21">
        <f t="shared" si="4"/>
        <v>5240000</v>
      </c>
      <c r="AG32" s="67">
        <f t="shared" si="16"/>
        <v>202</v>
      </c>
      <c r="AH32" s="17">
        <v>50000</v>
      </c>
      <c r="AI32" s="19">
        <v>0</v>
      </c>
      <c r="AJ32" s="21">
        <f t="shared" si="5"/>
        <v>5290000</v>
      </c>
      <c r="AK32" s="67">
        <f t="shared" si="17"/>
        <v>203</v>
      </c>
      <c r="AL32" s="17">
        <v>50000</v>
      </c>
      <c r="AM32" s="19">
        <v>0</v>
      </c>
      <c r="AN32" s="21">
        <f t="shared" si="6"/>
        <v>5340000</v>
      </c>
      <c r="AO32" s="67">
        <f t="shared" si="18"/>
        <v>204</v>
      </c>
      <c r="AP32" s="17">
        <v>50000</v>
      </c>
      <c r="AQ32" s="19">
        <v>0</v>
      </c>
      <c r="AR32" s="21">
        <f t="shared" si="7"/>
        <v>5390000</v>
      </c>
      <c r="AS32" s="67">
        <f t="shared" si="19"/>
        <v>205</v>
      </c>
      <c r="AT32" s="17">
        <v>50000</v>
      </c>
      <c r="AU32" s="19">
        <v>0</v>
      </c>
      <c r="AV32" s="21">
        <f t="shared" si="8"/>
        <v>5440000</v>
      </c>
      <c r="AW32" s="67">
        <f t="shared" si="20"/>
        <v>206</v>
      </c>
      <c r="AX32" s="17">
        <v>0</v>
      </c>
      <c r="AY32" s="19">
        <v>0</v>
      </c>
      <c r="AZ32" s="21">
        <f t="shared" si="9"/>
        <v>5440000</v>
      </c>
      <c r="BA32" s="67">
        <f t="shared" si="21"/>
        <v>206</v>
      </c>
      <c r="BB32" s="17">
        <v>0</v>
      </c>
      <c r="BC32" s="19">
        <v>0</v>
      </c>
      <c r="BD32" s="21">
        <f t="shared" si="10"/>
        <v>5440000</v>
      </c>
      <c r="BE32" s="67">
        <f t="shared" si="22"/>
        <v>206</v>
      </c>
      <c r="BF32" s="17">
        <v>0</v>
      </c>
      <c r="BG32" s="19">
        <v>0</v>
      </c>
      <c r="BH32" s="21">
        <f t="shared" si="11"/>
        <v>5440000</v>
      </c>
      <c r="BI32" s="72">
        <f t="shared" si="23"/>
        <v>206</v>
      </c>
    </row>
    <row r="33" spans="1:61" x14ac:dyDescent="0.2">
      <c r="A33" s="1">
        <v>31</v>
      </c>
      <c r="B33" s="1">
        <v>29</v>
      </c>
      <c r="C33" s="2" t="s">
        <v>72</v>
      </c>
      <c r="D33" s="2" t="s">
        <v>225</v>
      </c>
      <c r="E33" s="2" t="s">
        <v>73</v>
      </c>
      <c r="F33" s="2" t="s">
        <v>9</v>
      </c>
      <c r="G33" s="2" t="s">
        <v>10</v>
      </c>
      <c r="H33" s="3" t="s">
        <v>21</v>
      </c>
      <c r="J33" s="18">
        <v>100000</v>
      </c>
      <c r="L33" s="18">
        <v>4990000</v>
      </c>
      <c r="M33" s="66">
        <v>197</v>
      </c>
      <c r="N33" s="17">
        <v>50000</v>
      </c>
      <c r="O33" s="19">
        <v>0</v>
      </c>
      <c r="P33" s="20">
        <f t="shared" si="0"/>
        <v>5040000</v>
      </c>
      <c r="Q33" s="66">
        <f t="shared" si="12"/>
        <v>198</v>
      </c>
      <c r="R33" s="17">
        <v>50000</v>
      </c>
      <c r="S33" s="19">
        <v>0</v>
      </c>
      <c r="T33" s="21">
        <f t="shared" si="1"/>
        <v>5090000</v>
      </c>
      <c r="U33" s="66">
        <f t="shared" si="13"/>
        <v>199</v>
      </c>
      <c r="V33" s="17">
        <v>50000</v>
      </c>
      <c r="W33" s="19">
        <v>0</v>
      </c>
      <c r="X33" s="21">
        <f t="shared" si="2"/>
        <v>5140000</v>
      </c>
      <c r="Y33" s="66">
        <f t="shared" si="14"/>
        <v>200</v>
      </c>
      <c r="Z33" s="17">
        <v>50000</v>
      </c>
      <c r="AA33" s="19">
        <v>0</v>
      </c>
      <c r="AB33" s="21">
        <f t="shared" si="3"/>
        <v>5190000</v>
      </c>
      <c r="AC33" s="66">
        <f t="shared" si="15"/>
        <v>201</v>
      </c>
      <c r="AD33" s="17">
        <v>50000</v>
      </c>
      <c r="AE33" s="19">
        <v>0</v>
      </c>
      <c r="AF33" s="21">
        <f t="shared" si="4"/>
        <v>5240000</v>
      </c>
      <c r="AG33" s="66">
        <f t="shared" si="16"/>
        <v>202</v>
      </c>
      <c r="AH33" s="17">
        <v>50000</v>
      </c>
      <c r="AI33" s="19">
        <v>0</v>
      </c>
      <c r="AJ33" s="21">
        <f t="shared" si="5"/>
        <v>5290000</v>
      </c>
      <c r="AK33" s="66">
        <f t="shared" si="17"/>
        <v>203</v>
      </c>
      <c r="AL33" s="17">
        <v>50000</v>
      </c>
      <c r="AM33" s="19">
        <v>0</v>
      </c>
      <c r="AN33" s="21">
        <f t="shared" si="6"/>
        <v>5340000</v>
      </c>
      <c r="AO33" s="66">
        <f t="shared" si="18"/>
        <v>204</v>
      </c>
      <c r="AP33" s="17">
        <v>50000</v>
      </c>
      <c r="AQ33" s="19">
        <v>0</v>
      </c>
      <c r="AR33" s="21">
        <f t="shared" si="7"/>
        <v>5390000</v>
      </c>
      <c r="AS33" s="66">
        <f t="shared" si="19"/>
        <v>205</v>
      </c>
      <c r="AT33" s="17">
        <v>50000</v>
      </c>
      <c r="AU33" s="19">
        <v>0</v>
      </c>
      <c r="AV33" s="21">
        <f t="shared" si="8"/>
        <v>5440000</v>
      </c>
      <c r="AW33" s="66">
        <f t="shared" si="20"/>
        <v>206</v>
      </c>
      <c r="AX33" s="17">
        <v>0</v>
      </c>
      <c r="AY33" s="19">
        <v>0</v>
      </c>
      <c r="AZ33" s="21">
        <f t="shared" si="9"/>
        <v>5440000</v>
      </c>
      <c r="BA33" s="66">
        <f t="shared" si="21"/>
        <v>206</v>
      </c>
      <c r="BB33" s="17">
        <v>0</v>
      </c>
      <c r="BC33" s="19">
        <v>0</v>
      </c>
      <c r="BD33" s="21">
        <f t="shared" si="10"/>
        <v>5440000</v>
      </c>
      <c r="BE33" s="66">
        <f t="shared" si="22"/>
        <v>206</v>
      </c>
      <c r="BF33" s="17">
        <v>0</v>
      </c>
      <c r="BG33" s="19">
        <v>0</v>
      </c>
      <c r="BH33" s="21">
        <f t="shared" si="11"/>
        <v>5440000</v>
      </c>
      <c r="BI33" s="71">
        <f t="shared" si="23"/>
        <v>206</v>
      </c>
    </row>
    <row r="34" spans="1:61" x14ac:dyDescent="0.2">
      <c r="A34" s="1">
        <v>32</v>
      </c>
      <c r="B34" s="1">
        <v>30</v>
      </c>
      <c r="C34" s="2" t="s">
        <v>74</v>
      </c>
      <c r="D34" s="2" t="s">
        <v>224</v>
      </c>
      <c r="E34" s="2" t="s">
        <v>75</v>
      </c>
      <c r="F34" s="2" t="s">
        <v>9</v>
      </c>
      <c r="G34" s="2" t="s">
        <v>10</v>
      </c>
      <c r="H34" s="3" t="s">
        <v>11</v>
      </c>
      <c r="J34" s="18">
        <v>100000</v>
      </c>
      <c r="L34" s="18">
        <v>4370000</v>
      </c>
      <c r="M34" s="66">
        <v>166</v>
      </c>
      <c r="N34" s="17">
        <v>50000</v>
      </c>
      <c r="O34" s="19">
        <v>0</v>
      </c>
      <c r="P34" s="20">
        <f t="shared" si="0"/>
        <v>4420000</v>
      </c>
      <c r="Q34" s="66">
        <f t="shared" si="12"/>
        <v>167</v>
      </c>
      <c r="R34" s="17">
        <v>50000</v>
      </c>
      <c r="S34" s="19">
        <v>0</v>
      </c>
      <c r="T34" s="21">
        <f t="shared" si="1"/>
        <v>4470000</v>
      </c>
      <c r="U34" s="66">
        <f t="shared" si="13"/>
        <v>168</v>
      </c>
      <c r="V34" s="17">
        <v>50000</v>
      </c>
      <c r="W34" s="19">
        <v>0</v>
      </c>
      <c r="X34" s="21">
        <f t="shared" si="2"/>
        <v>4520000</v>
      </c>
      <c r="Y34" s="66">
        <f t="shared" si="14"/>
        <v>169</v>
      </c>
      <c r="Z34" s="17">
        <v>50000</v>
      </c>
      <c r="AA34" s="19">
        <v>0</v>
      </c>
      <c r="AB34" s="21">
        <f t="shared" si="3"/>
        <v>4570000</v>
      </c>
      <c r="AC34" s="66">
        <f t="shared" si="15"/>
        <v>170</v>
      </c>
      <c r="AD34" s="17">
        <v>50000</v>
      </c>
      <c r="AE34" s="19">
        <v>0</v>
      </c>
      <c r="AF34" s="21">
        <f t="shared" si="4"/>
        <v>4620000</v>
      </c>
      <c r="AG34" s="66">
        <f t="shared" si="16"/>
        <v>171</v>
      </c>
      <c r="AH34" s="17">
        <v>50000</v>
      </c>
      <c r="AI34" s="19">
        <v>0</v>
      </c>
      <c r="AJ34" s="21">
        <f t="shared" si="5"/>
        <v>4670000</v>
      </c>
      <c r="AK34" s="66">
        <f t="shared" si="17"/>
        <v>172</v>
      </c>
      <c r="AL34" s="17">
        <v>50000</v>
      </c>
      <c r="AM34" s="19">
        <v>0</v>
      </c>
      <c r="AN34" s="21">
        <f t="shared" si="6"/>
        <v>4720000</v>
      </c>
      <c r="AO34" s="66">
        <f t="shared" si="18"/>
        <v>173</v>
      </c>
      <c r="AP34" s="17">
        <v>50000</v>
      </c>
      <c r="AQ34" s="19">
        <v>0</v>
      </c>
      <c r="AR34" s="21">
        <f t="shared" si="7"/>
        <v>4770000</v>
      </c>
      <c r="AS34" s="66">
        <f t="shared" si="19"/>
        <v>174</v>
      </c>
      <c r="AT34" s="17">
        <v>50000</v>
      </c>
      <c r="AU34" s="19">
        <v>0</v>
      </c>
      <c r="AV34" s="21">
        <f t="shared" si="8"/>
        <v>4820000</v>
      </c>
      <c r="AW34" s="66">
        <f t="shared" si="20"/>
        <v>175</v>
      </c>
      <c r="AX34" s="17">
        <v>0</v>
      </c>
      <c r="AY34" s="19">
        <v>0</v>
      </c>
      <c r="AZ34" s="21">
        <f t="shared" si="9"/>
        <v>4820000</v>
      </c>
      <c r="BA34" s="66">
        <f t="shared" si="21"/>
        <v>175</v>
      </c>
      <c r="BB34" s="17">
        <v>0</v>
      </c>
      <c r="BC34" s="19">
        <v>0</v>
      </c>
      <c r="BD34" s="21">
        <f t="shared" si="10"/>
        <v>4820000</v>
      </c>
      <c r="BE34" s="66">
        <f t="shared" si="22"/>
        <v>175</v>
      </c>
      <c r="BF34" s="17">
        <v>0</v>
      </c>
      <c r="BG34" s="19">
        <v>0</v>
      </c>
      <c r="BH34" s="21">
        <f t="shared" si="11"/>
        <v>4820000</v>
      </c>
      <c r="BI34" s="71">
        <f t="shared" si="23"/>
        <v>175</v>
      </c>
    </row>
    <row r="35" spans="1:61" x14ac:dyDescent="0.2">
      <c r="A35" s="1">
        <v>33</v>
      </c>
      <c r="B35" s="1">
        <v>31</v>
      </c>
      <c r="C35" s="2" t="s">
        <v>76</v>
      </c>
      <c r="D35" s="2" t="s">
        <v>224</v>
      </c>
      <c r="E35" s="2" t="s">
        <v>77</v>
      </c>
      <c r="F35" s="2" t="s">
        <v>9</v>
      </c>
      <c r="G35" s="2" t="s">
        <v>10</v>
      </c>
      <c r="H35" s="3" t="s">
        <v>11</v>
      </c>
      <c r="J35" s="18">
        <v>100000</v>
      </c>
      <c r="L35" s="18">
        <v>1970000</v>
      </c>
      <c r="M35" s="66">
        <v>46</v>
      </c>
      <c r="N35" s="17">
        <v>50000</v>
      </c>
      <c r="O35" s="19">
        <v>0</v>
      </c>
      <c r="P35" s="20">
        <f t="shared" si="0"/>
        <v>2020000</v>
      </c>
      <c r="Q35" s="66">
        <f t="shared" si="12"/>
        <v>47</v>
      </c>
      <c r="R35" s="17">
        <v>50000</v>
      </c>
      <c r="S35" s="19">
        <v>0</v>
      </c>
      <c r="T35" s="21">
        <f t="shared" si="1"/>
        <v>2070000</v>
      </c>
      <c r="U35" s="66">
        <f t="shared" si="13"/>
        <v>48</v>
      </c>
      <c r="V35" s="17">
        <v>50000</v>
      </c>
      <c r="W35" s="19">
        <v>0</v>
      </c>
      <c r="X35" s="21">
        <f t="shared" si="2"/>
        <v>2120000</v>
      </c>
      <c r="Y35" s="66">
        <f t="shared" si="14"/>
        <v>49</v>
      </c>
      <c r="Z35" s="17">
        <v>50000</v>
      </c>
      <c r="AA35" s="19">
        <v>0</v>
      </c>
      <c r="AB35" s="21">
        <f t="shared" si="3"/>
        <v>2170000</v>
      </c>
      <c r="AC35" s="66">
        <f t="shared" si="15"/>
        <v>50</v>
      </c>
      <c r="AD35" s="17">
        <v>50000</v>
      </c>
      <c r="AE35" s="19">
        <v>0</v>
      </c>
      <c r="AF35" s="21">
        <f t="shared" si="4"/>
        <v>2220000</v>
      </c>
      <c r="AG35" s="66">
        <f t="shared" si="16"/>
        <v>51</v>
      </c>
      <c r="AH35" s="17">
        <v>50000</v>
      </c>
      <c r="AI35" s="19">
        <v>0</v>
      </c>
      <c r="AJ35" s="21">
        <f t="shared" si="5"/>
        <v>2270000</v>
      </c>
      <c r="AK35" s="66">
        <f t="shared" si="17"/>
        <v>52</v>
      </c>
      <c r="AL35" s="17">
        <v>50000</v>
      </c>
      <c r="AM35" s="19">
        <v>0</v>
      </c>
      <c r="AN35" s="21">
        <f t="shared" si="6"/>
        <v>2320000</v>
      </c>
      <c r="AO35" s="66">
        <f t="shared" si="18"/>
        <v>53</v>
      </c>
      <c r="AP35" s="17">
        <v>50000</v>
      </c>
      <c r="AQ35" s="19">
        <v>0</v>
      </c>
      <c r="AR35" s="21">
        <f t="shared" si="7"/>
        <v>2370000</v>
      </c>
      <c r="AS35" s="66">
        <f t="shared" si="19"/>
        <v>54</v>
      </c>
      <c r="AT35" s="17">
        <v>50000</v>
      </c>
      <c r="AU35" s="19">
        <v>0</v>
      </c>
      <c r="AV35" s="21">
        <f t="shared" si="8"/>
        <v>2420000</v>
      </c>
      <c r="AW35" s="66">
        <f t="shared" si="20"/>
        <v>55</v>
      </c>
      <c r="AX35" s="17">
        <v>0</v>
      </c>
      <c r="AY35" s="19">
        <v>0</v>
      </c>
      <c r="AZ35" s="21">
        <f t="shared" si="9"/>
        <v>2420000</v>
      </c>
      <c r="BA35" s="66">
        <f t="shared" si="21"/>
        <v>55</v>
      </c>
      <c r="BB35" s="17">
        <v>0</v>
      </c>
      <c r="BC35" s="19">
        <v>0</v>
      </c>
      <c r="BD35" s="21">
        <f t="shared" si="10"/>
        <v>2420000</v>
      </c>
      <c r="BE35" s="66">
        <f t="shared" si="22"/>
        <v>55</v>
      </c>
      <c r="BF35" s="17">
        <v>0</v>
      </c>
      <c r="BG35" s="19">
        <v>0</v>
      </c>
      <c r="BH35" s="21">
        <f t="shared" si="11"/>
        <v>2420000</v>
      </c>
      <c r="BI35" s="71">
        <f t="shared" si="23"/>
        <v>55</v>
      </c>
    </row>
    <row r="36" spans="1:61" x14ac:dyDescent="0.2">
      <c r="A36" s="1">
        <v>34</v>
      </c>
      <c r="B36" s="1">
        <v>32</v>
      </c>
      <c r="C36" s="2" t="s">
        <v>78</v>
      </c>
      <c r="D36" s="2" t="s">
        <v>225</v>
      </c>
      <c r="E36" s="2" t="s">
        <v>79</v>
      </c>
      <c r="F36" s="2" t="s">
        <v>9</v>
      </c>
      <c r="G36" s="2" t="s">
        <v>10</v>
      </c>
      <c r="H36" s="3" t="s">
        <v>11</v>
      </c>
      <c r="J36" s="18">
        <v>100000</v>
      </c>
      <c r="L36" s="18">
        <v>4990000</v>
      </c>
      <c r="M36" s="66">
        <v>197</v>
      </c>
      <c r="N36" s="17">
        <v>50000</v>
      </c>
      <c r="O36" s="19">
        <v>0</v>
      </c>
      <c r="P36" s="20">
        <f t="shared" si="0"/>
        <v>5040000</v>
      </c>
      <c r="Q36" s="66">
        <f t="shared" si="12"/>
        <v>198</v>
      </c>
      <c r="R36" s="17">
        <v>50000</v>
      </c>
      <c r="S36" s="19">
        <v>0</v>
      </c>
      <c r="T36" s="21">
        <f t="shared" si="1"/>
        <v>5090000</v>
      </c>
      <c r="U36" s="66">
        <f t="shared" si="13"/>
        <v>199</v>
      </c>
      <c r="V36" s="17">
        <v>50000</v>
      </c>
      <c r="W36" s="19">
        <v>0</v>
      </c>
      <c r="X36" s="21">
        <f t="shared" si="2"/>
        <v>5140000</v>
      </c>
      <c r="Y36" s="66">
        <f t="shared" si="14"/>
        <v>200</v>
      </c>
      <c r="Z36" s="17">
        <v>50000</v>
      </c>
      <c r="AA36" s="19">
        <v>0</v>
      </c>
      <c r="AB36" s="21">
        <f t="shared" ref="AB36:AB64" si="24">X36+Z36+AA36</f>
        <v>5190000</v>
      </c>
      <c r="AC36" s="66">
        <f t="shared" si="15"/>
        <v>201</v>
      </c>
      <c r="AD36" s="17">
        <v>50000</v>
      </c>
      <c r="AE36" s="19">
        <v>0</v>
      </c>
      <c r="AF36" s="21">
        <f t="shared" ref="AF36:AF59" si="25">AB36+AD36+AE36</f>
        <v>5240000</v>
      </c>
      <c r="AG36" s="66">
        <f t="shared" si="16"/>
        <v>202</v>
      </c>
      <c r="AH36" s="17">
        <v>50000</v>
      </c>
      <c r="AI36" s="19">
        <v>0</v>
      </c>
      <c r="AJ36" s="21">
        <f t="shared" ref="AJ36:AJ54" si="26">AF36+AH36+AI36</f>
        <v>5290000</v>
      </c>
      <c r="AK36" s="66">
        <f t="shared" si="17"/>
        <v>203</v>
      </c>
      <c r="AL36" s="17">
        <v>50000</v>
      </c>
      <c r="AM36" s="19">
        <v>0</v>
      </c>
      <c r="AN36" s="21">
        <f t="shared" si="6"/>
        <v>5340000</v>
      </c>
      <c r="AO36" s="66">
        <f t="shared" si="18"/>
        <v>204</v>
      </c>
      <c r="AP36" s="17">
        <v>50000</v>
      </c>
      <c r="AQ36" s="19">
        <v>0</v>
      </c>
      <c r="AR36" s="21">
        <f t="shared" si="7"/>
        <v>5390000</v>
      </c>
      <c r="AS36" s="66">
        <f t="shared" si="19"/>
        <v>205</v>
      </c>
      <c r="AT36" s="17">
        <v>50000</v>
      </c>
      <c r="AU36" s="19">
        <v>0</v>
      </c>
      <c r="AV36" s="21">
        <f t="shared" si="8"/>
        <v>5440000</v>
      </c>
      <c r="AW36" s="66">
        <f t="shared" si="20"/>
        <v>206</v>
      </c>
      <c r="AX36" s="17">
        <v>0</v>
      </c>
      <c r="AY36" s="19">
        <v>0</v>
      </c>
      <c r="AZ36" s="21">
        <f t="shared" si="9"/>
        <v>5440000</v>
      </c>
      <c r="BA36" s="66">
        <f t="shared" si="21"/>
        <v>206</v>
      </c>
      <c r="BB36" s="17">
        <v>0</v>
      </c>
      <c r="BC36" s="19">
        <v>0</v>
      </c>
      <c r="BD36" s="21">
        <f t="shared" si="10"/>
        <v>5440000</v>
      </c>
      <c r="BE36" s="66">
        <f t="shared" si="22"/>
        <v>206</v>
      </c>
      <c r="BF36" s="17">
        <v>0</v>
      </c>
      <c r="BG36" s="19">
        <v>0</v>
      </c>
      <c r="BH36" s="21">
        <f t="shared" si="11"/>
        <v>5440000</v>
      </c>
      <c r="BI36" s="71">
        <f t="shared" si="23"/>
        <v>206</v>
      </c>
    </row>
    <row r="37" spans="1:61" x14ac:dyDescent="0.2">
      <c r="A37" s="1">
        <v>35</v>
      </c>
      <c r="B37" s="1">
        <v>33</v>
      </c>
      <c r="C37" s="2" t="s">
        <v>80</v>
      </c>
      <c r="D37" s="2" t="s">
        <v>224</v>
      </c>
      <c r="E37" s="2" t="s">
        <v>81</v>
      </c>
      <c r="F37" s="2" t="s">
        <v>9</v>
      </c>
      <c r="G37" s="2" t="s">
        <v>10</v>
      </c>
      <c r="H37" s="3" t="s">
        <v>11</v>
      </c>
      <c r="J37" s="18">
        <v>100000</v>
      </c>
      <c r="L37" s="18">
        <v>4990000</v>
      </c>
      <c r="M37" s="66">
        <v>197</v>
      </c>
      <c r="N37" s="17">
        <v>50000</v>
      </c>
      <c r="O37" s="19">
        <v>0</v>
      </c>
      <c r="P37" s="20">
        <f t="shared" si="0"/>
        <v>5040000</v>
      </c>
      <c r="Q37" s="66">
        <f t="shared" si="12"/>
        <v>198</v>
      </c>
      <c r="R37" s="17">
        <v>50000</v>
      </c>
      <c r="S37" s="19">
        <v>0</v>
      </c>
      <c r="T37" s="21">
        <f t="shared" si="1"/>
        <v>5090000</v>
      </c>
      <c r="U37" s="66">
        <f t="shared" si="13"/>
        <v>199</v>
      </c>
      <c r="V37" s="17">
        <v>50000</v>
      </c>
      <c r="W37" s="19">
        <v>0</v>
      </c>
      <c r="X37" s="21">
        <f t="shared" si="2"/>
        <v>5140000</v>
      </c>
      <c r="Y37" s="66">
        <f t="shared" si="14"/>
        <v>200</v>
      </c>
      <c r="Z37" s="17">
        <v>50000</v>
      </c>
      <c r="AA37" s="19">
        <v>0</v>
      </c>
      <c r="AB37" s="21">
        <f t="shared" si="24"/>
        <v>5190000</v>
      </c>
      <c r="AC37" s="66">
        <f t="shared" si="15"/>
        <v>201</v>
      </c>
      <c r="AD37" s="17">
        <v>50000</v>
      </c>
      <c r="AE37" s="19">
        <v>0</v>
      </c>
      <c r="AF37" s="21">
        <f t="shared" si="25"/>
        <v>5240000</v>
      </c>
      <c r="AG37" s="66">
        <f t="shared" si="16"/>
        <v>202</v>
      </c>
      <c r="AH37" s="17">
        <v>50000</v>
      </c>
      <c r="AI37" s="19">
        <v>0</v>
      </c>
      <c r="AJ37" s="21">
        <f t="shared" si="26"/>
        <v>5290000</v>
      </c>
      <c r="AK37" s="66">
        <f t="shared" si="17"/>
        <v>203</v>
      </c>
      <c r="AL37" s="17">
        <v>50000</v>
      </c>
      <c r="AM37" s="19">
        <v>0</v>
      </c>
      <c r="AN37" s="21">
        <f t="shared" si="6"/>
        <v>5340000</v>
      </c>
      <c r="AO37" s="66">
        <f t="shared" si="18"/>
        <v>204</v>
      </c>
      <c r="AP37" s="17">
        <v>50000</v>
      </c>
      <c r="AQ37" s="19">
        <v>0</v>
      </c>
      <c r="AR37" s="21">
        <f t="shared" si="7"/>
        <v>5390000</v>
      </c>
      <c r="AS37" s="66">
        <f t="shared" si="19"/>
        <v>205</v>
      </c>
      <c r="AT37" s="17">
        <v>50000</v>
      </c>
      <c r="AU37" s="19">
        <v>0</v>
      </c>
      <c r="AV37" s="21">
        <f t="shared" si="8"/>
        <v>5440000</v>
      </c>
      <c r="AW37" s="66">
        <f t="shared" si="20"/>
        <v>206</v>
      </c>
      <c r="AX37" s="17">
        <v>0</v>
      </c>
      <c r="AY37" s="19">
        <v>0</v>
      </c>
      <c r="AZ37" s="21">
        <f t="shared" si="9"/>
        <v>5440000</v>
      </c>
      <c r="BA37" s="66">
        <f t="shared" si="21"/>
        <v>206</v>
      </c>
      <c r="BB37" s="17">
        <v>0</v>
      </c>
      <c r="BC37" s="19">
        <v>0</v>
      </c>
      <c r="BD37" s="21">
        <f t="shared" si="10"/>
        <v>5440000</v>
      </c>
      <c r="BE37" s="66">
        <f t="shared" si="22"/>
        <v>206</v>
      </c>
      <c r="BF37" s="17">
        <v>0</v>
      </c>
      <c r="BG37" s="19">
        <v>0</v>
      </c>
      <c r="BH37" s="21">
        <f t="shared" si="11"/>
        <v>5440000</v>
      </c>
      <c r="BI37" s="71">
        <f t="shared" si="23"/>
        <v>206</v>
      </c>
    </row>
    <row r="38" spans="1:61" x14ac:dyDescent="0.2">
      <c r="A38" s="1">
        <v>36</v>
      </c>
      <c r="B38" s="1">
        <v>34</v>
      </c>
      <c r="C38" s="2" t="s">
        <v>82</v>
      </c>
      <c r="D38" s="2" t="s">
        <v>224</v>
      </c>
      <c r="E38" s="2" t="s">
        <v>83</v>
      </c>
      <c r="F38" s="2" t="s">
        <v>9</v>
      </c>
      <c r="G38" s="2" t="s">
        <v>10</v>
      </c>
      <c r="H38" s="3" t="s">
        <v>11</v>
      </c>
      <c r="J38" s="18">
        <v>100000</v>
      </c>
      <c r="L38" s="18">
        <v>3430000</v>
      </c>
      <c r="M38" s="67">
        <v>119</v>
      </c>
      <c r="N38" s="17">
        <v>50000</v>
      </c>
      <c r="O38" s="19">
        <v>0</v>
      </c>
      <c r="P38" s="20">
        <f t="shared" si="0"/>
        <v>3480000</v>
      </c>
      <c r="Q38" s="67">
        <f t="shared" si="12"/>
        <v>120</v>
      </c>
      <c r="R38" s="17">
        <v>50000</v>
      </c>
      <c r="S38" s="19">
        <v>0</v>
      </c>
      <c r="T38" s="21">
        <f t="shared" si="1"/>
        <v>3530000</v>
      </c>
      <c r="U38" s="67">
        <f t="shared" si="13"/>
        <v>121</v>
      </c>
      <c r="V38" s="17">
        <v>50000</v>
      </c>
      <c r="W38" s="19">
        <v>0</v>
      </c>
      <c r="X38" s="21">
        <f t="shared" si="2"/>
        <v>3580000</v>
      </c>
      <c r="Y38" s="67">
        <f t="shared" si="14"/>
        <v>122</v>
      </c>
      <c r="Z38" s="17">
        <v>50000</v>
      </c>
      <c r="AA38" s="19">
        <v>0</v>
      </c>
      <c r="AB38" s="21">
        <f t="shared" si="24"/>
        <v>3630000</v>
      </c>
      <c r="AC38" s="67">
        <f t="shared" si="15"/>
        <v>123</v>
      </c>
      <c r="AD38" s="17">
        <v>50000</v>
      </c>
      <c r="AE38" s="19">
        <v>0</v>
      </c>
      <c r="AF38" s="21">
        <f t="shared" si="25"/>
        <v>3680000</v>
      </c>
      <c r="AG38" s="67">
        <f t="shared" si="16"/>
        <v>124</v>
      </c>
      <c r="AH38" s="17">
        <v>50000</v>
      </c>
      <c r="AI38" s="19">
        <v>0</v>
      </c>
      <c r="AJ38" s="21">
        <f t="shared" si="26"/>
        <v>3730000</v>
      </c>
      <c r="AK38" s="67">
        <f t="shared" si="17"/>
        <v>125</v>
      </c>
      <c r="AL38" s="17">
        <v>50000</v>
      </c>
      <c r="AM38" s="19">
        <v>0</v>
      </c>
      <c r="AN38" s="21">
        <f t="shared" si="6"/>
        <v>3780000</v>
      </c>
      <c r="AO38" s="67">
        <f t="shared" si="18"/>
        <v>126</v>
      </c>
      <c r="AP38" s="17">
        <v>50000</v>
      </c>
      <c r="AQ38" s="19">
        <v>0</v>
      </c>
      <c r="AR38" s="21">
        <f t="shared" si="7"/>
        <v>3830000</v>
      </c>
      <c r="AS38" s="67">
        <f t="shared" si="19"/>
        <v>127</v>
      </c>
      <c r="AT38" s="17">
        <v>50000</v>
      </c>
      <c r="AU38" s="19">
        <v>0</v>
      </c>
      <c r="AV38" s="21">
        <f t="shared" si="8"/>
        <v>3880000</v>
      </c>
      <c r="AW38" s="67">
        <f t="shared" si="20"/>
        <v>128</v>
      </c>
      <c r="AX38" s="17">
        <v>0</v>
      </c>
      <c r="AY38" s="19">
        <v>0</v>
      </c>
      <c r="AZ38" s="21">
        <f t="shared" si="9"/>
        <v>3880000</v>
      </c>
      <c r="BA38" s="67">
        <f t="shared" si="21"/>
        <v>128</v>
      </c>
      <c r="BB38" s="17">
        <v>0</v>
      </c>
      <c r="BC38" s="19">
        <v>0</v>
      </c>
      <c r="BD38" s="21">
        <f t="shared" si="10"/>
        <v>3880000</v>
      </c>
      <c r="BE38" s="67">
        <f t="shared" si="22"/>
        <v>128</v>
      </c>
      <c r="BF38" s="17">
        <v>0</v>
      </c>
      <c r="BG38" s="19">
        <v>0</v>
      </c>
      <c r="BH38" s="21">
        <f t="shared" si="11"/>
        <v>3880000</v>
      </c>
      <c r="BI38" s="72">
        <f t="shared" si="23"/>
        <v>128</v>
      </c>
    </row>
    <row r="39" spans="1:61" x14ac:dyDescent="0.2">
      <c r="A39" s="1">
        <v>37</v>
      </c>
      <c r="B39" s="1">
        <v>35</v>
      </c>
      <c r="C39" s="2" t="s">
        <v>84</v>
      </c>
      <c r="D39" s="2" t="s">
        <v>224</v>
      </c>
      <c r="E39" s="2" t="s">
        <v>85</v>
      </c>
      <c r="F39" s="2" t="s">
        <v>9</v>
      </c>
      <c r="G39" s="2" t="s">
        <v>10</v>
      </c>
      <c r="H39" s="3" t="s">
        <v>21</v>
      </c>
      <c r="J39" s="18">
        <v>100000</v>
      </c>
      <c r="L39" s="18">
        <v>4990000</v>
      </c>
      <c r="M39" s="66">
        <v>197</v>
      </c>
      <c r="N39" s="17">
        <v>50000</v>
      </c>
      <c r="O39" s="19">
        <v>0</v>
      </c>
      <c r="P39" s="20">
        <f t="shared" si="0"/>
        <v>5040000</v>
      </c>
      <c r="Q39" s="66">
        <f t="shared" si="12"/>
        <v>198</v>
      </c>
      <c r="R39" s="17">
        <v>50000</v>
      </c>
      <c r="S39" s="19">
        <v>0</v>
      </c>
      <c r="T39" s="21">
        <f t="shared" si="1"/>
        <v>5090000</v>
      </c>
      <c r="U39" s="66">
        <f t="shared" si="13"/>
        <v>199</v>
      </c>
      <c r="V39" s="17">
        <v>50000</v>
      </c>
      <c r="W39" s="19">
        <v>0</v>
      </c>
      <c r="X39" s="21">
        <f t="shared" si="2"/>
        <v>5140000</v>
      </c>
      <c r="Y39" s="66">
        <f t="shared" si="14"/>
        <v>200</v>
      </c>
      <c r="Z39" s="17">
        <v>50000</v>
      </c>
      <c r="AA39" s="19">
        <v>0</v>
      </c>
      <c r="AB39" s="21">
        <f t="shared" si="24"/>
        <v>5190000</v>
      </c>
      <c r="AC39" s="66">
        <f t="shared" si="15"/>
        <v>201</v>
      </c>
      <c r="AD39" s="17">
        <v>50000</v>
      </c>
      <c r="AE39" s="19">
        <v>0</v>
      </c>
      <c r="AF39" s="21">
        <f t="shared" si="25"/>
        <v>5240000</v>
      </c>
      <c r="AG39" s="66">
        <f t="shared" si="16"/>
        <v>202</v>
      </c>
      <c r="AH39" s="17">
        <v>50000</v>
      </c>
      <c r="AI39" s="19">
        <v>0</v>
      </c>
      <c r="AJ39" s="21">
        <f t="shared" si="26"/>
        <v>5290000</v>
      </c>
      <c r="AK39" s="66">
        <f t="shared" si="17"/>
        <v>203</v>
      </c>
      <c r="AL39" s="17">
        <v>50000</v>
      </c>
      <c r="AM39" s="19">
        <v>0</v>
      </c>
      <c r="AN39" s="21">
        <f t="shared" si="6"/>
        <v>5340000</v>
      </c>
      <c r="AO39" s="66">
        <f t="shared" si="18"/>
        <v>204</v>
      </c>
      <c r="AP39" s="17">
        <v>50000</v>
      </c>
      <c r="AQ39" s="19">
        <v>0</v>
      </c>
      <c r="AR39" s="21">
        <f t="shared" si="7"/>
        <v>5390000</v>
      </c>
      <c r="AS39" s="66">
        <f t="shared" si="19"/>
        <v>205</v>
      </c>
      <c r="AT39" s="17">
        <v>50000</v>
      </c>
      <c r="AU39" s="19">
        <v>0</v>
      </c>
      <c r="AV39" s="21">
        <f t="shared" si="8"/>
        <v>5440000</v>
      </c>
      <c r="AW39" s="66">
        <f t="shared" si="20"/>
        <v>206</v>
      </c>
      <c r="AX39" s="17">
        <v>0</v>
      </c>
      <c r="AY39" s="19">
        <v>0</v>
      </c>
      <c r="AZ39" s="21">
        <f t="shared" si="9"/>
        <v>5440000</v>
      </c>
      <c r="BA39" s="66">
        <f t="shared" si="21"/>
        <v>206</v>
      </c>
      <c r="BB39" s="17">
        <v>0</v>
      </c>
      <c r="BC39" s="19">
        <v>0</v>
      </c>
      <c r="BD39" s="21">
        <f t="shared" si="10"/>
        <v>5440000</v>
      </c>
      <c r="BE39" s="66">
        <f t="shared" si="22"/>
        <v>206</v>
      </c>
      <c r="BF39" s="17">
        <v>0</v>
      </c>
      <c r="BG39" s="19">
        <v>0</v>
      </c>
      <c r="BH39" s="21">
        <f t="shared" si="11"/>
        <v>5440000</v>
      </c>
      <c r="BI39" s="71">
        <f t="shared" si="23"/>
        <v>206</v>
      </c>
    </row>
    <row r="40" spans="1:61" x14ac:dyDescent="0.2">
      <c r="A40" s="1">
        <v>38</v>
      </c>
      <c r="B40" s="1">
        <v>36</v>
      </c>
      <c r="C40" s="2" t="s">
        <v>86</v>
      </c>
      <c r="D40" s="2" t="s">
        <v>224</v>
      </c>
      <c r="E40" s="2" t="s">
        <v>87</v>
      </c>
      <c r="F40" s="2" t="s">
        <v>9</v>
      </c>
      <c r="G40" s="2" t="s">
        <v>10</v>
      </c>
      <c r="H40" s="3" t="s">
        <v>11</v>
      </c>
      <c r="J40" s="18">
        <v>100000</v>
      </c>
      <c r="L40" s="18">
        <v>4990000</v>
      </c>
      <c r="M40" s="66">
        <v>197</v>
      </c>
      <c r="N40" s="17">
        <v>50000</v>
      </c>
      <c r="O40" s="19">
        <v>0</v>
      </c>
      <c r="P40" s="20">
        <f t="shared" si="0"/>
        <v>5040000</v>
      </c>
      <c r="Q40" s="66">
        <f t="shared" si="12"/>
        <v>198</v>
      </c>
      <c r="R40" s="17">
        <v>50000</v>
      </c>
      <c r="S40" s="19">
        <v>0</v>
      </c>
      <c r="T40" s="21">
        <f t="shared" si="1"/>
        <v>5090000</v>
      </c>
      <c r="U40" s="66">
        <f t="shared" si="13"/>
        <v>199</v>
      </c>
      <c r="V40" s="17">
        <v>50000</v>
      </c>
      <c r="W40" s="19">
        <v>0</v>
      </c>
      <c r="X40" s="21">
        <f t="shared" si="2"/>
        <v>5140000</v>
      </c>
      <c r="Y40" s="66">
        <f t="shared" si="14"/>
        <v>200</v>
      </c>
      <c r="Z40" s="17">
        <v>50000</v>
      </c>
      <c r="AA40" s="19">
        <v>0</v>
      </c>
      <c r="AB40" s="21">
        <f t="shared" si="24"/>
        <v>5190000</v>
      </c>
      <c r="AC40" s="66">
        <f t="shared" si="15"/>
        <v>201</v>
      </c>
      <c r="AD40" s="17">
        <v>50000</v>
      </c>
      <c r="AE40" s="19">
        <v>0</v>
      </c>
      <c r="AF40" s="21">
        <f t="shared" si="25"/>
        <v>5240000</v>
      </c>
      <c r="AG40" s="66">
        <f t="shared" si="16"/>
        <v>202</v>
      </c>
      <c r="AH40" s="17">
        <v>50000</v>
      </c>
      <c r="AI40" s="19">
        <v>0</v>
      </c>
      <c r="AJ40" s="21">
        <f t="shared" si="26"/>
        <v>5290000</v>
      </c>
      <c r="AK40" s="66">
        <f t="shared" si="17"/>
        <v>203</v>
      </c>
      <c r="AL40" s="17">
        <v>50000</v>
      </c>
      <c r="AM40" s="19">
        <v>0</v>
      </c>
      <c r="AN40" s="21">
        <f t="shared" si="6"/>
        <v>5340000</v>
      </c>
      <c r="AO40" s="66">
        <f t="shared" si="18"/>
        <v>204</v>
      </c>
      <c r="AP40" s="17">
        <v>50000</v>
      </c>
      <c r="AQ40" s="19">
        <v>0</v>
      </c>
      <c r="AR40" s="21">
        <f t="shared" si="7"/>
        <v>5390000</v>
      </c>
      <c r="AS40" s="66">
        <f t="shared" si="19"/>
        <v>205</v>
      </c>
      <c r="AT40" s="17">
        <v>50000</v>
      </c>
      <c r="AU40" s="19">
        <v>0</v>
      </c>
      <c r="AV40" s="21">
        <f t="shared" si="8"/>
        <v>5440000</v>
      </c>
      <c r="AW40" s="66">
        <f t="shared" si="20"/>
        <v>206</v>
      </c>
      <c r="AX40" s="17">
        <v>0</v>
      </c>
      <c r="AY40" s="19">
        <v>0</v>
      </c>
      <c r="AZ40" s="21">
        <f t="shared" si="9"/>
        <v>5440000</v>
      </c>
      <c r="BA40" s="66">
        <f t="shared" si="21"/>
        <v>206</v>
      </c>
      <c r="BB40" s="17">
        <v>0</v>
      </c>
      <c r="BC40" s="19">
        <v>0</v>
      </c>
      <c r="BD40" s="21">
        <f t="shared" si="10"/>
        <v>5440000</v>
      </c>
      <c r="BE40" s="66">
        <f t="shared" si="22"/>
        <v>206</v>
      </c>
      <c r="BF40" s="17">
        <v>0</v>
      </c>
      <c r="BG40" s="19">
        <v>0</v>
      </c>
      <c r="BH40" s="21">
        <f t="shared" si="11"/>
        <v>5440000</v>
      </c>
      <c r="BI40" s="71">
        <f t="shared" si="23"/>
        <v>206</v>
      </c>
    </row>
    <row r="41" spans="1:61" x14ac:dyDescent="0.2">
      <c r="A41" s="1">
        <v>39</v>
      </c>
      <c r="B41" s="1">
        <v>37</v>
      </c>
      <c r="C41" s="2" t="s">
        <v>88</v>
      </c>
      <c r="D41" s="2" t="s">
        <v>224</v>
      </c>
      <c r="E41" s="2" t="s">
        <v>89</v>
      </c>
      <c r="F41" s="2" t="s">
        <v>9</v>
      </c>
      <c r="G41" s="2" t="s">
        <v>90</v>
      </c>
      <c r="H41" s="3" t="s">
        <v>21</v>
      </c>
      <c r="J41" s="18">
        <v>100000</v>
      </c>
      <c r="L41" s="18">
        <v>3930000</v>
      </c>
      <c r="M41" s="66">
        <v>144</v>
      </c>
      <c r="N41" s="17">
        <v>50000</v>
      </c>
      <c r="O41" s="19">
        <v>0</v>
      </c>
      <c r="P41" s="20">
        <f t="shared" si="0"/>
        <v>3980000</v>
      </c>
      <c r="Q41" s="66">
        <f t="shared" si="12"/>
        <v>145</v>
      </c>
      <c r="R41" s="17">
        <v>50000</v>
      </c>
      <c r="S41" s="19">
        <v>0</v>
      </c>
      <c r="T41" s="21">
        <f t="shared" si="1"/>
        <v>4030000</v>
      </c>
      <c r="U41" s="66">
        <f t="shared" si="13"/>
        <v>146</v>
      </c>
      <c r="V41" s="17">
        <v>50000</v>
      </c>
      <c r="W41" s="19">
        <v>0</v>
      </c>
      <c r="X41" s="21">
        <f t="shared" si="2"/>
        <v>4080000</v>
      </c>
      <c r="Y41" s="66">
        <f t="shared" si="14"/>
        <v>147</v>
      </c>
      <c r="Z41" s="17">
        <v>50000</v>
      </c>
      <c r="AA41" s="19">
        <v>0</v>
      </c>
      <c r="AB41" s="21">
        <f t="shared" si="24"/>
        <v>4130000</v>
      </c>
      <c r="AC41" s="66">
        <f t="shared" si="15"/>
        <v>148</v>
      </c>
      <c r="AD41" s="17">
        <v>50000</v>
      </c>
      <c r="AE41" s="19">
        <v>0</v>
      </c>
      <c r="AF41" s="21">
        <f t="shared" si="25"/>
        <v>4180000</v>
      </c>
      <c r="AG41" s="66">
        <f t="shared" si="16"/>
        <v>149</v>
      </c>
      <c r="AH41" s="17">
        <v>50000</v>
      </c>
      <c r="AI41" s="19">
        <v>0</v>
      </c>
      <c r="AJ41" s="21">
        <f t="shared" si="26"/>
        <v>4230000</v>
      </c>
      <c r="AK41" s="66">
        <f t="shared" si="17"/>
        <v>150</v>
      </c>
      <c r="AL41" s="17">
        <v>50000</v>
      </c>
      <c r="AM41" s="19">
        <v>0</v>
      </c>
      <c r="AN41" s="21">
        <f t="shared" si="6"/>
        <v>4280000</v>
      </c>
      <c r="AO41" s="66">
        <f t="shared" si="18"/>
        <v>151</v>
      </c>
      <c r="AP41" s="17">
        <v>50000</v>
      </c>
      <c r="AQ41" s="19">
        <v>0</v>
      </c>
      <c r="AR41" s="21">
        <f t="shared" si="7"/>
        <v>4330000</v>
      </c>
      <c r="AS41" s="66">
        <f t="shared" si="19"/>
        <v>152</v>
      </c>
      <c r="AT41" s="17">
        <v>50000</v>
      </c>
      <c r="AU41" s="19">
        <v>0</v>
      </c>
      <c r="AV41" s="21">
        <f t="shared" si="8"/>
        <v>4380000</v>
      </c>
      <c r="AW41" s="66">
        <f t="shared" si="20"/>
        <v>153</v>
      </c>
      <c r="AX41" s="17">
        <v>0</v>
      </c>
      <c r="AY41" s="19">
        <v>0</v>
      </c>
      <c r="AZ41" s="21">
        <f t="shared" si="9"/>
        <v>4380000</v>
      </c>
      <c r="BA41" s="66">
        <f t="shared" si="21"/>
        <v>153</v>
      </c>
      <c r="BB41" s="17">
        <v>0</v>
      </c>
      <c r="BC41" s="19">
        <v>0</v>
      </c>
      <c r="BD41" s="21">
        <f t="shared" si="10"/>
        <v>4380000</v>
      </c>
      <c r="BE41" s="66">
        <f t="shared" si="22"/>
        <v>153</v>
      </c>
      <c r="BF41" s="17">
        <v>0</v>
      </c>
      <c r="BG41" s="19">
        <v>0</v>
      </c>
      <c r="BH41" s="21">
        <f t="shared" si="11"/>
        <v>4380000</v>
      </c>
      <c r="BI41" s="71">
        <f t="shared" si="23"/>
        <v>153</v>
      </c>
    </row>
    <row r="42" spans="1:61" x14ac:dyDescent="0.2">
      <c r="A42" s="1">
        <v>40</v>
      </c>
      <c r="B42" s="1">
        <v>38</v>
      </c>
      <c r="C42" s="2" t="s">
        <v>91</v>
      </c>
      <c r="D42" s="2" t="s">
        <v>224</v>
      </c>
      <c r="E42" s="2" t="s">
        <v>92</v>
      </c>
      <c r="F42" s="2" t="s">
        <v>9</v>
      </c>
      <c r="G42" s="2" t="s">
        <v>10</v>
      </c>
      <c r="H42" s="3" t="s">
        <v>11</v>
      </c>
      <c r="J42" s="18">
        <v>100000</v>
      </c>
      <c r="L42" s="18">
        <v>4990000</v>
      </c>
      <c r="M42" s="66">
        <v>197</v>
      </c>
      <c r="N42" s="17">
        <v>50000</v>
      </c>
      <c r="O42" s="19">
        <v>0</v>
      </c>
      <c r="P42" s="20">
        <f t="shared" si="0"/>
        <v>5040000</v>
      </c>
      <c r="Q42" s="66">
        <f t="shared" si="12"/>
        <v>198</v>
      </c>
      <c r="R42" s="17">
        <v>50000</v>
      </c>
      <c r="S42" s="19">
        <v>0</v>
      </c>
      <c r="T42" s="21">
        <f t="shared" si="1"/>
        <v>5090000</v>
      </c>
      <c r="U42" s="66">
        <f t="shared" si="13"/>
        <v>199</v>
      </c>
      <c r="V42" s="17">
        <v>50000</v>
      </c>
      <c r="W42" s="19">
        <v>0</v>
      </c>
      <c r="X42" s="21">
        <f t="shared" si="2"/>
        <v>5140000</v>
      </c>
      <c r="Y42" s="66">
        <f t="shared" si="14"/>
        <v>200</v>
      </c>
      <c r="Z42" s="17">
        <v>50000</v>
      </c>
      <c r="AA42" s="19">
        <v>0</v>
      </c>
      <c r="AB42" s="21">
        <f t="shared" si="24"/>
        <v>5190000</v>
      </c>
      <c r="AC42" s="66">
        <f t="shared" si="15"/>
        <v>201</v>
      </c>
      <c r="AD42" s="17">
        <v>50000</v>
      </c>
      <c r="AE42" s="19">
        <v>0</v>
      </c>
      <c r="AF42" s="21">
        <f t="shared" si="25"/>
        <v>5240000</v>
      </c>
      <c r="AG42" s="66">
        <f t="shared" si="16"/>
        <v>202</v>
      </c>
      <c r="AH42" s="17">
        <v>50000</v>
      </c>
      <c r="AI42" s="19">
        <v>0</v>
      </c>
      <c r="AJ42" s="21">
        <f t="shared" si="26"/>
        <v>5290000</v>
      </c>
      <c r="AK42" s="66">
        <f t="shared" si="17"/>
        <v>203</v>
      </c>
      <c r="AL42" s="17">
        <v>50000</v>
      </c>
      <c r="AM42" s="19">
        <v>0</v>
      </c>
      <c r="AN42" s="21">
        <f t="shared" si="6"/>
        <v>5340000</v>
      </c>
      <c r="AO42" s="66">
        <f t="shared" si="18"/>
        <v>204</v>
      </c>
      <c r="AP42" s="17">
        <v>50000</v>
      </c>
      <c r="AQ42" s="19">
        <v>0</v>
      </c>
      <c r="AR42" s="21">
        <f t="shared" si="7"/>
        <v>5390000</v>
      </c>
      <c r="AS42" s="66">
        <f t="shared" si="19"/>
        <v>205</v>
      </c>
      <c r="AT42" s="17">
        <v>50000</v>
      </c>
      <c r="AU42" s="19">
        <v>0</v>
      </c>
      <c r="AV42" s="21">
        <f t="shared" si="8"/>
        <v>5440000</v>
      </c>
      <c r="AW42" s="66">
        <f t="shared" si="20"/>
        <v>206</v>
      </c>
      <c r="AX42" s="17">
        <v>0</v>
      </c>
      <c r="AY42" s="19">
        <v>0</v>
      </c>
      <c r="AZ42" s="21">
        <f t="shared" si="9"/>
        <v>5440000</v>
      </c>
      <c r="BA42" s="66">
        <f t="shared" si="21"/>
        <v>206</v>
      </c>
      <c r="BB42" s="17">
        <v>0</v>
      </c>
      <c r="BC42" s="19">
        <v>0</v>
      </c>
      <c r="BD42" s="21">
        <f t="shared" si="10"/>
        <v>5440000</v>
      </c>
      <c r="BE42" s="66">
        <f t="shared" si="22"/>
        <v>206</v>
      </c>
      <c r="BF42" s="17">
        <v>0</v>
      </c>
      <c r="BG42" s="19">
        <v>0</v>
      </c>
      <c r="BH42" s="21">
        <f t="shared" si="11"/>
        <v>5440000</v>
      </c>
      <c r="BI42" s="71">
        <f t="shared" si="23"/>
        <v>206</v>
      </c>
    </row>
    <row r="43" spans="1:61" x14ac:dyDescent="0.2">
      <c r="A43" s="1">
        <v>42</v>
      </c>
      <c r="B43" s="1">
        <v>39</v>
      </c>
      <c r="C43" s="2" t="s">
        <v>95</v>
      </c>
      <c r="D43" s="2" t="s">
        <v>224</v>
      </c>
      <c r="E43" s="2" t="s">
        <v>96</v>
      </c>
      <c r="F43" s="2" t="s">
        <v>9</v>
      </c>
      <c r="G43" s="2" t="s">
        <v>97</v>
      </c>
      <c r="H43" s="3" t="s">
        <v>11</v>
      </c>
      <c r="J43" s="18">
        <v>100000</v>
      </c>
      <c r="L43" s="18">
        <v>4790000</v>
      </c>
      <c r="M43" s="66">
        <v>187</v>
      </c>
      <c r="N43" s="17">
        <v>50000</v>
      </c>
      <c r="O43" s="19">
        <v>0</v>
      </c>
      <c r="P43" s="20">
        <f t="shared" si="0"/>
        <v>4840000</v>
      </c>
      <c r="Q43" s="66">
        <f t="shared" si="12"/>
        <v>188</v>
      </c>
      <c r="R43" s="17">
        <v>50000</v>
      </c>
      <c r="S43" s="19">
        <v>0</v>
      </c>
      <c r="T43" s="21">
        <f t="shared" si="1"/>
        <v>4890000</v>
      </c>
      <c r="U43" s="66">
        <f t="shared" si="13"/>
        <v>189</v>
      </c>
      <c r="V43" s="17">
        <v>50000</v>
      </c>
      <c r="W43" s="19">
        <v>0</v>
      </c>
      <c r="X43" s="21">
        <f t="shared" si="2"/>
        <v>4940000</v>
      </c>
      <c r="Y43" s="66">
        <f t="shared" si="14"/>
        <v>190</v>
      </c>
      <c r="Z43" s="17">
        <v>50000</v>
      </c>
      <c r="AA43" s="19">
        <v>0</v>
      </c>
      <c r="AB43" s="21">
        <f t="shared" si="24"/>
        <v>4990000</v>
      </c>
      <c r="AC43" s="66">
        <f t="shared" si="15"/>
        <v>191</v>
      </c>
      <c r="AD43" s="17">
        <v>50000</v>
      </c>
      <c r="AE43" s="19">
        <v>0</v>
      </c>
      <c r="AF43" s="21">
        <f t="shared" si="25"/>
        <v>5040000</v>
      </c>
      <c r="AG43" s="66">
        <f t="shared" si="16"/>
        <v>192</v>
      </c>
      <c r="AH43" s="17">
        <v>50000</v>
      </c>
      <c r="AI43" s="19">
        <v>0</v>
      </c>
      <c r="AJ43" s="21">
        <f t="shared" si="26"/>
        <v>5090000</v>
      </c>
      <c r="AK43" s="66">
        <f t="shared" si="17"/>
        <v>193</v>
      </c>
      <c r="AL43" s="17">
        <v>50000</v>
      </c>
      <c r="AM43" s="19">
        <v>0</v>
      </c>
      <c r="AN43" s="21">
        <f t="shared" si="6"/>
        <v>5140000</v>
      </c>
      <c r="AO43" s="66">
        <f t="shared" si="18"/>
        <v>194</v>
      </c>
      <c r="AP43" s="17">
        <v>50000</v>
      </c>
      <c r="AQ43" s="19">
        <v>0</v>
      </c>
      <c r="AR43" s="21">
        <f t="shared" si="7"/>
        <v>5190000</v>
      </c>
      <c r="AS43" s="66">
        <f t="shared" si="19"/>
        <v>195</v>
      </c>
      <c r="AT43" s="17">
        <v>50000</v>
      </c>
      <c r="AU43" s="19">
        <v>0</v>
      </c>
      <c r="AV43" s="21">
        <f t="shared" si="8"/>
        <v>5240000</v>
      </c>
      <c r="AW43" s="66">
        <f t="shared" si="20"/>
        <v>196</v>
      </c>
      <c r="AX43" s="17">
        <v>0</v>
      </c>
      <c r="AY43" s="19">
        <v>0</v>
      </c>
      <c r="AZ43" s="21">
        <f t="shared" si="9"/>
        <v>5240000</v>
      </c>
      <c r="BA43" s="66">
        <f t="shared" si="21"/>
        <v>196</v>
      </c>
      <c r="BB43" s="17">
        <v>0</v>
      </c>
      <c r="BC43" s="19">
        <v>0</v>
      </c>
      <c r="BD43" s="21">
        <f t="shared" si="10"/>
        <v>5240000</v>
      </c>
      <c r="BE43" s="66">
        <f t="shared" si="22"/>
        <v>196</v>
      </c>
      <c r="BF43" s="17">
        <v>0</v>
      </c>
      <c r="BG43" s="19">
        <v>0</v>
      </c>
      <c r="BH43" s="21">
        <f t="shared" si="11"/>
        <v>5240000</v>
      </c>
      <c r="BI43" s="71">
        <f t="shared" si="23"/>
        <v>196</v>
      </c>
    </row>
    <row r="44" spans="1:61" x14ac:dyDescent="0.2">
      <c r="A44" s="1">
        <v>43</v>
      </c>
      <c r="B44" s="1">
        <v>40</v>
      </c>
      <c r="C44" s="2" t="s">
        <v>98</v>
      </c>
      <c r="D44" s="2" t="s">
        <v>224</v>
      </c>
      <c r="E44" s="2" t="s">
        <v>99</v>
      </c>
      <c r="F44" s="2" t="s">
        <v>9</v>
      </c>
      <c r="G44" s="2" t="s">
        <v>90</v>
      </c>
      <c r="H44" s="3" t="s">
        <v>21</v>
      </c>
      <c r="J44" s="18">
        <v>100000</v>
      </c>
      <c r="L44" s="18">
        <v>2170000</v>
      </c>
      <c r="M44" s="66">
        <v>56</v>
      </c>
      <c r="N44" s="17">
        <v>50000</v>
      </c>
      <c r="O44" s="19">
        <v>0</v>
      </c>
      <c r="P44" s="20">
        <f t="shared" si="0"/>
        <v>2220000</v>
      </c>
      <c r="Q44" s="66">
        <f t="shared" si="12"/>
        <v>57</v>
      </c>
      <c r="R44" s="17">
        <v>50000</v>
      </c>
      <c r="S44" s="19">
        <v>0</v>
      </c>
      <c r="T44" s="21">
        <f t="shared" si="1"/>
        <v>2270000</v>
      </c>
      <c r="U44" s="66">
        <f t="shared" si="13"/>
        <v>58</v>
      </c>
      <c r="V44" s="17">
        <v>50000</v>
      </c>
      <c r="W44" s="19">
        <v>0</v>
      </c>
      <c r="X44" s="21">
        <f t="shared" si="2"/>
        <v>2320000</v>
      </c>
      <c r="Y44" s="66">
        <f t="shared" si="14"/>
        <v>59</v>
      </c>
      <c r="Z44" s="17">
        <v>50000</v>
      </c>
      <c r="AA44" s="19">
        <v>0</v>
      </c>
      <c r="AB44" s="21">
        <f t="shared" si="24"/>
        <v>2370000</v>
      </c>
      <c r="AC44" s="66">
        <f t="shared" si="15"/>
        <v>60</v>
      </c>
      <c r="AD44" s="17">
        <v>50000</v>
      </c>
      <c r="AE44" s="19">
        <v>0</v>
      </c>
      <c r="AF44" s="21">
        <f t="shared" si="25"/>
        <v>2420000</v>
      </c>
      <c r="AG44" s="66">
        <f t="shared" si="16"/>
        <v>61</v>
      </c>
      <c r="AH44" s="17">
        <v>50000</v>
      </c>
      <c r="AI44" s="19">
        <v>0</v>
      </c>
      <c r="AJ44" s="21">
        <f t="shared" si="26"/>
        <v>2470000</v>
      </c>
      <c r="AK44" s="66">
        <f t="shared" si="17"/>
        <v>62</v>
      </c>
      <c r="AL44" s="17">
        <v>50000</v>
      </c>
      <c r="AM44" s="19">
        <v>0</v>
      </c>
      <c r="AN44" s="21">
        <f t="shared" si="6"/>
        <v>2520000</v>
      </c>
      <c r="AO44" s="66">
        <f t="shared" si="18"/>
        <v>63</v>
      </c>
      <c r="AP44" s="17">
        <v>50000</v>
      </c>
      <c r="AQ44" s="19">
        <v>0</v>
      </c>
      <c r="AR44" s="21">
        <f t="shared" si="7"/>
        <v>2570000</v>
      </c>
      <c r="AS44" s="66">
        <f t="shared" si="19"/>
        <v>64</v>
      </c>
      <c r="AT44" s="17">
        <v>50000</v>
      </c>
      <c r="AU44" s="19">
        <v>0</v>
      </c>
      <c r="AV44" s="21">
        <f t="shared" si="8"/>
        <v>2620000</v>
      </c>
      <c r="AW44" s="66">
        <f t="shared" si="20"/>
        <v>65</v>
      </c>
      <c r="AX44" s="17">
        <v>0</v>
      </c>
      <c r="AY44" s="19">
        <v>0</v>
      </c>
      <c r="AZ44" s="21">
        <f t="shared" si="9"/>
        <v>2620000</v>
      </c>
      <c r="BA44" s="66">
        <f t="shared" si="21"/>
        <v>65</v>
      </c>
      <c r="BB44" s="17">
        <v>0</v>
      </c>
      <c r="BC44" s="19">
        <v>0</v>
      </c>
      <c r="BD44" s="21">
        <f t="shared" si="10"/>
        <v>2620000</v>
      </c>
      <c r="BE44" s="66">
        <f t="shared" si="22"/>
        <v>65</v>
      </c>
      <c r="BF44" s="17">
        <v>0</v>
      </c>
      <c r="BG44" s="19">
        <v>0</v>
      </c>
      <c r="BH44" s="21">
        <f t="shared" si="11"/>
        <v>2620000</v>
      </c>
      <c r="BI44" s="71">
        <f t="shared" si="23"/>
        <v>65</v>
      </c>
    </row>
    <row r="45" spans="1:61" x14ac:dyDescent="0.2">
      <c r="A45" s="1">
        <v>44</v>
      </c>
      <c r="B45" s="1">
        <v>41</v>
      </c>
      <c r="C45" s="2" t="s">
        <v>100</v>
      </c>
      <c r="D45" s="2" t="s">
        <v>224</v>
      </c>
      <c r="E45" s="2" t="s">
        <v>101</v>
      </c>
      <c r="F45" s="2" t="s">
        <v>9</v>
      </c>
      <c r="G45" s="2" t="s">
        <v>16</v>
      </c>
      <c r="H45" s="3" t="s">
        <v>11</v>
      </c>
      <c r="J45" s="18">
        <v>100000</v>
      </c>
      <c r="L45" s="18">
        <v>3930000</v>
      </c>
      <c r="M45" s="66">
        <v>144</v>
      </c>
      <c r="N45" s="17">
        <v>50000</v>
      </c>
      <c r="O45" s="19">
        <v>0</v>
      </c>
      <c r="P45" s="20">
        <f t="shared" si="0"/>
        <v>3980000</v>
      </c>
      <c r="Q45" s="66">
        <f t="shared" si="12"/>
        <v>145</v>
      </c>
      <c r="R45" s="17">
        <v>50000</v>
      </c>
      <c r="S45" s="19">
        <v>0</v>
      </c>
      <c r="T45" s="21">
        <f t="shared" si="1"/>
        <v>4030000</v>
      </c>
      <c r="U45" s="66">
        <f t="shared" si="13"/>
        <v>146</v>
      </c>
      <c r="V45" s="17">
        <v>50000</v>
      </c>
      <c r="W45" s="19">
        <v>0</v>
      </c>
      <c r="X45" s="21">
        <f t="shared" si="2"/>
        <v>4080000</v>
      </c>
      <c r="Y45" s="66">
        <f t="shared" si="14"/>
        <v>147</v>
      </c>
      <c r="Z45" s="17">
        <v>50000</v>
      </c>
      <c r="AA45" s="19">
        <v>0</v>
      </c>
      <c r="AB45" s="21">
        <f t="shared" si="24"/>
        <v>4130000</v>
      </c>
      <c r="AC45" s="66">
        <f t="shared" si="15"/>
        <v>148</v>
      </c>
      <c r="AD45" s="17">
        <v>50000</v>
      </c>
      <c r="AE45" s="19">
        <v>0</v>
      </c>
      <c r="AF45" s="21">
        <f t="shared" si="25"/>
        <v>4180000</v>
      </c>
      <c r="AG45" s="66">
        <f t="shared" si="16"/>
        <v>149</v>
      </c>
      <c r="AH45" s="17">
        <v>50000</v>
      </c>
      <c r="AI45" s="19">
        <v>0</v>
      </c>
      <c r="AJ45" s="21">
        <f t="shared" si="26"/>
        <v>4230000</v>
      </c>
      <c r="AK45" s="66">
        <f t="shared" si="17"/>
        <v>150</v>
      </c>
      <c r="AL45" s="17">
        <v>50000</v>
      </c>
      <c r="AM45" s="19">
        <v>0</v>
      </c>
      <c r="AN45" s="21">
        <f t="shared" si="6"/>
        <v>4280000</v>
      </c>
      <c r="AO45" s="66">
        <f t="shared" si="18"/>
        <v>151</v>
      </c>
      <c r="AP45" s="17">
        <v>50000</v>
      </c>
      <c r="AQ45" s="19">
        <v>0</v>
      </c>
      <c r="AR45" s="21">
        <f t="shared" si="7"/>
        <v>4330000</v>
      </c>
      <c r="AS45" s="66">
        <f t="shared" si="19"/>
        <v>152</v>
      </c>
      <c r="AT45" s="17">
        <v>50000</v>
      </c>
      <c r="AU45" s="19">
        <v>0</v>
      </c>
      <c r="AV45" s="21">
        <f t="shared" si="8"/>
        <v>4380000</v>
      </c>
      <c r="AW45" s="66">
        <f t="shared" si="20"/>
        <v>153</v>
      </c>
      <c r="AX45" s="17">
        <v>0</v>
      </c>
      <c r="AY45" s="19">
        <v>0</v>
      </c>
      <c r="AZ45" s="21">
        <f t="shared" si="9"/>
        <v>4380000</v>
      </c>
      <c r="BA45" s="66">
        <f t="shared" si="21"/>
        <v>153</v>
      </c>
      <c r="BB45" s="17">
        <v>0</v>
      </c>
      <c r="BC45" s="19">
        <v>0</v>
      </c>
      <c r="BD45" s="21">
        <f t="shared" si="10"/>
        <v>4380000</v>
      </c>
      <c r="BE45" s="66">
        <f t="shared" si="22"/>
        <v>153</v>
      </c>
      <c r="BF45" s="17">
        <v>0</v>
      </c>
      <c r="BG45" s="19">
        <v>0</v>
      </c>
      <c r="BH45" s="21">
        <f t="shared" si="11"/>
        <v>4380000</v>
      </c>
      <c r="BI45" s="71">
        <f t="shared" si="23"/>
        <v>153</v>
      </c>
    </row>
    <row r="46" spans="1:61" x14ac:dyDescent="0.2">
      <c r="A46" s="1">
        <v>45</v>
      </c>
      <c r="B46" s="1">
        <v>42</v>
      </c>
      <c r="C46" s="2" t="s">
        <v>102</v>
      </c>
      <c r="D46" s="2" t="s">
        <v>224</v>
      </c>
      <c r="E46" s="2" t="s">
        <v>103</v>
      </c>
      <c r="F46" s="2" t="s">
        <v>9</v>
      </c>
      <c r="G46" s="2" t="s">
        <v>16</v>
      </c>
      <c r="H46" s="3" t="s">
        <v>11</v>
      </c>
      <c r="J46" s="18">
        <v>100000</v>
      </c>
      <c r="L46" s="18">
        <v>3430000</v>
      </c>
      <c r="M46" s="66">
        <v>119</v>
      </c>
      <c r="N46" s="17">
        <v>50000</v>
      </c>
      <c r="O46" s="19">
        <v>0</v>
      </c>
      <c r="P46" s="20">
        <f t="shared" si="0"/>
        <v>3480000</v>
      </c>
      <c r="Q46" s="66">
        <f t="shared" si="12"/>
        <v>120</v>
      </c>
      <c r="R46" s="17">
        <v>50000</v>
      </c>
      <c r="S46" s="19">
        <v>0</v>
      </c>
      <c r="T46" s="21">
        <f t="shared" si="1"/>
        <v>3530000</v>
      </c>
      <c r="U46" s="66">
        <f t="shared" si="13"/>
        <v>121</v>
      </c>
      <c r="V46" s="17">
        <v>50000</v>
      </c>
      <c r="W46" s="19">
        <v>0</v>
      </c>
      <c r="X46" s="21">
        <f t="shared" si="2"/>
        <v>3580000</v>
      </c>
      <c r="Y46" s="66">
        <f t="shared" si="14"/>
        <v>122</v>
      </c>
      <c r="Z46" s="17">
        <v>50000</v>
      </c>
      <c r="AA46" s="19">
        <v>0</v>
      </c>
      <c r="AB46" s="21">
        <f t="shared" si="24"/>
        <v>3630000</v>
      </c>
      <c r="AC46" s="66">
        <f t="shared" si="15"/>
        <v>123</v>
      </c>
      <c r="AD46" s="17">
        <v>50000</v>
      </c>
      <c r="AE46" s="19">
        <v>0</v>
      </c>
      <c r="AF46" s="21">
        <f t="shared" si="25"/>
        <v>3680000</v>
      </c>
      <c r="AG46" s="66">
        <f t="shared" si="16"/>
        <v>124</v>
      </c>
      <c r="AH46" s="17">
        <v>50000</v>
      </c>
      <c r="AI46" s="19">
        <v>0</v>
      </c>
      <c r="AJ46" s="21">
        <f t="shared" si="26"/>
        <v>3730000</v>
      </c>
      <c r="AK46" s="66">
        <f t="shared" si="17"/>
        <v>125</v>
      </c>
      <c r="AL46" s="17">
        <v>50000</v>
      </c>
      <c r="AM46" s="19">
        <v>0</v>
      </c>
      <c r="AN46" s="21">
        <f t="shared" si="6"/>
        <v>3780000</v>
      </c>
      <c r="AO46" s="66">
        <f t="shared" si="18"/>
        <v>126</v>
      </c>
      <c r="AP46" s="17">
        <v>50000</v>
      </c>
      <c r="AQ46" s="19">
        <v>0</v>
      </c>
      <c r="AR46" s="21">
        <f t="shared" si="7"/>
        <v>3830000</v>
      </c>
      <c r="AS46" s="66">
        <f t="shared" si="19"/>
        <v>127</v>
      </c>
      <c r="AT46" s="17">
        <v>50000</v>
      </c>
      <c r="AU46" s="19">
        <v>0</v>
      </c>
      <c r="AV46" s="21">
        <f t="shared" si="8"/>
        <v>3880000</v>
      </c>
      <c r="AW46" s="66">
        <f t="shared" si="20"/>
        <v>128</v>
      </c>
      <c r="AX46" s="17">
        <v>0</v>
      </c>
      <c r="AY46" s="19">
        <v>0</v>
      </c>
      <c r="AZ46" s="21">
        <f t="shared" si="9"/>
        <v>3880000</v>
      </c>
      <c r="BA46" s="66">
        <f t="shared" si="21"/>
        <v>128</v>
      </c>
      <c r="BB46" s="17">
        <v>0</v>
      </c>
      <c r="BC46" s="19">
        <v>0</v>
      </c>
      <c r="BD46" s="21">
        <f t="shared" si="10"/>
        <v>3880000</v>
      </c>
      <c r="BE46" s="66">
        <f t="shared" si="22"/>
        <v>128</v>
      </c>
      <c r="BF46" s="17">
        <v>0</v>
      </c>
      <c r="BG46" s="19">
        <v>0</v>
      </c>
      <c r="BH46" s="21">
        <f t="shared" si="11"/>
        <v>3880000</v>
      </c>
      <c r="BI46" s="71">
        <f t="shared" si="23"/>
        <v>128</v>
      </c>
    </row>
    <row r="47" spans="1:61" x14ac:dyDescent="0.2">
      <c r="A47" s="1">
        <v>46</v>
      </c>
      <c r="B47" s="1">
        <v>43</v>
      </c>
      <c r="C47" s="2" t="s">
        <v>104</v>
      </c>
      <c r="D47" s="2" t="s">
        <v>224</v>
      </c>
      <c r="E47" s="2" t="s">
        <v>105</v>
      </c>
      <c r="F47" s="2" t="s">
        <v>9</v>
      </c>
      <c r="G47" s="2" t="s">
        <v>97</v>
      </c>
      <c r="H47" s="3" t="s">
        <v>11</v>
      </c>
      <c r="J47" s="18">
        <v>100000</v>
      </c>
      <c r="L47" s="18">
        <v>3930000</v>
      </c>
      <c r="M47" s="66">
        <v>144</v>
      </c>
      <c r="N47" s="17">
        <v>50000</v>
      </c>
      <c r="O47" s="19">
        <v>0</v>
      </c>
      <c r="P47" s="20">
        <f t="shared" si="0"/>
        <v>3980000</v>
      </c>
      <c r="Q47" s="66">
        <f t="shared" si="12"/>
        <v>145</v>
      </c>
      <c r="R47" s="17">
        <v>50000</v>
      </c>
      <c r="S47" s="19">
        <v>0</v>
      </c>
      <c r="T47" s="21">
        <f t="shared" si="1"/>
        <v>4030000</v>
      </c>
      <c r="U47" s="66">
        <f t="shared" si="13"/>
        <v>146</v>
      </c>
      <c r="V47" s="17">
        <v>50000</v>
      </c>
      <c r="W47" s="19">
        <v>0</v>
      </c>
      <c r="X47" s="21">
        <f t="shared" si="2"/>
        <v>4080000</v>
      </c>
      <c r="Y47" s="66">
        <f t="shared" si="14"/>
        <v>147</v>
      </c>
      <c r="Z47" s="17">
        <v>50000</v>
      </c>
      <c r="AA47" s="19">
        <v>0</v>
      </c>
      <c r="AB47" s="21">
        <f t="shared" si="24"/>
        <v>4130000</v>
      </c>
      <c r="AC47" s="66">
        <f t="shared" si="15"/>
        <v>148</v>
      </c>
      <c r="AD47" s="17">
        <v>50000</v>
      </c>
      <c r="AE47" s="19">
        <v>0</v>
      </c>
      <c r="AF47" s="21">
        <f t="shared" si="25"/>
        <v>4180000</v>
      </c>
      <c r="AG47" s="66">
        <f t="shared" si="16"/>
        <v>149</v>
      </c>
      <c r="AH47" s="17">
        <v>50000</v>
      </c>
      <c r="AI47" s="19">
        <v>0</v>
      </c>
      <c r="AJ47" s="21">
        <f t="shared" si="26"/>
        <v>4230000</v>
      </c>
      <c r="AK47" s="66">
        <f t="shared" si="17"/>
        <v>150</v>
      </c>
      <c r="AL47" s="17">
        <v>50000</v>
      </c>
      <c r="AM47" s="19">
        <v>0</v>
      </c>
      <c r="AN47" s="21">
        <f t="shared" si="6"/>
        <v>4280000</v>
      </c>
      <c r="AO47" s="66">
        <f t="shared" si="18"/>
        <v>151</v>
      </c>
      <c r="AP47" s="17">
        <v>50000</v>
      </c>
      <c r="AQ47" s="19">
        <v>0</v>
      </c>
      <c r="AR47" s="21">
        <f t="shared" si="7"/>
        <v>4330000</v>
      </c>
      <c r="AS47" s="66">
        <f t="shared" si="19"/>
        <v>152</v>
      </c>
      <c r="AT47" s="17">
        <v>50000</v>
      </c>
      <c r="AU47" s="19">
        <v>0</v>
      </c>
      <c r="AV47" s="21">
        <f t="shared" si="8"/>
        <v>4380000</v>
      </c>
      <c r="AW47" s="66">
        <f t="shared" si="20"/>
        <v>153</v>
      </c>
      <c r="AX47" s="17">
        <v>0</v>
      </c>
      <c r="AY47" s="19">
        <v>0</v>
      </c>
      <c r="AZ47" s="21">
        <f t="shared" si="9"/>
        <v>4380000</v>
      </c>
      <c r="BA47" s="66">
        <f t="shared" si="21"/>
        <v>153</v>
      </c>
      <c r="BB47" s="17">
        <v>0</v>
      </c>
      <c r="BC47" s="19">
        <v>0</v>
      </c>
      <c r="BD47" s="21">
        <f t="shared" si="10"/>
        <v>4380000</v>
      </c>
      <c r="BE47" s="66">
        <f t="shared" si="22"/>
        <v>153</v>
      </c>
      <c r="BF47" s="17">
        <v>0</v>
      </c>
      <c r="BG47" s="19">
        <v>0</v>
      </c>
      <c r="BH47" s="21">
        <f t="shared" si="11"/>
        <v>4380000</v>
      </c>
      <c r="BI47" s="71">
        <f t="shared" si="23"/>
        <v>153</v>
      </c>
    </row>
    <row r="48" spans="1:61" x14ac:dyDescent="0.2">
      <c r="A48" s="1">
        <v>47</v>
      </c>
      <c r="B48" s="1">
        <v>44</v>
      </c>
      <c r="C48" s="2" t="s">
        <v>106</v>
      </c>
      <c r="D48" s="2" t="s">
        <v>225</v>
      </c>
      <c r="E48" s="2" t="s">
        <v>107</v>
      </c>
      <c r="F48" s="2" t="s">
        <v>9</v>
      </c>
      <c r="G48" s="2" t="s">
        <v>10</v>
      </c>
      <c r="H48" s="3" t="s">
        <v>11</v>
      </c>
      <c r="J48" s="18">
        <v>100000</v>
      </c>
      <c r="L48" s="18">
        <v>4990000</v>
      </c>
      <c r="M48" s="66">
        <v>197</v>
      </c>
      <c r="N48" s="17">
        <v>50000</v>
      </c>
      <c r="O48" s="19">
        <v>0</v>
      </c>
      <c r="P48" s="20">
        <f t="shared" si="0"/>
        <v>5040000</v>
      </c>
      <c r="Q48" s="66">
        <f t="shared" si="12"/>
        <v>198</v>
      </c>
      <c r="R48" s="17">
        <v>50000</v>
      </c>
      <c r="S48" s="19">
        <v>0</v>
      </c>
      <c r="T48" s="21">
        <f t="shared" si="1"/>
        <v>5090000</v>
      </c>
      <c r="U48" s="66">
        <f t="shared" si="13"/>
        <v>199</v>
      </c>
      <c r="V48" s="17">
        <v>50000</v>
      </c>
      <c r="W48" s="19">
        <v>0</v>
      </c>
      <c r="X48" s="21">
        <f t="shared" si="2"/>
        <v>5140000</v>
      </c>
      <c r="Y48" s="66">
        <f t="shared" si="14"/>
        <v>200</v>
      </c>
      <c r="Z48" s="17">
        <v>50000</v>
      </c>
      <c r="AA48" s="19">
        <v>0</v>
      </c>
      <c r="AB48" s="21">
        <f t="shared" si="24"/>
        <v>5190000</v>
      </c>
      <c r="AC48" s="66">
        <f t="shared" si="15"/>
        <v>201</v>
      </c>
      <c r="AD48" s="17">
        <v>50000</v>
      </c>
      <c r="AE48" s="19">
        <v>0</v>
      </c>
      <c r="AF48" s="21">
        <f t="shared" si="25"/>
        <v>5240000</v>
      </c>
      <c r="AG48" s="66">
        <f t="shared" si="16"/>
        <v>202</v>
      </c>
      <c r="AH48" s="17">
        <v>50000</v>
      </c>
      <c r="AI48" s="19">
        <v>0</v>
      </c>
      <c r="AJ48" s="21">
        <f t="shared" si="26"/>
        <v>5290000</v>
      </c>
      <c r="AK48" s="66">
        <f t="shared" si="17"/>
        <v>203</v>
      </c>
      <c r="AL48" s="17">
        <v>50000</v>
      </c>
      <c r="AM48" s="19">
        <v>0</v>
      </c>
      <c r="AN48" s="21">
        <f t="shared" si="6"/>
        <v>5340000</v>
      </c>
      <c r="AO48" s="66">
        <f t="shared" si="18"/>
        <v>204</v>
      </c>
      <c r="AP48" s="17">
        <v>50000</v>
      </c>
      <c r="AQ48" s="19">
        <v>0</v>
      </c>
      <c r="AR48" s="21">
        <f t="shared" si="7"/>
        <v>5390000</v>
      </c>
      <c r="AS48" s="66">
        <f t="shared" si="19"/>
        <v>205</v>
      </c>
      <c r="AT48" s="17">
        <v>50000</v>
      </c>
      <c r="AU48" s="19">
        <v>0</v>
      </c>
      <c r="AV48" s="21">
        <f t="shared" si="8"/>
        <v>5440000</v>
      </c>
      <c r="AW48" s="66">
        <f t="shared" si="20"/>
        <v>206</v>
      </c>
      <c r="AX48" s="17">
        <v>0</v>
      </c>
      <c r="AY48" s="19">
        <v>0</v>
      </c>
      <c r="AZ48" s="21">
        <f t="shared" si="9"/>
        <v>5440000</v>
      </c>
      <c r="BA48" s="66">
        <f t="shared" si="21"/>
        <v>206</v>
      </c>
      <c r="BB48" s="17">
        <v>0</v>
      </c>
      <c r="BC48" s="19">
        <v>0</v>
      </c>
      <c r="BD48" s="21">
        <f t="shared" si="10"/>
        <v>5440000</v>
      </c>
      <c r="BE48" s="66">
        <f t="shared" si="22"/>
        <v>206</v>
      </c>
      <c r="BF48" s="17">
        <v>0</v>
      </c>
      <c r="BG48" s="19">
        <v>0</v>
      </c>
      <c r="BH48" s="21">
        <f t="shared" si="11"/>
        <v>5440000</v>
      </c>
      <c r="BI48" s="71">
        <f t="shared" si="23"/>
        <v>206</v>
      </c>
    </row>
    <row r="49" spans="1:61" x14ac:dyDescent="0.2">
      <c r="A49" s="1">
        <v>48</v>
      </c>
      <c r="B49" s="1">
        <v>45</v>
      </c>
      <c r="C49" s="2" t="s">
        <v>108</v>
      </c>
      <c r="D49" s="2" t="s">
        <v>224</v>
      </c>
      <c r="E49" s="2" t="s">
        <v>109</v>
      </c>
      <c r="F49" s="2" t="s">
        <v>9</v>
      </c>
      <c r="G49" s="2" t="s">
        <v>10</v>
      </c>
      <c r="H49" s="3" t="s">
        <v>11</v>
      </c>
      <c r="J49" s="18">
        <v>100000</v>
      </c>
      <c r="L49" s="18">
        <v>4990000</v>
      </c>
      <c r="M49" s="66">
        <v>197</v>
      </c>
      <c r="N49" s="17">
        <v>50000</v>
      </c>
      <c r="O49" s="19">
        <v>0</v>
      </c>
      <c r="P49" s="20">
        <f t="shared" si="0"/>
        <v>5040000</v>
      </c>
      <c r="Q49" s="66">
        <f t="shared" si="12"/>
        <v>198</v>
      </c>
      <c r="R49" s="17">
        <v>50000</v>
      </c>
      <c r="S49" s="19">
        <v>0</v>
      </c>
      <c r="T49" s="21">
        <f t="shared" si="1"/>
        <v>5090000</v>
      </c>
      <c r="U49" s="66">
        <f t="shared" si="13"/>
        <v>199</v>
      </c>
      <c r="V49" s="17">
        <v>50000</v>
      </c>
      <c r="W49" s="19">
        <v>0</v>
      </c>
      <c r="X49" s="21">
        <f t="shared" si="2"/>
        <v>5140000</v>
      </c>
      <c r="Y49" s="66">
        <f t="shared" si="14"/>
        <v>200</v>
      </c>
      <c r="Z49" s="17">
        <v>50000</v>
      </c>
      <c r="AA49" s="19">
        <v>0</v>
      </c>
      <c r="AB49" s="21">
        <f t="shared" si="24"/>
        <v>5190000</v>
      </c>
      <c r="AC49" s="66">
        <f t="shared" si="15"/>
        <v>201</v>
      </c>
      <c r="AD49" s="17">
        <v>50000</v>
      </c>
      <c r="AE49" s="19">
        <v>0</v>
      </c>
      <c r="AF49" s="21">
        <f t="shared" si="25"/>
        <v>5240000</v>
      </c>
      <c r="AG49" s="66">
        <f t="shared" si="16"/>
        <v>202</v>
      </c>
      <c r="AH49" s="17">
        <v>50000</v>
      </c>
      <c r="AI49" s="19">
        <v>0</v>
      </c>
      <c r="AJ49" s="21">
        <f t="shared" si="26"/>
        <v>5290000</v>
      </c>
      <c r="AK49" s="66">
        <f t="shared" si="17"/>
        <v>203</v>
      </c>
      <c r="AL49" s="17">
        <v>50000</v>
      </c>
      <c r="AM49" s="19">
        <v>0</v>
      </c>
      <c r="AN49" s="21">
        <f t="shared" si="6"/>
        <v>5340000</v>
      </c>
      <c r="AO49" s="66">
        <f t="shared" si="18"/>
        <v>204</v>
      </c>
      <c r="AP49" s="17">
        <v>50000</v>
      </c>
      <c r="AQ49" s="19">
        <v>0</v>
      </c>
      <c r="AR49" s="21">
        <f t="shared" si="7"/>
        <v>5390000</v>
      </c>
      <c r="AS49" s="66">
        <f t="shared" si="19"/>
        <v>205</v>
      </c>
      <c r="AT49" s="17">
        <v>50000</v>
      </c>
      <c r="AU49" s="19">
        <v>0</v>
      </c>
      <c r="AV49" s="21">
        <f t="shared" si="8"/>
        <v>5440000</v>
      </c>
      <c r="AW49" s="66">
        <f t="shared" si="20"/>
        <v>206</v>
      </c>
      <c r="AX49" s="17">
        <v>0</v>
      </c>
      <c r="AY49" s="19">
        <v>0</v>
      </c>
      <c r="AZ49" s="21">
        <f t="shared" si="9"/>
        <v>5440000</v>
      </c>
      <c r="BA49" s="66">
        <f t="shared" si="21"/>
        <v>206</v>
      </c>
      <c r="BB49" s="17">
        <v>0</v>
      </c>
      <c r="BC49" s="19">
        <v>0</v>
      </c>
      <c r="BD49" s="21">
        <f t="shared" si="10"/>
        <v>5440000</v>
      </c>
      <c r="BE49" s="66">
        <f t="shared" si="22"/>
        <v>206</v>
      </c>
      <c r="BF49" s="17">
        <v>0</v>
      </c>
      <c r="BG49" s="19">
        <v>0</v>
      </c>
      <c r="BH49" s="21">
        <f t="shared" si="11"/>
        <v>5440000</v>
      </c>
      <c r="BI49" s="71">
        <f t="shared" si="23"/>
        <v>206</v>
      </c>
    </row>
    <row r="50" spans="1:61" x14ac:dyDescent="0.2">
      <c r="A50" s="1">
        <v>49</v>
      </c>
      <c r="B50" s="1">
        <v>46</v>
      </c>
      <c r="C50" s="2" t="s">
        <v>110</v>
      </c>
      <c r="D50" s="2" t="s">
        <v>224</v>
      </c>
      <c r="E50" s="2" t="s">
        <v>111</v>
      </c>
      <c r="F50" s="2" t="s">
        <v>9</v>
      </c>
      <c r="G50" s="2" t="s">
        <v>10</v>
      </c>
      <c r="H50" s="3" t="s">
        <v>11</v>
      </c>
      <c r="J50" s="18">
        <v>100000</v>
      </c>
      <c r="L50" s="18">
        <v>2150000</v>
      </c>
      <c r="M50" s="67">
        <v>55</v>
      </c>
      <c r="N50" s="17">
        <v>50000</v>
      </c>
      <c r="O50" s="19">
        <v>0</v>
      </c>
      <c r="P50" s="20">
        <f t="shared" si="0"/>
        <v>2200000</v>
      </c>
      <c r="Q50" s="67">
        <f t="shared" si="12"/>
        <v>56</v>
      </c>
      <c r="R50" s="17">
        <v>50000</v>
      </c>
      <c r="S50" s="19">
        <v>0</v>
      </c>
      <c r="T50" s="21">
        <f t="shared" si="1"/>
        <v>2250000</v>
      </c>
      <c r="U50" s="67">
        <f t="shared" si="13"/>
        <v>57</v>
      </c>
      <c r="V50" s="17">
        <v>50000</v>
      </c>
      <c r="W50" s="19">
        <v>0</v>
      </c>
      <c r="X50" s="21">
        <f t="shared" si="2"/>
        <v>2300000</v>
      </c>
      <c r="Y50" s="67">
        <f t="shared" si="14"/>
        <v>58</v>
      </c>
      <c r="Z50" s="17">
        <v>50000</v>
      </c>
      <c r="AA50" s="19">
        <v>0</v>
      </c>
      <c r="AB50" s="21">
        <f t="shared" si="24"/>
        <v>2350000</v>
      </c>
      <c r="AC50" s="67">
        <f t="shared" si="15"/>
        <v>59</v>
      </c>
      <c r="AD50" s="17">
        <v>50000</v>
      </c>
      <c r="AE50" s="19">
        <v>0</v>
      </c>
      <c r="AF50" s="21">
        <f t="shared" si="25"/>
        <v>2400000</v>
      </c>
      <c r="AG50" s="67">
        <f t="shared" si="16"/>
        <v>60</v>
      </c>
      <c r="AH50" s="17">
        <v>50000</v>
      </c>
      <c r="AI50" s="19">
        <v>0</v>
      </c>
      <c r="AJ50" s="21">
        <f t="shared" si="26"/>
        <v>2450000</v>
      </c>
      <c r="AK50" s="67">
        <f t="shared" si="17"/>
        <v>61</v>
      </c>
      <c r="AL50" s="17">
        <v>50000</v>
      </c>
      <c r="AM50" s="19">
        <v>0</v>
      </c>
      <c r="AN50" s="21">
        <f t="shared" si="6"/>
        <v>2500000</v>
      </c>
      <c r="AO50" s="67">
        <f t="shared" si="18"/>
        <v>62</v>
      </c>
      <c r="AP50" s="17">
        <v>50000</v>
      </c>
      <c r="AQ50" s="19">
        <v>0</v>
      </c>
      <c r="AR50" s="21">
        <f t="shared" si="7"/>
        <v>2550000</v>
      </c>
      <c r="AS50" s="67">
        <f t="shared" si="19"/>
        <v>63</v>
      </c>
      <c r="AT50" s="17">
        <v>50000</v>
      </c>
      <c r="AU50" s="19">
        <v>0</v>
      </c>
      <c r="AV50" s="21">
        <f t="shared" si="8"/>
        <v>2600000</v>
      </c>
      <c r="AW50" s="67">
        <f t="shared" si="20"/>
        <v>64</v>
      </c>
      <c r="AX50" s="17">
        <v>0</v>
      </c>
      <c r="AY50" s="19">
        <v>0</v>
      </c>
      <c r="AZ50" s="21">
        <f t="shared" si="9"/>
        <v>2600000</v>
      </c>
      <c r="BA50" s="67">
        <f t="shared" si="21"/>
        <v>64</v>
      </c>
      <c r="BB50" s="17">
        <v>0</v>
      </c>
      <c r="BC50" s="19">
        <v>0</v>
      </c>
      <c r="BD50" s="21">
        <f t="shared" si="10"/>
        <v>2600000</v>
      </c>
      <c r="BE50" s="67">
        <f t="shared" si="22"/>
        <v>64</v>
      </c>
      <c r="BF50" s="17">
        <v>0</v>
      </c>
      <c r="BG50" s="19">
        <v>0</v>
      </c>
      <c r="BH50" s="21">
        <f t="shared" si="11"/>
        <v>2600000</v>
      </c>
      <c r="BI50" s="72">
        <f t="shared" si="23"/>
        <v>64</v>
      </c>
    </row>
    <row r="51" spans="1:61" x14ac:dyDescent="0.2">
      <c r="A51" s="1">
        <v>50</v>
      </c>
      <c r="B51" s="1">
        <v>47</v>
      </c>
      <c r="C51" s="2" t="s">
        <v>112</v>
      </c>
      <c r="D51" s="2" t="s">
        <v>225</v>
      </c>
      <c r="E51" s="2" t="s">
        <v>113</v>
      </c>
      <c r="F51" s="2" t="s">
        <v>9</v>
      </c>
      <c r="G51" s="2" t="s">
        <v>10</v>
      </c>
      <c r="H51" s="3" t="s">
        <v>11</v>
      </c>
      <c r="J51" s="18">
        <v>100000</v>
      </c>
      <c r="L51" s="18">
        <v>4370000</v>
      </c>
      <c r="M51" s="66">
        <v>166</v>
      </c>
      <c r="N51" s="17">
        <v>50000</v>
      </c>
      <c r="O51" s="19">
        <v>0</v>
      </c>
      <c r="P51" s="20">
        <f t="shared" si="0"/>
        <v>4420000</v>
      </c>
      <c r="Q51" s="66">
        <f t="shared" si="12"/>
        <v>167</v>
      </c>
      <c r="R51" s="17">
        <v>50000</v>
      </c>
      <c r="S51" s="19">
        <v>0</v>
      </c>
      <c r="T51" s="21">
        <f t="shared" si="1"/>
        <v>4470000</v>
      </c>
      <c r="U51" s="66">
        <f t="shared" si="13"/>
        <v>168</v>
      </c>
      <c r="V51" s="17">
        <v>50000</v>
      </c>
      <c r="W51" s="19">
        <v>0</v>
      </c>
      <c r="X51" s="21">
        <f t="shared" si="2"/>
        <v>4520000</v>
      </c>
      <c r="Y51" s="66">
        <f t="shared" si="14"/>
        <v>169</v>
      </c>
      <c r="Z51" s="17">
        <v>50000</v>
      </c>
      <c r="AA51" s="19">
        <v>0</v>
      </c>
      <c r="AB51" s="21">
        <f t="shared" si="24"/>
        <v>4570000</v>
      </c>
      <c r="AC51" s="66">
        <f t="shared" si="15"/>
        <v>170</v>
      </c>
      <c r="AD51" s="17">
        <v>50000</v>
      </c>
      <c r="AE51" s="19">
        <v>0</v>
      </c>
      <c r="AF51" s="21">
        <f t="shared" si="25"/>
        <v>4620000</v>
      </c>
      <c r="AG51" s="66">
        <f t="shared" si="16"/>
        <v>171</v>
      </c>
      <c r="AH51" s="17">
        <v>50000</v>
      </c>
      <c r="AI51" s="19">
        <v>0</v>
      </c>
      <c r="AJ51" s="21">
        <f t="shared" si="26"/>
        <v>4670000</v>
      </c>
      <c r="AK51" s="66">
        <f t="shared" si="17"/>
        <v>172</v>
      </c>
      <c r="AL51" s="17">
        <v>50000</v>
      </c>
      <c r="AM51" s="19">
        <v>0</v>
      </c>
      <c r="AN51" s="21">
        <f t="shared" si="6"/>
        <v>4720000</v>
      </c>
      <c r="AO51" s="66">
        <f t="shared" si="18"/>
        <v>173</v>
      </c>
      <c r="AP51" s="17">
        <v>50000</v>
      </c>
      <c r="AQ51" s="19">
        <v>0</v>
      </c>
      <c r="AR51" s="21">
        <f t="shared" si="7"/>
        <v>4770000</v>
      </c>
      <c r="AS51" s="66">
        <f t="shared" si="19"/>
        <v>174</v>
      </c>
      <c r="AT51" s="17">
        <v>50000</v>
      </c>
      <c r="AU51" s="19">
        <v>0</v>
      </c>
      <c r="AV51" s="21">
        <f t="shared" si="8"/>
        <v>4820000</v>
      </c>
      <c r="AW51" s="66">
        <f t="shared" si="20"/>
        <v>175</v>
      </c>
      <c r="AX51" s="17">
        <v>0</v>
      </c>
      <c r="AY51" s="19">
        <v>0</v>
      </c>
      <c r="AZ51" s="21">
        <f t="shared" si="9"/>
        <v>4820000</v>
      </c>
      <c r="BA51" s="66">
        <f t="shared" si="21"/>
        <v>175</v>
      </c>
      <c r="BB51" s="17">
        <v>0</v>
      </c>
      <c r="BC51" s="19">
        <v>0</v>
      </c>
      <c r="BD51" s="21">
        <f t="shared" si="10"/>
        <v>4820000</v>
      </c>
      <c r="BE51" s="66">
        <f t="shared" si="22"/>
        <v>175</v>
      </c>
      <c r="BF51" s="17">
        <v>0</v>
      </c>
      <c r="BG51" s="19">
        <v>0</v>
      </c>
      <c r="BH51" s="21">
        <f t="shared" si="11"/>
        <v>4820000</v>
      </c>
      <c r="BI51" s="71">
        <f t="shared" si="23"/>
        <v>175</v>
      </c>
    </row>
    <row r="52" spans="1:61" x14ac:dyDescent="0.2">
      <c r="A52" s="1">
        <v>51</v>
      </c>
      <c r="B52" s="1">
        <v>48</v>
      </c>
      <c r="C52" s="2" t="s">
        <v>114</v>
      </c>
      <c r="D52" s="2" t="s">
        <v>224</v>
      </c>
      <c r="E52" s="2" t="s">
        <v>115</v>
      </c>
      <c r="F52" s="2" t="s">
        <v>9</v>
      </c>
      <c r="G52" s="2" t="s">
        <v>10</v>
      </c>
      <c r="H52" s="3" t="s">
        <v>11</v>
      </c>
      <c r="J52" s="18">
        <v>100000</v>
      </c>
      <c r="L52" s="18">
        <v>2170000</v>
      </c>
      <c r="M52" s="67">
        <v>56</v>
      </c>
      <c r="N52" s="17">
        <v>50000</v>
      </c>
      <c r="O52" s="19">
        <v>0</v>
      </c>
      <c r="P52" s="20">
        <f t="shared" si="0"/>
        <v>2220000</v>
      </c>
      <c r="Q52" s="67">
        <f t="shared" si="12"/>
        <v>57</v>
      </c>
      <c r="R52" s="17">
        <v>50000</v>
      </c>
      <c r="S52" s="19">
        <v>0</v>
      </c>
      <c r="T52" s="21">
        <f t="shared" si="1"/>
        <v>2270000</v>
      </c>
      <c r="U52" s="67">
        <f t="shared" si="13"/>
        <v>58</v>
      </c>
      <c r="V52" s="17">
        <v>50000</v>
      </c>
      <c r="W52" s="19">
        <v>0</v>
      </c>
      <c r="X52" s="21">
        <f t="shared" si="2"/>
        <v>2320000</v>
      </c>
      <c r="Y52" s="67">
        <f t="shared" si="14"/>
        <v>59</v>
      </c>
      <c r="Z52" s="17">
        <v>50000</v>
      </c>
      <c r="AA52" s="19">
        <v>0</v>
      </c>
      <c r="AB52" s="21">
        <f t="shared" si="24"/>
        <v>2370000</v>
      </c>
      <c r="AC52" s="67">
        <f t="shared" si="15"/>
        <v>60</v>
      </c>
      <c r="AD52" s="17">
        <v>50000</v>
      </c>
      <c r="AE52" s="19">
        <v>0</v>
      </c>
      <c r="AF52" s="21">
        <f t="shared" si="25"/>
        <v>2420000</v>
      </c>
      <c r="AG52" s="67">
        <f t="shared" si="16"/>
        <v>61</v>
      </c>
      <c r="AH52" s="17">
        <v>50000</v>
      </c>
      <c r="AI52" s="19">
        <v>0</v>
      </c>
      <c r="AJ52" s="21">
        <f t="shared" si="26"/>
        <v>2470000</v>
      </c>
      <c r="AK52" s="67">
        <f t="shared" si="17"/>
        <v>62</v>
      </c>
      <c r="AL52" s="17">
        <v>50000</v>
      </c>
      <c r="AM52" s="19">
        <v>0</v>
      </c>
      <c r="AN52" s="21">
        <f t="shared" si="6"/>
        <v>2520000</v>
      </c>
      <c r="AO52" s="67">
        <f t="shared" si="18"/>
        <v>63</v>
      </c>
      <c r="AP52" s="17">
        <v>50000</v>
      </c>
      <c r="AQ52" s="19">
        <v>0</v>
      </c>
      <c r="AR52" s="21">
        <f t="shared" si="7"/>
        <v>2570000</v>
      </c>
      <c r="AS52" s="67">
        <f t="shared" si="19"/>
        <v>64</v>
      </c>
      <c r="AT52" s="17">
        <v>50000</v>
      </c>
      <c r="AU52" s="19">
        <v>0</v>
      </c>
      <c r="AV52" s="21">
        <f t="shared" si="8"/>
        <v>2620000</v>
      </c>
      <c r="AW52" s="67">
        <f t="shared" si="20"/>
        <v>65</v>
      </c>
      <c r="AX52" s="17">
        <v>0</v>
      </c>
      <c r="AY52" s="19">
        <v>0</v>
      </c>
      <c r="AZ52" s="21">
        <f t="shared" si="9"/>
        <v>2620000</v>
      </c>
      <c r="BA52" s="67">
        <f t="shared" si="21"/>
        <v>65</v>
      </c>
      <c r="BB52" s="17">
        <v>0</v>
      </c>
      <c r="BC52" s="19">
        <v>0</v>
      </c>
      <c r="BD52" s="21">
        <f t="shared" si="10"/>
        <v>2620000</v>
      </c>
      <c r="BE52" s="67">
        <f t="shared" si="22"/>
        <v>65</v>
      </c>
      <c r="BF52" s="17">
        <v>0</v>
      </c>
      <c r="BG52" s="19">
        <v>0</v>
      </c>
      <c r="BH52" s="21">
        <f t="shared" si="11"/>
        <v>2620000</v>
      </c>
      <c r="BI52" s="72">
        <f t="shared" si="23"/>
        <v>65</v>
      </c>
    </row>
    <row r="53" spans="1:61" x14ac:dyDescent="0.2">
      <c r="A53" s="1">
        <v>52</v>
      </c>
      <c r="B53" s="1">
        <v>49</v>
      </c>
      <c r="C53" s="2" t="s">
        <v>116</v>
      </c>
      <c r="D53" s="2" t="s">
        <v>224</v>
      </c>
      <c r="E53" s="2" t="s">
        <v>117</v>
      </c>
      <c r="F53" s="2" t="s">
        <v>9</v>
      </c>
      <c r="G53" s="2" t="s">
        <v>10</v>
      </c>
      <c r="H53" s="3" t="s">
        <v>11</v>
      </c>
      <c r="J53" s="18">
        <v>100000</v>
      </c>
      <c r="L53" s="18">
        <v>4990000</v>
      </c>
      <c r="M53" s="66">
        <v>197</v>
      </c>
      <c r="N53" s="17">
        <v>50000</v>
      </c>
      <c r="O53" s="19">
        <v>0</v>
      </c>
      <c r="P53" s="20">
        <f t="shared" si="0"/>
        <v>5040000</v>
      </c>
      <c r="Q53" s="66">
        <f t="shared" si="12"/>
        <v>198</v>
      </c>
      <c r="R53" s="17">
        <v>50000</v>
      </c>
      <c r="S53" s="19">
        <v>0</v>
      </c>
      <c r="T53" s="21">
        <f t="shared" si="1"/>
        <v>5090000</v>
      </c>
      <c r="U53" s="66">
        <f t="shared" si="13"/>
        <v>199</v>
      </c>
      <c r="V53" s="17">
        <v>50000</v>
      </c>
      <c r="W53" s="19">
        <v>0</v>
      </c>
      <c r="X53" s="21">
        <f t="shared" si="2"/>
        <v>5140000</v>
      </c>
      <c r="Y53" s="66">
        <f t="shared" si="14"/>
        <v>200</v>
      </c>
      <c r="Z53" s="17">
        <v>50000</v>
      </c>
      <c r="AA53" s="19">
        <v>0</v>
      </c>
      <c r="AB53" s="21">
        <f t="shared" si="24"/>
        <v>5190000</v>
      </c>
      <c r="AC53" s="66">
        <f t="shared" si="15"/>
        <v>201</v>
      </c>
      <c r="AD53" s="17">
        <v>50000</v>
      </c>
      <c r="AE53" s="19">
        <v>0</v>
      </c>
      <c r="AF53" s="21">
        <f t="shared" si="25"/>
        <v>5240000</v>
      </c>
      <c r="AG53" s="66">
        <f t="shared" si="16"/>
        <v>202</v>
      </c>
      <c r="AH53" s="17">
        <v>50000</v>
      </c>
      <c r="AI53" s="19">
        <v>0</v>
      </c>
      <c r="AJ53" s="21">
        <f t="shared" si="26"/>
        <v>5290000</v>
      </c>
      <c r="AK53" s="66">
        <f t="shared" si="17"/>
        <v>203</v>
      </c>
      <c r="AL53" s="17">
        <v>50000</v>
      </c>
      <c r="AM53" s="19">
        <v>0</v>
      </c>
      <c r="AN53" s="21">
        <f t="shared" si="6"/>
        <v>5340000</v>
      </c>
      <c r="AO53" s="66">
        <f t="shared" si="18"/>
        <v>204</v>
      </c>
      <c r="AP53" s="17">
        <v>50000</v>
      </c>
      <c r="AQ53" s="19">
        <v>0</v>
      </c>
      <c r="AR53" s="21">
        <f t="shared" si="7"/>
        <v>5390000</v>
      </c>
      <c r="AS53" s="66">
        <f t="shared" si="19"/>
        <v>205</v>
      </c>
      <c r="AT53" s="17">
        <v>50000</v>
      </c>
      <c r="AU53" s="19">
        <v>0</v>
      </c>
      <c r="AV53" s="21">
        <f t="shared" si="8"/>
        <v>5440000</v>
      </c>
      <c r="AW53" s="66">
        <f t="shared" si="20"/>
        <v>206</v>
      </c>
      <c r="AX53" s="17">
        <v>0</v>
      </c>
      <c r="AY53" s="19">
        <v>0</v>
      </c>
      <c r="AZ53" s="21">
        <f t="shared" si="9"/>
        <v>5440000</v>
      </c>
      <c r="BA53" s="66">
        <f t="shared" si="21"/>
        <v>206</v>
      </c>
      <c r="BB53" s="17">
        <v>0</v>
      </c>
      <c r="BC53" s="19">
        <v>0</v>
      </c>
      <c r="BD53" s="21">
        <f t="shared" si="10"/>
        <v>5440000</v>
      </c>
      <c r="BE53" s="66">
        <f t="shared" si="22"/>
        <v>206</v>
      </c>
      <c r="BF53" s="17">
        <v>0</v>
      </c>
      <c r="BG53" s="19">
        <v>0</v>
      </c>
      <c r="BH53" s="21">
        <f t="shared" si="11"/>
        <v>5440000</v>
      </c>
      <c r="BI53" s="71">
        <f t="shared" si="23"/>
        <v>206</v>
      </c>
    </row>
    <row r="54" spans="1:61" x14ac:dyDescent="0.2">
      <c r="A54" s="1">
        <v>53</v>
      </c>
      <c r="B54" s="1">
        <v>50</v>
      </c>
      <c r="C54" s="2" t="s">
        <v>118</v>
      </c>
      <c r="D54" s="2" t="s">
        <v>224</v>
      </c>
      <c r="E54" s="2" t="s">
        <v>119</v>
      </c>
      <c r="F54" s="2" t="s">
        <v>9</v>
      </c>
      <c r="G54" s="2" t="s">
        <v>10</v>
      </c>
      <c r="H54" s="3" t="s">
        <v>11</v>
      </c>
      <c r="J54" s="18">
        <v>100000</v>
      </c>
      <c r="L54" s="18">
        <v>4990000</v>
      </c>
      <c r="M54" s="66">
        <v>197</v>
      </c>
      <c r="N54" s="17">
        <v>50000</v>
      </c>
      <c r="O54" s="19">
        <v>0</v>
      </c>
      <c r="P54" s="20">
        <f t="shared" si="0"/>
        <v>5040000</v>
      </c>
      <c r="Q54" s="66">
        <f t="shared" si="12"/>
        <v>198</v>
      </c>
      <c r="R54" s="17">
        <v>50000</v>
      </c>
      <c r="S54" s="19">
        <v>0</v>
      </c>
      <c r="T54" s="21">
        <f t="shared" si="1"/>
        <v>5090000</v>
      </c>
      <c r="U54" s="66">
        <f t="shared" si="13"/>
        <v>199</v>
      </c>
      <c r="V54" s="17">
        <v>50000</v>
      </c>
      <c r="W54" s="19">
        <v>0</v>
      </c>
      <c r="X54" s="21">
        <f t="shared" si="2"/>
        <v>5140000</v>
      </c>
      <c r="Y54" s="66">
        <f t="shared" si="14"/>
        <v>200</v>
      </c>
      <c r="Z54" s="17">
        <v>50000</v>
      </c>
      <c r="AA54" s="19">
        <v>0</v>
      </c>
      <c r="AB54" s="21">
        <f t="shared" si="24"/>
        <v>5190000</v>
      </c>
      <c r="AC54" s="66">
        <f t="shared" si="15"/>
        <v>201</v>
      </c>
      <c r="AD54" s="17">
        <v>50000</v>
      </c>
      <c r="AE54" s="19">
        <v>0</v>
      </c>
      <c r="AF54" s="21">
        <f t="shared" si="25"/>
        <v>5240000</v>
      </c>
      <c r="AG54" s="66">
        <f t="shared" si="16"/>
        <v>202</v>
      </c>
      <c r="AH54" s="17">
        <v>50000</v>
      </c>
      <c r="AI54" s="19">
        <v>0</v>
      </c>
      <c r="AJ54" s="21">
        <f t="shared" si="26"/>
        <v>5290000</v>
      </c>
      <c r="AK54" s="66">
        <f t="shared" si="17"/>
        <v>203</v>
      </c>
      <c r="AL54" s="17">
        <v>50000</v>
      </c>
      <c r="AM54" s="19">
        <v>0</v>
      </c>
      <c r="AN54" s="21">
        <f t="shared" si="6"/>
        <v>5340000</v>
      </c>
      <c r="AO54" s="66">
        <f t="shared" si="18"/>
        <v>204</v>
      </c>
      <c r="AP54" s="17">
        <v>50000</v>
      </c>
      <c r="AQ54" s="19">
        <v>0</v>
      </c>
      <c r="AR54" s="21">
        <f t="shared" si="7"/>
        <v>5390000</v>
      </c>
      <c r="AS54" s="66">
        <f t="shared" si="19"/>
        <v>205</v>
      </c>
      <c r="AT54" s="17">
        <v>50000</v>
      </c>
      <c r="AU54" s="19">
        <v>0</v>
      </c>
      <c r="AV54" s="21">
        <f t="shared" si="8"/>
        <v>5440000</v>
      </c>
      <c r="AW54" s="66">
        <f t="shared" si="20"/>
        <v>206</v>
      </c>
      <c r="AX54" s="17">
        <v>0</v>
      </c>
      <c r="AY54" s="19">
        <v>0</v>
      </c>
      <c r="AZ54" s="21">
        <f t="shared" si="9"/>
        <v>5440000</v>
      </c>
      <c r="BA54" s="66">
        <f t="shared" si="21"/>
        <v>206</v>
      </c>
      <c r="BB54" s="17">
        <v>0</v>
      </c>
      <c r="BC54" s="19">
        <v>0</v>
      </c>
      <c r="BD54" s="21">
        <f t="shared" si="10"/>
        <v>5440000</v>
      </c>
      <c r="BE54" s="66">
        <f t="shared" si="22"/>
        <v>206</v>
      </c>
      <c r="BF54" s="17">
        <v>0</v>
      </c>
      <c r="BG54" s="19">
        <v>0</v>
      </c>
      <c r="BH54" s="21">
        <f t="shared" si="11"/>
        <v>5440000</v>
      </c>
      <c r="BI54" s="71">
        <f t="shared" si="23"/>
        <v>206</v>
      </c>
    </row>
    <row r="55" spans="1:61" x14ac:dyDescent="0.2">
      <c r="A55" s="1">
        <v>54</v>
      </c>
      <c r="B55" s="1">
        <v>51</v>
      </c>
      <c r="C55" s="2" t="s">
        <v>120</v>
      </c>
      <c r="D55" s="2" t="s">
        <v>224</v>
      </c>
      <c r="E55" s="2" t="s">
        <v>121</v>
      </c>
      <c r="F55" s="2" t="s">
        <v>9</v>
      </c>
      <c r="G55" s="2" t="s">
        <v>10</v>
      </c>
      <c r="H55" s="3" t="s">
        <v>11</v>
      </c>
      <c r="J55" s="18">
        <v>100000</v>
      </c>
      <c r="L55" s="18">
        <v>4990000</v>
      </c>
      <c r="M55" s="66">
        <v>197</v>
      </c>
      <c r="N55" s="17">
        <v>50000</v>
      </c>
      <c r="O55" s="19">
        <v>0</v>
      </c>
      <c r="P55" s="20">
        <f t="shared" si="0"/>
        <v>5040000</v>
      </c>
      <c r="Q55" s="66">
        <f t="shared" si="12"/>
        <v>198</v>
      </c>
      <c r="R55" s="17">
        <v>50000</v>
      </c>
      <c r="S55" s="19">
        <v>0</v>
      </c>
      <c r="T55" s="21">
        <f t="shared" si="1"/>
        <v>5090000</v>
      </c>
      <c r="U55" s="66">
        <f t="shared" si="13"/>
        <v>199</v>
      </c>
      <c r="V55" s="17">
        <v>50000</v>
      </c>
      <c r="W55" s="19">
        <v>0</v>
      </c>
      <c r="X55" s="21">
        <f t="shared" si="2"/>
        <v>5140000</v>
      </c>
      <c r="Y55" s="66">
        <f t="shared" si="14"/>
        <v>200</v>
      </c>
      <c r="Z55" s="17">
        <v>50000</v>
      </c>
      <c r="AA55" s="19">
        <v>0</v>
      </c>
      <c r="AB55" s="21">
        <f t="shared" si="24"/>
        <v>5190000</v>
      </c>
      <c r="AC55" s="66">
        <f t="shared" si="15"/>
        <v>201</v>
      </c>
      <c r="AD55" s="17">
        <v>50000</v>
      </c>
      <c r="AE55" s="19">
        <v>0</v>
      </c>
      <c r="AF55" s="21">
        <f t="shared" si="25"/>
        <v>5240000</v>
      </c>
      <c r="AG55" s="66">
        <f t="shared" si="16"/>
        <v>202</v>
      </c>
      <c r="AH55" s="17">
        <v>50000</v>
      </c>
      <c r="AI55" s="19">
        <v>0</v>
      </c>
      <c r="AJ55" s="21">
        <f t="shared" ref="AJ55:AJ80" si="27">AF55+AH55+AI55</f>
        <v>5290000</v>
      </c>
      <c r="AK55" s="66">
        <f t="shared" si="17"/>
        <v>203</v>
      </c>
      <c r="AL55" s="17">
        <v>50000</v>
      </c>
      <c r="AM55" s="19">
        <v>0</v>
      </c>
      <c r="AN55" s="21">
        <f t="shared" si="6"/>
        <v>5340000</v>
      </c>
      <c r="AO55" s="66">
        <f t="shared" si="18"/>
        <v>204</v>
      </c>
      <c r="AP55" s="17">
        <v>50000</v>
      </c>
      <c r="AQ55" s="19">
        <v>0</v>
      </c>
      <c r="AR55" s="21">
        <f t="shared" si="7"/>
        <v>5390000</v>
      </c>
      <c r="AS55" s="66">
        <f t="shared" si="19"/>
        <v>205</v>
      </c>
      <c r="AT55" s="17">
        <v>50000</v>
      </c>
      <c r="AU55" s="19">
        <v>0</v>
      </c>
      <c r="AV55" s="21">
        <f t="shared" si="8"/>
        <v>5440000</v>
      </c>
      <c r="AW55" s="66">
        <f t="shared" si="20"/>
        <v>206</v>
      </c>
      <c r="AX55" s="17">
        <v>0</v>
      </c>
      <c r="AY55" s="19">
        <v>0</v>
      </c>
      <c r="AZ55" s="21">
        <f t="shared" si="9"/>
        <v>5440000</v>
      </c>
      <c r="BA55" s="66">
        <f t="shared" si="21"/>
        <v>206</v>
      </c>
      <c r="BB55" s="17">
        <v>0</v>
      </c>
      <c r="BC55" s="19">
        <v>0</v>
      </c>
      <c r="BD55" s="21">
        <f t="shared" si="10"/>
        <v>5440000</v>
      </c>
      <c r="BE55" s="66">
        <f t="shared" si="22"/>
        <v>206</v>
      </c>
      <c r="BF55" s="17">
        <v>0</v>
      </c>
      <c r="BG55" s="19">
        <v>0</v>
      </c>
      <c r="BH55" s="21">
        <f t="shared" si="11"/>
        <v>5440000</v>
      </c>
      <c r="BI55" s="71">
        <f t="shared" si="23"/>
        <v>206</v>
      </c>
    </row>
    <row r="56" spans="1:61" x14ac:dyDescent="0.2">
      <c r="A56" s="1">
        <v>55</v>
      </c>
      <c r="B56" s="1">
        <v>52</v>
      </c>
      <c r="C56" s="2" t="s">
        <v>122</v>
      </c>
      <c r="D56" s="2" t="s">
        <v>224</v>
      </c>
      <c r="E56" s="2" t="s">
        <v>123</v>
      </c>
      <c r="F56" s="2" t="s">
        <v>9</v>
      </c>
      <c r="G56" s="2" t="s">
        <v>10</v>
      </c>
      <c r="H56" s="3" t="s">
        <v>11</v>
      </c>
      <c r="J56" s="18">
        <v>100000</v>
      </c>
      <c r="L56" s="18">
        <v>4990000</v>
      </c>
      <c r="M56" s="66">
        <v>197</v>
      </c>
      <c r="N56" s="17">
        <v>50000</v>
      </c>
      <c r="O56" s="19">
        <v>0</v>
      </c>
      <c r="P56" s="20">
        <f t="shared" si="0"/>
        <v>5040000</v>
      </c>
      <c r="Q56" s="66">
        <f t="shared" si="12"/>
        <v>198</v>
      </c>
      <c r="R56" s="17">
        <v>50000</v>
      </c>
      <c r="S56" s="19">
        <v>0</v>
      </c>
      <c r="T56" s="21">
        <f t="shared" si="1"/>
        <v>5090000</v>
      </c>
      <c r="U56" s="66">
        <f t="shared" si="13"/>
        <v>199</v>
      </c>
      <c r="V56" s="17">
        <v>50000</v>
      </c>
      <c r="W56" s="19">
        <v>0</v>
      </c>
      <c r="X56" s="21">
        <f t="shared" si="2"/>
        <v>5140000</v>
      </c>
      <c r="Y56" s="66">
        <f t="shared" si="14"/>
        <v>200</v>
      </c>
      <c r="Z56" s="17">
        <v>50000</v>
      </c>
      <c r="AA56" s="19">
        <v>0</v>
      </c>
      <c r="AB56" s="21">
        <f t="shared" si="24"/>
        <v>5190000</v>
      </c>
      <c r="AC56" s="66">
        <f t="shared" si="15"/>
        <v>201</v>
      </c>
      <c r="AD56" s="17">
        <v>50000</v>
      </c>
      <c r="AE56" s="19">
        <v>0</v>
      </c>
      <c r="AF56" s="21">
        <f t="shared" si="25"/>
        <v>5240000</v>
      </c>
      <c r="AG56" s="66">
        <f t="shared" si="16"/>
        <v>202</v>
      </c>
      <c r="AH56" s="17">
        <v>50000</v>
      </c>
      <c r="AI56" s="19">
        <v>0</v>
      </c>
      <c r="AJ56" s="21">
        <f t="shared" si="27"/>
        <v>5290000</v>
      </c>
      <c r="AK56" s="66">
        <f t="shared" si="17"/>
        <v>203</v>
      </c>
      <c r="AL56" s="17">
        <v>50000</v>
      </c>
      <c r="AM56" s="19">
        <v>0</v>
      </c>
      <c r="AN56" s="21">
        <f t="shared" si="6"/>
        <v>5340000</v>
      </c>
      <c r="AO56" s="66">
        <f t="shared" si="18"/>
        <v>204</v>
      </c>
      <c r="AP56" s="17">
        <v>50000</v>
      </c>
      <c r="AQ56" s="19">
        <v>0</v>
      </c>
      <c r="AR56" s="21">
        <f t="shared" si="7"/>
        <v>5390000</v>
      </c>
      <c r="AS56" s="66">
        <f t="shared" si="19"/>
        <v>205</v>
      </c>
      <c r="AT56" s="17">
        <v>50000</v>
      </c>
      <c r="AU56" s="19">
        <v>0</v>
      </c>
      <c r="AV56" s="21">
        <f t="shared" si="8"/>
        <v>5440000</v>
      </c>
      <c r="AW56" s="66">
        <f t="shared" si="20"/>
        <v>206</v>
      </c>
      <c r="AX56" s="17">
        <v>0</v>
      </c>
      <c r="AY56" s="19">
        <v>0</v>
      </c>
      <c r="AZ56" s="21">
        <f t="shared" si="9"/>
        <v>5440000</v>
      </c>
      <c r="BA56" s="66">
        <f t="shared" si="21"/>
        <v>206</v>
      </c>
      <c r="BB56" s="17">
        <v>0</v>
      </c>
      <c r="BC56" s="19">
        <v>0</v>
      </c>
      <c r="BD56" s="21">
        <f t="shared" si="10"/>
        <v>5440000</v>
      </c>
      <c r="BE56" s="66">
        <f t="shared" si="22"/>
        <v>206</v>
      </c>
      <c r="BF56" s="17">
        <v>0</v>
      </c>
      <c r="BG56" s="19">
        <v>0</v>
      </c>
      <c r="BH56" s="21">
        <f t="shared" si="11"/>
        <v>5440000</v>
      </c>
      <c r="BI56" s="71">
        <f t="shared" si="23"/>
        <v>206</v>
      </c>
    </row>
    <row r="57" spans="1:61" x14ac:dyDescent="0.2">
      <c r="A57" s="1">
        <v>56</v>
      </c>
      <c r="B57" s="1">
        <v>53</v>
      </c>
      <c r="C57" s="2" t="s">
        <v>124</v>
      </c>
      <c r="D57" s="2" t="s">
        <v>224</v>
      </c>
      <c r="E57" s="2" t="s">
        <v>125</v>
      </c>
      <c r="F57" s="2" t="s">
        <v>9</v>
      </c>
      <c r="G57" s="2" t="s">
        <v>10</v>
      </c>
      <c r="H57" s="3" t="s">
        <v>11</v>
      </c>
      <c r="J57" s="18">
        <v>100000</v>
      </c>
      <c r="L57" s="18">
        <v>4990000</v>
      </c>
      <c r="M57" s="66">
        <v>197</v>
      </c>
      <c r="N57" s="17">
        <v>50000</v>
      </c>
      <c r="O57" s="19">
        <v>0</v>
      </c>
      <c r="P57" s="20">
        <f t="shared" si="0"/>
        <v>5040000</v>
      </c>
      <c r="Q57" s="66">
        <f t="shared" si="12"/>
        <v>198</v>
      </c>
      <c r="R57" s="17">
        <v>50000</v>
      </c>
      <c r="S57" s="19">
        <v>0</v>
      </c>
      <c r="T57" s="21">
        <f t="shared" si="1"/>
        <v>5090000</v>
      </c>
      <c r="U57" s="66">
        <f t="shared" si="13"/>
        <v>199</v>
      </c>
      <c r="V57" s="17">
        <v>50000</v>
      </c>
      <c r="W57" s="19">
        <v>0</v>
      </c>
      <c r="X57" s="21">
        <f t="shared" si="2"/>
        <v>5140000</v>
      </c>
      <c r="Y57" s="66">
        <f t="shared" si="14"/>
        <v>200</v>
      </c>
      <c r="Z57" s="17">
        <v>50000</v>
      </c>
      <c r="AA57" s="19">
        <v>0</v>
      </c>
      <c r="AB57" s="21">
        <f t="shared" si="24"/>
        <v>5190000</v>
      </c>
      <c r="AC57" s="66">
        <f t="shared" si="15"/>
        <v>201</v>
      </c>
      <c r="AD57" s="17">
        <v>50000</v>
      </c>
      <c r="AE57" s="19">
        <v>0</v>
      </c>
      <c r="AF57" s="21">
        <f t="shared" si="25"/>
        <v>5240000</v>
      </c>
      <c r="AG57" s="66">
        <f t="shared" si="16"/>
        <v>202</v>
      </c>
      <c r="AH57" s="17">
        <v>50000</v>
      </c>
      <c r="AI57" s="19">
        <v>0</v>
      </c>
      <c r="AJ57" s="21">
        <f t="shared" si="27"/>
        <v>5290000</v>
      </c>
      <c r="AK57" s="66">
        <f t="shared" si="17"/>
        <v>203</v>
      </c>
      <c r="AL57" s="17">
        <v>50000</v>
      </c>
      <c r="AM57" s="19">
        <v>0</v>
      </c>
      <c r="AN57" s="21">
        <f t="shared" si="6"/>
        <v>5340000</v>
      </c>
      <c r="AO57" s="66">
        <f t="shared" si="18"/>
        <v>204</v>
      </c>
      <c r="AP57" s="17">
        <v>50000</v>
      </c>
      <c r="AQ57" s="19">
        <v>0</v>
      </c>
      <c r="AR57" s="21">
        <f t="shared" si="7"/>
        <v>5390000</v>
      </c>
      <c r="AS57" s="66">
        <f t="shared" si="19"/>
        <v>205</v>
      </c>
      <c r="AT57" s="17">
        <v>50000</v>
      </c>
      <c r="AU57" s="19">
        <v>0</v>
      </c>
      <c r="AV57" s="21">
        <f t="shared" si="8"/>
        <v>5440000</v>
      </c>
      <c r="AW57" s="66">
        <f t="shared" si="20"/>
        <v>206</v>
      </c>
      <c r="AX57" s="17">
        <v>0</v>
      </c>
      <c r="AY57" s="19">
        <v>0</v>
      </c>
      <c r="AZ57" s="21">
        <f t="shared" si="9"/>
        <v>5440000</v>
      </c>
      <c r="BA57" s="66">
        <f t="shared" si="21"/>
        <v>206</v>
      </c>
      <c r="BB57" s="17">
        <v>0</v>
      </c>
      <c r="BC57" s="19">
        <v>0</v>
      </c>
      <c r="BD57" s="21">
        <f t="shared" si="10"/>
        <v>5440000</v>
      </c>
      <c r="BE57" s="66">
        <f t="shared" si="22"/>
        <v>206</v>
      </c>
      <c r="BF57" s="17">
        <v>0</v>
      </c>
      <c r="BG57" s="19">
        <v>0</v>
      </c>
      <c r="BH57" s="21">
        <f t="shared" si="11"/>
        <v>5440000</v>
      </c>
      <c r="BI57" s="71">
        <f t="shared" si="23"/>
        <v>206</v>
      </c>
    </row>
    <row r="58" spans="1:61" x14ac:dyDescent="0.2">
      <c r="A58" s="1">
        <v>57</v>
      </c>
      <c r="B58" s="1">
        <v>54</v>
      </c>
      <c r="C58" s="2" t="s">
        <v>126</v>
      </c>
      <c r="D58" s="2" t="s">
        <v>225</v>
      </c>
      <c r="E58" s="2" t="s">
        <v>127</v>
      </c>
      <c r="F58" s="2" t="s">
        <v>9</v>
      </c>
      <c r="G58" s="2" t="s">
        <v>10</v>
      </c>
      <c r="H58" s="3" t="s">
        <v>21</v>
      </c>
      <c r="J58" s="18">
        <v>100000</v>
      </c>
      <c r="L58" s="18">
        <v>4990000</v>
      </c>
      <c r="M58" s="66">
        <v>197</v>
      </c>
      <c r="N58" s="17">
        <v>50000</v>
      </c>
      <c r="O58" s="19">
        <v>0</v>
      </c>
      <c r="P58" s="20">
        <f t="shared" si="0"/>
        <v>5040000</v>
      </c>
      <c r="Q58" s="66">
        <f t="shared" si="12"/>
        <v>198</v>
      </c>
      <c r="R58" s="17">
        <v>50000</v>
      </c>
      <c r="S58" s="19">
        <v>0</v>
      </c>
      <c r="T58" s="21">
        <f t="shared" si="1"/>
        <v>5090000</v>
      </c>
      <c r="U58" s="66">
        <f t="shared" si="13"/>
        <v>199</v>
      </c>
      <c r="V58" s="17">
        <v>50000</v>
      </c>
      <c r="W58" s="19">
        <v>0</v>
      </c>
      <c r="X58" s="21">
        <f t="shared" si="2"/>
        <v>5140000</v>
      </c>
      <c r="Y58" s="66">
        <f t="shared" si="14"/>
        <v>200</v>
      </c>
      <c r="Z58" s="17">
        <v>50000</v>
      </c>
      <c r="AA58" s="19">
        <v>0</v>
      </c>
      <c r="AB58" s="21">
        <f t="shared" si="24"/>
        <v>5190000</v>
      </c>
      <c r="AC58" s="66">
        <f t="shared" si="15"/>
        <v>201</v>
      </c>
      <c r="AD58" s="17">
        <v>50000</v>
      </c>
      <c r="AE58" s="19">
        <v>0</v>
      </c>
      <c r="AF58" s="21">
        <f t="shared" si="25"/>
        <v>5240000</v>
      </c>
      <c r="AG58" s="66">
        <f t="shared" si="16"/>
        <v>202</v>
      </c>
      <c r="AH58" s="17">
        <v>50000</v>
      </c>
      <c r="AI58" s="19">
        <v>0</v>
      </c>
      <c r="AJ58" s="21">
        <f t="shared" si="27"/>
        <v>5290000</v>
      </c>
      <c r="AK58" s="66">
        <f t="shared" si="17"/>
        <v>203</v>
      </c>
      <c r="AL58" s="17">
        <v>50000</v>
      </c>
      <c r="AM58" s="19">
        <v>0</v>
      </c>
      <c r="AN58" s="21">
        <f t="shared" si="6"/>
        <v>5340000</v>
      </c>
      <c r="AO58" s="66">
        <f t="shared" si="18"/>
        <v>204</v>
      </c>
      <c r="AP58" s="17">
        <v>50000</v>
      </c>
      <c r="AQ58" s="19">
        <v>0</v>
      </c>
      <c r="AR58" s="21">
        <f t="shared" si="7"/>
        <v>5390000</v>
      </c>
      <c r="AS58" s="66">
        <f t="shared" si="19"/>
        <v>205</v>
      </c>
      <c r="AT58" s="17">
        <v>50000</v>
      </c>
      <c r="AU58" s="19">
        <v>0</v>
      </c>
      <c r="AV58" s="21">
        <f t="shared" si="8"/>
        <v>5440000</v>
      </c>
      <c r="AW58" s="66">
        <f t="shared" si="20"/>
        <v>206</v>
      </c>
      <c r="AX58" s="17">
        <v>0</v>
      </c>
      <c r="AY58" s="19">
        <v>0</v>
      </c>
      <c r="AZ58" s="21">
        <f t="shared" si="9"/>
        <v>5440000</v>
      </c>
      <c r="BA58" s="66">
        <f t="shared" si="21"/>
        <v>206</v>
      </c>
      <c r="BB58" s="17">
        <v>0</v>
      </c>
      <c r="BC58" s="19">
        <v>0</v>
      </c>
      <c r="BD58" s="21">
        <f t="shared" si="10"/>
        <v>5440000</v>
      </c>
      <c r="BE58" s="66">
        <f t="shared" si="22"/>
        <v>206</v>
      </c>
      <c r="BF58" s="17">
        <v>0</v>
      </c>
      <c r="BG58" s="19">
        <v>0</v>
      </c>
      <c r="BH58" s="21">
        <f t="shared" si="11"/>
        <v>5440000</v>
      </c>
      <c r="BI58" s="71">
        <f t="shared" si="23"/>
        <v>206</v>
      </c>
    </row>
    <row r="59" spans="1:61" x14ac:dyDescent="0.2">
      <c r="A59" s="1">
        <v>58</v>
      </c>
      <c r="B59" s="1">
        <v>55</v>
      </c>
      <c r="C59" s="2" t="s">
        <v>128</v>
      </c>
      <c r="D59" s="2" t="s">
        <v>224</v>
      </c>
      <c r="E59" s="2" t="s">
        <v>129</v>
      </c>
      <c r="F59" s="2" t="s">
        <v>9</v>
      </c>
      <c r="G59" s="2" t="s">
        <v>10</v>
      </c>
      <c r="H59" s="3" t="s">
        <v>11</v>
      </c>
      <c r="J59" s="18">
        <v>100000</v>
      </c>
      <c r="L59" s="18">
        <v>4990000</v>
      </c>
      <c r="M59" s="66">
        <v>197</v>
      </c>
      <c r="N59" s="17">
        <v>50000</v>
      </c>
      <c r="O59" s="19">
        <v>0</v>
      </c>
      <c r="P59" s="20">
        <f t="shared" si="0"/>
        <v>5040000</v>
      </c>
      <c r="Q59" s="66">
        <f t="shared" si="12"/>
        <v>198</v>
      </c>
      <c r="R59" s="17">
        <v>50000</v>
      </c>
      <c r="S59" s="19">
        <v>0</v>
      </c>
      <c r="T59" s="21">
        <f t="shared" si="1"/>
        <v>5090000</v>
      </c>
      <c r="U59" s="66">
        <f t="shared" si="13"/>
        <v>199</v>
      </c>
      <c r="V59" s="17">
        <v>50000</v>
      </c>
      <c r="W59" s="19">
        <v>0</v>
      </c>
      <c r="X59" s="21">
        <f t="shared" si="2"/>
        <v>5140000</v>
      </c>
      <c r="Y59" s="66">
        <f t="shared" si="14"/>
        <v>200</v>
      </c>
      <c r="Z59" s="17">
        <v>50000</v>
      </c>
      <c r="AA59" s="19">
        <v>0</v>
      </c>
      <c r="AB59" s="21">
        <f t="shared" si="24"/>
        <v>5190000</v>
      </c>
      <c r="AC59" s="66">
        <f t="shared" si="15"/>
        <v>201</v>
      </c>
      <c r="AD59" s="17">
        <v>50000</v>
      </c>
      <c r="AE59" s="19">
        <v>0</v>
      </c>
      <c r="AF59" s="21">
        <f t="shared" si="25"/>
        <v>5240000</v>
      </c>
      <c r="AG59" s="66">
        <f t="shared" si="16"/>
        <v>202</v>
      </c>
      <c r="AH59" s="17">
        <v>50000</v>
      </c>
      <c r="AI59" s="19">
        <v>0</v>
      </c>
      <c r="AJ59" s="21">
        <f t="shared" si="27"/>
        <v>5290000</v>
      </c>
      <c r="AK59" s="66">
        <f t="shared" si="17"/>
        <v>203</v>
      </c>
      <c r="AL59" s="17">
        <v>50000</v>
      </c>
      <c r="AM59" s="19">
        <v>0</v>
      </c>
      <c r="AN59" s="21">
        <f t="shared" si="6"/>
        <v>5340000</v>
      </c>
      <c r="AO59" s="66">
        <f t="shared" si="18"/>
        <v>204</v>
      </c>
      <c r="AP59" s="17">
        <v>50000</v>
      </c>
      <c r="AQ59" s="19">
        <v>0</v>
      </c>
      <c r="AR59" s="21">
        <f t="shared" si="7"/>
        <v>5390000</v>
      </c>
      <c r="AS59" s="66">
        <f t="shared" si="19"/>
        <v>205</v>
      </c>
      <c r="AT59" s="17">
        <v>50000</v>
      </c>
      <c r="AU59" s="19">
        <v>0</v>
      </c>
      <c r="AV59" s="21">
        <f t="shared" si="8"/>
        <v>5440000</v>
      </c>
      <c r="AW59" s="66">
        <f t="shared" si="20"/>
        <v>206</v>
      </c>
      <c r="AX59" s="17">
        <v>0</v>
      </c>
      <c r="AY59" s="19">
        <v>0</v>
      </c>
      <c r="AZ59" s="21">
        <f t="shared" si="9"/>
        <v>5440000</v>
      </c>
      <c r="BA59" s="66">
        <f t="shared" si="21"/>
        <v>206</v>
      </c>
      <c r="BB59" s="17">
        <v>0</v>
      </c>
      <c r="BC59" s="19">
        <v>0</v>
      </c>
      <c r="BD59" s="21">
        <f t="shared" si="10"/>
        <v>5440000</v>
      </c>
      <c r="BE59" s="66">
        <f t="shared" si="22"/>
        <v>206</v>
      </c>
      <c r="BF59" s="17">
        <v>0</v>
      </c>
      <c r="BG59" s="19">
        <v>0</v>
      </c>
      <c r="BH59" s="21">
        <f t="shared" si="11"/>
        <v>5440000</v>
      </c>
      <c r="BI59" s="71">
        <f t="shared" si="23"/>
        <v>206</v>
      </c>
    </row>
    <row r="60" spans="1:61" x14ac:dyDescent="0.2">
      <c r="A60" s="1">
        <v>59</v>
      </c>
      <c r="B60" s="1">
        <v>56</v>
      </c>
      <c r="C60" s="2" t="s">
        <v>130</v>
      </c>
      <c r="D60" s="2" t="s">
        <v>224</v>
      </c>
      <c r="E60" s="2" t="s">
        <v>131</v>
      </c>
      <c r="F60" s="2" t="s">
        <v>9</v>
      </c>
      <c r="G60" s="2" t="s">
        <v>10</v>
      </c>
      <c r="H60" s="3" t="s">
        <v>11</v>
      </c>
      <c r="J60" s="18">
        <v>100000</v>
      </c>
      <c r="L60" s="18">
        <v>4990000</v>
      </c>
      <c r="M60" s="66">
        <v>197</v>
      </c>
      <c r="N60" s="17">
        <v>50000</v>
      </c>
      <c r="O60" s="19">
        <v>0</v>
      </c>
      <c r="P60" s="20">
        <f t="shared" si="0"/>
        <v>5040000</v>
      </c>
      <c r="Q60" s="66">
        <f t="shared" si="12"/>
        <v>198</v>
      </c>
      <c r="R60" s="17">
        <v>50000</v>
      </c>
      <c r="S60" s="19">
        <v>0</v>
      </c>
      <c r="T60" s="21">
        <f t="shared" si="1"/>
        <v>5090000</v>
      </c>
      <c r="U60" s="66">
        <f t="shared" si="13"/>
        <v>199</v>
      </c>
      <c r="V60" s="17">
        <v>50000</v>
      </c>
      <c r="W60" s="19">
        <v>0</v>
      </c>
      <c r="X60" s="21">
        <f t="shared" si="2"/>
        <v>5140000</v>
      </c>
      <c r="Y60" s="66">
        <f t="shared" si="14"/>
        <v>200</v>
      </c>
      <c r="Z60" s="17">
        <v>50000</v>
      </c>
      <c r="AA60" s="19">
        <v>0</v>
      </c>
      <c r="AB60" s="21">
        <f t="shared" si="24"/>
        <v>5190000</v>
      </c>
      <c r="AC60" s="66">
        <f t="shared" si="15"/>
        <v>201</v>
      </c>
      <c r="AD60" s="17">
        <v>50000</v>
      </c>
      <c r="AE60" s="19">
        <v>0</v>
      </c>
      <c r="AF60" s="21">
        <f t="shared" ref="AF60:AF80" si="28">AB60+AD60+AE60</f>
        <v>5240000</v>
      </c>
      <c r="AG60" s="66">
        <f t="shared" si="16"/>
        <v>202</v>
      </c>
      <c r="AH60" s="17">
        <v>50000</v>
      </c>
      <c r="AI60" s="19">
        <v>0</v>
      </c>
      <c r="AJ60" s="21">
        <f t="shared" si="27"/>
        <v>5290000</v>
      </c>
      <c r="AK60" s="66">
        <f t="shared" si="17"/>
        <v>203</v>
      </c>
      <c r="AL60" s="17">
        <v>50000</v>
      </c>
      <c r="AM60" s="19">
        <v>0</v>
      </c>
      <c r="AN60" s="21">
        <f t="shared" si="6"/>
        <v>5340000</v>
      </c>
      <c r="AO60" s="66">
        <f t="shared" si="18"/>
        <v>204</v>
      </c>
      <c r="AP60" s="17">
        <v>50000</v>
      </c>
      <c r="AQ60" s="19">
        <v>0</v>
      </c>
      <c r="AR60" s="21">
        <f t="shared" si="7"/>
        <v>5390000</v>
      </c>
      <c r="AS60" s="66">
        <f t="shared" si="19"/>
        <v>205</v>
      </c>
      <c r="AT60" s="17">
        <v>50000</v>
      </c>
      <c r="AU60" s="19">
        <v>0</v>
      </c>
      <c r="AV60" s="21">
        <f t="shared" si="8"/>
        <v>5440000</v>
      </c>
      <c r="AW60" s="66">
        <f t="shared" si="20"/>
        <v>206</v>
      </c>
      <c r="AX60" s="17">
        <v>0</v>
      </c>
      <c r="AY60" s="19">
        <v>0</v>
      </c>
      <c r="AZ60" s="21">
        <f t="shared" si="9"/>
        <v>5440000</v>
      </c>
      <c r="BA60" s="66">
        <f t="shared" si="21"/>
        <v>206</v>
      </c>
      <c r="BB60" s="17">
        <v>0</v>
      </c>
      <c r="BC60" s="19">
        <v>0</v>
      </c>
      <c r="BD60" s="21">
        <f t="shared" si="10"/>
        <v>5440000</v>
      </c>
      <c r="BE60" s="66">
        <f t="shared" si="22"/>
        <v>206</v>
      </c>
      <c r="BF60" s="17">
        <v>0</v>
      </c>
      <c r="BG60" s="19">
        <v>0</v>
      </c>
      <c r="BH60" s="21">
        <f t="shared" si="11"/>
        <v>5440000</v>
      </c>
      <c r="BI60" s="71">
        <f t="shared" si="23"/>
        <v>206</v>
      </c>
    </row>
    <row r="61" spans="1:61" x14ac:dyDescent="0.2">
      <c r="A61" s="1">
        <v>60</v>
      </c>
      <c r="B61" s="1">
        <v>57</v>
      </c>
      <c r="C61" s="2" t="s">
        <v>132</v>
      </c>
      <c r="D61" s="2" t="s">
        <v>224</v>
      </c>
      <c r="E61" s="2" t="s">
        <v>133</v>
      </c>
      <c r="F61" s="2" t="s">
        <v>9</v>
      </c>
      <c r="G61" s="2" t="s">
        <v>10</v>
      </c>
      <c r="H61" s="3" t="s">
        <v>11</v>
      </c>
      <c r="J61" s="18">
        <v>100000</v>
      </c>
      <c r="L61" s="18">
        <v>4990000</v>
      </c>
      <c r="M61" s="66">
        <v>197</v>
      </c>
      <c r="N61" s="17">
        <v>50000</v>
      </c>
      <c r="O61" s="19">
        <v>0</v>
      </c>
      <c r="P61" s="20">
        <f t="shared" si="0"/>
        <v>5040000</v>
      </c>
      <c r="Q61" s="66">
        <f t="shared" si="12"/>
        <v>198</v>
      </c>
      <c r="R61" s="17">
        <v>50000</v>
      </c>
      <c r="S61" s="19">
        <v>0</v>
      </c>
      <c r="T61" s="21">
        <f t="shared" si="1"/>
        <v>5090000</v>
      </c>
      <c r="U61" s="66">
        <f t="shared" si="13"/>
        <v>199</v>
      </c>
      <c r="V61" s="17">
        <v>50000</v>
      </c>
      <c r="W61" s="19">
        <v>0</v>
      </c>
      <c r="X61" s="21">
        <f t="shared" si="2"/>
        <v>5140000</v>
      </c>
      <c r="Y61" s="66">
        <f t="shared" si="14"/>
        <v>200</v>
      </c>
      <c r="Z61" s="17">
        <v>50000</v>
      </c>
      <c r="AA61" s="19">
        <v>0</v>
      </c>
      <c r="AB61" s="21">
        <f t="shared" si="24"/>
        <v>5190000</v>
      </c>
      <c r="AC61" s="66">
        <f t="shared" si="15"/>
        <v>201</v>
      </c>
      <c r="AD61" s="17">
        <v>50000</v>
      </c>
      <c r="AE61" s="19">
        <v>0</v>
      </c>
      <c r="AF61" s="21">
        <f t="shared" si="28"/>
        <v>5240000</v>
      </c>
      <c r="AG61" s="66">
        <f t="shared" si="16"/>
        <v>202</v>
      </c>
      <c r="AH61" s="17">
        <v>50000</v>
      </c>
      <c r="AI61" s="19">
        <v>0</v>
      </c>
      <c r="AJ61" s="21">
        <f t="shared" si="27"/>
        <v>5290000</v>
      </c>
      <c r="AK61" s="66">
        <f t="shared" si="17"/>
        <v>203</v>
      </c>
      <c r="AL61" s="17">
        <v>50000</v>
      </c>
      <c r="AM61" s="19">
        <v>0</v>
      </c>
      <c r="AN61" s="21">
        <f t="shared" si="6"/>
        <v>5340000</v>
      </c>
      <c r="AO61" s="66">
        <f t="shared" si="18"/>
        <v>204</v>
      </c>
      <c r="AP61" s="17">
        <v>50000</v>
      </c>
      <c r="AQ61" s="19">
        <v>0</v>
      </c>
      <c r="AR61" s="21">
        <f t="shared" si="7"/>
        <v>5390000</v>
      </c>
      <c r="AS61" s="66">
        <f t="shared" si="19"/>
        <v>205</v>
      </c>
      <c r="AT61" s="17">
        <v>50000</v>
      </c>
      <c r="AU61" s="19">
        <v>0</v>
      </c>
      <c r="AV61" s="21">
        <f t="shared" si="8"/>
        <v>5440000</v>
      </c>
      <c r="AW61" s="66">
        <f t="shared" si="20"/>
        <v>206</v>
      </c>
      <c r="AX61" s="17">
        <v>0</v>
      </c>
      <c r="AY61" s="19">
        <v>0</v>
      </c>
      <c r="AZ61" s="21">
        <f t="shared" si="9"/>
        <v>5440000</v>
      </c>
      <c r="BA61" s="66">
        <f t="shared" si="21"/>
        <v>206</v>
      </c>
      <c r="BB61" s="17">
        <v>0</v>
      </c>
      <c r="BC61" s="19">
        <v>0</v>
      </c>
      <c r="BD61" s="21">
        <f t="shared" si="10"/>
        <v>5440000</v>
      </c>
      <c r="BE61" s="66">
        <f t="shared" si="22"/>
        <v>206</v>
      </c>
      <c r="BF61" s="17">
        <v>0</v>
      </c>
      <c r="BG61" s="19">
        <v>0</v>
      </c>
      <c r="BH61" s="21">
        <f t="shared" si="11"/>
        <v>5440000</v>
      </c>
      <c r="BI61" s="71">
        <f t="shared" si="23"/>
        <v>206</v>
      </c>
    </row>
    <row r="62" spans="1:61" x14ac:dyDescent="0.2">
      <c r="A62" s="1">
        <v>62</v>
      </c>
      <c r="B62" s="1">
        <v>58</v>
      </c>
      <c r="C62" s="2" t="s">
        <v>136</v>
      </c>
      <c r="D62" s="2" t="s">
        <v>225</v>
      </c>
      <c r="E62" s="2" t="s">
        <v>137</v>
      </c>
      <c r="F62" s="2" t="s">
        <v>9</v>
      </c>
      <c r="G62" s="2" t="s">
        <v>16</v>
      </c>
      <c r="H62" s="3" t="s">
        <v>11</v>
      </c>
      <c r="J62" s="18">
        <v>100000</v>
      </c>
      <c r="L62" s="18">
        <v>3470000</v>
      </c>
      <c r="M62" s="66">
        <v>121</v>
      </c>
      <c r="N62" s="17">
        <v>50000</v>
      </c>
      <c r="O62" s="19">
        <v>0</v>
      </c>
      <c r="P62" s="20">
        <f t="shared" si="0"/>
        <v>3520000</v>
      </c>
      <c r="Q62" s="66">
        <f t="shared" si="12"/>
        <v>122</v>
      </c>
      <c r="R62" s="17">
        <v>50000</v>
      </c>
      <c r="S62" s="19">
        <v>0</v>
      </c>
      <c r="T62" s="21">
        <f t="shared" si="1"/>
        <v>3570000</v>
      </c>
      <c r="U62" s="66">
        <f t="shared" si="13"/>
        <v>123</v>
      </c>
      <c r="V62" s="17">
        <v>50000</v>
      </c>
      <c r="W62" s="19">
        <v>0</v>
      </c>
      <c r="X62" s="21">
        <f t="shared" si="2"/>
        <v>3620000</v>
      </c>
      <c r="Y62" s="66">
        <f t="shared" si="14"/>
        <v>124</v>
      </c>
      <c r="Z62" s="17">
        <v>50000</v>
      </c>
      <c r="AA62" s="19">
        <v>0</v>
      </c>
      <c r="AB62" s="21">
        <f t="shared" si="24"/>
        <v>3670000</v>
      </c>
      <c r="AC62" s="66">
        <f t="shared" si="15"/>
        <v>125</v>
      </c>
      <c r="AD62" s="17">
        <v>50000</v>
      </c>
      <c r="AE62" s="19">
        <v>0</v>
      </c>
      <c r="AF62" s="21">
        <f t="shared" si="28"/>
        <v>3720000</v>
      </c>
      <c r="AG62" s="66">
        <f t="shared" si="16"/>
        <v>126</v>
      </c>
      <c r="AH62" s="17">
        <v>50000</v>
      </c>
      <c r="AI62" s="19">
        <v>0</v>
      </c>
      <c r="AJ62" s="21">
        <f t="shared" si="27"/>
        <v>3770000</v>
      </c>
      <c r="AK62" s="66">
        <f t="shared" si="17"/>
        <v>127</v>
      </c>
      <c r="AL62" s="17">
        <v>50000</v>
      </c>
      <c r="AM62" s="19">
        <v>0</v>
      </c>
      <c r="AN62" s="21">
        <f t="shared" si="6"/>
        <v>3820000</v>
      </c>
      <c r="AO62" s="66">
        <f t="shared" si="18"/>
        <v>128</v>
      </c>
      <c r="AP62" s="17">
        <v>50000</v>
      </c>
      <c r="AQ62" s="19">
        <v>0</v>
      </c>
      <c r="AR62" s="21">
        <f t="shared" si="7"/>
        <v>3870000</v>
      </c>
      <c r="AS62" s="66">
        <f t="shared" si="19"/>
        <v>129</v>
      </c>
      <c r="AT62" s="17">
        <v>50000</v>
      </c>
      <c r="AU62" s="19">
        <v>0</v>
      </c>
      <c r="AV62" s="21">
        <f t="shared" si="8"/>
        <v>3920000</v>
      </c>
      <c r="AW62" s="66">
        <f t="shared" si="20"/>
        <v>130</v>
      </c>
      <c r="AX62" s="17">
        <v>0</v>
      </c>
      <c r="AY62" s="19">
        <v>0</v>
      </c>
      <c r="AZ62" s="21">
        <f t="shared" si="9"/>
        <v>3920000</v>
      </c>
      <c r="BA62" s="66">
        <f t="shared" si="21"/>
        <v>130</v>
      </c>
      <c r="BB62" s="17">
        <v>0</v>
      </c>
      <c r="BC62" s="19">
        <v>0</v>
      </c>
      <c r="BD62" s="21">
        <f t="shared" si="10"/>
        <v>3920000</v>
      </c>
      <c r="BE62" s="66">
        <f t="shared" si="22"/>
        <v>130</v>
      </c>
      <c r="BF62" s="17">
        <v>0</v>
      </c>
      <c r="BG62" s="19">
        <v>0</v>
      </c>
      <c r="BH62" s="21">
        <f t="shared" si="11"/>
        <v>3920000</v>
      </c>
      <c r="BI62" s="71">
        <f t="shared" si="23"/>
        <v>130</v>
      </c>
    </row>
    <row r="63" spans="1:61" x14ac:dyDescent="0.2">
      <c r="A63" s="1">
        <v>63</v>
      </c>
      <c r="B63" s="1">
        <v>59</v>
      </c>
      <c r="C63" s="2" t="s">
        <v>138</v>
      </c>
      <c r="D63" s="2" t="s">
        <v>224</v>
      </c>
      <c r="E63" s="2" t="s">
        <v>139</v>
      </c>
      <c r="F63" s="2" t="s">
        <v>9</v>
      </c>
      <c r="G63" s="2" t="s">
        <v>10</v>
      </c>
      <c r="H63" s="3" t="s">
        <v>11</v>
      </c>
      <c r="J63" s="18">
        <v>100000</v>
      </c>
      <c r="L63" s="18">
        <v>4990000</v>
      </c>
      <c r="M63" s="66">
        <v>197</v>
      </c>
      <c r="N63" s="17">
        <v>50000</v>
      </c>
      <c r="O63" s="19">
        <v>0</v>
      </c>
      <c r="P63" s="20">
        <f t="shared" si="0"/>
        <v>5040000</v>
      </c>
      <c r="Q63" s="66">
        <f t="shared" si="12"/>
        <v>198</v>
      </c>
      <c r="R63" s="17">
        <v>50000</v>
      </c>
      <c r="S63" s="19">
        <v>0</v>
      </c>
      <c r="T63" s="21">
        <f t="shared" si="1"/>
        <v>5090000</v>
      </c>
      <c r="U63" s="66">
        <f t="shared" si="13"/>
        <v>199</v>
      </c>
      <c r="V63" s="17">
        <v>50000</v>
      </c>
      <c r="W63" s="19">
        <v>0</v>
      </c>
      <c r="X63" s="21">
        <f t="shared" si="2"/>
        <v>5140000</v>
      </c>
      <c r="Y63" s="66">
        <f t="shared" si="14"/>
        <v>200</v>
      </c>
      <c r="Z63" s="17">
        <v>50000</v>
      </c>
      <c r="AA63" s="19">
        <v>0</v>
      </c>
      <c r="AB63" s="21">
        <f t="shared" si="24"/>
        <v>5190000</v>
      </c>
      <c r="AC63" s="66">
        <f t="shared" si="15"/>
        <v>201</v>
      </c>
      <c r="AD63" s="17">
        <v>50000</v>
      </c>
      <c r="AE63" s="19">
        <v>0</v>
      </c>
      <c r="AF63" s="21">
        <f t="shared" si="28"/>
        <v>5240000</v>
      </c>
      <c r="AG63" s="66">
        <f t="shared" si="16"/>
        <v>202</v>
      </c>
      <c r="AH63" s="17">
        <v>50000</v>
      </c>
      <c r="AI63" s="19">
        <v>0</v>
      </c>
      <c r="AJ63" s="21">
        <f t="shared" si="27"/>
        <v>5290000</v>
      </c>
      <c r="AK63" s="66">
        <f t="shared" si="17"/>
        <v>203</v>
      </c>
      <c r="AL63" s="17">
        <v>50000</v>
      </c>
      <c r="AM63" s="19">
        <v>0</v>
      </c>
      <c r="AN63" s="21">
        <f t="shared" si="6"/>
        <v>5340000</v>
      </c>
      <c r="AO63" s="66">
        <f t="shared" si="18"/>
        <v>204</v>
      </c>
      <c r="AP63" s="17">
        <v>50000</v>
      </c>
      <c r="AQ63" s="19">
        <v>0</v>
      </c>
      <c r="AR63" s="21">
        <f t="shared" si="7"/>
        <v>5390000</v>
      </c>
      <c r="AS63" s="66">
        <f t="shared" si="19"/>
        <v>205</v>
      </c>
      <c r="AT63" s="17">
        <v>50000</v>
      </c>
      <c r="AU63" s="19">
        <v>0</v>
      </c>
      <c r="AV63" s="21">
        <f t="shared" si="8"/>
        <v>5440000</v>
      </c>
      <c r="AW63" s="66">
        <f t="shared" si="20"/>
        <v>206</v>
      </c>
      <c r="AX63" s="17">
        <v>0</v>
      </c>
      <c r="AY63" s="19">
        <v>0</v>
      </c>
      <c r="AZ63" s="21">
        <f t="shared" si="9"/>
        <v>5440000</v>
      </c>
      <c r="BA63" s="66">
        <f t="shared" si="21"/>
        <v>206</v>
      </c>
      <c r="BB63" s="17">
        <v>0</v>
      </c>
      <c r="BC63" s="19">
        <v>0</v>
      </c>
      <c r="BD63" s="21">
        <f t="shared" si="10"/>
        <v>5440000</v>
      </c>
      <c r="BE63" s="66">
        <f t="shared" si="22"/>
        <v>206</v>
      </c>
      <c r="BF63" s="17">
        <v>0</v>
      </c>
      <c r="BG63" s="19">
        <v>0</v>
      </c>
      <c r="BH63" s="21">
        <f t="shared" si="11"/>
        <v>5440000</v>
      </c>
      <c r="BI63" s="71">
        <f t="shared" si="23"/>
        <v>206</v>
      </c>
    </row>
    <row r="64" spans="1:61" x14ac:dyDescent="0.2">
      <c r="A64" s="1">
        <v>64</v>
      </c>
      <c r="B64" s="1">
        <v>60</v>
      </c>
      <c r="C64" s="2" t="s">
        <v>140</v>
      </c>
      <c r="D64" s="2" t="s">
        <v>224</v>
      </c>
      <c r="E64" s="2" t="s">
        <v>141</v>
      </c>
      <c r="F64" s="2" t="s">
        <v>9</v>
      </c>
      <c r="G64" s="2" t="s">
        <v>10</v>
      </c>
      <c r="H64" s="3" t="s">
        <v>11</v>
      </c>
      <c r="J64" s="18">
        <v>100000</v>
      </c>
      <c r="L64" s="18">
        <v>4990000</v>
      </c>
      <c r="M64" s="66">
        <v>197</v>
      </c>
      <c r="N64" s="17">
        <v>50000</v>
      </c>
      <c r="O64" s="19">
        <v>0</v>
      </c>
      <c r="P64" s="20">
        <f t="shared" si="0"/>
        <v>5040000</v>
      </c>
      <c r="Q64" s="66">
        <f t="shared" si="12"/>
        <v>198</v>
      </c>
      <c r="R64" s="17">
        <v>50000</v>
      </c>
      <c r="S64" s="19">
        <v>0</v>
      </c>
      <c r="T64" s="21">
        <f t="shared" si="1"/>
        <v>5090000</v>
      </c>
      <c r="U64" s="66">
        <f t="shared" si="13"/>
        <v>199</v>
      </c>
      <c r="V64" s="17">
        <v>50000</v>
      </c>
      <c r="W64" s="19">
        <v>0</v>
      </c>
      <c r="X64" s="21">
        <f t="shared" si="2"/>
        <v>5140000</v>
      </c>
      <c r="Y64" s="66">
        <f t="shared" si="14"/>
        <v>200</v>
      </c>
      <c r="Z64" s="17">
        <v>50000</v>
      </c>
      <c r="AA64" s="19">
        <v>0</v>
      </c>
      <c r="AB64" s="21">
        <f t="shared" si="24"/>
        <v>5190000</v>
      </c>
      <c r="AC64" s="66">
        <f t="shared" si="15"/>
        <v>201</v>
      </c>
      <c r="AD64" s="17">
        <v>50000</v>
      </c>
      <c r="AE64" s="19">
        <v>0</v>
      </c>
      <c r="AF64" s="21">
        <f t="shared" si="28"/>
        <v>5240000</v>
      </c>
      <c r="AG64" s="66">
        <f t="shared" si="16"/>
        <v>202</v>
      </c>
      <c r="AH64" s="17">
        <v>50000</v>
      </c>
      <c r="AI64" s="19">
        <v>0</v>
      </c>
      <c r="AJ64" s="21">
        <f t="shared" si="27"/>
        <v>5290000</v>
      </c>
      <c r="AK64" s="66">
        <f t="shared" si="17"/>
        <v>203</v>
      </c>
      <c r="AL64" s="17">
        <v>50000</v>
      </c>
      <c r="AM64" s="19">
        <v>0</v>
      </c>
      <c r="AN64" s="21">
        <f t="shared" si="6"/>
        <v>5340000</v>
      </c>
      <c r="AO64" s="66">
        <f t="shared" si="18"/>
        <v>204</v>
      </c>
      <c r="AP64" s="17">
        <v>50000</v>
      </c>
      <c r="AQ64" s="19">
        <v>0</v>
      </c>
      <c r="AR64" s="21">
        <f t="shared" si="7"/>
        <v>5390000</v>
      </c>
      <c r="AS64" s="66">
        <f t="shared" si="19"/>
        <v>205</v>
      </c>
      <c r="AT64" s="17">
        <v>50000</v>
      </c>
      <c r="AU64" s="19">
        <v>0</v>
      </c>
      <c r="AV64" s="21">
        <f t="shared" si="8"/>
        <v>5440000</v>
      </c>
      <c r="AW64" s="66">
        <f t="shared" si="20"/>
        <v>206</v>
      </c>
      <c r="AX64" s="17">
        <v>0</v>
      </c>
      <c r="AY64" s="19">
        <v>0</v>
      </c>
      <c r="AZ64" s="21">
        <f t="shared" si="9"/>
        <v>5440000</v>
      </c>
      <c r="BA64" s="66">
        <f t="shared" si="21"/>
        <v>206</v>
      </c>
      <c r="BB64" s="17">
        <v>0</v>
      </c>
      <c r="BC64" s="19">
        <v>0</v>
      </c>
      <c r="BD64" s="21">
        <f t="shared" si="10"/>
        <v>5440000</v>
      </c>
      <c r="BE64" s="66">
        <f t="shared" si="22"/>
        <v>206</v>
      </c>
      <c r="BF64" s="17">
        <v>0</v>
      </c>
      <c r="BG64" s="19">
        <v>0</v>
      </c>
      <c r="BH64" s="21">
        <f t="shared" si="11"/>
        <v>5440000</v>
      </c>
      <c r="BI64" s="71">
        <f t="shared" si="23"/>
        <v>206</v>
      </c>
    </row>
    <row r="65" spans="1:61" x14ac:dyDescent="0.2">
      <c r="A65" s="1">
        <v>65</v>
      </c>
      <c r="B65" s="1">
        <v>61</v>
      </c>
      <c r="C65" s="2" t="s">
        <v>142</v>
      </c>
      <c r="D65" s="2" t="s">
        <v>224</v>
      </c>
      <c r="E65" s="2" t="s">
        <v>143</v>
      </c>
      <c r="F65" s="2" t="s">
        <v>9</v>
      </c>
      <c r="G65" s="2" t="s">
        <v>10</v>
      </c>
      <c r="H65" s="3" t="s">
        <v>11</v>
      </c>
      <c r="J65" s="18">
        <v>100000</v>
      </c>
      <c r="L65" s="18">
        <v>4990000</v>
      </c>
      <c r="M65" s="66">
        <v>197</v>
      </c>
      <c r="N65" s="17">
        <v>50000</v>
      </c>
      <c r="O65" s="19">
        <v>0</v>
      </c>
      <c r="P65" s="20">
        <f t="shared" ref="P65:P74" si="29">L65+N65+O65</f>
        <v>5040000</v>
      </c>
      <c r="Q65" s="66">
        <f t="shared" si="12"/>
        <v>198</v>
      </c>
      <c r="R65" s="17">
        <v>50000</v>
      </c>
      <c r="S65" s="19">
        <v>0</v>
      </c>
      <c r="T65" s="21">
        <f t="shared" ref="T65:T74" si="30">P65+R65+S65</f>
        <v>5090000</v>
      </c>
      <c r="U65" s="66">
        <f t="shared" si="13"/>
        <v>199</v>
      </c>
      <c r="V65" s="17">
        <v>50000</v>
      </c>
      <c r="W65" s="19">
        <v>0</v>
      </c>
      <c r="X65" s="21">
        <f t="shared" ref="X65:X76" si="31">T65+V65+W65</f>
        <v>5140000</v>
      </c>
      <c r="Y65" s="66">
        <f t="shared" si="14"/>
        <v>200</v>
      </c>
      <c r="Z65" s="17">
        <v>50000</v>
      </c>
      <c r="AA65" s="19">
        <v>0</v>
      </c>
      <c r="AB65" s="21">
        <f t="shared" ref="AB65:AB74" si="32">X65+Z65+AA65</f>
        <v>5190000</v>
      </c>
      <c r="AC65" s="66">
        <f t="shared" si="15"/>
        <v>201</v>
      </c>
      <c r="AD65" s="17">
        <v>50000</v>
      </c>
      <c r="AE65" s="19">
        <v>0</v>
      </c>
      <c r="AF65" s="21">
        <f t="shared" si="28"/>
        <v>5240000</v>
      </c>
      <c r="AG65" s="66">
        <f t="shared" si="16"/>
        <v>202</v>
      </c>
      <c r="AH65" s="17">
        <v>50000</v>
      </c>
      <c r="AI65" s="19">
        <v>0</v>
      </c>
      <c r="AJ65" s="21">
        <f t="shared" si="27"/>
        <v>5290000</v>
      </c>
      <c r="AK65" s="66">
        <f t="shared" si="17"/>
        <v>203</v>
      </c>
      <c r="AL65" s="17">
        <v>50000</v>
      </c>
      <c r="AM65" s="19">
        <v>0</v>
      </c>
      <c r="AN65" s="21">
        <f t="shared" si="6"/>
        <v>5340000</v>
      </c>
      <c r="AO65" s="66">
        <f t="shared" si="18"/>
        <v>204</v>
      </c>
      <c r="AP65" s="17">
        <v>50000</v>
      </c>
      <c r="AQ65" s="19">
        <v>0</v>
      </c>
      <c r="AR65" s="21">
        <f t="shared" si="7"/>
        <v>5390000</v>
      </c>
      <c r="AS65" s="66">
        <f t="shared" si="19"/>
        <v>205</v>
      </c>
      <c r="AT65" s="17">
        <v>50000</v>
      </c>
      <c r="AU65" s="19">
        <v>0</v>
      </c>
      <c r="AV65" s="21">
        <f t="shared" si="8"/>
        <v>5440000</v>
      </c>
      <c r="AW65" s="66">
        <f t="shared" si="20"/>
        <v>206</v>
      </c>
      <c r="AX65" s="17">
        <v>0</v>
      </c>
      <c r="AY65" s="19">
        <v>0</v>
      </c>
      <c r="AZ65" s="21">
        <f t="shared" si="9"/>
        <v>5440000</v>
      </c>
      <c r="BA65" s="66">
        <f t="shared" si="21"/>
        <v>206</v>
      </c>
      <c r="BB65" s="17">
        <v>0</v>
      </c>
      <c r="BC65" s="19">
        <v>0</v>
      </c>
      <c r="BD65" s="21">
        <f t="shared" si="10"/>
        <v>5440000</v>
      </c>
      <c r="BE65" s="66">
        <f t="shared" si="22"/>
        <v>206</v>
      </c>
      <c r="BF65" s="17">
        <v>0</v>
      </c>
      <c r="BG65" s="19">
        <v>0</v>
      </c>
      <c r="BH65" s="21">
        <f t="shared" si="11"/>
        <v>5440000</v>
      </c>
      <c r="BI65" s="71">
        <f t="shared" si="23"/>
        <v>206</v>
      </c>
    </row>
    <row r="66" spans="1:61" x14ac:dyDescent="0.2">
      <c r="A66" s="1">
        <v>66</v>
      </c>
      <c r="B66" s="1">
        <v>62</v>
      </c>
      <c r="C66" s="2" t="s">
        <v>144</v>
      </c>
      <c r="D66" s="2" t="s">
        <v>224</v>
      </c>
      <c r="E66" s="2" t="s">
        <v>145</v>
      </c>
      <c r="F66" s="2" t="s">
        <v>9</v>
      </c>
      <c r="G66" s="2" t="s">
        <v>90</v>
      </c>
      <c r="H66" s="3" t="s">
        <v>11</v>
      </c>
      <c r="J66" s="18">
        <v>100000</v>
      </c>
      <c r="L66" s="18">
        <v>3930000</v>
      </c>
      <c r="M66" s="66">
        <v>144</v>
      </c>
      <c r="N66" s="17">
        <v>50000</v>
      </c>
      <c r="O66" s="19">
        <v>0</v>
      </c>
      <c r="P66" s="20">
        <f t="shared" si="29"/>
        <v>3980000</v>
      </c>
      <c r="Q66" s="66">
        <f t="shared" ref="Q66:Q75" si="33">IF(N66&lt;&gt;0,M66+1,M66)</f>
        <v>145</v>
      </c>
      <c r="R66" s="17">
        <v>50000</v>
      </c>
      <c r="S66" s="19">
        <v>0</v>
      </c>
      <c r="T66" s="21">
        <f t="shared" si="30"/>
        <v>4030000</v>
      </c>
      <c r="U66" s="66">
        <f t="shared" ref="U66:U75" si="34">IF(R66&lt;&gt;0,Q66+1,Q66)</f>
        <v>146</v>
      </c>
      <c r="V66" s="17">
        <v>50000</v>
      </c>
      <c r="W66" s="19">
        <v>0</v>
      </c>
      <c r="X66" s="21">
        <f t="shared" si="31"/>
        <v>4080000</v>
      </c>
      <c r="Y66" s="66">
        <f t="shared" si="14"/>
        <v>147</v>
      </c>
      <c r="Z66" s="17">
        <v>50000</v>
      </c>
      <c r="AA66" s="19">
        <v>0</v>
      </c>
      <c r="AB66" s="21">
        <f t="shared" si="32"/>
        <v>4130000</v>
      </c>
      <c r="AC66" s="66">
        <f t="shared" si="15"/>
        <v>148</v>
      </c>
      <c r="AD66" s="17">
        <v>50000</v>
      </c>
      <c r="AE66" s="19">
        <v>0</v>
      </c>
      <c r="AF66" s="21">
        <f t="shared" si="28"/>
        <v>4180000</v>
      </c>
      <c r="AG66" s="66">
        <f t="shared" si="16"/>
        <v>149</v>
      </c>
      <c r="AH66" s="17">
        <v>50000</v>
      </c>
      <c r="AI66" s="19">
        <v>0</v>
      </c>
      <c r="AJ66" s="21">
        <f t="shared" si="27"/>
        <v>4230000</v>
      </c>
      <c r="AK66" s="66">
        <f t="shared" si="17"/>
        <v>150</v>
      </c>
      <c r="AL66" s="17">
        <v>50000</v>
      </c>
      <c r="AM66" s="19">
        <v>0</v>
      </c>
      <c r="AN66" s="21">
        <f t="shared" si="6"/>
        <v>4280000</v>
      </c>
      <c r="AO66" s="66">
        <f t="shared" si="18"/>
        <v>151</v>
      </c>
      <c r="AP66" s="17">
        <v>50000</v>
      </c>
      <c r="AQ66" s="19">
        <v>0</v>
      </c>
      <c r="AR66" s="21">
        <f t="shared" si="7"/>
        <v>4330000</v>
      </c>
      <c r="AS66" s="66">
        <f t="shared" si="19"/>
        <v>152</v>
      </c>
      <c r="AT66" s="17">
        <v>50000</v>
      </c>
      <c r="AU66" s="19">
        <v>0</v>
      </c>
      <c r="AV66" s="21">
        <f t="shared" si="8"/>
        <v>4380000</v>
      </c>
      <c r="AW66" s="66">
        <f t="shared" si="20"/>
        <v>153</v>
      </c>
      <c r="AX66" s="17">
        <v>0</v>
      </c>
      <c r="AY66" s="19">
        <v>0</v>
      </c>
      <c r="AZ66" s="21">
        <f t="shared" si="9"/>
        <v>4380000</v>
      </c>
      <c r="BA66" s="66">
        <f t="shared" si="21"/>
        <v>153</v>
      </c>
      <c r="BB66" s="17">
        <v>0</v>
      </c>
      <c r="BC66" s="19">
        <v>0</v>
      </c>
      <c r="BD66" s="21">
        <f t="shared" si="10"/>
        <v>4380000</v>
      </c>
      <c r="BE66" s="66">
        <f t="shared" si="22"/>
        <v>153</v>
      </c>
      <c r="BF66" s="17">
        <v>0</v>
      </c>
      <c r="BG66" s="19">
        <v>0</v>
      </c>
      <c r="BH66" s="21">
        <f t="shared" si="11"/>
        <v>4380000</v>
      </c>
      <c r="BI66" s="71">
        <f t="shared" si="23"/>
        <v>153</v>
      </c>
    </row>
    <row r="67" spans="1:61" x14ac:dyDescent="0.2">
      <c r="A67" s="1">
        <v>67</v>
      </c>
      <c r="B67" s="1">
        <v>63</v>
      </c>
      <c r="C67" s="2" t="s">
        <v>146</v>
      </c>
      <c r="D67" s="2" t="s">
        <v>224</v>
      </c>
      <c r="E67" s="2" t="s">
        <v>147</v>
      </c>
      <c r="F67" s="2" t="s">
        <v>9</v>
      </c>
      <c r="G67" s="2" t="s">
        <v>10</v>
      </c>
      <c r="H67" s="3" t="s">
        <v>11</v>
      </c>
      <c r="J67" s="18">
        <v>100000</v>
      </c>
      <c r="L67" s="18">
        <v>4990000</v>
      </c>
      <c r="M67" s="66">
        <v>197</v>
      </c>
      <c r="N67" s="17">
        <v>50000</v>
      </c>
      <c r="O67" s="19">
        <v>0</v>
      </c>
      <c r="P67" s="20">
        <f t="shared" si="29"/>
        <v>5040000</v>
      </c>
      <c r="Q67" s="66">
        <f t="shared" si="33"/>
        <v>198</v>
      </c>
      <c r="R67" s="17">
        <v>50000</v>
      </c>
      <c r="S67" s="19">
        <v>0</v>
      </c>
      <c r="T67" s="21">
        <f t="shared" si="30"/>
        <v>5090000</v>
      </c>
      <c r="U67" s="66">
        <f t="shared" si="34"/>
        <v>199</v>
      </c>
      <c r="V67" s="17">
        <v>50000</v>
      </c>
      <c r="W67" s="19">
        <v>0</v>
      </c>
      <c r="X67" s="21">
        <f t="shared" si="31"/>
        <v>5140000</v>
      </c>
      <c r="Y67" s="66">
        <f t="shared" si="14"/>
        <v>200</v>
      </c>
      <c r="Z67" s="17">
        <v>50000</v>
      </c>
      <c r="AA67" s="19">
        <v>0</v>
      </c>
      <c r="AB67" s="21">
        <f t="shared" si="32"/>
        <v>5190000</v>
      </c>
      <c r="AC67" s="66">
        <f t="shared" si="15"/>
        <v>201</v>
      </c>
      <c r="AD67" s="17">
        <v>50000</v>
      </c>
      <c r="AE67" s="19">
        <v>0</v>
      </c>
      <c r="AF67" s="21">
        <f t="shared" si="28"/>
        <v>5240000</v>
      </c>
      <c r="AG67" s="66">
        <f t="shared" si="16"/>
        <v>202</v>
      </c>
      <c r="AH67" s="17">
        <v>50000</v>
      </c>
      <c r="AI67" s="19">
        <v>0</v>
      </c>
      <c r="AJ67" s="21">
        <f t="shared" si="27"/>
        <v>5290000</v>
      </c>
      <c r="AK67" s="66">
        <f t="shared" si="17"/>
        <v>203</v>
      </c>
      <c r="AL67" s="17">
        <v>50000</v>
      </c>
      <c r="AM67" s="19">
        <v>0</v>
      </c>
      <c r="AN67" s="21">
        <f t="shared" si="6"/>
        <v>5340000</v>
      </c>
      <c r="AO67" s="66">
        <f t="shared" si="18"/>
        <v>204</v>
      </c>
      <c r="AP67" s="17">
        <v>50000</v>
      </c>
      <c r="AQ67" s="19">
        <v>0</v>
      </c>
      <c r="AR67" s="21">
        <f t="shared" si="7"/>
        <v>5390000</v>
      </c>
      <c r="AS67" s="66">
        <f t="shared" si="19"/>
        <v>205</v>
      </c>
      <c r="AT67" s="17">
        <v>50000</v>
      </c>
      <c r="AU67" s="19">
        <v>0</v>
      </c>
      <c r="AV67" s="21">
        <f t="shared" si="8"/>
        <v>5440000</v>
      </c>
      <c r="AW67" s="66">
        <f t="shared" si="20"/>
        <v>206</v>
      </c>
      <c r="AX67" s="17">
        <v>0</v>
      </c>
      <c r="AY67" s="19">
        <v>0</v>
      </c>
      <c r="AZ67" s="21">
        <f t="shared" si="9"/>
        <v>5440000</v>
      </c>
      <c r="BA67" s="66">
        <f t="shared" si="21"/>
        <v>206</v>
      </c>
      <c r="BB67" s="17">
        <v>0</v>
      </c>
      <c r="BC67" s="19">
        <v>0</v>
      </c>
      <c r="BD67" s="21">
        <f t="shared" si="10"/>
        <v>5440000</v>
      </c>
      <c r="BE67" s="66">
        <f t="shared" si="22"/>
        <v>206</v>
      </c>
      <c r="BF67" s="17">
        <v>0</v>
      </c>
      <c r="BG67" s="19">
        <v>0</v>
      </c>
      <c r="BH67" s="21">
        <f t="shared" si="11"/>
        <v>5440000</v>
      </c>
      <c r="BI67" s="71">
        <f t="shared" si="23"/>
        <v>206</v>
      </c>
    </row>
    <row r="68" spans="1:61" x14ac:dyDescent="0.2">
      <c r="A68" s="1">
        <v>68</v>
      </c>
      <c r="B68" s="1">
        <v>64</v>
      </c>
      <c r="C68" s="2" t="s">
        <v>148</v>
      </c>
      <c r="D68" s="2" t="s">
        <v>224</v>
      </c>
      <c r="E68" s="2" t="s">
        <v>149</v>
      </c>
      <c r="F68" s="2" t="s">
        <v>9</v>
      </c>
      <c r="G68" s="2" t="s">
        <v>10</v>
      </c>
      <c r="H68" s="3" t="s">
        <v>11</v>
      </c>
      <c r="J68" s="18">
        <v>100000</v>
      </c>
      <c r="L68" s="18">
        <v>3430000</v>
      </c>
      <c r="M68" s="66">
        <v>119</v>
      </c>
      <c r="N68" s="17">
        <v>50000</v>
      </c>
      <c r="O68" s="19">
        <v>0</v>
      </c>
      <c r="P68" s="20">
        <f t="shared" si="29"/>
        <v>3480000</v>
      </c>
      <c r="Q68" s="66">
        <f t="shared" si="33"/>
        <v>120</v>
      </c>
      <c r="R68" s="17">
        <v>50000</v>
      </c>
      <c r="S68" s="19">
        <v>0</v>
      </c>
      <c r="T68" s="21">
        <f t="shared" si="30"/>
        <v>3530000</v>
      </c>
      <c r="U68" s="66">
        <f t="shared" si="34"/>
        <v>121</v>
      </c>
      <c r="V68" s="17">
        <v>50000</v>
      </c>
      <c r="W68" s="19">
        <v>0</v>
      </c>
      <c r="X68" s="21">
        <f t="shared" si="31"/>
        <v>3580000</v>
      </c>
      <c r="Y68" s="66">
        <f t="shared" ref="Y68:Y79" si="35">IF(V68&lt;&gt;0,U68+1,U68)</f>
        <v>122</v>
      </c>
      <c r="Z68" s="17">
        <v>50000</v>
      </c>
      <c r="AA68" s="19">
        <v>0</v>
      </c>
      <c r="AB68" s="21">
        <f t="shared" si="32"/>
        <v>3630000</v>
      </c>
      <c r="AC68" s="66">
        <f t="shared" ref="AC68:AC79" si="36">IF(Z68&lt;&gt;0,Y68+1,Y68)</f>
        <v>123</v>
      </c>
      <c r="AD68" s="17">
        <v>50000</v>
      </c>
      <c r="AE68" s="19">
        <v>0</v>
      </c>
      <c r="AF68" s="21">
        <f t="shared" si="28"/>
        <v>3680000</v>
      </c>
      <c r="AG68" s="66">
        <f t="shared" si="16"/>
        <v>124</v>
      </c>
      <c r="AH68" s="17">
        <v>50000</v>
      </c>
      <c r="AI68" s="19">
        <v>0</v>
      </c>
      <c r="AJ68" s="21">
        <f t="shared" si="27"/>
        <v>3730000</v>
      </c>
      <c r="AK68" s="66">
        <f t="shared" si="17"/>
        <v>125</v>
      </c>
      <c r="AL68" s="17">
        <v>50000</v>
      </c>
      <c r="AM68" s="19">
        <v>0</v>
      </c>
      <c r="AN68" s="21">
        <f t="shared" ref="AN68:AN79" si="37">AJ68+AL68+AM68</f>
        <v>3780000</v>
      </c>
      <c r="AO68" s="66">
        <f t="shared" si="18"/>
        <v>126</v>
      </c>
      <c r="AP68" s="17">
        <v>50000</v>
      </c>
      <c r="AQ68" s="19">
        <v>0</v>
      </c>
      <c r="AR68" s="21">
        <f t="shared" ref="AR68:AR79" si="38">AN68+AP68+AQ68</f>
        <v>3830000</v>
      </c>
      <c r="AS68" s="66">
        <f t="shared" si="19"/>
        <v>127</v>
      </c>
      <c r="AT68" s="17">
        <v>50000</v>
      </c>
      <c r="AU68" s="19">
        <v>0</v>
      </c>
      <c r="AV68" s="21">
        <f t="shared" ref="AV68:AV79" si="39">AR68+AT68+AU68</f>
        <v>3880000</v>
      </c>
      <c r="AW68" s="66">
        <f t="shared" si="20"/>
        <v>128</v>
      </c>
      <c r="AX68" s="17">
        <v>0</v>
      </c>
      <c r="AY68" s="19">
        <v>0</v>
      </c>
      <c r="AZ68" s="21">
        <f t="shared" ref="AZ68:AZ79" si="40">AV68+AX68+AY68</f>
        <v>3880000</v>
      </c>
      <c r="BA68" s="66">
        <f t="shared" si="21"/>
        <v>128</v>
      </c>
      <c r="BB68" s="17">
        <v>0</v>
      </c>
      <c r="BC68" s="19">
        <v>0</v>
      </c>
      <c r="BD68" s="21">
        <f t="shared" ref="BD68:BD79" si="41">AZ68+BB68+BC68</f>
        <v>3880000</v>
      </c>
      <c r="BE68" s="66">
        <f t="shared" si="22"/>
        <v>128</v>
      </c>
      <c r="BF68" s="17">
        <v>0</v>
      </c>
      <c r="BG68" s="19">
        <v>0</v>
      </c>
      <c r="BH68" s="21">
        <f t="shared" ref="BH68:BH79" si="42">BD68+BF68+BG68</f>
        <v>3880000</v>
      </c>
      <c r="BI68" s="71">
        <f t="shared" si="23"/>
        <v>128</v>
      </c>
    </row>
    <row r="69" spans="1:61" x14ac:dyDescent="0.2">
      <c r="A69" s="1">
        <v>69</v>
      </c>
      <c r="B69" s="1">
        <v>65</v>
      </c>
      <c r="C69" s="2" t="s">
        <v>150</v>
      </c>
      <c r="D69" s="2" t="s">
        <v>223</v>
      </c>
      <c r="E69" s="2" t="s">
        <v>151</v>
      </c>
      <c r="F69" s="2" t="s">
        <v>9</v>
      </c>
      <c r="G69" s="2" t="s">
        <v>90</v>
      </c>
      <c r="H69" s="3" t="s">
        <v>11</v>
      </c>
      <c r="J69" s="18">
        <v>100000</v>
      </c>
      <c r="L69" s="18">
        <v>4990000</v>
      </c>
      <c r="M69" s="66">
        <v>197</v>
      </c>
      <c r="N69" s="17">
        <v>50000</v>
      </c>
      <c r="O69" s="19">
        <v>0</v>
      </c>
      <c r="P69" s="20">
        <f t="shared" si="29"/>
        <v>5040000</v>
      </c>
      <c r="Q69" s="66">
        <f t="shared" si="33"/>
        <v>198</v>
      </c>
      <c r="R69" s="17">
        <v>50000</v>
      </c>
      <c r="S69" s="19">
        <v>0</v>
      </c>
      <c r="T69" s="21">
        <f t="shared" si="30"/>
        <v>5090000</v>
      </c>
      <c r="U69" s="66">
        <f t="shared" si="34"/>
        <v>199</v>
      </c>
      <c r="V69" s="17">
        <v>50000</v>
      </c>
      <c r="W69" s="19">
        <v>0</v>
      </c>
      <c r="X69" s="21">
        <f t="shared" si="31"/>
        <v>5140000</v>
      </c>
      <c r="Y69" s="66">
        <f t="shared" si="35"/>
        <v>200</v>
      </c>
      <c r="Z69" s="17">
        <v>50000</v>
      </c>
      <c r="AA69" s="19">
        <v>0</v>
      </c>
      <c r="AB69" s="21">
        <f t="shared" si="32"/>
        <v>5190000</v>
      </c>
      <c r="AC69" s="66">
        <f t="shared" si="36"/>
        <v>201</v>
      </c>
      <c r="AD69" s="17">
        <v>50000</v>
      </c>
      <c r="AE69" s="19">
        <v>0</v>
      </c>
      <c r="AF69" s="21">
        <f t="shared" si="28"/>
        <v>5240000</v>
      </c>
      <c r="AG69" s="66">
        <f t="shared" ref="AG69:AG79" si="43">IF(AD69&lt;&gt;0,AC69+1,AC69)</f>
        <v>202</v>
      </c>
      <c r="AH69" s="17">
        <v>50000</v>
      </c>
      <c r="AI69" s="19">
        <v>0</v>
      </c>
      <c r="AJ69" s="21">
        <f t="shared" si="27"/>
        <v>5290000</v>
      </c>
      <c r="AK69" s="66">
        <f t="shared" ref="AK69:AK80" si="44">IF(AH69&lt;&gt;0,AG69+1,AG69)</f>
        <v>203</v>
      </c>
      <c r="AL69" s="17">
        <v>50000</v>
      </c>
      <c r="AM69" s="19">
        <v>0</v>
      </c>
      <c r="AN69" s="21">
        <f t="shared" si="37"/>
        <v>5340000</v>
      </c>
      <c r="AO69" s="66">
        <f t="shared" ref="AO69:AO80" si="45">IF(AL69&lt;&gt;0,AK69+1,AK69)</f>
        <v>204</v>
      </c>
      <c r="AP69" s="17">
        <v>50000</v>
      </c>
      <c r="AQ69" s="19">
        <v>0</v>
      </c>
      <c r="AR69" s="21">
        <f t="shared" si="38"/>
        <v>5390000</v>
      </c>
      <c r="AS69" s="66">
        <f t="shared" ref="AS69:AS80" si="46">IF(AP69&lt;&gt;0,AO69+1,AO69)</f>
        <v>205</v>
      </c>
      <c r="AT69" s="17">
        <v>50000</v>
      </c>
      <c r="AU69" s="19">
        <v>0</v>
      </c>
      <c r="AV69" s="21">
        <f t="shared" si="39"/>
        <v>5440000</v>
      </c>
      <c r="AW69" s="66">
        <f t="shared" ref="AW69:AW80" si="47">IF(AT69&lt;&gt;0,AS69+1,AS69)</f>
        <v>206</v>
      </c>
      <c r="AX69" s="17">
        <v>0</v>
      </c>
      <c r="AY69" s="19">
        <v>0</v>
      </c>
      <c r="AZ69" s="21">
        <f t="shared" si="40"/>
        <v>5440000</v>
      </c>
      <c r="BA69" s="66">
        <f t="shared" ref="BA69:BA80" si="48">IF(AX69&lt;&gt;0,AW69+1,AW69)</f>
        <v>206</v>
      </c>
      <c r="BB69" s="17">
        <v>0</v>
      </c>
      <c r="BC69" s="19">
        <v>0</v>
      </c>
      <c r="BD69" s="21">
        <f t="shared" si="41"/>
        <v>5440000</v>
      </c>
      <c r="BE69" s="66">
        <f t="shared" ref="BE69:BE80" si="49">IF(BB69&lt;&gt;0,BA69+1,BA69)</f>
        <v>206</v>
      </c>
      <c r="BF69" s="17">
        <v>0</v>
      </c>
      <c r="BG69" s="19">
        <v>0</v>
      </c>
      <c r="BH69" s="21">
        <f t="shared" si="42"/>
        <v>5440000</v>
      </c>
      <c r="BI69" s="71">
        <f t="shared" ref="BI69:BI80" si="50">IF(BF69&lt;&gt;0,BE69+1,BE69)</f>
        <v>206</v>
      </c>
    </row>
    <row r="70" spans="1:61" x14ac:dyDescent="0.2">
      <c r="A70" s="1">
        <v>70</v>
      </c>
      <c r="B70" s="1">
        <v>66</v>
      </c>
      <c r="C70" s="2" t="s">
        <v>152</v>
      </c>
      <c r="D70" s="2" t="s">
        <v>224</v>
      </c>
      <c r="E70" s="2" t="s">
        <v>153</v>
      </c>
      <c r="F70" s="2" t="s">
        <v>9</v>
      </c>
      <c r="G70" s="2" t="s">
        <v>10</v>
      </c>
      <c r="H70" s="3" t="s">
        <v>11</v>
      </c>
      <c r="J70" s="18">
        <v>100000</v>
      </c>
      <c r="L70" s="18">
        <v>4990000</v>
      </c>
      <c r="M70" s="66">
        <v>197</v>
      </c>
      <c r="N70" s="17">
        <v>50000</v>
      </c>
      <c r="O70" s="19">
        <v>0</v>
      </c>
      <c r="P70" s="20">
        <f t="shared" si="29"/>
        <v>5040000</v>
      </c>
      <c r="Q70" s="66">
        <f t="shared" si="33"/>
        <v>198</v>
      </c>
      <c r="R70" s="17">
        <v>50000</v>
      </c>
      <c r="S70" s="19">
        <v>0</v>
      </c>
      <c r="T70" s="21">
        <f t="shared" si="30"/>
        <v>5090000</v>
      </c>
      <c r="U70" s="66">
        <f t="shared" si="34"/>
        <v>199</v>
      </c>
      <c r="V70" s="17">
        <v>50000</v>
      </c>
      <c r="W70" s="19">
        <v>0</v>
      </c>
      <c r="X70" s="21">
        <f t="shared" si="31"/>
        <v>5140000</v>
      </c>
      <c r="Y70" s="66">
        <f t="shared" si="35"/>
        <v>200</v>
      </c>
      <c r="Z70" s="17">
        <v>50000</v>
      </c>
      <c r="AA70" s="19">
        <v>0</v>
      </c>
      <c r="AB70" s="21">
        <f t="shared" si="32"/>
        <v>5190000</v>
      </c>
      <c r="AC70" s="66">
        <f t="shared" si="36"/>
        <v>201</v>
      </c>
      <c r="AD70" s="17">
        <v>50000</v>
      </c>
      <c r="AE70" s="19">
        <v>0</v>
      </c>
      <c r="AF70" s="21">
        <f t="shared" si="28"/>
        <v>5240000</v>
      </c>
      <c r="AG70" s="66">
        <f t="shared" si="43"/>
        <v>202</v>
      </c>
      <c r="AH70" s="17">
        <v>50000</v>
      </c>
      <c r="AI70" s="19">
        <v>0</v>
      </c>
      <c r="AJ70" s="21">
        <f t="shared" si="27"/>
        <v>5290000</v>
      </c>
      <c r="AK70" s="66">
        <f t="shared" si="44"/>
        <v>203</v>
      </c>
      <c r="AL70" s="17">
        <v>50000</v>
      </c>
      <c r="AM70" s="19">
        <v>0</v>
      </c>
      <c r="AN70" s="21">
        <f t="shared" si="37"/>
        <v>5340000</v>
      </c>
      <c r="AO70" s="66">
        <f t="shared" si="45"/>
        <v>204</v>
      </c>
      <c r="AP70" s="17">
        <v>50000</v>
      </c>
      <c r="AQ70" s="19">
        <v>0</v>
      </c>
      <c r="AR70" s="21">
        <f t="shared" si="38"/>
        <v>5390000</v>
      </c>
      <c r="AS70" s="66">
        <f t="shared" si="46"/>
        <v>205</v>
      </c>
      <c r="AT70" s="17">
        <v>50000</v>
      </c>
      <c r="AU70" s="19">
        <v>0</v>
      </c>
      <c r="AV70" s="21">
        <f t="shared" si="39"/>
        <v>5440000</v>
      </c>
      <c r="AW70" s="66">
        <f t="shared" si="47"/>
        <v>206</v>
      </c>
      <c r="AX70" s="17">
        <v>0</v>
      </c>
      <c r="AY70" s="19">
        <v>0</v>
      </c>
      <c r="AZ70" s="21">
        <f t="shared" si="40"/>
        <v>5440000</v>
      </c>
      <c r="BA70" s="66">
        <f t="shared" si="48"/>
        <v>206</v>
      </c>
      <c r="BB70" s="17">
        <v>0</v>
      </c>
      <c r="BC70" s="19">
        <v>0</v>
      </c>
      <c r="BD70" s="21">
        <f t="shared" si="41"/>
        <v>5440000</v>
      </c>
      <c r="BE70" s="66">
        <f t="shared" si="49"/>
        <v>206</v>
      </c>
      <c r="BF70" s="17">
        <v>0</v>
      </c>
      <c r="BG70" s="19">
        <v>0</v>
      </c>
      <c r="BH70" s="21">
        <f t="shared" si="42"/>
        <v>5440000</v>
      </c>
      <c r="BI70" s="71">
        <f t="shared" si="50"/>
        <v>206</v>
      </c>
    </row>
    <row r="71" spans="1:61" x14ac:dyDescent="0.2">
      <c r="A71" s="1">
        <v>71</v>
      </c>
      <c r="B71" s="1">
        <v>67</v>
      </c>
      <c r="C71" s="2" t="s">
        <v>154</v>
      </c>
      <c r="D71" s="2" t="s">
        <v>224</v>
      </c>
      <c r="E71" s="2" t="s">
        <v>155</v>
      </c>
      <c r="F71" s="2" t="s">
        <v>9</v>
      </c>
      <c r="G71" s="2" t="s">
        <v>10</v>
      </c>
      <c r="H71" s="3" t="s">
        <v>11</v>
      </c>
      <c r="J71" s="18">
        <v>100000</v>
      </c>
      <c r="L71" s="18">
        <v>3470000</v>
      </c>
      <c r="M71" s="66">
        <v>121</v>
      </c>
      <c r="N71" s="17">
        <v>50000</v>
      </c>
      <c r="O71" s="19">
        <v>0</v>
      </c>
      <c r="P71" s="20">
        <f t="shared" si="29"/>
        <v>3520000</v>
      </c>
      <c r="Q71" s="66">
        <f t="shared" si="33"/>
        <v>122</v>
      </c>
      <c r="R71" s="17">
        <v>50000</v>
      </c>
      <c r="S71" s="19">
        <v>0</v>
      </c>
      <c r="T71" s="21">
        <f t="shared" si="30"/>
        <v>3570000</v>
      </c>
      <c r="U71" s="66">
        <f t="shared" si="34"/>
        <v>123</v>
      </c>
      <c r="V71" s="17">
        <v>50000</v>
      </c>
      <c r="W71" s="19">
        <v>0</v>
      </c>
      <c r="X71" s="21">
        <f t="shared" si="31"/>
        <v>3620000</v>
      </c>
      <c r="Y71" s="66">
        <f t="shared" si="35"/>
        <v>124</v>
      </c>
      <c r="Z71" s="17">
        <v>50000</v>
      </c>
      <c r="AA71" s="19">
        <v>0</v>
      </c>
      <c r="AB71" s="21">
        <f t="shared" si="32"/>
        <v>3670000</v>
      </c>
      <c r="AC71" s="66">
        <f t="shared" si="36"/>
        <v>125</v>
      </c>
      <c r="AD71" s="17">
        <v>50000</v>
      </c>
      <c r="AE71" s="19">
        <v>0</v>
      </c>
      <c r="AF71" s="21">
        <f t="shared" si="28"/>
        <v>3720000</v>
      </c>
      <c r="AG71" s="66">
        <f t="shared" si="43"/>
        <v>126</v>
      </c>
      <c r="AH71" s="17">
        <v>50000</v>
      </c>
      <c r="AI71" s="19">
        <v>0</v>
      </c>
      <c r="AJ71" s="21">
        <f t="shared" si="27"/>
        <v>3770000</v>
      </c>
      <c r="AK71" s="66">
        <f t="shared" si="44"/>
        <v>127</v>
      </c>
      <c r="AL71" s="17">
        <v>50000</v>
      </c>
      <c r="AM71" s="19">
        <v>0</v>
      </c>
      <c r="AN71" s="21">
        <f t="shared" si="37"/>
        <v>3820000</v>
      </c>
      <c r="AO71" s="66">
        <f t="shared" si="45"/>
        <v>128</v>
      </c>
      <c r="AP71" s="17">
        <v>50000</v>
      </c>
      <c r="AQ71" s="19">
        <v>0</v>
      </c>
      <c r="AR71" s="21">
        <f t="shared" si="38"/>
        <v>3870000</v>
      </c>
      <c r="AS71" s="66">
        <f t="shared" si="46"/>
        <v>129</v>
      </c>
      <c r="AT71" s="17">
        <v>50000</v>
      </c>
      <c r="AU71" s="19">
        <v>0</v>
      </c>
      <c r="AV71" s="21">
        <f t="shared" si="39"/>
        <v>3920000</v>
      </c>
      <c r="AW71" s="66">
        <f t="shared" si="47"/>
        <v>130</v>
      </c>
      <c r="AX71" s="17">
        <v>0</v>
      </c>
      <c r="AY71" s="19">
        <v>0</v>
      </c>
      <c r="AZ71" s="21">
        <f t="shared" si="40"/>
        <v>3920000</v>
      </c>
      <c r="BA71" s="66">
        <f t="shared" si="48"/>
        <v>130</v>
      </c>
      <c r="BB71" s="17">
        <v>0</v>
      </c>
      <c r="BC71" s="19">
        <v>0</v>
      </c>
      <c r="BD71" s="21">
        <f t="shared" si="41"/>
        <v>3920000</v>
      </c>
      <c r="BE71" s="66">
        <f t="shared" si="49"/>
        <v>130</v>
      </c>
      <c r="BF71" s="17">
        <v>0</v>
      </c>
      <c r="BG71" s="19">
        <v>0</v>
      </c>
      <c r="BH71" s="21">
        <f t="shared" si="42"/>
        <v>3920000</v>
      </c>
      <c r="BI71" s="71">
        <f t="shared" si="50"/>
        <v>130</v>
      </c>
    </row>
    <row r="72" spans="1:61" x14ac:dyDescent="0.2">
      <c r="A72" s="1">
        <v>72</v>
      </c>
      <c r="B72" s="1">
        <v>68</v>
      </c>
      <c r="C72" s="2" t="s">
        <v>156</v>
      </c>
      <c r="D72" s="2" t="s">
        <v>224</v>
      </c>
      <c r="E72" s="2" t="s">
        <v>157</v>
      </c>
      <c r="F72" s="2" t="s">
        <v>9</v>
      </c>
      <c r="G72" s="2" t="s">
        <v>90</v>
      </c>
      <c r="H72" s="3" t="s">
        <v>11</v>
      </c>
      <c r="J72" s="18">
        <v>100000</v>
      </c>
      <c r="L72" s="18">
        <v>4990000</v>
      </c>
      <c r="M72" s="66">
        <v>197</v>
      </c>
      <c r="N72" s="17">
        <v>50000</v>
      </c>
      <c r="O72" s="19">
        <v>0</v>
      </c>
      <c r="P72" s="20">
        <f t="shared" si="29"/>
        <v>5040000</v>
      </c>
      <c r="Q72" s="66">
        <f t="shared" si="33"/>
        <v>198</v>
      </c>
      <c r="R72" s="17">
        <v>50000</v>
      </c>
      <c r="S72" s="19">
        <v>0</v>
      </c>
      <c r="T72" s="21">
        <f t="shared" si="30"/>
        <v>5090000</v>
      </c>
      <c r="U72" s="66">
        <f t="shared" si="34"/>
        <v>199</v>
      </c>
      <c r="V72" s="17">
        <v>50000</v>
      </c>
      <c r="W72" s="19">
        <v>0</v>
      </c>
      <c r="X72" s="21">
        <f t="shared" si="31"/>
        <v>5140000</v>
      </c>
      <c r="Y72" s="66">
        <f t="shared" si="35"/>
        <v>200</v>
      </c>
      <c r="Z72" s="17">
        <v>50000</v>
      </c>
      <c r="AA72" s="19">
        <v>0</v>
      </c>
      <c r="AB72" s="21">
        <f t="shared" si="32"/>
        <v>5190000</v>
      </c>
      <c r="AC72" s="66">
        <f t="shared" si="36"/>
        <v>201</v>
      </c>
      <c r="AD72" s="17">
        <v>50000</v>
      </c>
      <c r="AE72" s="19">
        <v>0</v>
      </c>
      <c r="AF72" s="21">
        <f t="shared" si="28"/>
        <v>5240000</v>
      </c>
      <c r="AG72" s="66">
        <f t="shared" si="43"/>
        <v>202</v>
      </c>
      <c r="AH72" s="17">
        <v>50000</v>
      </c>
      <c r="AI72" s="19">
        <v>0</v>
      </c>
      <c r="AJ72" s="21">
        <f t="shared" si="27"/>
        <v>5290000</v>
      </c>
      <c r="AK72" s="66">
        <f t="shared" si="44"/>
        <v>203</v>
      </c>
      <c r="AL72" s="17">
        <v>50000</v>
      </c>
      <c r="AM72" s="19">
        <v>0</v>
      </c>
      <c r="AN72" s="21">
        <f t="shared" si="37"/>
        <v>5340000</v>
      </c>
      <c r="AO72" s="66">
        <f t="shared" si="45"/>
        <v>204</v>
      </c>
      <c r="AP72" s="17">
        <v>50000</v>
      </c>
      <c r="AQ72" s="19">
        <v>0</v>
      </c>
      <c r="AR72" s="21">
        <f t="shared" si="38"/>
        <v>5390000</v>
      </c>
      <c r="AS72" s="66">
        <f t="shared" si="46"/>
        <v>205</v>
      </c>
      <c r="AT72" s="17">
        <v>50000</v>
      </c>
      <c r="AU72" s="19">
        <v>0</v>
      </c>
      <c r="AV72" s="21">
        <f t="shared" si="39"/>
        <v>5440000</v>
      </c>
      <c r="AW72" s="66">
        <f t="shared" si="47"/>
        <v>206</v>
      </c>
      <c r="AX72" s="17">
        <v>0</v>
      </c>
      <c r="AY72" s="19">
        <v>0</v>
      </c>
      <c r="AZ72" s="21">
        <f t="shared" si="40"/>
        <v>5440000</v>
      </c>
      <c r="BA72" s="66">
        <f t="shared" si="48"/>
        <v>206</v>
      </c>
      <c r="BB72" s="17">
        <v>0</v>
      </c>
      <c r="BC72" s="19">
        <v>0</v>
      </c>
      <c r="BD72" s="21">
        <f t="shared" si="41"/>
        <v>5440000</v>
      </c>
      <c r="BE72" s="66">
        <f t="shared" si="49"/>
        <v>206</v>
      </c>
      <c r="BF72" s="17">
        <v>0</v>
      </c>
      <c r="BG72" s="19">
        <v>0</v>
      </c>
      <c r="BH72" s="21">
        <f t="shared" si="42"/>
        <v>5440000</v>
      </c>
      <c r="BI72" s="71">
        <f t="shared" si="50"/>
        <v>206</v>
      </c>
    </row>
    <row r="73" spans="1:61" x14ac:dyDescent="0.2">
      <c r="A73" s="1">
        <v>73</v>
      </c>
      <c r="B73" s="1">
        <v>69</v>
      </c>
      <c r="C73" s="2" t="s">
        <v>158</v>
      </c>
      <c r="D73" s="2" t="s">
        <v>224</v>
      </c>
      <c r="E73" s="2" t="s">
        <v>159</v>
      </c>
      <c r="F73" s="2" t="s">
        <v>9</v>
      </c>
      <c r="G73" s="2" t="s">
        <v>10</v>
      </c>
      <c r="H73" s="3" t="s">
        <v>11</v>
      </c>
      <c r="J73" s="18">
        <v>100000</v>
      </c>
      <c r="L73" s="18">
        <v>3430000</v>
      </c>
      <c r="M73" s="66">
        <v>119</v>
      </c>
      <c r="N73" s="17">
        <v>50000</v>
      </c>
      <c r="O73" s="19">
        <v>0</v>
      </c>
      <c r="P73" s="20">
        <f t="shared" si="29"/>
        <v>3480000</v>
      </c>
      <c r="Q73" s="66">
        <f t="shared" si="33"/>
        <v>120</v>
      </c>
      <c r="R73" s="17">
        <v>50000</v>
      </c>
      <c r="S73" s="19">
        <v>0</v>
      </c>
      <c r="T73" s="21">
        <f t="shared" si="30"/>
        <v>3530000</v>
      </c>
      <c r="U73" s="66">
        <f t="shared" si="34"/>
        <v>121</v>
      </c>
      <c r="V73" s="17">
        <v>50000</v>
      </c>
      <c r="W73" s="19">
        <v>0</v>
      </c>
      <c r="X73" s="21">
        <f t="shared" si="31"/>
        <v>3580000</v>
      </c>
      <c r="Y73" s="66">
        <f t="shared" si="35"/>
        <v>122</v>
      </c>
      <c r="Z73" s="17">
        <v>50000</v>
      </c>
      <c r="AA73" s="19">
        <v>0</v>
      </c>
      <c r="AB73" s="21">
        <f t="shared" si="32"/>
        <v>3630000</v>
      </c>
      <c r="AC73" s="66">
        <f t="shared" si="36"/>
        <v>123</v>
      </c>
      <c r="AD73" s="17">
        <v>50000</v>
      </c>
      <c r="AE73" s="19">
        <v>0</v>
      </c>
      <c r="AF73" s="21">
        <f t="shared" si="28"/>
        <v>3680000</v>
      </c>
      <c r="AG73" s="66">
        <f t="shared" si="43"/>
        <v>124</v>
      </c>
      <c r="AH73" s="17">
        <v>50000</v>
      </c>
      <c r="AI73" s="19">
        <v>0</v>
      </c>
      <c r="AJ73" s="21">
        <f t="shared" si="27"/>
        <v>3730000</v>
      </c>
      <c r="AK73" s="66">
        <f t="shared" si="44"/>
        <v>125</v>
      </c>
      <c r="AL73" s="17">
        <v>50000</v>
      </c>
      <c r="AM73" s="19">
        <v>0</v>
      </c>
      <c r="AN73" s="21">
        <f t="shared" si="37"/>
        <v>3780000</v>
      </c>
      <c r="AO73" s="66">
        <f t="shared" si="45"/>
        <v>126</v>
      </c>
      <c r="AP73" s="17">
        <v>50000</v>
      </c>
      <c r="AQ73" s="19">
        <v>0</v>
      </c>
      <c r="AR73" s="21">
        <f t="shared" si="38"/>
        <v>3830000</v>
      </c>
      <c r="AS73" s="66">
        <f t="shared" si="46"/>
        <v>127</v>
      </c>
      <c r="AT73" s="17">
        <v>50000</v>
      </c>
      <c r="AU73" s="19">
        <v>0</v>
      </c>
      <c r="AV73" s="21">
        <f t="shared" si="39"/>
        <v>3880000</v>
      </c>
      <c r="AW73" s="66">
        <f t="shared" si="47"/>
        <v>128</v>
      </c>
      <c r="AX73" s="17">
        <v>0</v>
      </c>
      <c r="AY73" s="19">
        <v>0</v>
      </c>
      <c r="AZ73" s="21">
        <f t="shared" si="40"/>
        <v>3880000</v>
      </c>
      <c r="BA73" s="66">
        <f t="shared" si="48"/>
        <v>128</v>
      </c>
      <c r="BB73" s="17">
        <v>0</v>
      </c>
      <c r="BC73" s="19">
        <v>0</v>
      </c>
      <c r="BD73" s="21">
        <f t="shared" si="41"/>
        <v>3880000</v>
      </c>
      <c r="BE73" s="66">
        <f t="shared" si="49"/>
        <v>128</v>
      </c>
      <c r="BF73" s="17">
        <v>0</v>
      </c>
      <c r="BG73" s="19">
        <v>0</v>
      </c>
      <c r="BH73" s="21">
        <f t="shared" si="42"/>
        <v>3880000</v>
      </c>
      <c r="BI73" s="71">
        <f t="shared" si="50"/>
        <v>128</v>
      </c>
    </row>
    <row r="74" spans="1:61" x14ac:dyDescent="0.2">
      <c r="A74" s="1">
        <v>74</v>
      </c>
      <c r="B74" s="1">
        <v>70</v>
      </c>
      <c r="C74" s="2" t="s">
        <v>160</v>
      </c>
      <c r="D74" s="2" t="s">
        <v>224</v>
      </c>
      <c r="E74" s="2" t="s">
        <v>161</v>
      </c>
      <c r="F74" s="2" t="s">
        <v>9</v>
      </c>
      <c r="G74" s="2" t="s">
        <v>10</v>
      </c>
      <c r="H74" s="3" t="s">
        <v>11</v>
      </c>
      <c r="J74" s="18">
        <v>100000</v>
      </c>
      <c r="L74" s="18">
        <v>4370000</v>
      </c>
      <c r="M74" s="66">
        <v>166</v>
      </c>
      <c r="N74" s="17">
        <v>50000</v>
      </c>
      <c r="O74" s="19">
        <v>0</v>
      </c>
      <c r="P74" s="20">
        <f t="shared" si="29"/>
        <v>4420000</v>
      </c>
      <c r="Q74" s="66">
        <f t="shared" si="33"/>
        <v>167</v>
      </c>
      <c r="R74" s="17">
        <v>50000</v>
      </c>
      <c r="S74" s="19">
        <v>0</v>
      </c>
      <c r="T74" s="21">
        <f t="shared" si="30"/>
        <v>4470000</v>
      </c>
      <c r="U74" s="66">
        <f t="shared" si="34"/>
        <v>168</v>
      </c>
      <c r="V74" s="17">
        <v>50000</v>
      </c>
      <c r="W74" s="19">
        <v>0</v>
      </c>
      <c r="X74" s="21">
        <f t="shared" si="31"/>
        <v>4520000</v>
      </c>
      <c r="Y74" s="66">
        <f t="shared" si="35"/>
        <v>169</v>
      </c>
      <c r="Z74" s="17">
        <v>50000</v>
      </c>
      <c r="AA74" s="19">
        <v>0</v>
      </c>
      <c r="AB74" s="21">
        <f t="shared" si="32"/>
        <v>4570000</v>
      </c>
      <c r="AC74" s="66">
        <f t="shared" si="36"/>
        <v>170</v>
      </c>
      <c r="AD74" s="17">
        <v>50000</v>
      </c>
      <c r="AE74" s="19">
        <v>0</v>
      </c>
      <c r="AF74" s="21">
        <f t="shared" si="28"/>
        <v>4620000</v>
      </c>
      <c r="AG74" s="66">
        <f t="shared" si="43"/>
        <v>171</v>
      </c>
      <c r="AH74" s="17">
        <v>50000</v>
      </c>
      <c r="AI74" s="19">
        <v>0</v>
      </c>
      <c r="AJ74" s="21">
        <f t="shared" si="27"/>
        <v>4670000</v>
      </c>
      <c r="AK74" s="66">
        <f t="shared" si="44"/>
        <v>172</v>
      </c>
      <c r="AL74" s="17">
        <v>50000</v>
      </c>
      <c r="AM74" s="19">
        <v>0</v>
      </c>
      <c r="AN74" s="21">
        <f t="shared" si="37"/>
        <v>4720000</v>
      </c>
      <c r="AO74" s="66">
        <f t="shared" si="45"/>
        <v>173</v>
      </c>
      <c r="AP74" s="17">
        <v>50000</v>
      </c>
      <c r="AQ74" s="19">
        <v>0</v>
      </c>
      <c r="AR74" s="21">
        <f t="shared" si="38"/>
        <v>4770000</v>
      </c>
      <c r="AS74" s="66">
        <f t="shared" si="46"/>
        <v>174</v>
      </c>
      <c r="AT74" s="17">
        <v>50000</v>
      </c>
      <c r="AU74" s="19">
        <v>0</v>
      </c>
      <c r="AV74" s="21">
        <f t="shared" si="39"/>
        <v>4820000</v>
      </c>
      <c r="AW74" s="66">
        <f t="shared" si="47"/>
        <v>175</v>
      </c>
      <c r="AX74" s="17">
        <v>0</v>
      </c>
      <c r="AY74" s="19">
        <v>0</v>
      </c>
      <c r="AZ74" s="21">
        <f t="shared" si="40"/>
        <v>4820000</v>
      </c>
      <c r="BA74" s="66">
        <f t="shared" si="48"/>
        <v>175</v>
      </c>
      <c r="BB74" s="17">
        <v>0</v>
      </c>
      <c r="BC74" s="19">
        <v>0</v>
      </c>
      <c r="BD74" s="21">
        <f t="shared" si="41"/>
        <v>4820000</v>
      </c>
      <c r="BE74" s="66">
        <f t="shared" si="49"/>
        <v>175</v>
      </c>
      <c r="BF74" s="17">
        <v>0</v>
      </c>
      <c r="BG74" s="19">
        <v>0</v>
      </c>
      <c r="BH74" s="21">
        <f t="shared" si="42"/>
        <v>4820000</v>
      </c>
      <c r="BI74" s="71">
        <f t="shared" si="50"/>
        <v>175</v>
      </c>
    </row>
    <row r="75" spans="1:61" s="8" customFormat="1" x14ac:dyDescent="0.2">
      <c r="A75" s="1">
        <v>75</v>
      </c>
      <c r="B75" s="1">
        <v>71</v>
      </c>
      <c r="C75" s="24" t="s">
        <v>169</v>
      </c>
      <c r="D75" s="2" t="s">
        <v>224</v>
      </c>
      <c r="E75" s="24" t="s">
        <v>170</v>
      </c>
      <c r="F75" s="24" t="s">
        <v>9</v>
      </c>
      <c r="G75" s="24" t="s">
        <v>10</v>
      </c>
      <c r="H75" s="1" t="s">
        <v>11</v>
      </c>
      <c r="I75" s="22"/>
      <c r="J75" s="25">
        <v>100000</v>
      </c>
      <c r="K75" s="23"/>
      <c r="L75" s="25">
        <v>1450000</v>
      </c>
      <c r="M75" s="68">
        <v>29</v>
      </c>
      <c r="N75" s="26">
        <v>50000</v>
      </c>
      <c r="O75" s="27">
        <v>0</v>
      </c>
      <c r="P75" s="28">
        <f>L75+N75+O75</f>
        <v>1500000</v>
      </c>
      <c r="Q75" s="68">
        <f t="shared" si="33"/>
        <v>30</v>
      </c>
      <c r="R75" s="26">
        <v>50000</v>
      </c>
      <c r="S75" s="27">
        <v>0</v>
      </c>
      <c r="T75" s="29">
        <f>P75+R75+S75</f>
        <v>1550000</v>
      </c>
      <c r="U75" s="68">
        <f t="shared" si="34"/>
        <v>31</v>
      </c>
      <c r="V75" s="26">
        <v>50000</v>
      </c>
      <c r="W75" s="27">
        <v>0</v>
      </c>
      <c r="X75" s="29">
        <f t="shared" si="31"/>
        <v>1600000</v>
      </c>
      <c r="Y75" s="68">
        <f t="shared" si="35"/>
        <v>32</v>
      </c>
      <c r="Z75" s="26">
        <v>50000</v>
      </c>
      <c r="AA75" s="27">
        <v>0</v>
      </c>
      <c r="AB75" s="29">
        <f>X75+Z75+AA75</f>
        <v>1650000</v>
      </c>
      <c r="AC75" s="68">
        <f t="shared" si="36"/>
        <v>33</v>
      </c>
      <c r="AD75" s="26">
        <v>50000</v>
      </c>
      <c r="AE75" s="27">
        <v>0</v>
      </c>
      <c r="AF75" s="29">
        <f t="shared" si="28"/>
        <v>1700000</v>
      </c>
      <c r="AG75" s="68">
        <f t="shared" si="43"/>
        <v>34</v>
      </c>
      <c r="AH75" s="17">
        <v>50000</v>
      </c>
      <c r="AI75" s="27">
        <v>0</v>
      </c>
      <c r="AJ75" s="29">
        <f t="shared" si="27"/>
        <v>1750000</v>
      </c>
      <c r="AK75" s="68">
        <f t="shared" si="44"/>
        <v>35</v>
      </c>
      <c r="AL75" s="17">
        <v>50000</v>
      </c>
      <c r="AM75" s="27">
        <v>0</v>
      </c>
      <c r="AN75" s="29">
        <f t="shared" si="37"/>
        <v>1800000</v>
      </c>
      <c r="AO75" s="68">
        <f t="shared" si="45"/>
        <v>36</v>
      </c>
      <c r="AP75" s="17">
        <v>50000</v>
      </c>
      <c r="AQ75" s="27">
        <v>0</v>
      </c>
      <c r="AR75" s="29">
        <f t="shared" si="38"/>
        <v>1850000</v>
      </c>
      <c r="AS75" s="68">
        <f t="shared" si="46"/>
        <v>37</v>
      </c>
      <c r="AT75" s="17">
        <v>50000</v>
      </c>
      <c r="AU75" s="27">
        <v>0</v>
      </c>
      <c r="AV75" s="29">
        <f t="shared" si="39"/>
        <v>1900000</v>
      </c>
      <c r="AW75" s="68">
        <f t="shared" si="47"/>
        <v>38</v>
      </c>
      <c r="AX75" s="17">
        <v>0</v>
      </c>
      <c r="AY75" s="27">
        <v>0</v>
      </c>
      <c r="AZ75" s="29">
        <f t="shared" si="40"/>
        <v>1900000</v>
      </c>
      <c r="BA75" s="68">
        <f t="shared" si="48"/>
        <v>38</v>
      </c>
      <c r="BB75" s="17">
        <v>0</v>
      </c>
      <c r="BC75" s="27">
        <v>0</v>
      </c>
      <c r="BD75" s="29">
        <f t="shared" si="41"/>
        <v>1900000</v>
      </c>
      <c r="BE75" s="68">
        <f t="shared" si="49"/>
        <v>38</v>
      </c>
      <c r="BF75" s="17">
        <v>0</v>
      </c>
      <c r="BG75" s="27">
        <v>0</v>
      </c>
      <c r="BH75" s="29">
        <f t="shared" si="42"/>
        <v>1900000</v>
      </c>
      <c r="BI75" s="73">
        <f t="shared" si="50"/>
        <v>38</v>
      </c>
    </row>
    <row r="76" spans="1:61" s="8" customFormat="1" x14ac:dyDescent="0.2">
      <c r="A76" s="1">
        <v>76</v>
      </c>
      <c r="B76" s="1">
        <v>72</v>
      </c>
      <c r="C76" s="24" t="s">
        <v>171</v>
      </c>
      <c r="D76" s="2" t="s">
        <v>224</v>
      </c>
      <c r="E76" s="24" t="s">
        <v>172</v>
      </c>
      <c r="F76" s="24" t="s">
        <v>9</v>
      </c>
      <c r="G76" s="24" t="s">
        <v>10</v>
      </c>
      <c r="H76" s="1" t="s">
        <v>11</v>
      </c>
      <c r="I76" s="22"/>
      <c r="J76" s="25">
        <v>100000</v>
      </c>
      <c r="K76" s="23"/>
      <c r="L76" s="25">
        <v>500000</v>
      </c>
      <c r="M76" s="68">
        <v>10</v>
      </c>
      <c r="N76" s="26">
        <v>50000</v>
      </c>
      <c r="O76" s="27">
        <v>0</v>
      </c>
      <c r="P76" s="28">
        <f>L76+N76+O76</f>
        <v>550000</v>
      </c>
      <c r="Q76" s="68">
        <f t="shared" ref="Q76" si="51">IF(N76&lt;&gt;0,M76+1,M76)</f>
        <v>11</v>
      </c>
      <c r="R76" s="26">
        <v>50000</v>
      </c>
      <c r="S76" s="27">
        <v>0</v>
      </c>
      <c r="T76" s="29">
        <f>P76+R76+S76</f>
        <v>600000</v>
      </c>
      <c r="U76" s="68">
        <f t="shared" ref="U76" si="52">IF(R76&lt;&gt;0,Q76+1,Q76)</f>
        <v>12</v>
      </c>
      <c r="V76" s="26">
        <v>50000</v>
      </c>
      <c r="W76" s="27">
        <v>0</v>
      </c>
      <c r="X76" s="29">
        <f t="shared" si="31"/>
        <v>650000</v>
      </c>
      <c r="Y76" s="68">
        <f t="shared" si="35"/>
        <v>13</v>
      </c>
      <c r="Z76" s="26">
        <v>50000</v>
      </c>
      <c r="AA76" s="27">
        <v>0</v>
      </c>
      <c r="AB76" s="29">
        <f>X76+Z76+AA76</f>
        <v>700000</v>
      </c>
      <c r="AC76" s="68">
        <f t="shared" si="36"/>
        <v>14</v>
      </c>
      <c r="AD76" s="26">
        <v>50000</v>
      </c>
      <c r="AE76" s="27">
        <v>0</v>
      </c>
      <c r="AF76" s="29">
        <f t="shared" si="28"/>
        <v>750000</v>
      </c>
      <c r="AG76" s="68">
        <f t="shared" si="43"/>
        <v>15</v>
      </c>
      <c r="AH76" s="26">
        <v>50000</v>
      </c>
      <c r="AI76" s="27">
        <v>0</v>
      </c>
      <c r="AJ76" s="29">
        <f t="shared" si="27"/>
        <v>800000</v>
      </c>
      <c r="AK76" s="68">
        <f t="shared" si="44"/>
        <v>16</v>
      </c>
      <c r="AL76" s="26">
        <v>50000</v>
      </c>
      <c r="AM76" s="27">
        <v>0</v>
      </c>
      <c r="AN76" s="29">
        <f t="shared" si="37"/>
        <v>850000</v>
      </c>
      <c r="AO76" s="68">
        <f t="shared" si="45"/>
        <v>17</v>
      </c>
      <c r="AP76" s="26">
        <v>50000</v>
      </c>
      <c r="AQ76" s="27">
        <v>0</v>
      </c>
      <c r="AR76" s="29">
        <f t="shared" si="38"/>
        <v>900000</v>
      </c>
      <c r="AS76" s="68">
        <f t="shared" si="46"/>
        <v>18</v>
      </c>
      <c r="AT76" s="26">
        <v>50000</v>
      </c>
      <c r="AU76" s="27">
        <v>0</v>
      </c>
      <c r="AV76" s="29">
        <f t="shared" si="39"/>
        <v>950000</v>
      </c>
      <c r="AW76" s="68">
        <f t="shared" si="47"/>
        <v>19</v>
      </c>
      <c r="AX76" s="26">
        <v>0</v>
      </c>
      <c r="AY76" s="27">
        <v>0</v>
      </c>
      <c r="AZ76" s="29">
        <f t="shared" si="40"/>
        <v>950000</v>
      </c>
      <c r="BA76" s="68">
        <f t="shared" si="48"/>
        <v>19</v>
      </c>
      <c r="BB76" s="26">
        <v>0</v>
      </c>
      <c r="BC76" s="27">
        <v>0</v>
      </c>
      <c r="BD76" s="29">
        <f t="shared" si="41"/>
        <v>950000</v>
      </c>
      <c r="BE76" s="68">
        <f t="shared" si="49"/>
        <v>19</v>
      </c>
      <c r="BF76" s="26">
        <v>0</v>
      </c>
      <c r="BG76" s="27">
        <v>0</v>
      </c>
      <c r="BH76" s="29">
        <f t="shared" si="42"/>
        <v>950000</v>
      </c>
      <c r="BI76" s="73">
        <f t="shared" si="50"/>
        <v>19</v>
      </c>
    </row>
    <row r="77" spans="1:61" s="8" customFormat="1" x14ac:dyDescent="0.2">
      <c r="A77" s="1"/>
      <c r="B77" s="1">
        <v>73</v>
      </c>
      <c r="C77" s="24" t="s">
        <v>226</v>
      </c>
      <c r="D77" s="2" t="s">
        <v>224</v>
      </c>
      <c r="E77" s="24" t="s">
        <v>173</v>
      </c>
      <c r="F77" s="24" t="s">
        <v>9</v>
      </c>
      <c r="G77" s="24" t="s">
        <v>10</v>
      </c>
      <c r="H77" s="1" t="s">
        <v>11</v>
      </c>
      <c r="I77" s="22"/>
      <c r="J77" s="25">
        <v>100000</v>
      </c>
      <c r="K77" s="23"/>
      <c r="L77" s="25">
        <v>0</v>
      </c>
      <c r="M77" s="68"/>
      <c r="N77" s="26">
        <v>0</v>
      </c>
      <c r="O77" s="27">
        <v>0</v>
      </c>
      <c r="P77" s="28">
        <f t="shared" ref="P77:P79" si="53">L77+N77+O77</f>
        <v>0</v>
      </c>
      <c r="Q77" s="68"/>
      <c r="R77" s="26">
        <v>100000</v>
      </c>
      <c r="S77" s="27">
        <v>0</v>
      </c>
      <c r="T77" s="29">
        <f t="shared" ref="T77:T79" si="54">P77+R77+S77</f>
        <v>100000</v>
      </c>
      <c r="U77" s="68">
        <v>2</v>
      </c>
      <c r="V77" s="26">
        <v>50000</v>
      </c>
      <c r="W77" s="27">
        <v>0</v>
      </c>
      <c r="X77" s="29">
        <f t="shared" ref="X77:X79" si="55">T77+V77+W77</f>
        <v>150000</v>
      </c>
      <c r="Y77" s="68">
        <f t="shared" si="35"/>
        <v>3</v>
      </c>
      <c r="Z77" s="26">
        <v>50000</v>
      </c>
      <c r="AA77" s="27">
        <v>0</v>
      </c>
      <c r="AB77" s="29">
        <f t="shared" ref="AB77:AB79" si="56">X77+Z77+AA77</f>
        <v>200000</v>
      </c>
      <c r="AC77" s="68">
        <f t="shared" si="36"/>
        <v>4</v>
      </c>
      <c r="AD77" s="26">
        <v>50000</v>
      </c>
      <c r="AE77" s="27">
        <v>0</v>
      </c>
      <c r="AF77" s="29">
        <f t="shared" si="28"/>
        <v>250000</v>
      </c>
      <c r="AG77" s="68">
        <f t="shared" si="43"/>
        <v>5</v>
      </c>
      <c r="AH77" s="26">
        <v>50000</v>
      </c>
      <c r="AI77" s="27">
        <v>0</v>
      </c>
      <c r="AJ77" s="29">
        <f t="shared" si="27"/>
        <v>300000</v>
      </c>
      <c r="AK77" s="68">
        <f t="shared" si="44"/>
        <v>6</v>
      </c>
      <c r="AL77" s="26">
        <v>50000</v>
      </c>
      <c r="AM77" s="27">
        <v>0</v>
      </c>
      <c r="AN77" s="29">
        <f t="shared" si="37"/>
        <v>350000</v>
      </c>
      <c r="AO77" s="68">
        <f t="shared" si="45"/>
        <v>7</v>
      </c>
      <c r="AP77" s="26">
        <v>50000</v>
      </c>
      <c r="AQ77" s="27">
        <v>0</v>
      </c>
      <c r="AR77" s="29">
        <f t="shared" si="38"/>
        <v>400000</v>
      </c>
      <c r="AS77" s="68">
        <f t="shared" si="46"/>
        <v>8</v>
      </c>
      <c r="AT77" s="26">
        <v>50000</v>
      </c>
      <c r="AU77" s="27">
        <v>0</v>
      </c>
      <c r="AV77" s="29">
        <f t="shared" si="39"/>
        <v>450000</v>
      </c>
      <c r="AW77" s="68">
        <f t="shared" si="47"/>
        <v>9</v>
      </c>
      <c r="AX77" s="26">
        <v>0</v>
      </c>
      <c r="AY77" s="27">
        <v>0</v>
      </c>
      <c r="AZ77" s="29">
        <f t="shared" si="40"/>
        <v>450000</v>
      </c>
      <c r="BA77" s="68">
        <f t="shared" si="48"/>
        <v>9</v>
      </c>
      <c r="BB77" s="26">
        <v>0</v>
      </c>
      <c r="BC77" s="27">
        <v>0</v>
      </c>
      <c r="BD77" s="29">
        <f t="shared" si="41"/>
        <v>450000</v>
      </c>
      <c r="BE77" s="68">
        <f t="shared" si="49"/>
        <v>9</v>
      </c>
      <c r="BF77" s="26">
        <v>0</v>
      </c>
      <c r="BG77" s="27">
        <v>0</v>
      </c>
      <c r="BH77" s="29">
        <f t="shared" si="42"/>
        <v>450000</v>
      </c>
      <c r="BI77" s="73">
        <f t="shared" si="50"/>
        <v>9</v>
      </c>
    </row>
    <row r="78" spans="1:61" s="8" customFormat="1" x14ac:dyDescent="0.2">
      <c r="A78" s="1"/>
      <c r="B78" s="1">
        <v>74</v>
      </c>
      <c r="C78" s="24" t="s">
        <v>227</v>
      </c>
      <c r="D78" s="2" t="s">
        <v>224</v>
      </c>
      <c r="E78" s="24" t="s">
        <v>229</v>
      </c>
      <c r="F78" s="24" t="s">
        <v>9</v>
      </c>
      <c r="G78" s="24" t="s">
        <v>10</v>
      </c>
      <c r="H78" s="1" t="s">
        <v>11</v>
      </c>
      <c r="I78" s="22"/>
      <c r="J78" s="25">
        <v>100000</v>
      </c>
      <c r="K78" s="23"/>
      <c r="L78" s="25">
        <v>0</v>
      </c>
      <c r="M78" s="68"/>
      <c r="N78" s="26">
        <v>0</v>
      </c>
      <c r="O78" s="27">
        <v>0</v>
      </c>
      <c r="P78" s="28">
        <f t="shared" si="53"/>
        <v>0</v>
      </c>
      <c r="Q78" s="68"/>
      <c r="R78" s="26">
        <v>100000</v>
      </c>
      <c r="S78" s="27">
        <v>0</v>
      </c>
      <c r="T78" s="29">
        <f t="shared" si="54"/>
        <v>100000</v>
      </c>
      <c r="U78" s="68">
        <v>2</v>
      </c>
      <c r="V78" s="26">
        <v>50000</v>
      </c>
      <c r="W78" s="27">
        <v>0</v>
      </c>
      <c r="X78" s="29">
        <f t="shared" si="55"/>
        <v>150000</v>
      </c>
      <c r="Y78" s="68">
        <f t="shared" si="35"/>
        <v>3</v>
      </c>
      <c r="Z78" s="26">
        <v>50000</v>
      </c>
      <c r="AA78" s="27">
        <v>0</v>
      </c>
      <c r="AB78" s="29">
        <f t="shared" si="56"/>
        <v>200000</v>
      </c>
      <c r="AC78" s="68">
        <f t="shared" si="36"/>
        <v>4</v>
      </c>
      <c r="AD78" s="26">
        <v>50000</v>
      </c>
      <c r="AE78" s="27">
        <v>0</v>
      </c>
      <c r="AF78" s="29">
        <f t="shared" si="28"/>
        <v>250000</v>
      </c>
      <c r="AG78" s="68">
        <f t="shared" si="43"/>
        <v>5</v>
      </c>
      <c r="AH78" s="26">
        <v>50000</v>
      </c>
      <c r="AI78" s="27">
        <v>0</v>
      </c>
      <c r="AJ78" s="29">
        <f t="shared" si="27"/>
        <v>300000</v>
      </c>
      <c r="AK78" s="68">
        <f t="shared" si="44"/>
        <v>6</v>
      </c>
      <c r="AL78" s="26">
        <v>50000</v>
      </c>
      <c r="AM78" s="27">
        <v>0</v>
      </c>
      <c r="AN78" s="29">
        <f t="shared" si="37"/>
        <v>350000</v>
      </c>
      <c r="AO78" s="68">
        <f t="shared" si="45"/>
        <v>7</v>
      </c>
      <c r="AP78" s="26">
        <v>50000</v>
      </c>
      <c r="AQ78" s="27">
        <v>0</v>
      </c>
      <c r="AR78" s="29">
        <f t="shared" si="38"/>
        <v>400000</v>
      </c>
      <c r="AS78" s="68">
        <f t="shared" si="46"/>
        <v>8</v>
      </c>
      <c r="AT78" s="26">
        <v>50000</v>
      </c>
      <c r="AU78" s="27">
        <v>0</v>
      </c>
      <c r="AV78" s="29">
        <f t="shared" si="39"/>
        <v>450000</v>
      </c>
      <c r="AW78" s="68">
        <f t="shared" si="47"/>
        <v>9</v>
      </c>
      <c r="AX78" s="26">
        <v>0</v>
      </c>
      <c r="AY78" s="27">
        <v>0</v>
      </c>
      <c r="AZ78" s="29">
        <f t="shared" si="40"/>
        <v>450000</v>
      </c>
      <c r="BA78" s="68">
        <f t="shared" si="48"/>
        <v>9</v>
      </c>
      <c r="BB78" s="26">
        <v>0</v>
      </c>
      <c r="BC78" s="27">
        <v>0</v>
      </c>
      <c r="BD78" s="29">
        <f t="shared" si="41"/>
        <v>450000</v>
      </c>
      <c r="BE78" s="68">
        <f t="shared" si="49"/>
        <v>9</v>
      </c>
      <c r="BF78" s="26">
        <v>0</v>
      </c>
      <c r="BG78" s="27">
        <v>0</v>
      </c>
      <c r="BH78" s="29">
        <f t="shared" si="42"/>
        <v>450000</v>
      </c>
      <c r="BI78" s="73">
        <f t="shared" si="50"/>
        <v>9</v>
      </c>
    </row>
    <row r="79" spans="1:61" s="8" customFormat="1" x14ac:dyDescent="0.2">
      <c r="A79" s="1"/>
      <c r="B79" s="1">
        <v>75</v>
      </c>
      <c r="C79" s="24" t="s">
        <v>228</v>
      </c>
      <c r="D79" s="2" t="s">
        <v>224</v>
      </c>
      <c r="E79" s="24" t="s">
        <v>230</v>
      </c>
      <c r="F79" s="24" t="s">
        <v>9</v>
      </c>
      <c r="G79" s="24" t="s">
        <v>10</v>
      </c>
      <c r="H79" s="1" t="s">
        <v>11</v>
      </c>
      <c r="I79" s="22"/>
      <c r="J79" s="25">
        <v>100000</v>
      </c>
      <c r="K79" s="23"/>
      <c r="L79" s="25">
        <v>0</v>
      </c>
      <c r="M79" s="68"/>
      <c r="N79" s="26">
        <v>0</v>
      </c>
      <c r="O79" s="27">
        <v>0</v>
      </c>
      <c r="P79" s="28">
        <f t="shared" si="53"/>
        <v>0</v>
      </c>
      <c r="Q79" s="68"/>
      <c r="R79" s="26">
        <v>100000</v>
      </c>
      <c r="S79" s="27">
        <v>0</v>
      </c>
      <c r="T79" s="29">
        <f t="shared" si="54"/>
        <v>100000</v>
      </c>
      <c r="U79" s="68">
        <v>2</v>
      </c>
      <c r="V79" s="26">
        <v>50000</v>
      </c>
      <c r="W79" s="27">
        <v>0</v>
      </c>
      <c r="X79" s="29">
        <f t="shared" si="55"/>
        <v>150000</v>
      </c>
      <c r="Y79" s="68">
        <f t="shared" si="35"/>
        <v>3</v>
      </c>
      <c r="Z79" s="26">
        <v>50000</v>
      </c>
      <c r="AA79" s="27">
        <v>0</v>
      </c>
      <c r="AB79" s="29">
        <f t="shared" si="56"/>
        <v>200000</v>
      </c>
      <c r="AC79" s="68">
        <f t="shared" si="36"/>
        <v>4</v>
      </c>
      <c r="AD79" s="26">
        <v>50000</v>
      </c>
      <c r="AE79" s="27">
        <v>0</v>
      </c>
      <c r="AF79" s="29">
        <f t="shared" si="28"/>
        <v>250000</v>
      </c>
      <c r="AG79" s="68">
        <f t="shared" si="43"/>
        <v>5</v>
      </c>
      <c r="AH79" s="26">
        <v>50000</v>
      </c>
      <c r="AI79" s="27">
        <v>0</v>
      </c>
      <c r="AJ79" s="29">
        <f t="shared" si="27"/>
        <v>300000</v>
      </c>
      <c r="AK79" s="68">
        <f t="shared" si="44"/>
        <v>6</v>
      </c>
      <c r="AL79" s="26">
        <v>50000</v>
      </c>
      <c r="AM79" s="27">
        <v>0</v>
      </c>
      <c r="AN79" s="29">
        <f t="shared" si="37"/>
        <v>350000</v>
      </c>
      <c r="AO79" s="68">
        <f t="shared" si="45"/>
        <v>7</v>
      </c>
      <c r="AP79" s="26">
        <v>50000</v>
      </c>
      <c r="AQ79" s="27">
        <v>0</v>
      </c>
      <c r="AR79" s="29">
        <f t="shared" si="38"/>
        <v>400000</v>
      </c>
      <c r="AS79" s="68">
        <f t="shared" si="46"/>
        <v>8</v>
      </c>
      <c r="AT79" s="26">
        <v>50000</v>
      </c>
      <c r="AU79" s="27">
        <v>0</v>
      </c>
      <c r="AV79" s="29">
        <f t="shared" si="39"/>
        <v>450000</v>
      </c>
      <c r="AW79" s="68">
        <f t="shared" si="47"/>
        <v>9</v>
      </c>
      <c r="AX79" s="26">
        <v>0</v>
      </c>
      <c r="AY79" s="27">
        <v>0</v>
      </c>
      <c r="AZ79" s="29">
        <f t="shared" si="40"/>
        <v>450000</v>
      </c>
      <c r="BA79" s="68">
        <f t="shared" si="48"/>
        <v>9</v>
      </c>
      <c r="BB79" s="26">
        <v>0</v>
      </c>
      <c r="BC79" s="27">
        <v>0</v>
      </c>
      <c r="BD79" s="29">
        <f t="shared" si="41"/>
        <v>450000</v>
      </c>
      <c r="BE79" s="68">
        <f t="shared" si="49"/>
        <v>9</v>
      </c>
      <c r="BF79" s="26">
        <v>0</v>
      </c>
      <c r="BG79" s="27">
        <v>0</v>
      </c>
      <c r="BH79" s="29">
        <f t="shared" si="42"/>
        <v>450000</v>
      </c>
      <c r="BI79" s="73">
        <f t="shared" si="50"/>
        <v>9</v>
      </c>
    </row>
    <row r="80" spans="1:61" x14ac:dyDescent="0.2">
      <c r="B80" s="1">
        <v>76</v>
      </c>
      <c r="C80" s="2" t="s">
        <v>231</v>
      </c>
      <c r="D80" s="2" t="s">
        <v>224</v>
      </c>
      <c r="E80" s="2" t="s">
        <v>232</v>
      </c>
      <c r="F80" s="24" t="s">
        <v>9</v>
      </c>
      <c r="G80" s="24" t="s">
        <v>16</v>
      </c>
      <c r="H80" s="1" t="s">
        <v>11</v>
      </c>
      <c r="J80" s="25">
        <v>100000</v>
      </c>
      <c r="L80" s="25">
        <v>0</v>
      </c>
      <c r="M80" s="94"/>
      <c r="N80" s="95">
        <v>0</v>
      </c>
      <c r="O80" s="27">
        <v>0</v>
      </c>
      <c r="P80" s="28">
        <f>L80+N80+O80</f>
        <v>0</v>
      </c>
      <c r="Q80" s="94"/>
      <c r="R80" s="95">
        <v>0</v>
      </c>
      <c r="S80" s="27">
        <v>0</v>
      </c>
      <c r="T80" s="29">
        <f>P80+R80+S80</f>
        <v>0</v>
      </c>
      <c r="U80" s="94"/>
      <c r="V80" s="95">
        <v>0</v>
      </c>
      <c r="W80" s="27">
        <v>0</v>
      </c>
      <c r="X80" s="29">
        <f>T80+V80+W80</f>
        <v>0</v>
      </c>
      <c r="Y80" s="94"/>
      <c r="Z80" s="95">
        <v>0</v>
      </c>
      <c r="AA80" s="27">
        <v>0</v>
      </c>
      <c r="AB80" s="29">
        <f>X80+Z80+AA80</f>
        <v>0</v>
      </c>
      <c r="AC80" s="94"/>
      <c r="AD80" s="95">
        <v>50000</v>
      </c>
      <c r="AE80" s="27">
        <v>0</v>
      </c>
      <c r="AF80" s="29">
        <f t="shared" si="28"/>
        <v>50000</v>
      </c>
      <c r="AG80" s="94">
        <v>1</v>
      </c>
      <c r="AH80" s="26">
        <v>50000</v>
      </c>
      <c r="AI80" s="27">
        <v>0</v>
      </c>
      <c r="AJ80" s="29">
        <f t="shared" si="27"/>
        <v>100000</v>
      </c>
      <c r="AK80" s="94">
        <f t="shared" si="44"/>
        <v>2</v>
      </c>
      <c r="AL80" s="26">
        <v>50000</v>
      </c>
      <c r="AM80" s="27">
        <v>0</v>
      </c>
      <c r="AN80" s="29">
        <f>AJ80+AL80+AM80</f>
        <v>150000</v>
      </c>
      <c r="AO80" s="94">
        <f t="shared" si="45"/>
        <v>3</v>
      </c>
      <c r="AP80" s="26">
        <v>50000</v>
      </c>
      <c r="AQ80" s="27">
        <v>0</v>
      </c>
      <c r="AR80" s="29">
        <f>AN80+AP80+AQ80</f>
        <v>200000</v>
      </c>
      <c r="AS80" s="94">
        <f t="shared" si="46"/>
        <v>4</v>
      </c>
      <c r="AT80" s="26">
        <v>50000</v>
      </c>
      <c r="AU80" s="27">
        <v>0</v>
      </c>
      <c r="AV80" s="29">
        <f>AR80+AT80+AU80</f>
        <v>250000</v>
      </c>
      <c r="AW80" s="94">
        <f t="shared" si="47"/>
        <v>5</v>
      </c>
      <c r="AX80" s="26">
        <v>0</v>
      </c>
      <c r="AY80" s="27">
        <v>0</v>
      </c>
      <c r="AZ80" s="29">
        <f>AV80+AX80+AY80</f>
        <v>250000</v>
      </c>
      <c r="BA80" s="94">
        <f t="shared" si="48"/>
        <v>5</v>
      </c>
      <c r="BB80" s="26">
        <v>0</v>
      </c>
      <c r="BC80" s="27">
        <v>0</v>
      </c>
      <c r="BD80" s="29">
        <f>AZ80+BB80+BC80</f>
        <v>250000</v>
      </c>
      <c r="BE80" s="94">
        <f t="shared" si="49"/>
        <v>5</v>
      </c>
      <c r="BF80" s="26">
        <v>0</v>
      </c>
      <c r="BG80" s="27">
        <v>0</v>
      </c>
      <c r="BH80" s="29">
        <f>BD80+BF80+BG80</f>
        <v>250000</v>
      </c>
      <c r="BI80" s="96">
        <f t="shared" si="50"/>
        <v>5</v>
      </c>
    </row>
    <row r="81" spans="1:61" x14ac:dyDescent="0.2">
      <c r="B81" s="1">
        <v>76</v>
      </c>
      <c r="C81" s="2" t="s">
        <v>235</v>
      </c>
      <c r="D81" s="2" t="s">
        <v>224</v>
      </c>
      <c r="E81" s="2" t="s">
        <v>234</v>
      </c>
      <c r="F81" s="24" t="s">
        <v>9</v>
      </c>
      <c r="G81" s="24" t="s">
        <v>10</v>
      </c>
      <c r="H81" s="1" t="s">
        <v>11</v>
      </c>
      <c r="J81" s="18">
        <v>100000</v>
      </c>
      <c r="K81" s="97"/>
      <c r="L81" s="18">
        <v>0</v>
      </c>
      <c r="M81" s="67"/>
      <c r="N81" s="46">
        <v>0</v>
      </c>
      <c r="O81" s="19">
        <v>0</v>
      </c>
      <c r="P81" s="20">
        <f t="shared" ref="P81:P82" si="57">L81+N81+O81</f>
        <v>0</v>
      </c>
      <c r="Q81" s="67"/>
      <c r="R81" s="46">
        <v>0</v>
      </c>
      <c r="S81" s="19">
        <v>0</v>
      </c>
      <c r="T81" s="21">
        <f t="shared" ref="T81:T82" si="58">P81+R81+S81</f>
        <v>0</v>
      </c>
      <c r="U81" s="67"/>
      <c r="V81" s="46">
        <v>0</v>
      </c>
      <c r="W81" s="19">
        <v>0</v>
      </c>
      <c r="X81" s="21">
        <f t="shared" ref="X81:X82" si="59">T81+V81+W81</f>
        <v>0</v>
      </c>
      <c r="Y81" s="67"/>
      <c r="Z81" s="46">
        <v>0</v>
      </c>
      <c r="AA81" s="19">
        <v>0</v>
      </c>
      <c r="AB81" s="21">
        <f t="shared" ref="AB81:AB82" si="60">X81+Z81+AA81</f>
        <v>0</v>
      </c>
      <c r="AC81" s="67"/>
      <c r="AD81" s="46">
        <v>0</v>
      </c>
      <c r="AE81" s="19">
        <v>0</v>
      </c>
      <c r="AF81" s="21">
        <f t="shared" ref="AF81:AF82" si="61">AB81+AD81+AE81</f>
        <v>0</v>
      </c>
      <c r="AG81" s="67"/>
      <c r="AH81" s="17">
        <v>0</v>
      </c>
      <c r="AI81" s="19">
        <v>0</v>
      </c>
      <c r="AJ81" s="21">
        <f t="shared" ref="AJ81:AJ82" si="62">AF81+AH81+AI81</f>
        <v>0</v>
      </c>
      <c r="AK81" s="67"/>
      <c r="AL81" s="17">
        <v>0</v>
      </c>
      <c r="AM81" s="19">
        <v>0</v>
      </c>
      <c r="AN81" s="21">
        <f t="shared" ref="AN81:AN82" si="63">AJ81+AL81+AM81</f>
        <v>0</v>
      </c>
      <c r="AO81" s="67"/>
      <c r="AP81" s="17">
        <v>0</v>
      </c>
      <c r="AQ81" s="19">
        <v>0</v>
      </c>
      <c r="AR81" s="21">
        <f t="shared" ref="AR81:AR82" si="64">AN81+AP81+AQ81</f>
        <v>0</v>
      </c>
      <c r="AS81" s="67"/>
      <c r="AT81" s="17">
        <v>50000</v>
      </c>
      <c r="AU81" s="19">
        <v>0</v>
      </c>
      <c r="AV81" s="21">
        <f t="shared" ref="AV81:AV82" si="65">AR81+AT81+AU81</f>
        <v>50000</v>
      </c>
      <c r="AW81" s="67">
        <f t="shared" ref="AW81:AW82" si="66">IF(AT81&lt;&gt;0,AS81+1,AS81)</f>
        <v>1</v>
      </c>
      <c r="AX81" s="17">
        <v>0</v>
      </c>
      <c r="AY81" s="19">
        <v>0</v>
      </c>
      <c r="AZ81" s="21">
        <f t="shared" ref="AZ81:AZ82" si="67">AV81+AX81+AY81</f>
        <v>50000</v>
      </c>
      <c r="BA81" s="67">
        <f t="shared" ref="BA81:BA82" si="68">IF(AX81&lt;&gt;0,AW81+1,AW81)</f>
        <v>1</v>
      </c>
      <c r="BB81" s="17">
        <v>0</v>
      </c>
      <c r="BC81" s="19">
        <v>0</v>
      </c>
      <c r="BD81" s="21">
        <f t="shared" ref="BD81:BD82" si="69">AZ81+BB81+BC81</f>
        <v>50000</v>
      </c>
      <c r="BE81" s="67">
        <f t="shared" ref="BE81:BE82" si="70">IF(BB81&lt;&gt;0,BA81+1,BA81)</f>
        <v>1</v>
      </c>
      <c r="BF81" s="17">
        <v>0</v>
      </c>
      <c r="BG81" s="19">
        <v>0</v>
      </c>
      <c r="BH81" s="21">
        <f t="shared" ref="BH81:BH82" si="71">BD81+BF81+BG81</f>
        <v>50000</v>
      </c>
      <c r="BI81" s="72">
        <f t="shared" ref="BI81:BI82" si="72">IF(BF81&lt;&gt;0,BE81+1,BE81)</f>
        <v>1</v>
      </c>
    </row>
    <row r="82" spans="1:61" ht="12.75" thickBot="1" x14ac:dyDescent="0.25">
      <c r="B82" s="1">
        <v>76</v>
      </c>
      <c r="C82" s="2" t="s">
        <v>236</v>
      </c>
      <c r="D82" s="2" t="s">
        <v>224</v>
      </c>
      <c r="E82" s="2" t="s">
        <v>233</v>
      </c>
      <c r="F82" s="24" t="s">
        <v>9</v>
      </c>
      <c r="G82" s="24" t="s">
        <v>97</v>
      </c>
      <c r="H82" s="1" t="s">
        <v>11</v>
      </c>
      <c r="J82" s="30">
        <v>100000</v>
      </c>
      <c r="K82" s="98"/>
      <c r="L82" s="30">
        <v>0</v>
      </c>
      <c r="M82" s="69"/>
      <c r="N82" s="31">
        <v>0</v>
      </c>
      <c r="O82" s="32">
        <v>0</v>
      </c>
      <c r="P82" s="33">
        <f t="shared" si="57"/>
        <v>0</v>
      </c>
      <c r="Q82" s="69"/>
      <c r="R82" s="31">
        <v>0</v>
      </c>
      <c r="S82" s="32">
        <v>0</v>
      </c>
      <c r="T82" s="34">
        <f t="shared" si="58"/>
        <v>0</v>
      </c>
      <c r="U82" s="69"/>
      <c r="V82" s="31">
        <v>0</v>
      </c>
      <c r="W82" s="32">
        <v>0</v>
      </c>
      <c r="X82" s="34">
        <f t="shared" si="59"/>
        <v>0</v>
      </c>
      <c r="Y82" s="69"/>
      <c r="Z82" s="31">
        <v>0</v>
      </c>
      <c r="AA82" s="32">
        <v>0</v>
      </c>
      <c r="AB82" s="34">
        <f t="shared" si="60"/>
        <v>0</v>
      </c>
      <c r="AC82" s="69"/>
      <c r="AD82" s="31">
        <v>0</v>
      </c>
      <c r="AE82" s="32">
        <v>0</v>
      </c>
      <c r="AF82" s="34">
        <f t="shared" si="61"/>
        <v>0</v>
      </c>
      <c r="AG82" s="69"/>
      <c r="AH82" s="35">
        <v>0</v>
      </c>
      <c r="AI82" s="32">
        <v>0</v>
      </c>
      <c r="AJ82" s="34">
        <f t="shared" si="62"/>
        <v>0</v>
      </c>
      <c r="AK82" s="69"/>
      <c r="AL82" s="35">
        <v>0</v>
      </c>
      <c r="AM82" s="32">
        <v>0</v>
      </c>
      <c r="AN82" s="34">
        <f t="shared" si="63"/>
        <v>0</v>
      </c>
      <c r="AO82" s="69"/>
      <c r="AP82" s="35">
        <v>0</v>
      </c>
      <c r="AQ82" s="32">
        <v>0</v>
      </c>
      <c r="AR82" s="34">
        <f t="shared" si="64"/>
        <v>0</v>
      </c>
      <c r="AS82" s="69"/>
      <c r="AT82" s="35">
        <v>50000</v>
      </c>
      <c r="AU82" s="32">
        <v>0</v>
      </c>
      <c r="AV82" s="34">
        <f t="shared" si="65"/>
        <v>50000</v>
      </c>
      <c r="AW82" s="69">
        <f t="shared" si="66"/>
        <v>1</v>
      </c>
      <c r="AX82" s="35">
        <v>0</v>
      </c>
      <c r="AY82" s="32">
        <v>0</v>
      </c>
      <c r="AZ82" s="34">
        <f t="shared" si="67"/>
        <v>50000</v>
      </c>
      <c r="BA82" s="69">
        <f t="shared" si="68"/>
        <v>1</v>
      </c>
      <c r="BB82" s="35">
        <v>0</v>
      </c>
      <c r="BC82" s="32">
        <v>0</v>
      </c>
      <c r="BD82" s="34">
        <f t="shared" si="69"/>
        <v>50000</v>
      </c>
      <c r="BE82" s="69">
        <f t="shared" si="70"/>
        <v>1</v>
      </c>
      <c r="BF82" s="35">
        <v>0</v>
      </c>
      <c r="BG82" s="32">
        <v>0</v>
      </c>
      <c r="BH82" s="34">
        <f t="shared" si="71"/>
        <v>50000</v>
      </c>
      <c r="BI82" s="74">
        <f t="shared" si="72"/>
        <v>1</v>
      </c>
    </row>
    <row r="83" spans="1:61" s="8" customFormat="1" ht="13.5" thickTop="1" thickBot="1" x14ac:dyDescent="0.25">
      <c r="A83" s="1"/>
      <c r="B83" s="1"/>
      <c r="H83" s="23"/>
      <c r="I83" s="23"/>
      <c r="J83" s="36"/>
      <c r="K83" s="23"/>
      <c r="L83" s="36"/>
      <c r="M83" s="57"/>
      <c r="N83" s="36"/>
      <c r="O83" s="36"/>
      <c r="P83" s="36"/>
      <c r="Q83" s="57"/>
      <c r="R83" s="36"/>
      <c r="S83" s="36"/>
      <c r="T83" s="36"/>
      <c r="U83" s="57"/>
      <c r="V83" s="37"/>
      <c r="W83" s="36"/>
      <c r="X83" s="36"/>
      <c r="Y83" s="57"/>
      <c r="Z83" s="37"/>
      <c r="AA83" s="36"/>
      <c r="AB83" s="36"/>
      <c r="AC83" s="57"/>
      <c r="AD83" s="37"/>
      <c r="AE83" s="36"/>
      <c r="AF83" s="36"/>
      <c r="AG83" s="57"/>
      <c r="AH83" s="37"/>
      <c r="AI83" s="36"/>
      <c r="AJ83" s="36"/>
      <c r="AK83" s="57"/>
      <c r="AL83" s="37"/>
      <c r="AM83" s="36"/>
      <c r="AN83" s="36"/>
      <c r="AO83" s="57"/>
      <c r="AP83" s="37"/>
      <c r="AQ83" s="36"/>
      <c r="AR83" s="36"/>
      <c r="AS83" s="57"/>
      <c r="AT83" s="37"/>
      <c r="AU83" s="36"/>
      <c r="AV83" s="36"/>
      <c r="AW83" s="57"/>
      <c r="AX83" s="37"/>
      <c r="AY83" s="36"/>
      <c r="AZ83" s="36"/>
      <c r="BA83" s="57"/>
      <c r="BB83" s="37"/>
      <c r="BC83" s="36"/>
      <c r="BD83" s="36"/>
      <c r="BE83" s="57"/>
      <c r="BF83" s="37"/>
      <c r="BG83" s="36"/>
      <c r="BH83" s="36"/>
      <c r="BI83" s="57"/>
    </row>
    <row r="84" spans="1:61" s="38" customFormat="1" ht="12.75" thickTop="1" x14ac:dyDescent="0.2">
      <c r="A84" s="1"/>
      <c r="B84" s="1"/>
      <c r="H84" s="39"/>
      <c r="I84" s="39"/>
      <c r="J84" s="40">
        <v>0</v>
      </c>
      <c r="K84" s="39"/>
      <c r="L84" s="40">
        <v>0</v>
      </c>
      <c r="M84" s="58"/>
      <c r="N84" s="41">
        <v>0</v>
      </c>
      <c r="O84" s="42">
        <v>0</v>
      </c>
      <c r="P84" s="43">
        <f>L84+N84+O84</f>
        <v>0</v>
      </c>
      <c r="Q84" s="58"/>
      <c r="R84" s="41">
        <v>0</v>
      </c>
      <c r="S84" s="42">
        <v>0</v>
      </c>
      <c r="T84" s="44">
        <f>P84+R84+S84</f>
        <v>0</v>
      </c>
      <c r="U84" s="58"/>
      <c r="V84" s="41">
        <v>0</v>
      </c>
      <c r="W84" s="42">
        <v>0</v>
      </c>
      <c r="X84" s="44">
        <f>T84+V84+W84</f>
        <v>0</v>
      </c>
      <c r="Y84" s="58"/>
      <c r="Z84" s="41">
        <v>0</v>
      </c>
      <c r="AA84" s="42">
        <v>0</v>
      </c>
      <c r="AB84" s="44">
        <f t="shared" ref="AB84:AB87" si="73">X84+Z84+AA84</f>
        <v>0</v>
      </c>
      <c r="AC84" s="58"/>
      <c r="AD84" s="41">
        <v>0</v>
      </c>
      <c r="AE84" s="42">
        <v>0</v>
      </c>
      <c r="AF84" s="44">
        <f t="shared" ref="AF84:AF87" si="74">AB84+AD84+AE84</f>
        <v>0</v>
      </c>
      <c r="AG84" s="58"/>
      <c r="AH84" s="41">
        <v>0</v>
      </c>
      <c r="AI84" s="42">
        <v>0</v>
      </c>
      <c r="AJ84" s="44">
        <f t="shared" ref="AJ84:AJ87" si="75">AF84+AH84+AI84</f>
        <v>0</v>
      </c>
      <c r="AK84" s="58"/>
      <c r="AL84" s="41">
        <v>0</v>
      </c>
      <c r="AM84" s="42">
        <v>0</v>
      </c>
      <c r="AN84" s="44">
        <f t="shared" ref="AN84:AN87" si="76">AJ84+AL84+AM84</f>
        <v>0</v>
      </c>
      <c r="AO84" s="58"/>
      <c r="AP84" s="41">
        <v>0</v>
      </c>
      <c r="AQ84" s="42">
        <v>0</v>
      </c>
      <c r="AR84" s="44">
        <f t="shared" ref="AR84:AR87" si="77">AN84+AP84+AQ84</f>
        <v>0</v>
      </c>
      <c r="AS84" s="58"/>
      <c r="AT84" s="41">
        <v>0</v>
      </c>
      <c r="AU84" s="42">
        <v>0</v>
      </c>
      <c r="AV84" s="44">
        <f t="shared" ref="AV84:AV87" si="78">AR84+AT84+AU84</f>
        <v>0</v>
      </c>
      <c r="AW84" s="58"/>
      <c r="AX84" s="41">
        <v>0</v>
      </c>
      <c r="AY84" s="42">
        <v>0</v>
      </c>
      <c r="AZ84" s="44">
        <f t="shared" ref="AZ84:AZ87" si="79">AV84+AX84+AY84</f>
        <v>0</v>
      </c>
      <c r="BA84" s="58"/>
      <c r="BB84" s="41">
        <v>0</v>
      </c>
      <c r="BC84" s="42">
        <v>0</v>
      </c>
      <c r="BD84" s="44">
        <f t="shared" ref="BD84:BD87" si="80">AZ84+BB84+BC84</f>
        <v>0</v>
      </c>
      <c r="BE84" s="58"/>
      <c r="BF84" s="41">
        <v>0</v>
      </c>
      <c r="BG84" s="42">
        <v>0</v>
      </c>
      <c r="BH84" s="44">
        <f t="shared" ref="BH84:BH87" si="81">BD84+BF84+BG84</f>
        <v>0</v>
      </c>
      <c r="BI84" s="75"/>
    </row>
    <row r="85" spans="1:61" s="8" customFormat="1" x14ac:dyDescent="0.2">
      <c r="A85" s="3">
        <v>77</v>
      </c>
      <c r="B85" s="3">
        <v>81</v>
      </c>
      <c r="C85" s="2" t="s">
        <v>162</v>
      </c>
      <c r="D85" s="2" t="s">
        <v>224</v>
      </c>
      <c r="E85" s="2" t="s">
        <v>163</v>
      </c>
      <c r="F85" s="2" t="s">
        <v>164</v>
      </c>
      <c r="G85" s="2" t="s">
        <v>10</v>
      </c>
      <c r="H85" s="3" t="s">
        <v>11</v>
      </c>
      <c r="I85" s="22"/>
      <c r="J85" s="18">
        <v>100000</v>
      </c>
      <c r="K85" s="23"/>
      <c r="L85" s="18">
        <v>2680000</v>
      </c>
      <c r="M85" s="66"/>
      <c r="N85" s="17">
        <v>0</v>
      </c>
      <c r="O85" s="19">
        <v>0</v>
      </c>
      <c r="P85" s="20">
        <f t="shared" ref="P85:P87" si="82">L85+N85+O85</f>
        <v>2680000</v>
      </c>
      <c r="Q85" s="66"/>
      <c r="R85" s="17">
        <v>0</v>
      </c>
      <c r="S85" s="19">
        <v>0</v>
      </c>
      <c r="T85" s="21">
        <f t="shared" ref="T85:T87" si="83">P85+R85+S85</f>
        <v>2680000</v>
      </c>
      <c r="U85" s="66"/>
      <c r="V85" s="17">
        <v>0</v>
      </c>
      <c r="W85" s="19">
        <v>0</v>
      </c>
      <c r="X85" s="21">
        <f>T85+V85+W85</f>
        <v>2680000</v>
      </c>
      <c r="Y85" s="66"/>
      <c r="Z85" s="17">
        <v>0</v>
      </c>
      <c r="AA85" s="19">
        <v>0</v>
      </c>
      <c r="AB85" s="21">
        <f t="shared" si="73"/>
        <v>2680000</v>
      </c>
      <c r="AC85" s="66"/>
      <c r="AD85" s="17">
        <v>0</v>
      </c>
      <c r="AE85" s="19">
        <v>0</v>
      </c>
      <c r="AF85" s="21">
        <f t="shared" si="74"/>
        <v>2680000</v>
      </c>
      <c r="AG85" s="66"/>
      <c r="AH85" s="17">
        <v>0</v>
      </c>
      <c r="AI85" s="19">
        <v>0</v>
      </c>
      <c r="AJ85" s="21">
        <f t="shared" si="75"/>
        <v>2680000</v>
      </c>
      <c r="AK85" s="66"/>
      <c r="AL85" s="17">
        <v>0</v>
      </c>
      <c r="AM85" s="19">
        <v>0</v>
      </c>
      <c r="AN85" s="21">
        <f t="shared" si="76"/>
        <v>2680000</v>
      </c>
      <c r="AO85" s="66"/>
      <c r="AP85" s="17">
        <v>0</v>
      </c>
      <c r="AQ85" s="19">
        <v>0</v>
      </c>
      <c r="AR85" s="21">
        <f t="shared" si="77"/>
        <v>2680000</v>
      </c>
      <c r="AS85" s="66"/>
      <c r="AT85" s="17">
        <v>0</v>
      </c>
      <c r="AU85" s="19">
        <v>0</v>
      </c>
      <c r="AV85" s="21">
        <f t="shared" si="78"/>
        <v>2680000</v>
      </c>
      <c r="AW85" s="66"/>
      <c r="AX85" s="17">
        <v>0</v>
      </c>
      <c r="AY85" s="19">
        <v>0</v>
      </c>
      <c r="AZ85" s="21">
        <f t="shared" si="79"/>
        <v>2680000</v>
      </c>
      <c r="BA85" s="66"/>
      <c r="BB85" s="17">
        <v>0</v>
      </c>
      <c r="BC85" s="19">
        <v>0</v>
      </c>
      <c r="BD85" s="21">
        <f t="shared" si="80"/>
        <v>2680000</v>
      </c>
      <c r="BE85" s="66"/>
      <c r="BF85" s="17">
        <v>0</v>
      </c>
      <c r="BG85" s="19">
        <v>0</v>
      </c>
      <c r="BH85" s="21">
        <f t="shared" si="81"/>
        <v>2680000</v>
      </c>
      <c r="BI85" s="71"/>
    </row>
    <row r="86" spans="1:61" s="8" customFormat="1" x14ac:dyDescent="0.2">
      <c r="A86" s="3">
        <v>78</v>
      </c>
      <c r="B86" s="3">
        <v>82</v>
      </c>
      <c r="C86" s="2" t="s">
        <v>165</v>
      </c>
      <c r="D86" s="2" t="s">
        <v>224</v>
      </c>
      <c r="E86" s="2" t="s">
        <v>166</v>
      </c>
      <c r="F86" s="2" t="s">
        <v>164</v>
      </c>
      <c r="G86" s="2" t="s">
        <v>10</v>
      </c>
      <c r="H86" s="3" t="s">
        <v>11</v>
      </c>
      <c r="I86" s="22"/>
      <c r="J86" s="18">
        <v>100000</v>
      </c>
      <c r="K86" s="23"/>
      <c r="L86" s="18">
        <v>2060000</v>
      </c>
      <c r="M86" s="66"/>
      <c r="N86" s="17">
        <v>0</v>
      </c>
      <c r="O86" s="19">
        <v>0</v>
      </c>
      <c r="P86" s="20">
        <f t="shared" si="82"/>
        <v>2060000</v>
      </c>
      <c r="Q86" s="66"/>
      <c r="R86" s="17">
        <v>0</v>
      </c>
      <c r="S86" s="19">
        <v>0</v>
      </c>
      <c r="T86" s="21">
        <f t="shared" si="83"/>
        <v>2060000</v>
      </c>
      <c r="U86" s="66"/>
      <c r="V86" s="17">
        <v>0</v>
      </c>
      <c r="W86" s="19">
        <v>0</v>
      </c>
      <c r="X86" s="21">
        <f>T86+V86+W86</f>
        <v>2060000</v>
      </c>
      <c r="Y86" s="66"/>
      <c r="Z86" s="17">
        <v>0</v>
      </c>
      <c r="AA86" s="19">
        <v>0</v>
      </c>
      <c r="AB86" s="21">
        <f t="shared" si="73"/>
        <v>2060000</v>
      </c>
      <c r="AC86" s="66"/>
      <c r="AD86" s="17">
        <v>0</v>
      </c>
      <c r="AE86" s="19">
        <v>0</v>
      </c>
      <c r="AF86" s="21">
        <f t="shared" si="74"/>
        <v>2060000</v>
      </c>
      <c r="AG86" s="66"/>
      <c r="AH86" s="17">
        <v>0</v>
      </c>
      <c r="AI86" s="19">
        <v>0</v>
      </c>
      <c r="AJ86" s="21">
        <f t="shared" si="75"/>
        <v>2060000</v>
      </c>
      <c r="AK86" s="66"/>
      <c r="AL86" s="17">
        <v>0</v>
      </c>
      <c r="AM86" s="19">
        <v>0</v>
      </c>
      <c r="AN86" s="21">
        <f t="shared" si="76"/>
        <v>2060000</v>
      </c>
      <c r="AO86" s="66"/>
      <c r="AP86" s="17">
        <v>0</v>
      </c>
      <c r="AQ86" s="19">
        <v>0</v>
      </c>
      <c r="AR86" s="21">
        <f t="shared" si="77"/>
        <v>2060000</v>
      </c>
      <c r="AS86" s="66"/>
      <c r="AT86" s="17">
        <v>0</v>
      </c>
      <c r="AU86" s="19">
        <v>0</v>
      </c>
      <c r="AV86" s="21">
        <f t="shared" si="78"/>
        <v>2060000</v>
      </c>
      <c r="AW86" s="66"/>
      <c r="AX86" s="17">
        <v>0</v>
      </c>
      <c r="AY86" s="19">
        <v>0</v>
      </c>
      <c r="AZ86" s="21">
        <f t="shared" si="79"/>
        <v>2060000</v>
      </c>
      <c r="BA86" s="66"/>
      <c r="BB86" s="17">
        <v>0</v>
      </c>
      <c r="BC86" s="19">
        <v>0</v>
      </c>
      <c r="BD86" s="21">
        <f t="shared" si="80"/>
        <v>2060000</v>
      </c>
      <c r="BE86" s="66"/>
      <c r="BF86" s="17">
        <v>0</v>
      </c>
      <c r="BG86" s="19">
        <v>0</v>
      </c>
      <c r="BH86" s="21">
        <f t="shared" si="81"/>
        <v>2060000</v>
      </c>
      <c r="BI86" s="71"/>
    </row>
    <row r="87" spans="1:61" s="8" customFormat="1" x14ac:dyDescent="0.2">
      <c r="A87" s="3">
        <v>79</v>
      </c>
      <c r="B87" s="3">
        <v>83</v>
      </c>
      <c r="C87" s="2" t="s">
        <v>167</v>
      </c>
      <c r="D87" s="2" t="s">
        <v>224</v>
      </c>
      <c r="E87" s="2" t="s">
        <v>168</v>
      </c>
      <c r="F87" s="2" t="s">
        <v>164</v>
      </c>
      <c r="G87" s="2" t="s">
        <v>10</v>
      </c>
      <c r="H87" s="3" t="s">
        <v>11</v>
      </c>
      <c r="I87" s="22"/>
      <c r="J87" s="18">
        <v>100000</v>
      </c>
      <c r="K87" s="23"/>
      <c r="L87" s="18">
        <v>700000</v>
      </c>
      <c r="M87" s="66"/>
      <c r="N87" s="17">
        <v>0</v>
      </c>
      <c r="O87" s="19">
        <v>0</v>
      </c>
      <c r="P87" s="20">
        <f t="shared" si="82"/>
        <v>700000</v>
      </c>
      <c r="Q87" s="66"/>
      <c r="R87" s="17">
        <v>0</v>
      </c>
      <c r="S87" s="19">
        <v>0</v>
      </c>
      <c r="T87" s="21">
        <f t="shared" si="83"/>
        <v>700000</v>
      </c>
      <c r="U87" s="66"/>
      <c r="V87" s="17">
        <v>0</v>
      </c>
      <c r="W87" s="19">
        <v>0</v>
      </c>
      <c r="X87" s="21">
        <f>T87+V87+W87</f>
        <v>700000</v>
      </c>
      <c r="Y87" s="66"/>
      <c r="Z87" s="17">
        <v>0</v>
      </c>
      <c r="AA87" s="19">
        <v>0</v>
      </c>
      <c r="AB87" s="21">
        <f t="shared" si="73"/>
        <v>700000</v>
      </c>
      <c r="AC87" s="66"/>
      <c r="AD87" s="17">
        <v>0</v>
      </c>
      <c r="AE87" s="19">
        <v>0</v>
      </c>
      <c r="AF87" s="21">
        <f t="shared" si="74"/>
        <v>700000</v>
      </c>
      <c r="AG87" s="66"/>
      <c r="AH87" s="17">
        <v>0</v>
      </c>
      <c r="AI87" s="19">
        <v>0</v>
      </c>
      <c r="AJ87" s="21">
        <f t="shared" si="75"/>
        <v>700000</v>
      </c>
      <c r="AK87" s="66"/>
      <c r="AL87" s="17">
        <v>0</v>
      </c>
      <c r="AM87" s="19">
        <v>0</v>
      </c>
      <c r="AN87" s="21">
        <f t="shared" si="76"/>
        <v>700000</v>
      </c>
      <c r="AO87" s="66"/>
      <c r="AP87" s="17">
        <v>0</v>
      </c>
      <c r="AQ87" s="19">
        <v>0</v>
      </c>
      <c r="AR87" s="21">
        <f t="shared" si="77"/>
        <v>700000</v>
      </c>
      <c r="AS87" s="66"/>
      <c r="AT87" s="17">
        <v>0</v>
      </c>
      <c r="AU87" s="19">
        <v>0</v>
      </c>
      <c r="AV87" s="21">
        <f t="shared" si="78"/>
        <v>700000</v>
      </c>
      <c r="AW87" s="66"/>
      <c r="AX87" s="17">
        <v>0</v>
      </c>
      <c r="AY87" s="19">
        <v>0</v>
      </c>
      <c r="AZ87" s="21">
        <f t="shared" si="79"/>
        <v>700000</v>
      </c>
      <c r="BA87" s="66"/>
      <c r="BB87" s="17">
        <v>0</v>
      </c>
      <c r="BC87" s="19">
        <v>0</v>
      </c>
      <c r="BD87" s="21">
        <f t="shared" si="80"/>
        <v>700000</v>
      </c>
      <c r="BE87" s="66"/>
      <c r="BF87" s="17">
        <v>0</v>
      </c>
      <c r="BG87" s="19">
        <v>0</v>
      </c>
      <c r="BH87" s="21">
        <f t="shared" si="81"/>
        <v>700000</v>
      </c>
      <c r="BI87" s="71"/>
    </row>
    <row r="88" spans="1:61" s="38" customFormat="1" ht="12.75" thickBot="1" x14ac:dyDescent="0.25">
      <c r="A88" s="1"/>
      <c r="B88" s="1"/>
      <c r="H88" s="39"/>
      <c r="I88" s="39"/>
      <c r="J88" s="50">
        <v>0</v>
      </c>
      <c r="K88" s="39"/>
      <c r="L88" s="50">
        <v>0</v>
      </c>
      <c r="M88" s="62"/>
      <c r="N88" s="31">
        <v>0</v>
      </c>
      <c r="O88" s="51">
        <v>0</v>
      </c>
      <c r="P88" s="52">
        <f>L88+N88+O88</f>
        <v>0</v>
      </c>
      <c r="Q88" s="62"/>
      <c r="R88" s="31">
        <v>0</v>
      </c>
      <c r="S88" s="51">
        <v>0</v>
      </c>
      <c r="T88" s="53">
        <f>P88+R88+S88</f>
        <v>0</v>
      </c>
      <c r="U88" s="62"/>
      <c r="V88" s="31">
        <v>0</v>
      </c>
      <c r="W88" s="51">
        <v>0</v>
      </c>
      <c r="X88" s="53">
        <f>T88+V88+W88</f>
        <v>0</v>
      </c>
      <c r="Y88" s="62"/>
      <c r="Z88" s="31">
        <v>0</v>
      </c>
      <c r="AA88" s="51">
        <v>0</v>
      </c>
      <c r="AB88" s="53">
        <f>X88+Z88+AA88</f>
        <v>0</v>
      </c>
      <c r="AC88" s="62"/>
      <c r="AD88" s="31">
        <v>0</v>
      </c>
      <c r="AE88" s="51">
        <v>0</v>
      </c>
      <c r="AF88" s="53">
        <f>AB88+AD88+AE88</f>
        <v>0</v>
      </c>
      <c r="AG88" s="62"/>
      <c r="AH88" s="31">
        <v>0</v>
      </c>
      <c r="AI88" s="51">
        <v>0</v>
      </c>
      <c r="AJ88" s="53">
        <f>AF88+AH88+AI88</f>
        <v>0</v>
      </c>
      <c r="AK88" s="62"/>
      <c r="AL88" s="31">
        <v>0</v>
      </c>
      <c r="AM88" s="51">
        <v>0</v>
      </c>
      <c r="AN88" s="53">
        <f>AJ88+AL88+AM88</f>
        <v>0</v>
      </c>
      <c r="AO88" s="62"/>
      <c r="AP88" s="31">
        <v>0</v>
      </c>
      <c r="AQ88" s="51">
        <v>0</v>
      </c>
      <c r="AR88" s="53">
        <f>AN88+AP88+AQ88</f>
        <v>0</v>
      </c>
      <c r="AS88" s="62"/>
      <c r="AT88" s="31">
        <v>0</v>
      </c>
      <c r="AU88" s="51">
        <v>0</v>
      </c>
      <c r="AV88" s="53">
        <f>AR88+AT88+AU88</f>
        <v>0</v>
      </c>
      <c r="AW88" s="62"/>
      <c r="AX88" s="31">
        <v>0</v>
      </c>
      <c r="AY88" s="51">
        <v>0</v>
      </c>
      <c r="AZ88" s="53">
        <f>AV88+AX88+AY88</f>
        <v>0</v>
      </c>
      <c r="BA88" s="62"/>
      <c r="BB88" s="31">
        <v>0</v>
      </c>
      <c r="BC88" s="51">
        <v>0</v>
      </c>
      <c r="BD88" s="53">
        <f>AZ88+BB88+BC88</f>
        <v>0</v>
      </c>
      <c r="BE88" s="62"/>
      <c r="BF88" s="31">
        <v>0</v>
      </c>
      <c r="BG88" s="51">
        <v>0</v>
      </c>
      <c r="BH88" s="53">
        <f>BD88+BF88+BG88</f>
        <v>0</v>
      </c>
      <c r="BI88" s="76"/>
    </row>
    <row r="89" spans="1:61" ht="13.5" thickTop="1" thickBot="1" x14ac:dyDescent="0.25"/>
    <row r="90" spans="1:61" s="38" customFormat="1" ht="12.75" thickTop="1" x14ac:dyDescent="0.2">
      <c r="A90" s="1"/>
      <c r="B90" s="1"/>
      <c r="H90" s="39"/>
      <c r="I90" s="39"/>
      <c r="J90" s="40">
        <v>0</v>
      </c>
      <c r="K90" s="39"/>
      <c r="L90" s="40">
        <v>0</v>
      </c>
      <c r="M90" s="58"/>
      <c r="N90" s="41">
        <v>0</v>
      </c>
      <c r="O90" s="42">
        <v>0</v>
      </c>
      <c r="P90" s="43">
        <f t="shared" ref="P90:P95" si="84">L90+N90+O90</f>
        <v>0</v>
      </c>
      <c r="Q90" s="58"/>
      <c r="R90" s="41">
        <v>0</v>
      </c>
      <c r="S90" s="42">
        <v>0</v>
      </c>
      <c r="T90" s="44">
        <f t="shared" ref="T90:T95" si="85">P90+R90+S90</f>
        <v>0</v>
      </c>
      <c r="U90" s="58"/>
      <c r="V90" s="41">
        <v>0</v>
      </c>
      <c r="W90" s="42">
        <v>0</v>
      </c>
      <c r="X90" s="44">
        <f t="shared" ref="X90:X95" si="86">T90+V90+W90</f>
        <v>0</v>
      </c>
      <c r="Y90" s="58"/>
      <c r="Z90" s="41">
        <v>0</v>
      </c>
      <c r="AA90" s="42">
        <v>0</v>
      </c>
      <c r="AB90" s="44">
        <f t="shared" ref="AB90:AB103" si="87">X90+Z90+AA90</f>
        <v>0</v>
      </c>
      <c r="AC90" s="58"/>
      <c r="AD90" s="41">
        <v>0</v>
      </c>
      <c r="AE90" s="42">
        <v>0</v>
      </c>
      <c r="AF90" s="44">
        <f t="shared" ref="AF90:AF103" si="88">AB90+AD90+AE90</f>
        <v>0</v>
      </c>
      <c r="AG90" s="58"/>
      <c r="AH90" s="41">
        <v>0</v>
      </c>
      <c r="AI90" s="42">
        <v>0</v>
      </c>
      <c r="AJ90" s="44">
        <f t="shared" ref="AJ90:AJ103" si="89">AF90+AH90+AI90</f>
        <v>0</v>
      </c>
      <c r="AK90" s="58"/>
      <c r="AL90" s="41">
        <v>0</v>
      </c>
      <c r="AM90" s="42">
        <v>0</v>
      </c>
      <c r="AN90" s="44">
        <f t="shared" ref="AN90:AN95" si="90">AJ90+AL90+AM90</f>
        <v>0</v>
      </c>
      <c r="AO90" s="58"/>
      <c r="AP90" s="41">
        <v>0</v>
      </c>
      <c r="AQ90" s="42">
        <v>0</v>
      </c>
      <c r="AR90" s="44">
        <f t="shared" ref="AR90:AR95" si="91">AN90+AP90+AQ90</f>
        <v>0</v>
      </c>
      <c r="AS90" s="58"/>
      <c r="AT90" s="41">
        <v>0</v>
      </c>
      <c r="AU90" s="42">
        <v>0</v>
      </c>
      <c r="AV90" s="44">
        <f t="shared" ref="AV90:AV95" si="92">AR90+AT90+AU90</f>
        <v>0</v>
      </c>
      <c r="AW90" s="58"/>
      <c r="AX90" s="41">
        <v>0</v>
      </c>
      <c r="AY90" s="42">
        <v>0</v>
      </c>
      <c r="AZ90" s="44">
        <f t="shared" ref="AZ90:AZ95" si="93">AV90+AX90+AY90</f>
        <v>0</v>
      </c>
      <c r="BA90" s="58"/>
      <c r="BB90" s="41">
        <v>0</v>
      </c>
      <c r="BC90" s="42">
        <v>0</v>
      </c>
      <c r="BD90" s="44">
        <f t="shared" ref="BD90:BD95" si="94">AZ90+BB90+BC90</f>
        <v>0</v>
      </c>
      <c r="BE90" s="58"/>
      <c r="BF90" s="41">
        <v>0</v>
      </c>
      <c r="BG90" s="42">
        <v>0</v>
      </c>
      <c r="BH90" s="44">
        <f t="shared" ref="BH90:BH95" si="95">BD90+BF90+BG90</f>
        <v>0</v>
      </c>
      <c r="BI90" s="75"/>
    </row>
    <row r="91" spans="1:61" s="38" customFormat="1" x14ac:dyDescent="0.2">
      <c r="A91" s="1"/>
      <c r="B91" s="1"/>
      <c r="C91" s="2" t="s">
        <v>176</v>
      </c>
      <c r="D91" s="2" t="s">
        <v>224</v>
      </c>
      <c r="E91" s="2" t="s">
        <v>177</v>
      </c>
      <c r="F91" s="2" t="s">
        <v>9</v>
      </c>
      <c r="G91" s="2" t="s">
        <v>10</v>
      </c>
      <c r="H91" s="3" t="s">
        <v>11</v>
      </c>
      <c r="I91" s="39"/>
      <c r="J91" s="12">
        <v>100000</v>
      </c>
      <c r="K91" s="39"/>
      <c r="L91" s="12">
        <v>4540000</v>
      </c>
      <c r="M91" s="59"/>
      <c r="N91" s="13">
        <v>0</v>
      </c>
      <c r="O91" s="14">
        <v>0</v>
      </c>
      <c r="P91" s="15">
        <f t="shared" si="84"/>
        <v>4540000</v>
      </c>
      <c r="Q91" s="59"/>
      <c r="R91" s="13">
        <v>0</v>
      </c>
      <c r="S91" s="14">
        <v>0</v>
      </c>
      <c r="T91" s="16">
        <f t="shared" si="85"/>
        <v>4540000</v>
      </c>
      <c r="U91" s="59"/>
      <c r="V91" s="13">
        <v>0</v>
      </c>
      <c r="W91" s="14">
        <v>0</v>
      </c>
      <c r="X91" s="16">
        <f t="shared" si="86"/>
        <v>4540000</v>
      </c>
      <c r="Y91" s="59"/>
      <c r="Z91" s="13">
        <v>0</v>
      </c>
      <c r="AA91" s="14">
        <v>0</v>
      </c>
      <c r="AB91" s="16">
        <f t="shared" si="87"/>
        <v>4540000</v>
      </c>
      <c r="AC91" s="59"/>
      <c r="AD91" s="13">
        <v>0</v>
      </c>
      <c r="AE91" s="14">
        <v>0</v>
      </c>
      <c r="AF91" s="16">
        <f t="shared" si="88"/>
        <v>4540000</v>
      </c>
      <c r="AG91" s="59"/>
      <c r="AH91" s="13">
        <v>0</v>
      </c>
      <c r="AI91" s="14">
        <v>0</v>
      </c>
      <c r="AJ91" s="16">
        <f t="shared" si="89"/>
        <v>4540000</v>
      </c>
      <c r="AK91" s="59"/>
      <c r="AL91" s="13">
        <v>0</v>
      </c>
      <c r="AM91" s="14">
        <v>0</v>
      </c>
      <c r="AN91" s="16">
        <f t="shared" si="90"/>
        <v>4540000</v>
      </c>
      <c r="AO91" s="59"/>
      <c r="AP91" s="13">
        <v>0</v>
      </c>
      <c r="AQ91" s="14">
        <v>0</v>
      </c>
      <c r="AR91" s="16">
        <f t="shared" si="91"/>
        <v>4540000</v>
      </c>
      <c r="AS91" s="59"/>
      <c r="AT91" s="13">
        <v>0</v>
      </c>
      <c r="AU91" s="14">
        <v>0</v>
      </c>
      <c r="AV91" s="16">
        <f t="shared" si="92"/>
        <v>4540000</v>
      </c>
      <c r="AW91" s="59"/>
      <c r="AX91" s="13">
        <v>0</v>
      </c>
      <c r="AY91" s="14">
        <v>0</v>
      </c>
      <c r="AZ91" s="16">
        <f t="shared" si="93"/>
        <v>4540000</v>
      </c>
      <c r="BA91" s="59"/>
      <c r="BB91" s="13">
        <v>0</v>
      </c>
      <c r="BC91" s="14">
        <v>0</v>
      </c>
      <c r="BD91" s="16">
        <f t="shared" si="94"/>
        <v>4540000</v>
      </c>
      <c r="BE91" s="59"/>
      <c r="BF91" s="13">
        <v>0</v>
      </c>
      <c r="BG91" s="14">
        <v>0</v>
      </c>
      <c r="BH91" s="16">
        <f t="shared" si="95"/>
        <v>4540000</v>
      </c>
      <c r="BI91" s="77"/>
    </row>
    <row r="92" spans="1:61" x14ac:dyDescent="0.2">
      <c r="C92" s="2" t="s">
        <v>200</v>
      </c>
      <c r="D92" s="2" t="s">
        <v>223</v>
      </c>
      <c r="E92" s="2" t="s">
        <v>201</v>
      </c>
      <c r="F92" s="2" t="s">
        <v>9</v>
      </c>
      <c r="G92" s="2" t="s">
        <v>10</v>
      </c>
      <c r="H92" s="3" t="s">
        <v>11</v>
      </c>
      <c r="J92" s="18">
        <v>100000</v>
      </c>
      <c r="L92" s="18">
        <v>4940000</v>
      </c>
      <c r="M92" s="60"/>
      <c r="N92" s="17">
        <v>0</v>
      </c>
      <c r="O92" s="19">
        <v>0</v>
      </c>
      <c r="P92" s="20">
        <f t="shared" si="84"/>
        <v>4940000</v>
      </c>
      <c r="Q92" s="60"/>
      <c r="R92" s="17">
        <v>0</v>
      </c>
      <c r="S92" s="19">
        <v>0</v>
      </c>
      <c r="T92" s="21">
        <f t="shared" si="85"/>
        <v>4940000</v>
      </c>
      <c r="U92" s="60"/>
      <c r="V92" s="17">
        <v>0</v>
      </c>
      <c r="W92" s="19">
        <v>0</v>
      </c>
      <c r="X92" s="21">
        <f t="shared" si="86"/>
        <v>4940000</v>
      </c>
      <c r="Y92" s="60"/>
      <c r="Z92" s="17">
        <v>0</v>
      </c>
      <c r="AA92" s="19">
        <v>0</v>
      </c>
      <c r="AB92" s="21">
        <f t="shared" ref="AB92" si="96">X92+Z92+AA92</f>
        <v>4940000</v>
      </c>
      <c r="AC92" s="60"/>
      <c r="AD92" s="17">
        <v>0</v>
      </c>
      <c r="AE92" s="19">
        <v>0</v>
      </c>
      <c r="AF92" s="21">
        <f t="shared" ref="AF92" si="97">AB92+AD92+AE92</f>
        <v>4940000</v>
      </c>
      <c r="AG92" s="60"/>
      <c r="AH92" s="17">
        <v>0</v>
      </c>
      <c r="AI92" s="19">
        <v>0</v>
      </c>
      <c r="AJ92" s="21">
        <f t="shared" ref="AJ92" si="98">AF92+AH92+AI92</f>
        <v>4940000</v>
      </c>
      <c r="AK92" s="60"/>
      <c r="AL92" s="17">
        <v>0</v>
      </c>
      <c r="AM92" s="19">
        <v>0</v>
      </c>
      <c r="AN92" s="21">
        <f t="shared" si="90"/>
        <v>4940000</v>
      </c>
      <c r="AO92" s="60"/>
      <c r="AP92" s="17">
        <v>0</v>
      </c>
      <c r="AQ92" s="19">
        <v>0</v>
      </c>
      <c r="AR92" s="21">
        <f t="shared" si="91"/>
        <v>4940000</v>
      </c>
      <c r="AS92" s="60"/>
      <c r="AT92" s="17">
        <v>0</v>
      </c>
      <c r="AU92" s="19">
        <v>0</v>
      </c>
      <c r="AV92" s="21">
        <f t="shared" si="92"/>
        <v>4940000</v>
      </c>
      <c r="AW92" s="60"/>
      <c r="AX92" s="17">
        <v>0</v>
      </c>
      <c r="AY92" s="19">
        <v>0</v>
      </c>
      <c r="AZ92" s="21">
        <f t="shared" si="93"/>
        <v>4940000</v>
      </c>
      <c r="BA92" s="60"/>
      <c r="BB92" s="17">
        <v>0</v>
      </c>
      <c r="BC92" s="19">
        <v>0</v>
      </c>
      <c r="BD92" s="21">
        <f t="shared" si="94"/>
        <v>4940000</v>
      </c>
      <c r="BE92" s="60"/>
      <c r="BF92" s="17">
        <v>0</v>
      </c>
      <c r="BG92" s="19">
        <v>0</v>
      </c>
      <c r="BH92" s="21">
        <f t="shared" si="95"/>
        <v>4940000</v>
      </c>
      <c r="BI92" s="78"/>
    </row>
    <row r="93" spans="1:61" x14ac:dyDescent="0.2">
      <c r="C93" s="2" t="s">
        <v>204</v>
      </c>
      <c r="D93" s="2" t="s">
        <v>224</v>
      </c>
      <c r="E93" s="2" t="s">
        <v>205</v>
      </c>
      <c r="F93" s="2" t="s">
        <v>9</v>
      </c>
      <c r="G93" s="2" t="s">
        <v>10</v>
      </c>
      <c r="H93" s="3" t="s">
        <v>21</v>
      </c>
      <c r="J93" s="18">
        <v>100000</v>
      </c>
      <c r="L93" s="18">
        <v>3720000</v>
      </c>
      <c r="M93" s="60"/>
      <c r="N93" s="17">
        <v>0</v>
      </c>
      <c r="O93" s="19">
        <v>0</v>
      </c>
      <c r="P93" s="20">
        <f t="shared" si="84"/>
        <v>3720000</v>
      </c>
      <c r="Q93" s="60"/>
      <c r="R93" s="17">
        <v>0</v>
      </c>
      <c r="S93" s="19">
        <v>0</v>
      </c>
      <c r="T93" s="21">
        <f t="shared" si="85"/>
        <v>3720000</v>
      </c>
      <c r="U93" s="60"/>
      <c r="V93" s="17">
        <v>0</v>
      </c>
      <c r="W93" s="19">
        <v>0</v>
      </c>
      <c r="X93" s="21">
        <f t="shared" si="86"/>
        <v>3720000</v>
      </c>
      <c r="Y93" s="60"/>
      <c r="Z93" s="17">
        <v>0</v>
      </c>
      <c r="AA93" s="19">
        <v>0</v>
      </c>
      <c r="AB93" s="21">
        <f t="shared" si="87"/>
        <v>3720000</v>
      </c>
      <c r="AC93" s="60"/>
      <c r="AD93" s="17">
        <v>0</v>
      </c>
      <c r="AE93" s="19">
        <v>0</v>
      </c>
      <c r="AF93" s="21">
        <f t="shared" si="88"/>
        <v>3720000</v>
      </c>
      <c r="AG93" s="60"/>
      <c r="AH93" s="17">
        <v>0</v>
      </c>
      <c r="AI93" s="19">
        <v>0</v>
      </c>
      <c r="AJ93" s="21">
        <f t="shared" si="89"/>
        <v>3720000</v>
      </c>
      <c r="AK93" s="60"/>
      <c r="AL93" s="17">
        <v>0</v>
      </c>
      <c r="AM93" s="19">
        <v>0</v>
      </c>
      <c r="AN93" s="21">
        <f t="shared" si="90"/>
        <v>3720000</v>
      </c>
      <c r="AO93" s="60"/>
      <c r="AP93" s="17">
        <v>0</v>
      </c>
      <c r="AQ93" s="19">
        <v>0</v>
      </c>
      <c r="AR93" s="21">
        <f t="shared" si="91"/>
        <v>3720000</v>
      </c>
      <c r="AS93" s="60"/>
      <c r="AT93" s="17">
        <v>0</v>
      </c>
      <c r="AU93" s="19">
        <v>0</v>
      </c>
      <c r="AV93" s="21">
        <f t="shared" si="92"/>
        <v>3720000</v>
      </c>
      <c r="AW93" s="60"/>
      <c r="AX93" s="17">
        <v>0</v>
      </c>
      <c r="AY93" s="19">
        <v>0</v>
      </c>
      <c r="AZ93" s="21">
        <f t="shared" si="93"/>
        <v>3720000</v>
      </c>
      <c r="BA93" s="60"/>
      <c r="BB93" s="17">
        <v>0</v>
      </c>
      <c r="BC93" s="19">
        <v>0</v>
      </c>
      <c r="BD93" s="21">
        <f t="shared" si="94"/>
        <v>3720000</v>
      </c>
      <c r="BE93" s="60"/>
      <c r="BF93" s="17">
        <v>0</v>
      </c>
      <c r="BG93" s="19">
        <v>0</v>
      </c>
      <c r="BH93" s="21">
        <f t="shared" si="95"/>
        <v>3720000</v>
      </c>
      <c r="BI93" s="78"/>
    </row>
    <row r="94" spans="1:61" x14ac:dyDescent="0.2">
      <c r="C94" s="2" t="s">
        <v>207</v>
      </c>
      <c r="D94" s="2" t="s">
        <v>224</v>
      </c>
      <c r="E94" s="2" t="s">
        <v>208</v>
      </c>
      <c r="F94" s="2" t="s">
        <v>202</v>
      </c>
      <c r="G94" s="2" t="s">
        <v>90</v>
      </c>
      <c r="H94" s="3" t="s">
        <v>11</v>
      </c>
      <c r="J94" s="18">
        <v>100000</v>
      </c>
      <c r="L94" s="18">
        <v>3840000</v>
      </c>
      <c r="M94" s="60"/>
      <c r="N94" s="17">
        <v>0</v>
      </c>
      <c r="O94" s="19">
        <v>0</v>
      </c>
      <c r="P94" s="20">
        <f t="shared" si="84"/>
        <v>3840000</v>
      </c>
      <c r="Q94" s="60"/>
      <c r="R94" s="17">
        <v>0</v>
      </c>
      <c r="S94" s="19">
        <v>0</v>
      </c>
      <c r="T94" s="21">
        <f t="shared" si="85"/>
        <v>3840000</v>
      </c>
      <c r="U94" s="60"/>
      <c r="V94" s="17">
        <v>0</v>
      </c>
      <c r="W94" s="19">
        <v>0</v>
      </c>
      <c r="X94" s="21">
        <f t="shared" si="86"/>
        <v>3840000</v>
      </c>
      <c r="Y94" s="60"/>
      <c r="Z94" s="17">
        <v>0</v>
      </c>
      <c r="AA94" s="19">
        <v>0</v>
      </c>
      <c r="AB94" s="21">
        <f t="shared" si="87"/>
        <v>3840000</v>
      </c>
      <c r="AC94" s="60"/>
      <c r="AD94" s="17">
        <v>0</v>
      </c>
      <c r="AE94" s="19">
        <v>0</v>
      </c>
      <c r="AF94" s="21">
        <f t="shared" si="88"/>
        <v>3840000</v>
      </c>
      <c r="AG94" s="60"/>
      <c r="AH94" s="17">
        <v>0</v>
      </c>
      <c r="AI94" s="19">
        <v>0</v>
      </c>
      <c r="AJ94" s="21">
        <f t="shared" si="89"/>
        <v>3840000</v>
      </c>
      <c r="AK94" s="60"/>
      <c r="AL94" s="17">
        <v>0</v>
      </c>
      <c r="AM94" s="19">
        <v>0</v>
      </c>
      <c r="AN94" s="21">
        <f t="shared" si="90"/>
        <v>3840000</v>
      </c>
      <c r="AO94" s="60"/>
      <c r="AP94" s="17">
        <v>0</v>
      </c>
      <c r="AQ94" s="19">
        <v>0</v>
      </c>
      <c r="AR94" s="21">
        <f t="shared" si="91"/>
        <v>3840000</v>
      </c>
      <c r="AS94" s="60"/>
      <c r="AT94" s="17">
        <v>0</v>
      </c>
      <c r="AU94" s="19">
        <v>0</v>
      </c>
      <c r="AV94" s="21">
        <f t="shared" si="92"/>
        <v>3840000</v>
      </c>
      <c r="AW94" s="60"/>
      <c r="AX94" s="17">
        <v>0</v>
      </c>
      <c r="AY94" s="19">
        <v>0</v>
      </c>
      <c r="AZ94" s="21">
        <f t="shared" si="93"/>
        <v>3840000</v>
      </c>
      <c r="BA94" s="60"/>
      <c r="BB94" s="17">
        <v>0</v>
      </c>
      <c r="BC94" s="19">
        <v>0</v>
      </c>
      <c r="BD94" s="21">
        <f t="shared" si="94"/>
        <v>3840000</v>
      </c>
      <c r="BE94" s="60"/>
      <c r="BF94" s="17">
        <v>0</v>
      </c>
      <c r="BG94" s="19">
        <v>0</v>
      </c>
      <c r="BH94" s="21">
        <f t="shared" si="95"/>
        <v>3840000</v>
      </c>
      <c r="BI94" s="78"/>
    </row>
    <row r="95" spans="1:61" x14ac:dyDescent="0.2">
      <c r="C95" s="2" t="s">
        <v>210</v>
      </c>
      <c r="D95" s="2" t="s">
        <v>223</v>
      </c>
      <c r="E95" s="2" t="s">
        <v>211</v>
      </c>
      <c r="F95" s="2" t="s">
        <v>9</v>
      </c>
      <c r="G95" s="2" t="s">
        <v>10</v>
      </c>
      <c r="H95" s="3" t="s">
        <v>11</v>
      </c>
      <c r="J95" s="18">
        <v>100000</v>
      </c>
      <c r="L95" s="18">
        <v>4140000</v>
      </c>
      <c r="M95" s="60"/>
      <c r="N95" s="17">
        <v>0</v>
      </c>
      <c r="O95" s="19">
        <v>0</v>
      </c>
      <c r="P95" s="20">
        <f t="shared" si="84"/>
        <v>4140000</v>
      </c>
      <c r="Q95" s="60"/>
      <c r="R95" s="17">
        <v>0</v>
      </c>
      <c r="S95" s="19">
        <v>0</v>
      </c>
      <c r="T95" s="21">
        <f t="shared" si="85"/>
        <v>4140000</v>
      </c>
      <c r="U95" s="60"/>
      <c r="V95" s="17">
        <v>0</v>
      </c>
      <c r="W95" s="19">
        <v>0</v>
      </c>
      <c r="X95" s="21">
        <f t="shared" si="86"/>
        <v>4140000</v>
      </c>
      <c r="Y95" s="60"/>
      <c r="Z95" s="17">
        <v>0</v>
      </c>
      <c r="AA95" s="19">
        <v>0</v>
      </c>
      <c r="AB95" s="21">
        <f t="shared" si="87"/>
        <v>4140000</v>
      </c>
      <c r="AC95" s="60"/>
      <c r="AD95" s="17">
        <v>0</v>
      </c>
      <c r="AE95" s="19">
        <v>0</v>
      </c>
      <c r="AF95" s="21">
        <f t="shared" si="88"/>
        <v>4140000</v>
      </c>
      <c r="AG95" s="60"/>
      <c r="AH95" s="17">
        <v>0</v>
      </c>
      <c r="AI95" s="19">
        <v>0</v>
      </c>
      <c r="AJ95" s="21">
        <f t="shared" si="89"/>
        <v>4140000</v>
      </c>
      <c r="AK95" s="60"/>
      <c r="AL95" s="17">
        <v>0</v>
      </c>
      <c r="AM95" s="19">
        <v>0</v>
      </c>
      <c r="AN95" s="21">
        <f t="shared" si="90"/>
        <v>4140000</v>
      </c>
      <c r="AO95" s="60"/>
      <c r="AP95" s="17">
        <v>0</v>
      </c>
      <c r="AQ95" s="19">
        <v>0</v>
      </c>
      <c r="AR95" s="21">
        <f t="shared" si="91"/>
        <v>4140000</v>
      </c>
      <c r="AS95" s="60"/>
      <c r="AT95" s="17">
        <v>0</v>
      </c>
      <c r="AU95" s="19">
        <v>0</v>
      </c>
      <c r="AV95" s="21">
        <f t="shared" si="92"/>
        <v>4140000</v>
      </c>
      <c r="AW95" s="60"/>
      <c r="AX95" s="17">
        <v>0</v>
      </c>
      <c r="AY95" s="19">
        <v>0</v>
      </c>
      <c r="AZ95" s="21">
        <f t="shared" si="93"/>
        <v>4140000</v>
      </c>
      <c r="BA95" s="60"/>
      <c r="BB95" s="17">
        <v>0</v>
      </c>
      <c r="BC95" s="19">
        <v>0</v>
      </c>
      <c r="BD95" s="21">
        <f t="shared" si="94"/>
        <v>4140000</v>
      </c>
      <c r="BE95" s="60"/>
      <c r="BF95" s="17">
        <v>0</v>
      </c>
      <c r="BG95" s="19">
        <v>0</v>
      </c>
      <c r="BH95" s="21">
        <f t="shared" si="95"/>
        <v>4140000</v>
      </c>
      <c r="BI95" s="78"/>
    </row>
    <row r="96" spans="1:61" s="38" customFormat="1" x14ac:dyDescent="0.2">
      <c r="A96" s="1"/>
      <c r="B96" s="1"/>
      <c r="C96" s="2"/>
      <c r="D96" s="2"/>
      <c r="E96" s="2"/>
      <c r="F96" s="2"/>
      <c r="G96" s="2"/>
      <c r="H96" s="3"/>
      <c r="I96" s="39"/>
      <c r="J96" s="45">
        <v>0</v>
      </c>
      <c r="K96" s="39"/>
      <c r="L96" s="45">
        <v>0</v>
      </c>
      <c r="M96" s="61"/>
      <c r="N96" s="46">
        <v>0</v>
      </c>
      <c r="O96" s="47">
        <v>0</v>
      </c>
      <c r="P96" s="48">
        <f t="shared" ref="P96:P102" si="99">L96+N96+O96</f>
        <v>0</v>
      </c>
      <c r="Q96" s="61"/>
      <c r="R96" s="46">
        <v>0</v>
      </c>
      <c r="S96" s="47">
        <v>0</v>
      </c>
      <c r="T96" s="49">
        <f t="shared" ref="T96:T102" si="100">P96+R96+S96</f>
        <v>0</v>
      </c>
      <c r="U96" s="61"/>
      <c r="V96" s="46">
        <v>0</v>
      </c>
      <c r="W96" s="47">
        <v>0</v>
      </c>
      <c r="X96" s="49">
        <f t="shared" ref="X96:X102" si="101">T96+V96+W96</f>
        <v>0</v>
      </c>
      <c r="Y96" s="61"/>
      <c r="Z96" s="46">
        <v>0</v>
      </c>
      <c r="AA96" s="47">
        <v>0</v>
      </c>
      <c r="AB96" s="49">
        <f t="shared" ref="AB96:AB102" si="102">X96+Z96+AA96</f>
        <v>0</v>
      </c>
      <c r="AC96" s="61"/>
      <c r="AD96" s="46">
        <v>0</v>
      </c>
      <c r="AE96" s="47">
        <v>0</v>
      </c>
      <c r="AF96" s="49">
        <f t="shared" ref="AF96:AF102" si="103">AB96+AD96+AE96</f>
        <v>0</v>
      </c>
      <c r="AG96" s="61"/>
      <c r="AH96" s="46">
        <v>0</v>
      </c>
      <c r="AI96" s="47">
        <v>0</v>
      </c>
      <c r="AJ96" s="49">
        <f t="shared" ref="AJ96:AJ102" si="104">AF96+AH96+AI96</f>
        <v>0</v>
      </c>
      <c r="AK96" s="61"/>
      <c r="AL96" s="46">
        <v>0</v>
      </c>
      <c r="AM96" s="47">
        <v>0</v>
      </c>
      <c r="AN96" s="49">
        <f t="shared" ref="AN96:AN102" si="105">AJ96+AL96+AM96</f>
        <v>0</v>
      </c>
      <c r="AO96" s="61"/>
      <c r="AP96" s="46">
        <v>0</v>
      </c>
      <c r="AQ96" s="47">
        <v>0</v>
      </c>
      <c r="AR96" s="49">
        <f t="shared" ref="AR96:AR102" si="106">AN96+AP96+AQ96</f>
        <v>0</v>
      </c>
      <c r="AS96" s="61"/>
      <c r="AT96" s="46">
        <v>0</v>
      </c>
      <c r="AU96" s="47">
        <v>0</v>
      </c>
      <c r="AV96" s="49">
        <f t="shared" ref="AV96:AV102" si="107">AR96+AT96+AU96</f>
        <v>0</v>
      </c>
      <c r="AW96" s="61"/>
      <c r="AX96" s="46">
        <v>0</v>
      </c>
      <c r="AY96" s="47">
        <v>0</v>
      </c>
      <c r="AZ96" s="49">
        <f t="shared" ref="AZ96:AZ102" si="108">AV96+AX96+AY96</f>
        <v>0</v>
      </c>
      <c r="BA96" s="61"/>
      <c r="BB96" s="46">
        <v>0</v>
      </c>
      <c r="BC96" s="47">
        <v>0</v>
      </c>
      <c r="BD96" s="49">
        <f t="shared" ref="BD96:BD102" si="109">AZ96+BB96+BC96</f>
        <v>0</v>
      </c>
      <c r="BE96" s="61"/>
      <c r="BF96" s="46">
        <v>0</v>
      </c>
      <c r="BG96" s="47">
        <v>0</v>
      </c>
      <c r="BH96" s="49">
        <f t="shared" ref="BH96:BH102" si="110">BD96+BF96+BG96</f>
        <v>0</v>
      </c>
      <c r="BI96" s="79"/>
    </row>
    <row r="97" spans="1:62" x14ac:dyDescent="0.2">
      <c r="A97" s="1">
        <v>26</v>
      </c>
      <c r="B97" s="1">
        <v>26</v>
      </c>
      <c r="C97" s="2" t="s">
        <v>62</v>
      </c>
      <c r="D97" s="2" t="s">
        <v>223</v>
      </c>
      <c r="E97" s="2" t="s">
        <v>63</v>
      </c>
      <c r="F97" s="2" t="s">
        <v>9</v>
      </c>
      <c r="G97" s="2" t="s">
        <v>10</v>
      </c>
      <c r="H97" s="3" t="s">
        <v>21</v>
      </c>
      <c r="J97" s="18">
        <v>100000</v>
      </c>
      <c r="L97" s="18">
        <v>4990000</v>
      </c>
      <c r="M97" s="66">
        <v>197</v>
      </c>
      <c r="N97" s="17">
        <v>50000</v>
      </c>
      <c r="O97" s="19">
        <v>0</v>
      </c>
      <c r="P97" s="20">
        <f t="shared" si="99"/>
        <v>5040000</v>
      </c>
      <c r="Q97" s="66">
        <f t="shared" ref="Q97:Q100" si="111">IF(N97&lt;&gt;0,M97+1,M97)</f>
        <v>198</v>
      </c>
      <c r="R97" s="17">
        <v>50000</v>
      </c>
      <c r="S97" s="19">
        <v>0</v>
      </c>
      <c r="T97" s="21">
        <f t="shared" si="100"/>
        <v>5090000</v>
      </c>
      <c r="U97" s="66">
        <f t="shared" ref="U97:U100" si="112">IF(R97&lt;&gt;0,Q97+1,Q97)</f>
        <v>199</v>
      </c>
      <c r="V97" s="17">
        <v>0</v>
      </c>
      <c r="W97" s="19">
        <v>0</v>
      </c>
      <c r="X97" s="21">
        <f t="shared" si="101"/>
        <v>5090000</v>
      </c>
      <c r="Y97" s="66"/>
      <c r="Z97" s="17">
        <v>0</v>
      </c>
      <c r="AA97" s="19">
        <v>0</v>
      </c>
      <c r="AB97" s="21">
        <f t="shared" si="102"/>
        <v>5090000</v>
      </c>
      <c r="AC97" s="66"/>
      <c r="AD97" s="17">
        <v>0</v>
      </c>
      <c r="AE97" s="19">
        <v>0</v>
      </c>
      <c r="AF97" s="21">
        <f t="shared" si="103"/>
        <v>5090000</v>
      </c>
      <c r="AG97" s="66"/>
      <c r="AH97" s="17">
        <v>0</v>
      </c>
      <c r="AI97" s="19">
        <v>0</v>
      </c>
      <c r="AJ97" s="21">
        <f t="shared" si="104"/>
        <v>5090000</v>
      </c>
      <c r="AK97" s="66"/>
      <c r="AL97" s="17">
        <v>0</v>
      </c>
      <c r="AM97" s="19">
        <v>0</v>
      </c>
      <c r="AN97" s="21">
        <f t="shared" si="105"/>
        <v>5090000</v>
      </c>
      <c r="AO97" s="66"/>
      <c r="AP97" s="17">
        <v>0</v>
      </c>
      <c r="AQ97" s="19">
        <v>0</v>
      </c>
      <c r="AR97" s="21">
        <f t="shared" si="106"/>
        <v>5090000</v>
      </c>
      <c r="AS97" s="66"/>
      <c r="AT97" s="17">
        <v>0</v>
      </c>
      <c r="AU97" s="19">
        <v>0</v>
      </c>
      <c r="AV97" s="21">
        <f t="shared" si="107"/>
        <v>5090000</v>
      </c>
      <c r="AW97" s="66"/>
      <c r="AX97" s="17">
        <v>0</v>
      </c>
      <c r="AY97" s="19">
        <v>0</v>
      </c>
      <c r="AZ97" s="21">
        <f t="shared" si="108"/>
        <v>5090000</v>
      </c>
      <c r="BA97" s="66"/>
      <c r="BB97" s="17">
        <v>0</v>
      </c>
      <c r="BC97" s="19">
        <v>0</v>
      </c>
      <c r="BD97" s="21">
        <f t="shared" si="109"/>
        <v>5090000</v>
      </c>
      <c r="BE97" s="66"/>
      <c r="BF97" s="17">
        <v>0</v>
      </c>
      <c r="BG97" s="19">
        <v>0</v>
      </c>
      <c r="BH97" s="21">
        <f t="shared" si="110"/>
        <v>5090000</v>
      </c>
      <c r="BI97" s="71"/>
      <c r="BJ97" s="7"/>
    </row>
    <row r="98" spans="1:62" x14ac:dyDescent="0.2">
      <c r="A98" s="1">
        <v>41</v>
      </c>
      <c r="B98" s="1">
        <v>41</v>
      </c>
      <c r="C98" s="2" t="s">
        <v>93</v>
      </c>
      <c r="D98" s="2" t="s">
        <v>224</v>
      </c>
      <c r="E98" s="2" t="s">
        <v>94</v>
      </c>
      <c r="F98" s="2" t="s">
        <v>9</v>
      </c>
      <c r="G98" s="2" t="s">
        <v>10</v>
      </c>
      <c r="H98" s="3" t="s">
        <v>11</v>
      </c>
      <c r="J98" s="18">
        <v>100000</v>
      </c>
      <c r="L98" s="18">
        <v>4990000</v>
      </c>
      <c r="M98" s="66">
        <v>197</v>
      </c>
      <c r="N98" s="17">
        <v>50000</v>
      </c>
      <c r="O98" s="19">
        <v>0</v>
      </c>
      <c r="P98" s="20">
        <f t="shared" si="99"/>
        <v>5040000</v>
      </c>
      <c r="Q98" s="66">
        <f t="shared" si="111"/>
        <v>198</v>
      </c>
      <c r="R98" s="17">
        <v>50000</v>
      </c>
      <c r="S98" s="19">
        <v>0</v>
      </c>
      <c r="T98" s="21">
        <f t="shared" si="100"/>
        <v>5090000</v>
      </c>
      <c r="U98" s="66">
        <f t="shared" si="112"/>
        <v>199</v>
      </c>
      <c r="V98" s="17">
        <v>0</v>
      </c>
      <c r="W98" s="19">
        <v>0</v>
      </c>
      <c r="X98" s="21">
        <f t="shared" si="101"/>
        <v>5090000</v>
      </c>
      <c r="Y98" s="66"/>
      <c r="Z98" s="17">
        <v>0</v>
      </c>
      <c r="AA98" s="19">
        <v>0</v>
      </c>
      <c r="AB98" s="21">
        <f t="shared" si="102"/>
        <v>5090000</v>
      </c>
      <c r="AC98" s="66"/>
      <c r="AD98" s="17">
        <v>0</v>
      </c>
      <c r="AE98" s="19">
        <v>0</v>
      </c>
      <c r="AF98" s="21">
        <f t="shared" si="103"/>
        <v>5090000</v>
      </c>
      <c r="AG98" s="66"/>
      <c r="AH98" s="17">
        <v>0</v>
      </c>
      <c r="AI98" s="19">
        <v>0</v>
      </c>
      <c r="AJ98" s="21">
        <f t="shared" si="104"/>
        <v>5090000</v>
      </c>
      <c r="AK98" s="66"/>
      <c r="AL98" s="17">
        <v>0</v>
      </c>
      <c r="AM98" s="19">
        <v>0</v>
      </c>
      <c r="AN98" s="21">
        <f t="shared" si="105"/>
        <v>5090000</v>
      </c>
      <c r="AO98" s="66"/>
      <c r="AP98" s="17">
        <v>0</v>
      </c>
      <c r="AQ98" s="19">
        <v>0</v>
      </c>
      <c r="AR98" s="21">
        <f t="shared" si="106"/>
        <v>5090000</v>
      </c>
      <c r="AS98" s="66"/>
      <c r="AT98" s="17">
        <v>0</v>
      </c>
      <c r="AU98" s="19">
        <v>0</v>
      </c>
      <c r="AV98" s="21">
        <f t="shared" si="107"/>
        <v>5090000</v>
      </c>
      <c r="AW98" s="66"/>
      <c r="AX98" s="17">
        <v>0</v>
      </c>
      <c r="AY98" s="19">
        <v>0</v>
      </c>
      <c r="AZ98" s="21">
        <f t="shared" si="108"/>
        <v>5090000</v>
      </c>
      <c r="BA98" s="66"/>
      <c r="BB98" s="17">
        <v>0</v>
      </c>
      <c r="BC98" s="19">
        <v>0</v>
      </c>
      <c r="BD98" s="21">
        <f t="shared" si="109"/>
        <v>5090000</v>
      </c>
      <c r="BE98" s="66"/>
      <c r="BF98" s="17">
        <v>0</v>
      </c>
      <c r="BG98" s="19">
        <v>0</v>
      </c>
      <c r="BH98" s="21">
        <f t="shared" si="110"/>
        <v>5090000</v>
      </c>
      <c r="BI98" s="71"/>
      <c r="BJ98" s="7"/>
    </row>
    <row r="99" spans="1:62" x14ac:dyDescent="0.2">
      <c r="A99" s="1">
        <v>61</v>
      </c>
      <c r="B99" s="1">
        <v>61</v>
      </c>
      <c r="C99" s="2" t="s">
        <v>134</v>
      </c>
      <c r="D99" s="2" t="s">
        <v>224</v>
      </c>
      <c r="E99" s="2" t="s">
        <v>135</v>
      </c>
      <c r="F99" s="2" t="s">
        <v>9</v>
      </c>
      <c r="G99" s="2" t="s">
        <v>10</v>
      </c>
      <c r="H99" s="3" t="s">
        <v>11</v>
      </c>
      <c r="J99" s="18">
        <v>100000</v>
      </c>
      <c r="L99" s="18">
        <v>4990000</v>
      </c>
      <c r="M99" s="66">
        <v>197</v>
      </c>
      <c r="N99" s="17">
        <v>50000</v>
      </c>
      <c r="O99" s="19">
        <v>0</v>
      </c>
      <c r="P99" s="20">
        <f t="shared" si="99"/>
        <v>5040000</v>
      </c>
      <c r="Q99" s="66">
        <f t="shared" si="111"/>
        <v>198</v>
      </c>
      <c r="R99" s="17">
        <v>50000</v>
      </c>
      <c r="S99" s="19">
        <v>0</v>
      </c>
      <c r="T99" s="21">
        <f t="shared" si="100"/>
        <v>5090000</v>
      </c>
      <c r="U99" s="66">
        <f t="shared" si="112"/>
        <v>199</v>
      </c>
      <c r="V99" s="17">
        <v>50000</v>
      </c>
      <c r="W99" s="19">
        <v>0</v>
      </c>
      <c r="X99" s="21">
        <f t="shared" si="101"/>
        <v>5140000</v>
      </c>
      <c r="Y99" s="66">
        <f t="shared" ref="Y99:Y100" si="113">IF(V99&lt;&gt;0,U99+1,U99)</f>
        <v>200</v>
      </c>
      <c r="Z99" s="17">
        <v>0</v>
      </c>
      <c r="AA99" s="19">
        <v>0</v>
      </c>
      <c r="AB99" s="21">
        <f t="shared" si="102"/>
        <v>5140000</v>
      </c>
      <c r="AC99" s="66"/>
      <c r="AD99" s="17">
        <v>0</v>
      </c>
      <c r="AE99" s="19">
        <v>0</v>
      </c>
      <c r="AF99" s="21">
        <f t="shared" si="103"/>
        <v>5140000</v>
      </c>
      <c r="AG99" s="66"/>
      <c r="AH99" s="17">
        <v>0</v>
      </c>
      <c r="AI99" s="19">
        <v>0</v>
      </c>
      <c r="AJ99" s="21">
        <f t="shared" si="104"/>
        <v>5140000</v>
      </c>
      <c r="AK99" s="66"/>
      <c r="AL99" s="17">
        <v>0</v>
      </c>
      <c r="AM99" s="19">
        <v>0</v>
      </c>
      <c r="AN99" s="21">
        <f t="shared" si="105"/>
        <v>5140000</v>
      </c>
      <c r="AO99" s="66"/>
      <c r="AP99" s="17">
        <v>0</v>
      </c>
      <c r="AQ99" s="19">
        <v>0</v>
      </c>
      <c r="AR99" s="21">
        <f t="shared" si="106"/>
        <v>5140000</v>
      </c>
      <c r="AS99" s="66"/>
      <c r="AT99" s="17">
        <v>0</v>
      </c>
      <c r="AU99" s="19">
        <v>0</v>
      </c>
      <c r="AV99" s="21">
        <f t="shared" si="107"/>
        <v>5140000</v>
      </c>
      <c r="AW99" s="66"/>
      <c r="AX99" s="17">
        <v>0</v>
      </c>
      <c r="AY99" s="19">
        <v>0</v>
      </c>
      <c r="AZ99" s="21">
        <f t="shared" si="108"/>
        <v>5140000</v>
      </c>
      <c r="BA99" s="66"/>
      <c r="BB99" s="17">
        <v>0</v>
      </c>
      <c r="BC99" s="19">
        <v>0</v>
      </c>
      <c r="BD99" s="21">
        <f t="shared" si="109"/>
        <v>5140000</v>
      </c>
      <c r="BE99" s="66"/>
      <c r="BF99" s="17">
        <v>0</v>
      </c>
      <c r="BG99" s="19">
        <v>0</v>
      </c>
      <c r="BH99" s="21">
        <f t="shared" si="110"/>
        <v>5140000</v>
      </c>
      <c r="BI99" s="71"/>
      <c r="BJ99" s="7"/>
    </row>
    <row r="100" spans="1:62" x14ac:dyDescent="0.2">
      <c r="A100" s="1">
        <v>20</v>
      </c>
      <c r="B100" s="1">
        <v>20</v>
      </c>
      <c r="C100" s="2" t="s">
        <v>50</v>
      </c>
      <c r="D100" s="2" t="s">
        <v>224</v>
      </c>
      <c r="E100" s="2" t="s">
        <v>51</v>
      </c>
      <c r="F100" s="2" t="s">
        <v>9</v>
      </c>
      <c r="G100" s="2" t="s">
        <v>10</v>
      </c>
      <c r="H100" s="3" t="s">
        <v>11</v>
      </c>
      <c r="J100" s="18">
        <v>100000</v>
      </c>
      <c r="L100" s="18">
        <v>4990000</v>
      </c>
      <c r="M100" s="66">
        <v>197</v>
      </c>
      <c r="N100" s="17">
        <v>50000</v>
      </c>
      <c r="O100" s="19">
        <v>0</v>
      </c>
      <c r="P100" s="20">
        <f t="shared" si="99"/>
        <v>5040000</v>
      </c>
      <c r="Q100" s="66">
        <f t="shared" si="111"/>
        <v>198</v>
      </c>
      <c r="R100" s="17">
        <v>50000</v>
      </c>
      <c r="S100" s="19">
        <v>0</v>
      </c>
      <c r="T100" s="21">
        <f t="shared" si="100"/>
        <v>5090000</v>
      </c>
      <c r="U100" s="66">
        <f t="shared" si="112"/>
        <v>199</v>
      </c>
      <c r="V100" s="17">
        <v>50000</v>
      </c>
      <c r="W100" s="19">
        <v>0</v>
      </c>
      <c r="X100" s="21">
        <f t="shared" si="101"/>
        <v>5140000</v>
      </c>
      <c r="Y100" s="66">
        <f t="shared" si="113"/>
        <v>200</v>
      </c>
      <c r="Z100" s="17">
        <v>50000</v>
      </c>
      <c r="AA100" s="19">
        <v>0</v>
      </c>
      <c r="AB100" s="21">
        <f t="shared" si="102"/>
        <v>5190000</v>
      </c>
      <c r="AC100" s="66">
        <f t="shared" ref="AC100" si="114">IF(Z100&lt;&gt;0,Y100+1,Y100)</f>
        <v>201</v>
      </c>
      <c r="AD100" s="17">
        <v>50000</v>
      </c>
      <c r="AE100" s="19">
        <v>0</v>
      </c>
      <c r="AF100" s="21">
        <f t="shared" si="103"/>
        <v>5240000</v>
      </c>
      <c r="AG100" s="66">
        <f t="shared" ref="AG100" si="115">IF(AD100&lt;&gt;0,AC100+1,AC100)</f>
        <v>202</v>
      </c>
      <c r="AH100" s="17">
        <v>50000</v>
      </c>
      <c r="AI100" s="19">
        <v>0</v>
      </c>
      <c r="AJ100" s="21">
        <f t="shared" si="104"/>
        <v>5290000</v>
      </c>
      <c r="AK100" s="66">
        <f t="shared" ref="AK100" si="116">IF(AH100&lt;&gt;0,AG100+1,AG100)</f>
        <v>203</v>
      </c>
      <c r="AL100" s="17">
        <v>50000</v>
      </c>
      <c r="AM100" s="19">
        <v>0</v>
      </c>
      <c r="AN100" s="21">
        <f t="shared" si="105"/>
        <v>5340000</v>
      </c>
      <c r="AO100" s="66">
        <f t="shared" ref="AO100" si="117">IF(AL100&lt;&gt;0,AK100+1,AK100)</f>
        <v>204</v>
      </c>
      <c r="AP100" s="17">
        <v>50000</v>
      </c>
      <c r="AQ100" s="19">
        <v>0</v>
      </c>
      <c r="AR100" s="21">
        <f t="shared" si="106"/>
        <v>5390000</v>
      </c>
      <c r="AS100" s="66">
        <f t="shared" ref="AS100" si="118">IF(AP100&lt;&gt;0,AO100+1,AO100)</f>
        <v>205</v>
      </c>
      <c r="AT100" s="17">
        <v>0</v>
      </c>
      <c r="AU100" s="19">
        <v>0</v>
      </c>
      <c r="AV100" s="21">
        <f t="shared" si="107"/>
        <v>5390000</v>
      </c>
      <c r="AW100" s="66"/>
      <c r="AX100" s="17">
        <v>0</v>
      </c>
      <c r="AY100" s="19">
        <v>0</v>
      </c>
      <c r="AZ100" s="21">
        <f t="shared" si="108"/>
        <v>5390000</v>
      </c>
      <c r="BA100" s="66"/>
      <c r="BB100" s="17">
        <v>0</v>
      </c>
      <c r="BC100" s="19">
        <v>0</v>
      </c>
      <c r="BD100" s="21">
        <f t="shared" si="109"/>
        <v>5390000</v>
      </c>
      <c r="BE100" s="66"/>
      <c r="BF100" s="17">
        <v>0</v>
      </c>
      <c r="BG100" s="19">
        <v>0</v>
      </c>
      <c r="BH100" s="21">
        <f t="shared" si="110"/>
        <v>5390000</v>
      </c>
      <c r="BI100" s="71"/>
    </row>
    <row r="101" spans="1:62" s="38" customFormat="1" x14ac:dyDescent="0.2">
      <c r="A101" s="1"/>
      <c r="B101" s="1"/>
      <c r="C101" s="2"/>
      <c r="D101" s="2"/>
      <c r="E101" s="2"/>
      <c r="F101" s="2"/>
      <c r="G101" s="2"/>
      <c r="H101" s="3"/>
      <c r="I101" s="39"/>
      <c r="J101" s="45">
        <v>0</v>
      </c>
      <c r="K101" s="39"/>
      <c r="L101" s="45">
        <v>0</v>
      </c>
      <c r="M101" s="61"/>
      <c r="N101" s="46">
        <v>0</v>
      </c>
      <c r="O101" s="47">
        <v>0</v>
      </c>
      <c r="P101" s="48">
        <f t="shared" si="99"/>
        <v>0</v>
      </c>
      <c r="Q101" s="61"/>
      <c r="R101" s="46">
        <v>0</v>
      </c>
      <c r="S101" s="47">
        <v>0</v>
      </c>
      <c r="T101" s="49">
        <f t="shared" si="100"/>
        <v>0</v>
      </c>
      <c r="U101" s="61"/>
      <c r="V101" s="46">
        <v>0</v>
      </c>
      <c r="W101" s="47">
        <v>0</v>
      </c>
      <c r="X101" s="49">
        <f t="shared" si="101"/>
        <v>0</v>
      </c>
      <c r="Y101" s="61"/>
      <c r="Z101" s="46">
        <v>0</v>
      </c>
      <c r="AA101" s="47">
        <v>0</v>
      </c>
      <c r="AB101" s="49">
        <f t="shared" si="102"/>
        <v>0</v>
      </c>
      <c r="AC101" s="61"/>
      <c r="AD101" s="46">
        <v>0</v>
      </c>
      <c r="AE101" s="47">
        <v>0</v>
      </c>
      <c r="AF101" s="49">
        <f t="shared" si="103"/>
        <v>0</v>
      </c>
      <c r="AG101" s="61"/>
      <c r="AH101" s="46">
        <v>0</v>
      </c>
      <c r="AI101" s="47">
        <v>0</v>
      </c>
      <c r="AJ101" s="49">
        <f t="shared" si="104"/>
        <v>0</v>
      </c>
      <c r="AK101" s="61"/>
      <c r="AL101" s="46">
        <v>0</v>
      </c>
      <c r="AM101" s="47">
        <v>0</v>
      </c>
      <c r="AN101" s="49">
        <f t="shared" si="105"/>
        <v>0</v>
      </c>
      <c r="AO101" s="61"/>
      <c r="AP101" s="46">
        <v>0</v>
      </c>
      <c r="AQ101" s="47">
        <v>0</v>
      </c>
      <c r="AR101" s="49">
        <f t="shared" si="106"/>
        <v>0</v>
      </c>
      <c r="AS101" s="61"/>
      <c r="AT101" s="46">
        <v>0</v>
      </c>
      <c r="AU101" s="47">
        <v>0</v>
      </c>
      <c r="AV101" s="49">
        <f t="shared" si="107"/>
        <v>0</v>
      </c>
      <c r="AW101" s="61"/>
      <c r="AX101" s="46">
        <v>0</v>
      </c>
      <c r="AY101" s="47">
        <v>0</v>
      </c>
      <c r="AZ101" s="49">
        <f t="shared" si="108"/>
        <v>0</v>
      </c>
      <c r="BA101" s="61"/>
      <c r="BB101" s="46">
        <v>0</v>
      </c>
      <c r="BC101" s="47">
        <v>0</v>
      </c>
      <c r="BD101" s="49">
        <f t="shared" si="109"/>
        <v>0</v>
      </c>
      <c r="BE101" s="61"/>
      <c r="BF101" s="46">
        <v>0</v>
      </c>
      <c r="BG101" s="47">
        <v>0</v>
      </c>
      <c r="BH101" s="49">
        <f t="shared" si="110"/>
        <v>0</v>
      </c>
      <c r="BI101" s="79"/>
    </row>
    <row r="102" spans="1:62" s="38" customFormat="1" x14ac:dyDescent="0.2">
      <c r="A102" s="1"/>
      <c r="B102" s="1"/>
      <c r="C102" s="2"/>
      <c r="D102" s="2"/>
      <c r="E102" s="2"/>
      <c r="F102" s="2"/>
      <c r="G102" s="2"/>
      <c r="H102" s="3"/>
      <c r="I102" s="39"/>
      <c r="J102" s="45">
        <v>0</v>
      </c>
      <c r="K102" s="39"/>
      <c r="L102" s="45">
        <v>0</v>
      </c>
      <c r="M102" s="61"/>
      <c r="N102" s="46">
        <v>0</v>
      </c>
      <c r="O102" s="47">
        <v>0</v>
      </c>
      <c r="P102" s="48">
        <f t="shared" si="99"/>
        <v>0</v>
      </c>
      <c r="Q102" s="61"/>
      <c r="R102" s="46">
        <v>0</v>
      </c>
      <c r="S102" s="47">
        <v>0</v>
      </c>
      <c r="T102" s="49">
        <f t="shared" si="100"/>
        <v>0</v>
      </c>
      <c r="U102" s="61"/>
      <c r="V102" s="46">
        <v>0</v>
      </c>
      <c r="W102" s="47">
        <v>0</v>
      </c>
      <c r="X102" s="49">
        <f t="shared" si="101"/>
        <v>0</v>
      </c>
      <c r="Y102" s="61"/>
      <c r="Z102" s="46">
        <v>0</v>
      </c>
      <c r="AA102" s="47">
        <v>0</v>
      </c>
      <c r="AB102" s="49">
        <f t="shared" si="102"/>
        <v>0</v>
      </c>
      <c r="AC102" s="61"/>
      <c r="AD102" s="46">
        <v>0</v>
      </c>
      <c r="AE102" s="47">
        <v>0</v>
      </c>
      <c r="AF102" s="49">
        <f t="shared" si="103"/>
        <v>0</v>
      </c>
      <c r="AG102" s="61"/>
      <c r="AH102" s="46">
        <v>0</v>
      </c>
      <c r="AI102" s="47">
        <v>0</v>
      </c>
      <c r="AJ102" s="49">
        <f t="shared" si="104"/>
        <v>0</v>
      </c>
      <c r="AK102" s="61"/>
      <c r="AL102" s="46">
        <v>0</v>
      </c>
      <c r="AM102" s="47">
        <v>0</v>
      </c>
      <c r="AN102" s="49">
        <f t="shared" si="105"/>
        <v>0</v>
      </c>
      <c r="AO102" s="61"/>
      <c r="AP102" s="46">
        <v>0</v>
      </c>
      <c r="AQ102" s="47">
        <v>0</v>
      </c>
      <c r="AR102" s="49">
        <f t="shared" si="106"/>
        <v>0</v>
      </c>
      <c r="AS102" s="61"/>
      <c r="AT102" s="46">
        <v>0</v>
      </c>
      <c r="AU102" s="47">
        <v>0</v>
      </c>
      <c r="AV102" s="49">
        <f t="shared" si="107"/>
        <v>0</v>
      </c>
      <c r="AW102" s="61"/>
      <c r="AX102" s="46">
        <v>0</v>
      </c>
      <c r="AY102" s="47">
        <v>0</v>
      </c>
      <c r="AZ102" s="49">
        <f t="shared" si="108"/>
        <v>0</v>
      </c>
      <c r="BA102" s="61"/>
      <c r="BB102" s="46">
        <v>0</v>
      </c>
      <c r="BC102" s="47">
        <v>0</v>
      </c>
      <c r="BD102" s="49">
        <f t="shared" si="109"/>
        <v>0</v>
      </c>
      <c r="BE102" s="61"/>
      <c r="BF102" s="46">
        <v>0</v>
      </c>
      <c r="BG102" s="47">
        <v>0</v>
      </c>
      <c r="BH102" s="49">
        <f t="shared" si="110"/>
        <v>0</v>
      </c>
      <c r="BI102" s="79"/>
    </row>
    <row r="103" spans="1:62" s="38" customFormat="1" x14ac:dyDescent="0.2">
      <c r="A103" s="1"/>
      <c r="B103" s="1"/>
      <c r="C103" s="2"/>
      <c r="D103" s="2"/>
      <c r="E103" s="2"/>
      <c r="F103" s="2"/>
      <c r="G103" s="2"/>
      <c r="H103" s="3"/>
      <c r="I103" s="39"/>
      <c r="J103" s="45">
        <v>0</v>
      </c>
      <c r="K103" s="39"/>
      <c r="L103" s="45">
        <v>0</v>
      </c>
      <c r="M103" s="61"/>
      <c r="N103" s="46">
        <v>0</v>
      </c>
      <c r="O103" s="47">
        <v>0</v>
      </c>
      <c r="P103" s="48">
        <f>L103+N103+O103</f>
        <v>0</v>
      </c>
      <c r="Q103" s="61"/>
      <c r="R103" s="46">
        <v>0</v>
      </c>
      <c r="S103" s="47">
        <v>0</v>
      </c>
      <c r="T103" s="49">
        <f>P103+R103+S103</f>
        <v>0</v>
      </c>
      <c r="U103" s="61"/>
      <c r="V103" s="46">
        <v>0</v>
      </c>
      <c r="W103" s="47">
        <v>0</v>
      </c>
      <c r="X103" s="49">
        <f>T103+V103+W103</f>
        <v>0</v>
      </c>
      <c r="Y103" s="61"/>
      <c r="Z103" s="46">
        <v>0</v>
      </c>
      <c r="AA103" s="47">
        <v>0</v>
      </c>
      <c r="AB103" s="49">
        <f t="shared" si="87"/>
        <v>0</v>
      </c>
      <c r="AC103" s="61"/>
      <c r="AD103" s="46">
        <v>0</v>
      </c>
      <c r="AE103" s="47">
        <v>0</v>
      </c>
      <c r="AF103" s="49">
        <f t="shared" si="88"/>
        <v>0</v>
      </c>
      <c r="AG103" s="61"/>
      <c r="AH103" s="46">
        <v>0</v>
      </c>
      <c r="AI103" s="47">
        <v>0</v>
      </c>
      <c r="AJ103" s="49">
        <f t="shared" si="89"/>
        <v>0</v>
      </c>
      <c r="AK103" s="61"/>
      <c r="AL103" s="46">
        <v>0</v>
      </c>
      <c r="AM103" s="47">
        <v>0</v>
      </c>
      <c r="AN103" s="49">
        <f t="shared" ref="AN103" si="119">AJ103+AL103+AM103</f>
        <v>0</v>
      </c>
      <c r="AO103" s="61"/>
      <c r="AP103" s="46">
        <v>0</v>
      </c>
      <c r="AQ103" s="47">
        <v>0</v>
      </c>
      <c r="AR103" s="49">
        <f t="shared" ref="AR103" si="120">AN103+AP103+AQ103</f>
        <v>0</v>
      </c>
      <c r="AS103" s="61"/>
      <c r="AT103" s="46">
        <v>0</v>
      </c>
      <c r="AU103" s="47">
        <v>0</v>
      </c>
      <c r="AV103" s="49">
        <f t="shared" ref="AV103" si="121">AR103+AT103+AU103</f>
        <v>0</v>
      </c>
      <c r="AW103" s="61"/>
      <c r="AX103" s="46">
        <v>0</v>
      </c>
      <c r="AY103" s="47">
        <v>0</v>
      </c>
      <c r="AZ103" s="49">
        <f t="shared" ref="AZ103" si="122">AV103+AX103+AY103</f>
        <v>0</v>
      </c>
      <c r="BA103" s="61"/>
      <c r="BB103" s="46">
        <v>0</v>
      </c>
      <c r="BC103" s="47">
        <v>0</v>
      </c>
      <c r="BD103" s="49">
        <f t="shared" ref="BD103" si="123">AZ103+BB103+BC103</f>
        <v>0</v>
      </c>
      <c r="BE103" s="61"/>
      <c r="BF103" s="46">
        <v>0</v>
      </c>
      <c r="BG103" s="47">
        <v>0</v>
      </c>
      <c r="BH103" s="49">
        <f t="shared" ref="BH103" si="124">BD103+BF103+BG103</f>
        <v>0</v>
      </c>
      <c r="BI103" s="79"/>
    </row>
    <row r="104" spans="1:62" s="38" customFormat="1" ht="12.75" thickBot="1" x14ac:dyDescent="0.25">
      <c r="A104" s="1"/>
      <c r="B104" s="1"/>
      <c r="H104" s="39"/>
      <c r="I104" s="39"/>
      <c r="J104" s="50">
        <v>0</v>
      </c>
      <c r="K104" s="39"/>
      <c r="L104" s="50">
        <v>0</v>
      </c>
      <c r="M104" s="62"/>
      <c r="N104" s="31">
        <v>0</v>
      </c>
      <c r="O104" s="51">
        <v>0</v>
      </c>
      <c r="P104" s="52">
        <f>L104+N104+O104</f>
        <v>0</v>
      </c>
      <c r="Q104" s="62"/>
      <c r="R104" s="31">
        <v>0</v>
      </c>
      <c r="S104" s="51">
        <v>0</v>
      </c>
      <c r="T104" s="53">
        <f>P104+R104+S104</f>
        <v>0</v>
      </c>
      <c r="U104" s="62"/>
      <c r="V104" s="31">
        <v>0</v>
      </c>
      <c r="W104" s="51">
        <v>0</v>
      </c>
      <c r="X104" s="53">
        <f>T104+V104+W104</f>
        <v>0</v>
      </c>
      <c r="Y104" s="62"/>
      <c r="Z104" s="31">
        <v>0</v>
      </c>
      <c r="AA104" s="51">
        <v>0</v>
      </c>
      <c r="AB104" s="53">
        <f>X104+Z104+AA104</f>
        <v>0</v>
      </c>
      <c r="AC104" s="62"/>
      <c r="AD104" s="31">
        <v>0</v>
      </c>
      <c r="AE104" s="51">
        <v>0</v>
      </c>
      <c r="AF104" s="53">
        <f>AB104+AD104+AE104</f>
        <v>0</v>
      </c>
      <c r="AG104" s="62"/>
      <c r="AH104" s="31">
        <v>0</v>
      </c>
      <c r="AI104" s="51">
        <v>0</v>
      </c>
      <c r="AJ104" s="53">
        <f>AF104+AH104+AI104</f>
        <v>0</v>
      </c>
      <c r="AK104" s="62"/>
      <c r="AL104" s="31">
        <v>0</v>
      </c>
      <c r="AM104" s="51">
        <v>0</v>
      </c>
      <c r="AN104" s="53">
        <f>AJ104+AL104+AM104</f>
        <v>0</v>
      </c>
      <c r="AO104" s="62"/>
      <c r="AP104" s="31">
        <v>0</v>
      </c>
      <c r="AQ104" s="51">
        <v>0</v>
      </c>
      <c r="AR104" s="53">
        <f>AN104+AP104+AQ104</f>
        <v>0</v>
      </c>
      <c r="AS104" s="62"/>
      <c r="AT104" s="31">
        <v>0</v>
      </c>
      <c r="AU104" s="51">
        <v>0</v>
      </c>
      <c r="AV104" s="53">
        <f>AR104+AT104+AU104</f>
        <v>0</v>
      </c>
      <c r="AW104" s="62"/>
      <c r="AX104" s="31">
        <v>0</v>
      </c>
      <c r="AY104" s="51">
        <v>0</v>
      </c>
      <c r="AZ104" s="53">
        <f>AV104+AX104+AY104</f>
        <v>0</v>
      </c>
      <c r="BA104" s="62"/>
      <c r="BB104" s="31">
        <v>0</v>
      </c>
      <c r="BC104" s="51">
        <v>0</v>
      </c>
      <c r="BD104" s="53">
        <f>AZ104+BB104+BC104</f>
        <v>0</v>
      </c>
      <c r="BE104" s="62"/>
      <c r="BF104" s="31">
        <v>0</v>
      </c>
      <c r="BG104" s="51">
        <v>0</v>
      </c>
      <c r="BH104" s="53">
        <f>BD104+BF104+BG104</f>
        <v>0</v>
      </c>
      <c r="BI104" s="76"/>
    </row>
    <row r="105" spans="1:62" ht="12.75" thickTop="1" x14ac:dyDescent="0.2"/>
    <row r="107" spans="1:62" x14ac:dyDescent="0.2">
      <c r="J107" s="7"/>
      <c r="L107" s="7"/>
      <c r="M107" s="63"/>
      <c r="Q107" s="63"/>
      <c r="U107" s="63"/>
      <c r="Y107" s="63"/>
      <c r="AC107" s="63"/>
      <c r="AG107" s="63"/>
      <c r="AK107" s="63"/>
      <c r="AO107" s="63"/>
      <c r="AS107" s="63"/>
      <c r="AW107" s="63"/>
      <c r="BA107" s="63"/>
      <c r="BE107" s="63"/>
      <c r="BI107" s="63"/>
    </row>
    <row r="108" spans="1:62" x14ac:dyDescent="0.2">
      <c r="J108" s="36"/>
      <c r="L108" s="36"/>
      <c r="M108" s="64"/>
      <c r="Q108" s="64"/>
      <c r="U108" s="64"/>
      <c r="Y108" s="64"/>
      <c r="AC108" s="64"/>
      <c r="AG108" s="64"/>
      <c r="AK108" s="64"/>
      <c r="AO108" s="64"/>
      <c r="AS108" s="64"/>
      <c r="AW108" s="64"/>
      <c r="BA108" s="64"/>
      <c r="BE108" s="64"/>
      <c r="BI108" s="64"/>
    </row>
  </sheetData>
  <autoFilter ref="J4:BI104" xr:uid="{F128989E-832F-4FC3-8618-24C1B2B0E47D}">
    <filterColumn colId="4" showButton="0"/>
    <filterColumn colId="5" showButton="0"/>
    <filterColumn colId="8" showButton="0"/>
    <filterColumn colId="9" showButton="0"/>
    <filterColumn colId="12" showButton="0"/>
    <filterColumn colId="13" showButton="0"/>
    <filterColumn colId="16" showButton="0"/>
    <filterColumn colId="17" showButton="0"/>
    <filterColumn colId="20" showButton="0"/>
    <filterColumn colId="21" showButton="0"/>
    <filterColumn colId="24" showButton="0"/>
    <filterColumn colId="25" showButton="0"/>
    <filterColumn colId="28" showButton="0"/>
    <filterColumn colId="29" showButton="0"/>
    <filterColumn colId="32" showButton="0"/>
    <filterColumn colId="33" showButton="0"/>
    <filterColumn colId="36" showButton="0"/>
    <filterColumn colId="37" showButton="0"/>
    <filterColumn colId="40" showButton="0"/>
    <filterColumn colId="41" showButton="0"/>
    <filterColumn colId="44" showButton="0"/>
    <filterColumn colId="45" showButton="0"/>
    <filterColumn colId="48" showButton="0"/>
    <filterColumn colId="49" showButton="0"/>
  </autoFilter>
  <mergeCells count="13">
    <mergeCell ref="AX4:AZ4"/>
    <mergeCell ref="BB4:BD4"/>
    <mergeCell ref="BF4:BH4"/>
    <mergeCell ref="L3:BH3"/>
    <mergeCell ref="N4:P4"/>
    <mergeCell ref="R4:T4"/>
    <mergeCell ref="V4:X4"/>
    <mergeCell ref="Z4:AB4"/>
    <mergeCell ref="AD4:AF4"/>
    <mergeCell ref="AH4:AJ4"/>
    <mergeCell ref="AL4:AN4"/>
    <mergeCell ref="AP4:AR4"/>
    <mergeCell ref="AT4:AV4"/>
  </mergeCells>
  <pageMargins left="0.7" right="0.7" top="0.75" bottom="0.75" header="0.3" footer="0.3"/>
  <ignoredErrors>
    <ignoredError sqref="N1 R1 V1 Z1 AD1 AL1:AR1 AT1:AZ1 BB1:BH1 AH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9A83-DFE8-424E-89F2-14AA0C7DB351}">
  <dimension ref="A1:N208"/>
  <sheetViews>
    <sheetView topLeftCell="A131" workbookViewId="0">
      <selection activeCell="A130" sqref="A130:A208"/>
    </sheetView>
  </sheetViews>
  <sheetFormatPr defaultRowHeight="15" x14ac:dyDescent="0.25"/>
  <cols>
    <col min="1" max="1" width="29.7109375" bestFit="1" customWidth="1"/>
  </cols>
  <sheetData>
    <row r="1" spans="1:11" x14ac:dyDescent="0.25">
      <c r="A1" t="s">
        <v>2</v>
      </c>
      <c r="B1" t="s">
        <v>1</v>
      </c>
      <c r="C1" t="s">
        <v>214</v>
      </c>
      <c r="E1" t="s">
        <v>215</v>
      </c>
      <c r="G1">
        <v>45627</v>
      </c>
      <c r="H1" t="s">
        <v>216</v>
      </c>
      <c r="K1" t="s">
        <v>217</v>
      </c>
    </row>
    <row r="3" spans="1:11" x14ac:dyDescent="0.25">
      <c r="A3" t="s">
        <v>8</v>
      </c>
      <c r="B3" t="s">
        <v>7</v>
      </c>
      <c r="C3">
        <v>100000</v>
      </c>
      <c r="E3">
        <v>185</v>
      </c>
      <c r="F3">
        <v>4390000</v>
      </c>
      <c r="G3">
        <v>50000</v>
      </c>
      <c r="H3">
        <v>186</v>
      </c>
      <c r="I3">
        <v>4440000</v>
      </c>
      <c r="K3">
        <f t="shared" ref="K3:K35" si="0">+H3+11</f>
        <v>197</v>
      </c>
    </row>
    <row r="4" spans="1:11" x14ac:dyDescent="0.25">
      <c r="A4" t="s">
        <v>175</v>
      </c>
      <c r="B4" t="s">
        <v>174</v>
      </c>
      <c r="C4">
        <v>100000</v>
      </c>
      <c r="E4">
        <v>185</v>
      </c>
      <c r="F4">
        <v>4390000</v>
      </c>
      <c r="G4">
        <v>50000</v>
      </c>
      <c r="H4">
        <v>186</v>
      </c>
      <c r="I4">
        <v>4440000</v>
      </c>
      <c r="K4">
        <f t="shared" si="0"/>
        <v>197</v>
      </c>
    </row>
    <row r="5" spans="1:11" x14ac:dyDescent="0.25">
      <c r="A5" t="s">
        <v>13</v>
      </c>
      <c r="B5" t="s">
        <v>12</v>
      </c>
      <c r="C5">
        <v>100000</v>
      </c>
      <c r="E5">
        <v>185</v>
      </c>
      <c r="F5">
        <v>4390000</v>
      </c>
      <c r="G5">
        <v>50000</v>
      </c>
      <c r="H5">
        <v>186</v>
      </c>
      <c r="I5">
        <v>4440000</v>
      </c>
      <c r="K5">
        <f t="shared" si="0"/>
        <v>197</v>
      </c>
    </row>
    <row r="6" spans="1:11" x14ac:dyDescent="0.25">
      <c r="A6" t="s">
        <v>15</v>
      </c>
      <c r="B6" t="s">
        <v>14</v>
      </c>
      <c r="C6">
        <v>100000</v>
      </c>
      <c r="E6">
        <v>132</v>
      </c>
      <c r="F6">
        <v>3330000</v>
      </c>
      <c r="G6">
        <v>50000</v>
      </c>
      <c r="H6">
        <v>133</v>
      </c>
      <c r="I6">
        <v>3380000</v>
      </c>
      <c r="K6">
        <f t="shared" si="0"/>
        <v>144</v>
      </c>
    </row>
    <row r="7" spans="1:11" x14ac:dyDescent="0.25">
      <c r="A7" t="s">
        <v>18</v>
      </c>
      <c r="B7" t="s">
        <v>17</v>
      </c>
      <c r="C7">
        <v>100000</v>
      </c>
      <c r="E7">
        <v>62</v>
      </c>
      <c r="F7">
        <v>1930000</v>
      </c>
      <c r="G7">
        <v>50000</v>
      </c>
      <c r="H7">
        <v>63</v>
      </c>
      <c r="I7">
        <v>1980000</v>
      </c>
      <c r="K7">
        <f t="shared" si="0"/>
        <v>74</v>
      </c>
    </row>
    <row r="8" spans="1:11" x14ac:dyDescent="0.25">
      <c r="A8" t="s">
        <v>20</v>
      </c>
      <c r="B8" t="s">
        <v>19</v>
      </c>
      <c r="C8">
        <v>100000</v>
      </c>
      <c r="E8">
        <v>39</v>
      </c>
      <c r="F8">
        <v>1470000</v>
      </c>
      <c r="G8">
        <v>50000</v>
      </c>
      <c r="H8">
        <v>40</v>
      </c>
      <c r="I8">
        <v>1520000</v>
      </c>
      <c r="K8">
        <f t="shared" si="0"/>
        <v>51</v>
      </c>
    </row>
    <row r="9" spans="1:11" x14ac:dyDescent="0.25">
      <c r="A9" t="s">
        <v>23</v>
      </c>
      <c r="B9" t="s">
        <v>22</v>
      </c>
      <c r="C9">
        <v>100000</v>
      </c>
      <c r="E9">
        <v>185</v>
      </c>
      <c r="F9">
        <v>4390000</v>
      </c>
      <c r="G9">
        <v>50000</v>
      </c>
      <c r="H9">
        <v>186</v>
      </c>
      <c r="I9">
        <v>4440000</v>
      </c>
      <c r="K9">
        <f t="shared" si="0"/>
        <v>197</v>
      </c>
    </row>
    <row r="10" spans="1:11" x14ac:dyDescent="0.25">
      <c r="A10" t="s">
        <v>25</v>
      </c>
      <c r="B10" t="s">
        <v>24</v>
      </c>
      <c r="C10">
        <v>100000</v>
      </c>
      <c r="E10">
        <v>154</v>
      </c>
      <c r="F10">
        <v>3770000</v>
      </c>
      <c r="G10">
        <v>50000</v>
      </c>
      <c r="H10">
        <v>155</v>
      </c>
      <c r="I10">
        <v>3820000</v>
      </c>
      <c r="K10">
        <f t="shared" si="0"/>
        <v>166</v>
      </c>
    </row>
    <row r="11" spans="1:11" x14ac:dyDescent="0.25">
      <c r="A11" t="s">
        <v>27</v>
      </c>
      <c r="B11" t="s">
        <v>26</v>
      </c>
      <c r="C11">
        <v>100000</v>
      </c>
      <c r="E11">
        <v>154</v>
      </c>
      <c r="F11">
        <v>3770000</v>
      </c>
      <c r="G11">
        <v>50000</v>
      </c>
      <c r="H11">
        <v>155</v>
      </c>
      <c r="I11">
        <v>3820000</v>
      </c>
      <c r="K11">
        <f t="shared" si="0"/>
        <v>166</v>
      </c>
    </row>
    <row r="12" spans="1:11" x14ac:dyDescent="0.25">
      <c r="A12" t="s">
        <v>29</v>
      </c>
      <c r="B12" t="s">
        <v>28</v>
      </c>
      <c r="C12">
        <v>100000</v>
      </c>
      <c r="E12">
        <v>170</v>
      </c>
      <c r="F12">
        <v>4090000</v>
      </c>
      <c r="G12">
        <v>50000</v>
      </c>
      <c r="H12">
        <v>171</v>
      </c>
      <c r="I12">
        <v>4140000</v>
      </c>
      <c r="K12">
        <f t="shared" si="0"/>
        <v>182</v>
      </c>
    </row>
    <row r="13" spans="1:11" x14ac:dyDescent="0.25">
      <c r="A13" t="s">
        <v>31</v>
      </c>
      <c r="B13" t="s">
        <v>30</v>
      </c>
      <c r="C13">
        <v>100000</v>
      </c>
      <c r="E13">
        <v>154</v>
      </c>
      <c r="F13">
        <v>3770000</v>
      </c>
      <c r="G13">
        <v>50000</v>
      </c>
      <c r="H13">
        <v>155</v>
      </c>
      <c r="I13">
        <v>3820000</v>
      </c>
      <c r="K13">
        <f t="shared" si="0"/>
        <v>166</v>
      </c>
    </row>
    <row r="14" spans="1:11" x14ac:dyDescent="0.25">
      <c r="A14" t="s">
        <v>33</v>
      </c>
      <c r="B14" t="s">
        <v>32</v>
      </c>
      <c r="C14">
        <v>100000</v>
      </c>
      <c r="E14">
        <v>185</v>
      </c>
      <c r="F14">
        <v>4390000</v>
      </c>
      <c r="G14">
        <v>50000</v>
      </c>
      <c r="H14">
        <v>186</v>
      </c>
      <c r="I14">
        <v>4440000</v>
      </c>
      <c r="K14">
        <f t="shared" si="0"/>
        <v>197</v>
      </c>
    </row>
    <row r="15" spans="1:11" x14ac:dyDescent="0.25">
      <c r="A15" t="s">
        <v>35</v>
      </c>
      <c r="B15" t="s">
        <v>34</v>
      </c>
      <c r="C15">
        <v>100000</v>
      </c>
      <c r="E15">
        <v>185</v>
      </c>
      <c r="F15">
        <v>4390000</v>
      </c>
      <c r="G15">
        <v>50000</v>
      </c>
      <c r="H15">
        <v>186</v>
      </c>
      <c r="I15">
        <v>4440000</v>
      </c>
      <c r="K15">
        <f t="shared" si="0"/>
        <v>197</v>
      </c>
    </row>
    <row r="16" spans="1:11" x14ac:dyDescent="0.25">
      <c r="A16" t="s">
        <v>37</v>
      </c>
      <c r="B16" t="s">
        <v>36</v>
      </c>
      <c r="C16">
        <v>100000</v>
      </c>
      <c r="E16">
        <v>185</v>
      </c>
      <c r="F16">
        <v>4390000</v>
      </c>
      <c r="G16">
        <v>50000</v>
      </c>
      <c r="H16">
        <v>186</v>
      </c>
      <c r="I16">
        <v>4440000</v>
      </c>
      <c r="K16">
        <f t="shared" si="0"/>
        <v>197</v>
      </c>
    </row>
    <row r="17" spans="1:11" x14ac:dyDescent="0.25">
      <c r="A17" t="s">
        <v>39</v>
      </c>
      <c r="B17" t="s">
        <v>38</v>
      </c>
      <c r="C17">
        <v>100000</v>
      </c>
      <c r="E17">
        <v>185</v>
      </c>
      <c r="F17">
        <v>4390000</v>
      </c>
      <c r="G17">
        <v>50000</v>
      </c>
      <c r="H17">
        <v>186</v>
      </c>
      <c r="I17">
        <v>4440000</v>
      </c>
      <c r="K17">
        <f t="shared" si="0"/>
        <v>197</v>
      </c>
    </row>
    <row r="18" spans="1:11" x14ac:dyDescent="0.25">
      <c r="A18" t="s">
        <v>41</v>
      </c>
      <c r="B18" t="s">
        <v>40</v>
      </c>
      <c r="C18">
        <v>100000</v>
      </c>
      <c r="E18">
        <v>185</v>
      </c>
      <c r="F18">
        <v>4390000</v>
      </c>
      <c r="G18">
        <v>50000</v>
      </c>
      <c r="H18">
        <v>186</v>
      </c>
      <c r="I18">
        <v>4440000</v>
      </c>
      <c r="K18">
        <f t="shared" si="0"/>
        <v>197</v>
      </c>
    </row>
    <row r="19" spans="1:11" x14ac:dyDescent="0.25">
      <c r="A19" t="s">
        <v>43</v>
      </c>
      <c r="B19" t="s">
        <v>42</v>
      </c>
      <c r="C19">
        <v>100000</v>
      </c>
      <c r="E19">
        <v>185</v>
      </c>
      <c r="F19">
        <v>4390000</v>
      </c>
      <c r="G19">
        <v>50000</v>
      </c>
      <c r="H19">
        <v>186</v>
      </c>
      <c r="I19">
        <v>4440000</v>
      </c>
      <c r="K19">
        <f t="shared" si="0"/>
        <v>197</v>
      </c>
    </row>
    <row r="20" spans="1:11" x14ac:dyDescent="0.25">
      <c r="A20" t="s">
        <v>218</v>
      </c>
      <c r="B20" t="s">
        <v>44</v>
      </c>
      <c r="C20">
        <v>100000</v>
      </c>
      <c r="E20">
        <v>154</v>
      </c>
      <c r="F20">
        <v>3770000</v>
      </c>
      <c r="G20">
        <v>50000</v>
      </c>
      <c r="H20">
        <v>155</v>
      </c>
      <c r="I20">
        <v>3820000</v>
      </c>
      <c r="K20">
        <f t="shared" si="0"/>
        <v>166</v>
      </c>
    </row>
    <row r="21" spans="1:11" x14ac:dyDescent="0.25">
      <c r="A21" t="s">
        <v>47</v>
      </c>
      <c r="B21" t="s">
        <v>46</v>
      </c>
      <c r="C21">
        <v>100000</v>
      </c>
      <c r="E21">
        <v>185</v>
      </c>
      <c r="F21">
        <v>4390000</v>
      </c>
      <c r="G21">
        <v>50000</v>
      </c>
      <c r="H21">
        <v>186</v>
      </c>
      <c r="I21">
        <v>4440000</v>
      </c>
      <c r="K21">
        <f t="shared" si="0"/>
        <v>197</v>
      </c>
    </row>
    <row r="22" spans="1:11" x14ac:dyDescent="0.25">
      <c r="A22" t="s">
        <v>197</v>
      </c>
      <c r="B22" t="s">
        <v>196</v>
      </c>
      <c r="C22">
        <v>100000</v>
      </c>
      <c r="E22">
        <v>185</v>
      </c>
      <c r="F22">
        <v>4390000</v>
      </c>
      <c r="G22">
        <v>50000</v>
      </c>
      <c r="H22">
        <v>186</v>
      </c>
      <c r="I22">
        <v>4440000</v>
      </c>
      <c r="K22">
        <f t="shared" si="0"/>
        <v>197</v>
      </c>
    </row>
    <row r="23" spans="1:11" x14ac:dyDescent="0.25">
      <c r="A23" t="s">
        <v>49</v>
      </c>
      <c r="B23" t="s">
        <v>48</v>
      </c>
      <c r="C23">
        <v>100000</v>
      </c>
      <c r="E23">
        <v>154</v>
      </c>
      <c r="F23">
        <v>3770000</v>
      </c>
      <c r="G23">
        <v>50000</v>
      </c>
      <c r="H23">
        <v>155</v>
      </c>
      <c r="I23">
        <v>3820000</v>
      </c>
      <c r="K23">
        <f t="shared" si="0"/>
        <v>166</v>
      </c>
    </row>
    <row r="24" spans="1:11" x14ac:dyDescent="0.25">
      <c r="A24" t="s">
        <v>51</v>
      </c>
      <c r="B24" t="s">
        <v>50</v>
      </c>
      <c r="C24">
        <v>100000</v>
      </c>
      <c r="E24">
        <v>185</v>
      </c>
      <c r="F24">
        <v>4390000</v>
      </c>
      <c r="G24">
        <v>50000</v>
      </c>
      <c r="H24">
        <v>186</v>
      </c>
      <c r="I24">
        <v>4440000</v>
      </c>
      <c r="K24">
        <f t="shared" si="0"/>
        <v>197</v>
      </c>
    </row>
    <row r="25" spans="1:11" x14ac:dyDescent="0.25">
      <c r="A25" t="s">
        <v>53</v>
      </c>
      <c r="B25" t="s">
        <v>52</v>
      </c>
      <c r="C25">
        <v>100000</v>
      </c>
      <c r="E25">
        <v>185</v>
      </c>
      <c r="F25">
        <v>4390000</v>
      </c>
      <c r="G25">
        <v>50000</v>
      </c>
      <c r="H25">
        <v>186</v>
      </c>
      <c r="I25">
        <v>4440000</v>
      </c>
      <c r="K25">
        <f t="shared" si="0"/>
        <v>197</v>
      </c>
    </row>
    <row r="26" spans="1:11" x14ac:dyDescent="0.25">
      <c r="A26" t="s">
        <v>55</v>
      </c>
      <c r="B26" t="s">
        <v>54</v>
      </c>
      <c r="C26">
        <v>100000</v>
      </c>
      <c r="E26">
        <v>185</v>
      </c>
      <c r="F26">
        <v>4390000</v>
      </c>
      <c r="G26">
        <v>50000</v>
      </c>
      <c r="H26">
        <v>186</v>
      </c>
      <c r="I26">
        <v>4440000</v>
      </c>
      <c r="K26">
        <f t="shared" si="0"/>
        <v>197</v>
      </c>
    </row>
    <row r="27" spans="1:11" x14ac:dyDescent="0.25">
      <c r="A27" t="s">
        <v>57</v>
      </c>
      <c r="B27" t="s">
        <v>56</v>
      </c>
      <c r="C27">
        <v>100000</v>
      </c>
      <c r="E27">
        <v>185</v>
      </c>
      <c r="F27">
        <v>4390000</v>
      </c>
      <c r="G27">
        <v>50000</v>
      </c>
      <c r="H27">
        <v>186</v>
      </c>
      <c r="I27">
        <v>4440000</v>
      </c>
      <c r="K27">
        <f t="shared" si="0"/>
        <v>197</v>
      </c>
    </row>
    <row r="28" spans="1:11" x14ac:dyDescent="0.25">
      <c r="A28" t="s">
        <v>201</v>
      </c>
      <c r="B28" t="s">
        <v>200</v>
      </c>
      <c r="C28">
        <v>100000</v>
      </c>
      <c r="E28">
        <v>185</v>
      </c>
      <c r="F28">
        <v>4390000</v>
      </c>
      <c r="G28">
        <v>50000</v>
      </c>
      <c r="H28">
        <v>186</v>
      </c>
      <c r="I28">
        <v>4440000</v>
      </c>
      <c r="K28">
        <f t="shared" si="0"/>
        <v>197</v>
      </c>
    </row>
    <row r="29" spans="1:11" x14ac:dyDescent="0.25">
      <c r="A29" t="s">
        <v>59</v>
      </c>
      <c r="B29" t="s">
        <v>58</v>
      </c>
      <c r="C29">
        <v>100000</v>
      </c>
      <c r="E29">
        <v>170</v>
      </c>
      <c r="F29">
        <v>4090000</v>
      </c>
      <c r="G29">
        <v>50000</v>
      </c>
      <c r="H29">
        <v>171</v>
      </c>
      <c r="I29">
        <v>4140000</v>
      </c>
      <c r="K29">
        <f t="shared" si="0"/>
        <v>182</v>
      </c>
    </row>
    <row r="30" spans="1:11" x14ac:dyDescent="0.25">
      <c r="A30" t="s">
        <v>61</v>
      </c>
      <c r="B30" t="s">
        <v>60</v>
      </c>
      <c r="C30">
        <v>100000</v>
      </c>
      <c r="E30">
        <v>175</v>
      </c>
      <c r="F30">
        <v>4190000</v>
      </c>
      <c r="G30">
        <v>50000</v>
      </c>
      <c r="H30">
        <v>176</v>
      </c>
      <c r="I30">
        <v>4240000</v>
      </c>
      <c r="K30">
        <f t="shared" si="0"/>
        <v>187</v>
      </c>
    </row>
    <row r="31" spans="1:11" x14ac:dyDescent="0.25">
      <c r="A31" t="s">
        <v>183</v>
      </c>
      <c r="B31" t="s">
        <v>182</v>
      </c>
      <c r="C31">
        <v>100000</v>
      </c>
      <c r="E31">
        <v>132</v>
      </c>
      <c r="F31">
        <v>3330000</v>
      </c>
      <c r="G31">
        <v>50000</v>
      </c>
      <c r="H31">
        <v>133</v>
      </c>
      <c r="I31">
        <v>3380000</v>
      </c>
      <c r="K31">
        <f t="shared" si="0"/>
        <v>144</v>
      </c>
    </row>
    <row r="32" spans="1:11" x14ac:dyDescent="0.25">
      <c r="A32" t="s">
        <v>187</v>
      </c>
      <c r="B32" t="s">
        <v>186</v>
      </c>
      <c r="C32">
        <v>100000</v>
      </c>
      <c r="E32">
        <v>185</v>
      </c>
      <c r="F32">
        <v>4390000</v>
      </c>
      <c r="G32">
        <v>50000</v>
      </c>
      <c r="H32">
        <v>186</v>
      </c>
      <c r="I32">
        <v>4440000</v>
      </c>
      <c r="K32">
        <f t="shared" si="0"/>
        <v>197</v>
      </c>
    </row>
    <row r="33" spans="1:11" x14ac:dyDescent="0.25">
      <c r="A33" t="s">
        <v>63</v>
      </c>
      <c r="B33" t="s">
        <v>62</v>
      </c>
      <c r="C33">
        <v>100000</v>
      </c>
      <c r="E33">
        <v>185</v>
      </c>
      <c r="F33">
        <v>4390000</v>
      </c>
      <c r="G33">
        <v>50000</v>
      </c>
      <c r="H33">
        <v>186</v>
      </c>
      <c r="I33">
        <v>4440000</v>
      </c>
      <c r="K33">
        <f t="shared" si="0"/>
        <v>197</v>
      </c>
    </row>
    <row r="34" spans="1:11" x14ac:dyDescent="0.25">
      <c r="A34" t="s">
        <v>65</v>
      </c>
      <c r="B34" t="s">
        <v>64</v>
      </c>
      <c r="C34">
        <v>100000</v>
      </c>
      <c r="E34">
        <v>185</v>
      </c>
      <c r="F34">
        <v>4390000</v>
      </c>
      <c r="G34">
        <v>50000</v>
      </c>
      <c r="H34">
        <v>186</v>
      </c>
      <c r="I34">
        <v>4440000</v>
      </c>
      <c r="K34">
        <f t="shared" si="0"/>
        <v>197</v>
      </c>
    </row>
    <row r="35" spans="1:11" x14ac:dyDescent="0.25">
      <c r="A35" t="s">
        <v>67</v>
      </c>
      <c r="B35" t="s">
        <v>66</v>
      </c>
      <c r="C35">
        <v>100000</v>
      </c>
      <c r="E35">
        <v>185</v>
      </c>
      <c r="F35">
        <v>4390000</v>
      </c>
      <c r="G35">
        <v>50000</v>
      </c>
      <c r="H35">
        <v>186</v>
      </c>
      <c r="I35">
        <v>4440000</v>
      </c>
      <c r="K35">
        <f t="shared" si="0"/>
        <v>197</v>
      </c>
    </row>
    <row r="36" spans="1:11" x14ac:dyDescent="0.25">
      <c r="A36" t="s">
        <v>69</v>
      </c>
      <c r="B36" t="s">
        <v>68</v>
      </c>
      <c r="C36">
        <v>100000</v>
      </c>
      <c r="E36">
        <v>175</v>
      </c>
      <c r="F36">
        <v>4190000</v>
      </c>
      <c r="G36">
        <v>50000</v>
      </c>
      <c r="H36">
        <v>176</v>
      </c>
      <c r="I36">
        <v>4240000</v>
      </c>
      <c r="K36">
        <f>+H36+11</f>
        <v>187</v>
      </c>
    </row>
    <row r="37" spans="1:11" x14ac:dyDescent="0.25">
      <c r="A37" t="s">
        <v>219</v>
      </c>
      <c r="B37" t="s">
        <v>70</v>
      </c>
      <c r="C37">
        <v>100000</v>
      </c>
      <c r="E37">
        <v>185</v>
      </c>
      <c r="F37">
        <v>4390000</v>
      </c>
      <c r="G37">
        <v>50000</v>
      </c>
      <c r="H37">
        <v>186</v>
      </c>
      <c r="I37">
        <v>4440000</v>
      </c>
      <c r="K37">
        <f t="shared" ref="K37:K94" si="1">+H37+11</f>
        <v>197</v>
      </c>
    </row>
    <row r="38" spans="1:11" x14ac:dyDescent="0.25">
      <c r="A38" t="s">
        <v>73</v>
      </c>
      <c r="B38" t="s">
        <v>72</v>
      </c>
      <c r="C38">
        <v>100000</v>
      </c>
      <c r="E38">
        <v>185</v>
      </c>
      <c r="F38">
        <v>4390000</v>
      </c>
      <c r="G38">
        <v>50000</v>
      </c>
      <c r="H38">
        <v>186</v>
      </c>
      <c r="I38">
        <v>4440000</v>
      </c>
      <c r="K38">
        <f t="shared" si="1"/>
        <v>197</v>
      </c>
    </row>
    <row r="39" spans="1:11" x14ac:dyDescent="0.25">
      <c r="A39" t="s">
        <v>75</v>
      </c>
      <c r="B39" t="s">
        <v>74</v>
      </c>
      <c r="C39">
        <v>100000</v>
      </c>
      <c r="E39">
        <v>154</v>
      </c>
      <c r="F39">
        <v>3770000</v>
      </c>
      <c r="G39">
        <v>50000</v>
      </c>
      <c r="H39">
        <v>155</v>
      </c>
      <c r="I39">
        <v>3820000</v>
      </c>
      <c r="K39">
        <f t="shared" si="1"/>
        <v>166</v>
      </c>
    </row>
    <row r="40" spans="1:11" x14ac:dyDescent="0.25">
      <c r="A40" t="s">
        <v>77</v>
      </c>
      <c r="B40" t="s">
        <v>76</v>
      </c>
      <c r="C40">
        <v>100000</v>
      </c>
      <c r="E40">
        <v>34</v>
      </c>
      <c r="F40">
        <v>1370000</v>
      </c>
      <c r="G40">
        <v>50000</v>
      </c>
      <c r="H40">
        <v>35</v>
      </c>
      <c r="I40">
        <v>1420000</v>
      </c>
      <c r="K40">
        <f t="shared" si="1"/>
        <v>46</v>
      </c>
    </row>
    <row r="41" spans="1:11" x14ac:dyDescent="0.25">
      <c r="A41" t="s">
        <v>79</v>
      </c>
      <c r="B41" t="s">
        <v>78</v>
      </c>
      <c r="C41">
        <v>100000</v>
      </c>
      <c r="E41">
        <v>185</v>
      </c>
      <c r="F41">
        <v>4390000</v>
      </c>
      <c r="G41">
        <v>50000</v>
      </c>
      <c r="H41">
        <v>186</v>
      </c>
      <c r="I41">
        <v>4440000</v>
      </c>
      <c r="K41">
        <f t="shared" si="1"/>
        <v>197</v>
      </c>
    </row>
    <row r="42" spans="1:11" x14ac:dyDescent="0.25">
      <c r="A42" t="s">
        <v>177</v>
      </c>
      <c r="B42" t="s">
        <v>176</v>
      </c>
      <c r="C42">
        <v>100000</v>
      </c>
      <c r="E42">
        <v>185</v>
      </c>
      <c r="F42">
        <v>4390000</v>
      </c>
      <c r="G42">
        <v>50000</v>
      </c>
      <c r="H42">
        <v>186</v>
      </c>
      <c r="I42">
        <v>4440000</v>
      </c>
      <c r="K42">
        <f t="shared" si="1"/>
        <v>197</v>
      </c>
    </row>
    <row r="43" spans="1:11" x14ac:dyDescent="0.25">
      <c r="A43" t="s">
        <v>81</v>
      </c>
      <c r="B43" t="s">
        <v>80</v>
      </c>
      <c r="C43">
        <v>100000</v>
      </c>
      <c r="E43">
        <v>185</v>
      </c>
      <c r="F43">
        <v>4390000</v>
      </c>
      <c r="G43">
        <v>50000</v>
      </c>
      <c r="H43">
        <v>186</v>
      </c>
      <c r="I43">
        <v>4440000</v>
      </c>
      <c r="K43">
        <f t="shared" si="1"/>
        <v>197</v>
      </c>
    </row>
    <row r="44" spans="1:11" x14ac:dyDescent="0.25">
      <c r="A44" t="s">
        <v>220</v>
      </c>
      <c r="B44" t="s">
        <v>82</v>
      </c>
      <c r="C44">
        <v>100000</v>
      </c>
      <c r="E44">
        <v>107</v>
      </c>
      <c r="F44">
        <v>2830000</v>
      </c>
      <c r="G44">
        <v>50000</v>
      </c>
      <c r="H44">
        <v>108</v>
      </c>
      <c r="I44">
        <v>2880000</v>
      </c>
      <c r="K44">
        <f t="shared" si="1"/>
        <v>119</v>
      </c>
    </row>
    <row r="45" spans="1:11" x14ac:dyDescent="0.25">
      <c r="A45" t="s">
        <v>85</v>
      </c>
      <c r="B45" t="s">
        <v>84</v>
      </c>
      <c r="C45">
        <v>100000</v>
      </c>
      <c r="E45">
        <v>185</v>
      </c>
      <c r="F45">
        <v>4390000</v>
      </c>
      <c r="G45">
        <v>50000</v>
      </c>
      <c r="H45">
        <v>186</v>
      </c>
      <c r="I45">
        <v>4440000</v>
      </c>
      <c r="K45">
        <f t="shared" si="1"/>
        <v>197</v>
      </c>
    </row>
    <row r="46" spans="1:11" x14ac:dyDescent="0.25">
      <c r="A46" t="s">
        <v>87</v>
      </c>
      <c r="B46" t="s">
        <v>86</v>
      </c>
      <c r="C46">
        <v>100000</v>
      </c>
      <c r="E46">
        <v>185</v>
      </c>
      <c r="F46">
        <v>4390000</v>
      </c>
      <c r="G46">
        <v>50000</v>
      </c>
      <c r="H46">
        <v>186</v>
      </c>
      <c r="I46">
        <v>4440000</v>
      </c>
      <c r="K46">
        <f t="shared" si="1"/>
        <v>197</v>
      </c>
    </row>
    <row r="47" spans="1:11" x14ac:dyDescent="0.25">
      <c r="A47" t="s">
        <v>89</v>
      </c>
      <c r="B47" t="s">
        <v>88</v>
      </c>
      <c r="C47">
        <v>100000</v>
      </c>
      <c r="E47">
        <v>132</v>
      </c>
      <c r="F47">
        <v>3330000</v>
      </c>
      <c r="G47">
        <v>50000</v>
      </c>
      <c r="H47">
        <v>133</v>
      </c>
      <c r="I47">
        <v>3380000</v>
      </c>
      <c r="K47">
        <f t="shared" si="1"/>
        <v>144</v>
      </c>
    </row>
    <row r="48" spans="1:11" x14ac:dyDescent="0.25">
      <c r="A48" t="s">
        <v>92</v>
      </c>
      <c r="B48" t="s">
        <v>91</v>
      </c>
      <c r="C48">
        <v>100000</v>
      </c>
      <c r="E48">
        <v>185</v>
      </c>
      <c r="F48">
        <v>4390000</v>
      </c>
      <c r="G48">
        <v>50000</v>
      </c>
      <c r="H48">
        <v>186</v>
      </c>
      <c r="I48">
        <v>4440000</v>
      </c>
      <c r="K48">
        <f t="shared" si="1"/>
        <v>197</v>
      </c>
    </row>
    <row r="49" spans="1:11" x14ac:dyDescent="0.25">
      <c r="A49" t="s">
        <v>94</v>
      </c>
      <c r="B49" t="s">
        <v>93</v>
      </c>
      <c r="C49">
        <v>100000</v>
      </c>
      <c r="E49">
        <v>185</v>
      </c>
      <c r="F49">
        <v>4390000</v>
      </c>
      <c r="G49">
        <v>50000</v>
      </c>
      <c r="H49">
        <v>186</v>
      </c>
      <c r="I49">
        <v>4440000</v>
      </c>
      <c r="K49">
        <f t="shared" si="1"/>
        <v>197</v>
      </c>
    </row>
    <row r="50" spans="1:11" x14ac:dyDescent="0.25">
      <c r="A50" t="s">
        <v>96</v>
      </c>
      <c r="B50" t="s">
        <v>95</v>
      </c>
      <c r="C50">
        <v>100000</v>
      </c>
      <c r="E50">
        <v>175</v>
      </c>
      <c r="F50">
        <v>4190000</v>
      </c>
      <c r="G50">
        <v>50000</v>
      </c>
      <c r="H50">
        <v>176</v>
      </c>
      <c r="I50">
        <v>4240000</v>
      </c>
      <c r="K50">
        <f t="shared" si="1"/>
        <v>187</v>
      </c>
    </row>
    <row r="51" spans="1:11" x14ac:dyDescent="0.25">
      <c r="A51" t="s">
        <v>185</v>
      </c>
      <c r="B51" t="s">
        <v>184</v>
      </c>
      <c r="C51">
        <v>100000</v>
      </c>
      <c r="E51">
        <v>132</v>
      </c>
      <c r="F51">
        <v>3330000</v>
      </c>
      <c r="G51">
        <v>50000</v>
      </c>
      <c r="H51">
        <v>133</v>
      </c>
      <c r="I51">
        <v>3380000</v>
      </c>
      <c r="K51">
        <f t="shared" si="1"/>
        <v>144</v>
      </c>
    </row>
    <row r="52" spans="1:11" x14ac:dyDescent="0.25">
      <c r="A52" t="s">
        <v>99</v>
      </c>
      <c r="B52" t="s">
        <v>98</v>
      </c>
      <c r="C52">
        <v>100000</v>
      </c>
      <c r="E52">
        <v>44</v>
      </c>
      <c r="F52">
        <v>1570000</v>
      </c>
      <c r="G52">
        <v>50000</v>
      </c>
      <c r="H52">
        <v>45</v>
      </c>
      <c r="I52">
        <v>1620000</v>
      </c>
      <c r="K52">
        <f t="shared" si="1"/>
        <v>56</v>
      </c>
    </row>
    <row r="53" spans="1:11" x14ac:dyDescent="0.25">
      <c r="A53" t="s">
        <v>101</v>
      </c>
      <c r="B53" t="s">
        <v>100</v>
      </c>
      <c r="C53">
        <v>100000</v>
      </c>
      <c r="E53">
        <v>132</v>
      </c>
      <c r="F53">
        <v>3330000</v>
      </c>
      <c r="G53">
        <v>50000</v>
      </c>
      <c r="H53">
        <v>133</v>
      </c>
      <c r="I53">
        <v>3380000</v>
      </c>
      <c r="K53">
        <f t="shared" si="1"/>
        <v>144</v>
      </c>
    </row>
    <row r="54" spans="1:11" x14ac:dyDescent="0.25">
      <c r="A54" t="s">
        <v>103</v>
      </c>
      <c r="B54" t="s">
        <v>102</v>
      </c>
      <c r="C54">
        <v>100000</v>
      </c>
      <c r="E54">
        <v>107</v>
      </c>
      <c r="F54">
        <v>2830000</v>
      </c>
      <c r="G54">
        <v>50000</v>
      </c>
      <c r="H54">
        <v>108</v>
      </c>
      <c r="I54">
        <v>2880000</v>
      </c>
      <c r="K54">
        <f t="shared" si="1"/>
        <v>119</v>
      </c>
    </row>
    <row r="55" spans="1:11" x14ac:dyDescent="0.25">
      <c r="A55" t="s">
        <v>105</v>
      </c>
      <c r="B55" t="s">
        <v>104</v>
      </c>
      <c r="C55">
        <v>100000</v>
      </c>
      <c r="E55">
        <v>132</v>
      </c>
      <c r="F55">
        <v>3330000</v>
      </c>
      <c r="G55">
        <v>50000</v>
      </c>
      <c r="H55">
        <v>133</v>
      </c>
      <c r="I55">
        <v>3380000</v>
      </c>
      <c r="K55">
        <f t="shared" si="1"/>
        <v>144</v>
      </c>
    </row>
    <row r="56" spans="1:11" x14ac:dyDescent="0.25">
      <c r="A56" t="s">
        <v>107</v>
      </c>
      <c r="B56" t="s">
        <v>106</v>
      </c>
      <c r="C56">
        <v>100000</v>
      </c>
      <c r="E56">
        <v>185</v>
      </c>
      <c r="F56">
        <v>4390000</v>
      </c>
      <c r="G56">
        <v>50000</v>
      </c>
      <c r="H56">
        <v>186</v>
      </c>
      <c r="I56">
        <v>4440000</v>
      </c>
      <c r="K56">
        <f t="shared" si="1"/>
        <v>197</v>
      </c>
    </row>
    <row r="57" spans="1:11" x14ac:dyDescent="0.25">
      <c r="A57" t="s">
        <v>109</v>
      </c>
      <c r="B57" t="s">
        <v>108</v>
      </c>
      <c r="C57">
        <v>100000</v>
      </c>
      <c r="E57">
        <v>185</v>
      </c>
      <c r="F57">
        <v>4390000</v>
      </c>
      <c r="G57">
        <v>50000</v>
      </c>
      <c r="H57">
        <v>186</v>
      </c>
      <c r="I57">
        <v>4440000</v>
      </c>
      <c r="K57">
        <f t="shared" si="1"/>
        <v>197</v>
      </c>
    </row>
    <row r="58" spans="1:11" x14ac:dyDescent="0.25">
      <c r="A58" t="s">
        <v>191</v>
      </c>
      <c r="B58" t="s">
        <v>190</v>
      </c>
      <c r="C58">
        <v>100000</v>
      </c>
      <c r="E58">
        <v>185</v>
      </c>
      <c r="F58">
        <v>4390000</v>
      </c>
      <c r="G58">
        <v>50000</v>
      </c>
      <c r="H58">
        <v>186</v>
      </c>
      <c r="I58">
        <v>4440000</v>
      </c>
      <c r="K58">
        <f t="shared" si="1"/>
        <v>197</v>
      </c>
    </row>
    <row r="59" spans="1:11" x14ac:dyDescent="0.25">
      <c r="A59" t="s">
        <v>221</v>
      </c>
      <c r="B59" t="s">
        <v>110</v>
      </c>
      <c r="C59">
        <v>100000</v>
      </c>
      <c r="E59">
        <v>43</v>
      </c>
      <c r="F59">
        <v>1550000</v>
      </c>
      <c r="G59">
        <v>50000</v>
      </c>
      <c r="H59">
        <v>44</v>
      </c>
      <c r="I59">
        <v>1600000</v>
      </c>
      <c r="K59">
        <f t="shared" si="1"/>
        <v>55</v>
      </c>
    </row>
    <row r="60" spans="1:11" x14ac:dyDescent="0.25">
      <c r="A60" t="s">
        <v>113</v>
      </c>
      <c r="B60" t="s">
        <v>112</v>
      </c>
      <c r="C60">
        <v>100000</v>
      </c>
      <c r="E60">
        <v>154</v>
      </c>
      <c r="F60">
        <v>3770000</v>
      </c>
      <c r="G60">
        <v>50000</v>
      </c>
      <c r="H60">
        <v>155</v>
      </c>
      <c r="I60">
        <v>3820000</v>
      </c>
      <c r="K60">
        <f t="shared" si="1"/>
        <v>166</v>
      </c>
    </row>
    <row r="61" spans="1:11" x14ac:dyDescent="0.25">
      <c r="A61" t="s">
        <v>222</v>
      </c>
      <c r="B61" t="s">
        <v>114</v>
      </c>
      <c r="C61">
        <v>100000</v>
      </c>
      <c r="E61">
        <v>44</v>
      </c>
      <c r="F61">
        <v>1570000</v>
      </c>
      <c r="G61">
        <v>50000</v>
      </c>
      <c r="H61">
        <v>45</v>
      </c>
      <c r="I61">
        <v>1620000</v>
      </c>
      <c r="K61">
        <f t="shared" si="1"/>
        <v>56</v>
      </c>
    </row>
    <row r="62" spans="1:11" x14ac:dyDescent="0.25">
      <c r="A62" t="s">
        <v>189</v>
      </c>
      <c r="B62" t="s">
        <v>188</v>
      </c>
      <c r="C62">
        <v>100000</v>
      </c>
      <c r="E62">
        <v>185</v>
      </c>
      <c r="F62">
        <v>4390000</v>
      </c>
      <c r="G62">
        <v>50000</v>
      </c>
      <c r="H62">
        <v>186</v>
      </c>
      <c r="I62">
        <v>4440000</v>
      </c>
      <c r="K62">
        <f t="shared" si="1"/>
        <v>197</v>
      </c>
    </row>
    <row r="63" spans="1:11" x14ac:dyDescent="0.25">
      <c r="A63" t="s">
        <v>181</v>
      </c>
      <c r="B63" t="s">
        <v>180</v>
      </c>
      <c r="C63">
        <v>100000</v>
      </c>
      <c r="E63">
        <v>185</v>
      </c>
      <c r="F63">
        <v>4390000</v>
      </c>
      <c r="G63">
        <v>50000</v>
      </c>
      <c r="H63">
        <v>186</v>
      </c>
      <c r="I63">
        <v>4440000</v>
      </c>
      <c r="K63">
        <f t="shared" si="1"/>
        <v>197</v>
      </c>
    </row>
    <row r="64" spans="1:11" x14ac:dyDescent="0.25">
      <c r="A64" t="s">
        <v>117</v>
      </c>
      <c r="B64" t="s">
        <v>116</v>
      </c>
      <c r="C64">
        <v>100000</v>
      </c>
      <c r="E64">
        <v>185</v>
      </c>
      <c r="F64">
        <v>4390000</v>
      </c>
      <c r="G64">
        <v>50000</v>
      </c>
      <c r="H64">
        <v>186</v>
      </c>
      <c r="I64">
        <v>4440000</v>
      </c>
      <c r="K64">
        <f t="shared" si="1"/>
        <v>197</v>
      </c>
    </row>
    <row r="65" spans="1:14" x14ac:dyDescent="0.25">
      <c r="A65" t="s">
        <v>119</v>
      </c>
      <c r="B65" t="s">
        <v>118</v>
      </c>
      <c r="C65">
        <v>100000</v>
      </c>
      <c r="E65">
        <v>185</v>
      </c>
      <c r="F65">
        <v>4390000</v>
      </c>
      <c r="G65">
        <v>50000</v>
      </c>
      <c r="H65">
        <v>186</v>
      </c>
      <c r="I65">
        <v>4440000</v>
      </c>
      <c r="K65">
        <f t="shared" si="1"/>
        <v>197</v>
      </c>
    </row>
    <row r="66" spans="1:14" x14ac:dyDescent="0.25">
      <c r="A66" t="s">
        <v>193</v>
      </c>
      <c r="B66" t="s">
        <v>192</v>
      </c>
      <c r="C66">
        <v>100000</v>
      </c>
      <c r="E66">
        <v>185</v>
      </c>
      <c r="F66">
        <v>4390000</v>
      </c>
      <c r="G66">
        <v>50000</v>
      </c>
      <c r="H66">
        <v>186</v>
      </c>
      <c r="I66">
        <v>4440000</v>
      </c>
      <c r="K66">
        <f t="shared" si="1"/>
        <v>197</v>
      </c>
    </row>
    <row r="67" spans="1:14" x14ac:dyDescent="0.25">
      <c r="A67" t="s">
        <v>121</v>
      </c>
      <c r="B67" t="s">
        <v>120</v>
      </c>
      <c r="C67">
        <v>100000</v>
      </c>
      <c r="E67">
        <v>185</v>
      </c>
      <c r="F67">
        <v>4390000</v>
      </c>
      <c r="G67">
        <v>50000</v>
      </c>
      <c r="H67">
        <v>186</v>
      </c>
      <c r="I67">
        <v>4440000</v>
      </c>
      <c r="K67">
        <f t="shared" si="1"/>
        <v>197</v>
      </c>
    </row>
    <row r="68" spans="1:14" x14ac:dyDescent="0.25">
      <c r="A68" t="s">
        <v>123</v>
      </c>
      <c r="B68" t="s">
        <v>122</v>
      </c>
      <c r="C68">
        <v>100000</v>
      </c>
      <c r="E68">
        <v>185</v>
      </c>
      <c r="F68">
        <v>4390000</v>
      </c>
      <c r="G68">
        <v>50000</v>
      </c>
      <c r="H68">
        <v>186</v>
      </c>
      <c r="I68">
        <v>4440000</v>
      </c>
      <c r="K68">
        <f t="shared" si="1"/>
        <v>197</v>
      </c>
    </row>
    <row r="69" spans="1:14" x14ac:dyDescent="0.25">
      <c r="A69" t="s">
        <v>125</v>
      </c>
      <c r="B69" t="s">
        <v>124</v>
      </c>
      <c r="C69">
        <v>100000</v>
      </c>
      <c r="E69">
        <v>185</v>
      </c>
      <c r="F69">
        <v>4390000</v>
      </c>
      <c r="G69">
        <v>50000</v>
      </c>
      <c r="H69">
        <v>186</v>
      </c>
      <c r="I69">
        <v>4440000</v>
      </c>
      <c r="K69">
        <f t="shared" si="1"/>
        <v>197</v>
      </c>
    </row>
    <row r="70" spans="1:14" x14ac:dyDescent="0.25">
      <c r="A70" t="s">
        <v>127</v>
      </c>
      <c r="B70" t="s">
        <v>126</v>
      </c>
      <c r="C70">
        <v>100000</v>
      </c>
      <c r="E70">
        <v>185</v>
      </c>
      <c r="F70">
        <v>4390000</v>
      </c>
      <c r="G70">
        <v>50000</v>
      </c>
      <c r="H70">
        <v>186</v>
      </c>
      <c r="I70">
        <v>4440000</v>
      </c>
      <c r="K70">
        <f t="shared" si="1"/>
        <v>197</v>
      </c>
      <c r="N70" t="s">
        <v>2</v>
      </c>
    </row>
    <row r="71" spans="1:14" x14ac:dyDescent="0.25">
      <c r="A71" t="s">
        <v>129</v>
      </c>
      <c r="B71" t="s">
        <v>128</v>
      </c>
      <c r="C71">
        <v>100000</v>
      </c>
      <c r="E71">
        <v>185</v>
      </c>
      <c r="F71">
        <v>4390000</v>
      </c>
      <c r="G71">
        <v>50000</v>
      </c>
      <c r="H71">
        <v>186</v>
      </c>
      <c r="I71">
        <v>4440000</v>
      </c>
      <c r="K71">
        <f t="shared" si="1"/>
        <v>197</v>
      </c>
    </row>
    <row r="72" spans="1:14" x14ac:dyDescent="0.25">
      <c r="A72" t="s">
        <v>179</v>
      </c>
      <c r="B72" t="s">
        <v>178</v>
      </c>
      <c r="C72">
        <v>100000</v>
      </c>
      <c r="E72">
        <v>185</v>
      </c>
      <c r="F72">
        <v>4390000</v>
      </c>
      <c r="G72">
        <v>50000</v>
      </c>
      <c r="H72">
        <v>186</v>
      </c>
      <c r="I72">
        <v>4440000</v>
      </c>
      <c r="K72">
        <f t="shared" si="1"/>
        <v>197</v>
      </c>
    </row>
    <row r="73" spans="1:14" x14ac:dyDescent="0.25">
      <c r="A73" t="s">
        <v>131</v>
      </c>
      <c r="B73" t="s">
        <v>130</v>
      </c>
      <c r="C73">
        <v>100000</v>
      </c>
      <c r="E73">
        <v>185</v>
      </c>
      <c r="F73">
        <v>4390000</v>
      </c>
      <c r="G73">
        <v>50000</v>
      </c>
      <c r="H73">
        <v>186</v>
      </c>
      <c r="I73">
        <v>4440000</v>
      </c>
      <c r="K73">
        <f t="shared" si="1"/>
        <v>197</v>
      </c>
      <c r="N73" t="s">
        <v>117</v>
      </c>
    </row>
    <row r="74" spans="1:14" x14ac:dyDescent="0.25">
      <c r="A74" t="s">
        <v>133</v>
      </c>
      <c r="B74" t="s">
        <v>132</v>
      </c>
      <c r="C74">
        <v>100000</v>
      </c>
      <c r="E74">
        <v>185</v>
      </c>
      <c r="F74">
        <v>4390000</v>
      </c>
      <c r="G74">
        <v>50000</v>
      </c>
      <c r="H74">
        <v>186</v>
      </c>
      <c r="I74">
        <v>4440000</v>
      </c>
      <c r="K74">
        <f t="shared" si="1"/>
        <v>197</v>
      </c>
      <c r="N74" t="s">
        <v>135</v>
      </c>
    </row>
    <row r="75" spans="1:14" x14ac:dyDescent="0.25">
      <c r="A75" t="s">
        <v>135</v>
      </c>
      <c r="B75" t="s">
        <v>134</v>
      </c>
      <c r="C75">
        <v>100000</v>
      </c>
      <c r="E75">
        <v>185</v>
      </c>
      <c r="F75">
        <v>4390000</v>
      </c>
      <c r="G75">
        <v>50000</v>
      </c>
      <c r="H75">
        <v>186</v>
      </c>
      <c r="I75">
        <v>4440000</v>
      </c>
      <c r="K75">
        <f t="shared" si="1"/>
        <v>197</v>
      </c>
      <c r="N75" t="s">
        <v>127</v>
      </c>
    </row>
    <row r="76" spans="1:14" x14ac:dyDescent="0.25">
      <c r="A76" t="s">
        <v>137</v>
      </c>
      <c r="B76" t="s">
        <v>136</v>
      </c>
      <c r="C76">
        <v>100000</v>
      </c>
      <c r="E76">
        <v>109</v>
      </c>
      <c r="F76">
        <v>2870000</v>
      </c>
      <c r="G76">
        <v>50000</v>
      </c>
      <c r="H76">
        <v>110</v>
      </c>
      <c r="I76">
        <v>2920000</v>
      </c>
      <c r="K76">
        <f t="shared" si="1"/>
        <v>121</v>
      </c>
      <c r="N76" t="s">
        <v>141</v>
      </c>
    </row>
    <row r="77" spans="1:14" x14ac:dyDescent="0.25">
      <c r="A77" t="s">
        <v>195</v>
      </c>
      <c r="B77" t="s">
        <v>194</v>
      </c>
      <c r="C77">
        <v>100000</v>
      </c>
      <c r="E77">
        <v>185</v>
      </c>
      <c r="F77">
        <v>4390000</v>
      </c>
      <c r="G77">
        <v>50000</v>
      </c>
      <c r="H77">
        <v>186</v>
      </c>
      <c r="I77">
        <v>4440000</v>
      </c>
      <c r="K77">
        <f t="shared" si="1"/>
        <v>197</v>
      </c>
      <c r="N77" t="s">
        <v>125</v>
      </c>
    </row>
    <row r="78" spans="1:14" x14ac:dyDescent="0.25">
      <c r="A78" t="s">
        <v>139</v>
      </c>
      <c r="B78" t="s">
        <v>138</v>
      </c>
      <c r="C78">
        <v>100000</v>
      </c>
      <c r="E78">
        <v>185</v>
      </c>
      <c r="F78">
        <v>4390000</v>
      </c>
      <c r="G78">
        <v>50000</v>
      </c>
      <c r="H78">
        <v>186</v>
      </c>
      <c r="I78">
        <v>4440000</v>
      </c>
      <c r="K78">
        <f t="shared" si="1"/>
        <v>197</v>
      </c>
      <c r="N78" t="s">
        <v>43</v>
      </c>
    </row>
    <row r="79" spans="1:14" x14ac:dyDescent="0.25">
      <c r="A79" t="s">
        <v>141</v>
      </c>
      <c r="B79" t="s">
        <v>140</v>
      </c>
      <c r="C79">
        <v>100000</v>
      </c>
      <c r="E79">
        <v>185</v>
      </c>
      <c r="F79">
        <v>4390000</v>
      </c>
      <c r="G79">
        <v>50000</v>
      </c>
      <c r="H79">
        <v>186</v>
      </c>
      <c r="I79">
        <v>4440000</v>
      </c>
      <c r="K79">
        <f t="shared" si="1"/>
        <v>197</v>
      </c>
      <c r="N79" t="s">
        <v>81</v>
      </c>
    </row>
    <row r="80" spans="1:14" x14ac:dyDescent="0.25">
      <c r="A80" t="s">
        <v>143</v>
      </c>
      <c r="B80" t="s">
        <v>142</v>
      </c>
      <c r="C80">
        <v>100000</v>
      </c>
      <c r="E80">
        <v>185</v>
      </c>
      <c r="F80">
        <v>4390000</v>
      </c>
      <c r="G80">
        <v>50000</v>
      </c>
      <c r="H80">
        <v>186</v>
      </c>
      <c r="I80">
        <v>4440000</v>
      </c>
      <c r="K80">
        <f t="shared" si="1"/>
        <v>197</v>
      </c>
      <c r="N80" t="s">
        <v>87</v>
      </c>
    </row>
    <row r="81" spans="1:14" x14ac:dyDescent="0.25">
      <c r="A81" t="s">
        <v>145</v>
      </c>
      <c r="B81" t="s">
        <v>144</v>
      </c>
      <c r="C81">
        <v>100000</v>
      </c>
      <c r="E81">
        <v>132</v>
      </c>
      <c r="F81">
        <v>3330000</v>
      </c>
      <c r="G81">
        <v>50000</v>
      </c>
      <c r="H81">
        <v>133</v>
      </c>
      <c r="I81">
        <v>3380000</v>
      </c>
      <c r="K81">
        <f t="shared" si="1"/>
        <v>144</v>
      </c>
      <c r="N81" t="s">
        <v>73</v>
      </c>
    </row>
    <row r="82" spans="1:14" x14ac:dyDescent="0.25">
      <c r="A82" t="s">
        <v>147</v>
      </c>
      <c r="B82" t="s">
        <v>146</v>
      </c>
      <c r="C82">
        <v>100000</v>
      </c>
      <c r="E82">
        <v>185</v>
      </c>
      <c r="F82">
        <v>4390000</v>
      </c>
      <c r="G82">
        <v>50000</v>
      </c>
      <c r="H82">
        <v>186</v>
      </c>
      <c r="I82">
        <v>4440000</v>
      </c>
      <c r="K82">
        <f t="shared" si="1"/>
        <v>197</v>
      </c>
      <c r="N82" t="s">
        <v>47</v>
      </c>
    </row>
    <row r="83" spans="1:14" x14ac:dyDescent="0.25">
      <c r="A83" t="s">
        <v>149</v>
      </c>
      <c r="B83" t="s">
        <v>148</v>
      </c>
      <c r="C83">
        <v>100000</v>
      </c>
      <c r="E83">
        <v>107</v>
      </c>
      <c r="F83">
        <v>2830000</v>
      </c>
      <c r="G83">
        <v>50000</v>
      </c>
      <c r="H83">
        <v>108</v>
      </c>
      <c r="I83">
        <v>2880000</v>
      </c>
      <c r="K83">
        <f t="shared" si="1"/>
        <v>119</v>
      </c>
      <c r="N83" t="s">
        <v>133</v>
      </c>
    </row>
    <row r="84" spans="1:14" x14ac:dyDescent="0.25">
      <c r="A84" t="s">
        <v>199</v>
      </c>
      <c r="B84" t="s">
        <v>198</v>
      </c>
      <c r="C84">
        <v>100000</v>
      </c>
      <c r="E84">
        <v>185</v>
      </c>
      <c r="F84">
        <v>4390000</v>
      </c>
      <c r="G84">
        <v>50000</v>
      </c>
      <c r="H84">
        <v>186</v>
      </c>
      <c r="I84">
        <v>4440000</v>
      </c>
      <c r="K84">
        <f t="shared" si="1"/>
        <v>197</v>
      </c>
      <c r="N84" t="s">
        <v>147</v>
      </c>
    </row>
    <row r="85" spans="1:14" x14ac:dyDescent="0.25">
      <c r="A85" t="s">
        <v>151</v>
      </c>
      <c r="B85" t="s">
        <v>150</v>
      </c>
      <c r="C85">
        <v>100000</v>
      </c>
      <c r="E85">
        <v>185</v>
      </c>
      <c r="F85">
        <v>4390000</v>
      </c>
      <c r="G85">
        <v>50000</v>
      </c>
      <c r="H85">
        <v>186</v>
      </c>
      <c r="I85">
        <v>4440000</v>
      </c>
      <c r="K85">
        <f t="shared" si="1"/>
        <v>197</v>
      </c>
      <c r="N85" t="s">
        <v>151</v>
      </c>
    </row>
    <row r="86" spans="1:14" x14ac:dyDescent="0.25">
      <c r="A86" t="s">
        <v>153</v>
      </c>
      <c r="B86" t="s">
        <v>152</v>
      </c>
      <c r="C86">
        <v>100000</v>
      </c>
      <c r="E86">
        <v>185</v>
      </c>
      <c r="F86">
        <v>4390000</v>
      </c>
      <c r="G86">
        <v>50000</v>
      </c>
      <c r="H86">
        <v>186</v>
      </c>
      <c r="I86">
        <v>4440000</v>
      </c>
      <c r="K86">
        <f t="shared" si="1"/>
        <v>197</v>
      </c>
      <c r="N86" t="s">
        <v>65</v>
      </c>
    </row>
    <row r="87" spans="1:14" x14ac:dyDescent="0.25">
      <c r="A87" t="s">
        <v>155</v>
      </c>
      <c r="B87" t="s">
        <v>154</v>
      </c>
      <c r="C87">
        <v>100000</v>
      </c>
      <c r="E87">
        <v>109</v>
      </c>
      <c r="F87">
        <v>2870000</v>
      </c>
      <c r="G87">
        <v>50000</v>
      </c>
      <c r="H87">
        <v>110</v>
      </c>
      <c r="I87">
        <v>2920000</v>
      </c>
      <c r="K87">
        <f t="shared" si="1"/>
        <v>121</v>
      </c>
      <c r="N87" t="s">
        <v>53</v>
      </c>
    </row>
    <row r="88" spans="1:14" x14ac:dyDescent="0.25">
      <c r="A88" t="s">
        <v>157</v>
      </c>
      <c r="B88" t="s">
        <v>156</v>
      </c>
      <c r="C88">
        <v>100000</v>
      </c>
      <c r="E88">
        <v>185</v>
      </c>
      <c r="F88">
        <v>4390000</v>
      </c>
      <c r="G88">
        <v>50000</v>
      </c>
      <c r="H88">
        <v>186</v>
      </c>
      <c r="I88">
        <v>4440000</v>
      </c>
      <c r="K88">
        <f t="shared" si="1"/>
        <v>197</v>
      </c>
      <c r="N88" t="s">
        <v>121</v>
      </c>
    </row>
    <row r="89" spans="1:14" x14ac:dyDescent="0.25">
      <c r="A89" t="s">
        <v>159</v>
      </c>
      <c r="B89" t="s">
        <v>158</v>
      </c>
      <c r="C89">
        <v>100000</v>
      </c>
      <c r="E89">
        <v>107</v>
      </c>
      <c r="F89">
        <v>2830000</v>
      </c>
      <c r="G89">
        <v>50000</v>
      </c>
      <c r="H89">
        <v>108</v>
      </c>
      <c r="I89">
        <v>2880000</v>
      </c>
      <c r="K89">
        <f t="shared" si="1"/>
        <v>119</v>
      </c>
      <c r="N89" t="s">
        <v>41</v>
      </c>
    </row>
    <row r="90" spans="1:14" x14ac:dyDescent="0.25">
      <c r="A90" t="s">
        <v>161</v>
      </c>
      <c r="B90" t="s">
        <v>160</v>
      </c>
      <c r="C90">
        <v>100000</v>
      </c>
      <c r="E90">
        <v>154</v>
      </c>
      <c r="F90">
        <v>3770000</v>
      </c>
      <c r="G90">
        <v>50000</v>
      </c>
      <c r="H90">
        <v>155</v>
      </c>
      <c r="I90">
        <v>3820000</v>
      </c>
      <c r="K90">
        <f t="shared" si="1"/>
        <v>166</v>
      </c>
      <c r="N90" t="s">
        <v>51</v>
      </c>
    </row>
    <row r="91" spans="1:14" x14ac:dyDescent="0.25">
      <c r="A91" t="s">
        <v>163</v>
      </c>
      <c r="B91" t="s">
        <v>162</v>
      </c>
      <c r="C91">
        <v>100000</v>
      </c>
      <c r="F91">
        <v>2680000</v>
      </c>
      <c r="G91">
        <v>0</v>
      </c>
      <c r="I91">
        <v>2680000</v>
      </c>
      <c r="K91">
        <f t="shared" si="1"/>
        <v>11</v>
      </c>
      <c r="N91" t="s">
        <v>219</v>
      </c>
    </row>
    <row r="92" spans="1:14" x14ac:dyDescent="0.25">
      <c r="A92" t="s">
        <v>166</v>
      </c>
      <c r="B92" t="s">
        <v>165</v>
      </c>
      <c r="C92">
        <v>100000</v>
      </c>
      <c r="F92">
        <v>2060000</v>
      </c>
      <c r="G92">
        <v>0</v>
      </c>
      <c r="I92">
        <v>2060000</v>
      </c>
      <c r="K92">
        <f t="shared" si="1"/>
        <v>11</v>
      </c>
      <c r="N92" t="s">
        <v>55</v>
      </c>
    </row>
    <row r="93" spans="1:14" x14ac:dyDescent="0.25">
      <c r="A93" t="s">
        <v>168</v>
      </c>
      <c r="B93" t="s">
        <v>167</v>
      </c>
      <c r="C93">
        <v>100000</v>
      </c>
      <c r="F93">
        <v>700000</v>
      </c>
      <c r="G93">
        <v>0</v>
      </c>
      <c r="I93">
        <v>700000</v>
      </c>
      <c r="K93">
        <f t="shared" si="1"/>
        <v>11</v>
      </c>
      <c r="N93" t="s">
        <v>23</v>
      </c>
    </row>
    <row r="94" spans="1:14" x14ac:dyDescent="0.25">
      <c r="A94" t="s">
        <v>170</v>
      </c>
      <c r="B94" t="s">
        <v>169</v>
      </c>
      <c r="C94">
        <v>100000</v>
      </c>
      <c r="E94">
        <v>17</v>
      </c>
      <c r="F94">
        <v>850000</v>
      </c>
      <c r="G94">
        <v>50000</v>
      </c>
      <c r="H94">
        <v>18</v>
      </c>
      <c r="I94">
        <v>900000</v>
      </c>
      <c r="K94">
        <f t="shared" si="1"/>
        <v>29</v>
      </c>
      <c r="N94" t="s">
        <v>79</v>
      </c>
    </row>
    <row r="95" spans="1:14" x14ac:dyDescent="0.25">
      <c r="N95" t="s">
        <v>109</v>
      </c>
    </row>
    <row r="96" spans="1:14" x14ac:dyDescent="0.25">
      <c r="A96" t="s">
        <v>205</v>
      </c>
      <c r="B96" t="s">
        <v>204</v>
      </c>
      <c r="C96">
        <v>100000</v>
      </c>
      <c r="F96">
        <v>3720000</v>
      </c>
      <c r="G96">
        <v>0</v>
      </c>
      <c r="I96">
        <v>3720000</v>
      </c>
      <c r="K96">
        <v>3820000</v>
      </c>
      <c r="N96" t="s">
        <v>8</v>
      </c>
    </row>
    <row r="97" spans="1:14" x14ac:dyDescent="0.25">
      <c r="A97" t="s">
        <v>203</v>
      </c>
      <c r="C97">
        <v>0</v>
      </c>
      <c r="F97">
        <v>0</v>
      </c>
      <c r="G97">
        <v>0</v>
      </c>
      <c r="I97">
        <v>0</v>
      </c>
      <c r="K97">
        <v>0</v>
      </c>
      <c r="N97" t="s">
        <v>39</v>
      </c>
    </row>
    <row r="98" spans="1:14" x14ac:dyDescent="0.25">
      <c r="A98" t="s">
        <v>209</v>
      </c>
      <c r="C98">
        <v>100000</v>
      </c>
      <c r="F98">
        <v>4240000</v>
      </c>
      <c r="G98">
        <v>0</v>
      </c>
      <c r="I98">
        <v>4240000</v>
      </c>
      <c r="K98">
        <v>4340000</v>
      </c>
      <c r="N98" t="s">
        <v>129</v>
      </c>
    </row>
    <row r="99" spans="1:14" x14ac:dyDescent="0.25">
      <c r="A99" t="s">
        <v>211</v>
      </c>
      <c r="C99">
        <v>100000</v>
      </c>
      <c r="F99">
        <v>4140000</v>
      </c>
      <c r="G99">
        <v>0</v>
      </c>
      <c r="I99">
        <v>4140000</v>
      </c>
      <c r="K99">
        <v>4240000</v>
      </c>
      <c r="N99" t="s">
        <v>131</v>
      </c>
    </row>
    <row r="100" spans="1:14" x14ac:dyDescent="0.25">
      <c r="A100" t="s">
        <v>206</v>
      </c>
      <c r="C100">
        <v>0</v>
      </c>
      <c r="F100">
        <v>0</v>
      </c>
      <c r="G100">
        <v>0</v>
      </c>
      <c r="I100">
        <v>0</v>
      </c>
      <c r="K100">
        <v>0</v>
      </c>
      <c r="N100" t="s">
        <v>92</v>
      </c>
    </row>
    <row r="101" spans="1:14" x14ac:dyDescent="0.25">
      <c r="A101" t="s">
        <v>208</v>
      </c>
      <c r="C101">
        <v>100000</v>
      </c>
      <c r="F101">
        <v>3840000</v>
      </c>
      <c r="G101">
        <v>0</v>
      </c>
      <c r="I101">
        <v>3840000</v>
      </c>
      <c r="K101">
        <v>3940000</v>
      </c>
      <c r="N101" t="s">
        <v>33</v>
      </c>
    </row>
    <row r="102" spans="1:14" x14ac:dyDescent="0.25">
      <c r="N102" t="s">
        <v>123</v>
      </c>
    </row>
    <row r="103" spans="1:14" x14ac:dyDescent="0.25">
      <c r="N103" t="s">
        <v>139</v>
      </c>
    </row>
    <row r="104" spans="1:14" x14ac:dyDescent="0.25">
      <c r="N104" t="s">
        <v>107</v>
      </c>
    </row>
    <row r="105" spans="1:14" x14ac:dyDescent="0.25">
      <c r="N105" t="s">
        <v>157</v>
      </c>
    </row>
    <row r="106" spans="1:14" x14ac:dyDescent="0.25">
      <c r="N106" t="s">
        <v>143</v>
      </c>
    </row>
    <row r="107" spans="1:14" x14ac:dyDescent="0.25">
      <c r="N107" t="s">
        <v>67</v>
      </c>
    </row>
    <row r="108" spans="1:14" x14ac:dyDescent="0.25">
      <c r="N108" t="s">
        <v>119</v>
      </c>
    </row>
    <row r="109" spans="1:14" x14ac:dyDescent="0.25">
      <c r="N109" t="s">
        <v>57</v>
      </c>
    </row>
    <row r="110" spans="1:14" x14ac:dyDescent="0.25">
      <c r="N110" t="s">
        <v>85</v>
      </c>
    </row>
    <row r="111" spans="1:14" x14ac:dyDescent="0.25">
      <c r="N111" t="s">
        <v>13</v>
      </c>
    </row>
    <row r="112" spans="1:14" x14ac:dyDescent="0.25">
      <c r="N112" t="s">
        <v>153</v>
      </c>
    </row>
    <row r="113" spans="14:14" x14ac:dyDescent="0.25">
      <c r="N113" t="s">
        <v>37</v>
      </c>
    </row>
    <row r="114" spans="14:14" x14ac:dyDescent="0.25">
      <c r="N114" t="s">
        <v>35</v>
      </c>
    </row>
    <row r="115" spans="14:14" x14ac:dyDescent="0.25">
      <c r="N115" t="s">
        <v>61</v>
      </c>
    </row>
    <row r="116" spans="14:14" x14ac:dyDescent="0.25">
      <c r="N116" t="s">
        <v>96</v>
      </c>
    </row>
    <row r="117" spans="14:14" x14ac:dyDescent="0.25">
      <c r="N117" t="s">
        <v>69</v>
      </c>
    </row>
    <row r="118" spans="14:14" x14ac:dyDescent="0.25">
      <c r="N118" t="s">
        <v>59</v>
      </c>
    </row>
    <row r="119" spans="14:14" x14ac:dyDescent="0.25">
      <c r="N119" t="s">
        <v>29</v>
      </c>
    </row>
    <row r="120" spans="14:14" x14ac:dyDescent="0.25">
      <c r="N120" t="s">
        <v>161</v>
      </c>
    </row>
    <row r="121" spans="14:14" x14ac:dyDescent="0.25">
      <c r="N121" t="s">
        <v>113</v>
      </c>
    </row>
    <row r="122" spans="14:14" x14ac:dyDescent="0.25">
      <c r="N122" t="s">
        <v>75</v>
      </c>
    </row>
    <row r="123" spans="14:14" x14ac:dyDescent="0.25">
      <c r="N123" t="s">
        <v>31</v>
      </c>
    </row>
    <row r="124" spans="14:14" x14ac:dyDescent="0.25">
      <c r="N124" t="s">
        <v>218</v>
      </c>
    </row>
    <row r="125" spans="14:14" x14ac:dyDescent="0.25">
      <c r="N125" t="s">
        <v>49</v>
      </c>
    </row>
    <row r="126" spans="14:14" x14ac:dyDescent="0.25">
      <c r="N126" t="s">
        <v>25</v>
      </c>
    </row>
    <row r="127" spans="14:14" x14ac:dyDescent="0.25">
      <c r="N127" t="s">
        <v>27</v>
      </c>
    </row>
    <row r="128" spans="14:14" x14ac:dyDescent="0.25">
      <c r="N128" t="s">
        <v>15</v>
      </c>
    </row>
    <row r="129" spans="1:14" x14ac:dyDescent="0.25">
      <c r="N129" t="s">
        <v>101</v>
      </c>
    </row>
    <row r="130" spans="1:14" x14ac:dyDescent="0.25">
      <c r="A130" t="s">
        <v>2</v>
      </c>
      <c r="N130" t="s">
        <v>105</v>
      </c>
    </row>
    <row r="131" spans="1:14" x14ac:dyDescent="0.25">
      <c r="N131" t="s">
        <v>145</v>
      </c>
    </row>
    <row r="132" spans="1:14" x14ac:dyDescent="0.25">
      <c r="N132" t="s">
        <v>89</v>
      </c>
    </row>
    <row r="133" spans="1:14" x14ac:dyDescent="0.25">
      <c r="A133" t="s">
        <v>117</v>
      </c>
      <c r="N133" t="s">
        <v>155</v>
      </c>
    </row>
    <row r="134" spans="1:14" x14ac:dyDescent="0.25">
      <c r="A134" t="s">
        <v>127</v>
      </c>
      <c r="N134" t="s">
        <v>137</v>
      </c>
    </row>
    <row r="135" spans="1:14" x14ac:dyDescent="0.25">
      <c r="A135" t="s">
        <v>141</v>
      </c>
      <c r="N135" t="s">
        <v>103</v>
      </c>
    </row>
    <row r="136" spans="1:14" x14ac:dyDescent="0.25">
      <c r="A136" t="s">
        <v>125</v>
      </c>
      <c r="N136" t="s">
        <v>149</v>
      </c>
    </row>
    <row r="137" spans="1:14" x14ac:dyDescent="0.25">
      <c r="A137" t="s">
        <v>43</v>
      </c>
      <c r="N137" t="s">
        <v>159</v>
      </c>
    </row>
    <row r="138" spans="1:14" x14ac:dyDescent="0.25">
      <c r="A138" t="s">
        <v>81</v>
      </c>
      <c r="N138" t="s">
        <v>83</v>
      </c>
    </row>
    <row r="139" spans="1:14" x14ac:dyDescent="0.25">
      <c r="A139" t="s">
        <v>87</v>
      </c>
      <c r="N139" t="s">
        <v>18</v>
      </c>
    </row>
    <row r="140" spans="1:14" x14ac:dyDescent="0.25">
      <c r="A140" t="s">
        <v>73</v>
      </c>
      <c r="N140" t="s">
        <v>99</v>
      </c>
    </row>
    <row r="141" spans="1:14" x14ac:dyDescent="0.25">
      <c r="A141" t="s">
        <v>47</v>
      </c>
      <c r="N141" t="s">
        <v>222</v>
      </c>
    </row>
    <row r="142" spans="1:14" x14ac:dyDescent="0.25">
      <c r="A142" t="s">
        <v>133</v>
      </c>
      <c r="N142" t="s">
        <v>20</v>
      </c>
    </row>
    <row r="143" spans="1:14" x14ac:dyDescent="0.25">
      <c r="A143" t="s">
        <v>147</v>
      </c>
      <c r="N143" t="s">
        <v>221</v>
      </c>
    </row>
    <row r="144" spans="1:14" x14ac:dyDescent="0.25">
      <c r="A144" t="s">
        <v>151</v>
      </c>
      <c r="N144" t="s">
        <v>77</v>
      </c>
    </row>
    <row r="145" spans="1:14" x14ac:dyDescent="0.25">
      <c r="A145" t="s">
        <v>65</v>
      </c>
      <c r="N145" t="s">
        <v>170</v>
      </c>
    </row>
    <row r="146" spans="1:14" x14ac:dyDescent="0.25">
      <c r="A146" t="s">
        <v>53</v>
      </c>
      <c r="N146" t="s">
        <v>172</v>
      </c>
    </row>
    <row r="147" spans="1:14" x14ac:dyDescent="0.25">
      <c r="A147" t="s">
        <v>121</v>
      </c>
      <c r="N147" t="s">
        <v>173</v>
      </c>
    </row>
    <row r="148" spans="1:14" x14ac:dyDescent="0.25">
      <c r="A148" t="s">
        <v>41</v>
      </c>
      <c r="N148" t="s">
        <v>229</v>
      </c>
    </row>
    <row r="149" spans="1:14" x14ac:dyDescent="0.25">
      <c r="A149" t="s">
        <v>51</v>
      </c>
      <c r="N149" t="s">
        <v>230</v>
      </c>
    </row>
    <row r="150" spans="1:14" x14ac:dyDescent="0.25">
      <c r="A150" t="s">
        <v>219</v>
      </c>
    </row>
    <row r="151" spans="1:14" x14ac:dyDescent="0.25">
      <c r="A151" t="s">
        <v>55</v>
      </c>
    </row>
    <row r="152" spans="1:14" x14ac:dyDescent="0.25">
      <c r="A152" t="s">
        <v>23</v>
      </c>
    </row>
    <row r="153" spans="1:14" x14ac:dyDescent="0.25">
      <c r="A153" t="s">
        <v>79</v>
      </c>
    </row>
    <row r="154" spans="1:14" x14ac:dyDescent="0.25">
      <c r="A154" t="s">
        <v>109</v>
      </c>
    </row>
    <row r="155" spans="1:14" x14ac:dyDescent="0.25">
      <c r="A155" t="s">
        <v>8</v>
      </c>
    </row>
    <row r="156" spans="1:14" x14ac:dyDescent="0.25">
      <c r="A156" t="s">
        <v>39</v>
      </c>
    </row>
    <row r="157" spans="1:14" x14ac:dyDescent="0.25">
      <c r="A157" t="s">
        <v>129</v>
      </c>
    </row>
    <row r="158" spans="1:14" x14ac:dyDescent="0.25">
      <c r="A158" t="s">
        <v>131</v>
      </c>
    </row>
    <row r="159" spans="1:14" x14ac:dyDescent="0.25">
      <c r="A159" t="s">
        <v>92</v>
      </c>
    </row>
    <row r="160" spans="1:14" x14ac:dyDescent="0.25">
      <c r="A160" t="s">
        <v>33</v>
      </c>
    </row>
    <row r="161" spans="1:1" x14ac:dyDescent="0.25">
      <c r="A161" t="s">
        <v>123</v>
      </c>
    </row>
    <row r="162" spans="1:1" x14ac:dyDescent="0.25">
      <c r="A162" t="s">
        <v>139</v>
      </c>
    </row>
    <row r="163" spans="1:1" x14ac:dyDescent="0.25">
      <c r="A163" t="s">
        <v>107</v>
      </c>
    </row>
    <row r="164" spans="1:1" x14ac:dyDescent="0.25">
      <c r="A164" t="s">
        <v>157</v>
      </c>
    </row>
    <row r="165" spans="1:1" x14ac:dyDescent="0.25">
      <c r="A165" t="s">
        <v>143</v>
      </c>
    </row>
    <row r="166" spans="1:1" x14ac:dyDescent="0.25">
      <c r="A166" t="s">
        <v>67</v>
      </c>
    </row>
    <row r="167" spans="1:1" x14ac:dyDescent="0.25">
      <c r="A167" t="s">
        <v>119</v>
      </c>
    </row>
    <row r="168" spans="1:1" x14ac:dyDescent="0.25">
      <c r="A168" t="s">
        <v>57</v>
      </c>
    </row>
    <row r="169" spans="1:1" x14ac:dyDescent="0.25">
      <c r="A169" t="s">
        <v>85</v>
      </c>
    </row>
    <row r="170" spans="1:1" x14ac:dyDescent="0.25">
      <c r="A170" t="s">
        <v>13</v>
      </c>
    </row>
    <row r="171" spans="1:1" x14ac:dyDescent="0.25">
      <c r="A171" t="s">
        <v>153</v>
      </c>
    </row>
    <row r="172" spans="1:1" x14ac:dyDescent="0.25">
      <c r="A172" t="s">
        <v>37</v>
      </c>
    </row>
    <row r="173" spans="1:1" x14ac:dyDescent="0.25">
      <c r="A173" t="s">
        <v>35</v>
      </c>
    </row>
    <row r="174" spans="1:1" x14ac:dyDescent="0.25">
      <c r="A174" t="s">
        <v>61</v>
      </c>
    </row>
    <row r="175" spans="1:1" x14ac:dyDescent="0.25">
      <c r="A175" t="s">
        <v>96</v>
      </c>
    </row>
    <row r="176" spans="1:1" x14ac:dyDescent="0.25">
      <c r="A176" t="s">
        <v>69</v>
      </c>
    </row>
    <row r="177" spans="1:1" x14ac:dyDescent="0.25">
      <c r="A177" t="s">
        <v>59</v>
      </c>
    </row>
    <row r="178" spans="1:1" x14ac:dyDescent="0.25">
      <c r="A178" t="s">
        <v>29</v>
      </c>
    </row>
    <row r="179" spans="1:1" x14ac:dyDescent="0.25">
      <c r="A179" t="s">
        <v>161</v>
      </c>
    </row>
    <row r="180" spans="1:1" x14ac:dyDescent="0.25">
      <c r="A180" t="s">
        <v>113</v>
      </c>
    </row>
    <row r="181" spans="1:1" x14ac:dyDescent="0.25">
      <c r="A181" t="s">
        <v>75</v>
      </c>
    </row>
    <row r="182" spans="1:1" x14ac:dyDescent="0.25">
      <c r="A182" t="s">
        <v>31</v>
      </c>
    </row>
    <row r="183" spans="1:1" x14ac:dyDescent="0.25">
      <c r="A183" t="s">
        <v>218</v>
      </c>
    </row>
    <row r="184" spans="1:1" x14ac:dyDescent="0.25">
      <c r="A184" t="s">
        <v>49</v>
      </c>
    </row>
    <row r="185" spans="1:1" x14ac:dyDescent="0.25">
      <c r="A185" t="s">
        <v>25</v>
      </c>
    </row>
    <row r="186" spans="1:1" x14ac:dyDescent="0.25">
      <c r="A186" t="s">
        <v>27</v>
      </c>
    </row>
    <row r="187" spans="1:1" x14ac:dyDescent="0.25">
      <c r="A187" t="s">
        <v>15</v>
      </c>
    </row>
    <row r="188" spans="1:1" x14ac:dyDescent="0.25">
      <c r="A188" t="s">
        <v>101</v>
      </c>
    </row>
    <row r="189" spans="1:1" x14ac:dyDescent="0.25">
      <c r="A189" t="s">
        <v>105</v>
      </c>
    </row>
    <row r="190" spans="1:1" x14ac:dyDescent="0.25">
      <c r="A190" t="s">
        <v>145</v>
      </c>
    </row>
    <row r="191" spans="1:1" x14ac:dyDescent="0.25">
      <c r="A191" t="s">
        <v>89</v>
      </c>
    </row>
    <row r="192" spans="1:1" x14ac:dyDescent="0.25">
      <c r="A192" t="s">
        <v>155</v>
      </c>
    </row>
    <row r="193" spans="1:1" x14ac:dyDescent="0.25">
      <c r="A193" t="s">
        <v>137</v>
      </c>
    </row>
    <row r="194" spans="1:1" x14ac:dyDescent="0.25">
      <c r="A194" t="s">
        <v>103</v>
      </c>
    </row>
    <row r="195" spans="1:1" x14ac:dyDescent="0.25">
      <c r="A195" t="s">
        <v>149</v>
      </c>
    </row>
    <row r="196" spans="1:1" x14ac:dyDescent="0.25">
      <c r="A196" t="s">
        <v>159</v>
      </c>
    </row>
    <row r="197" spans="1:1" x14ac:dyDescent="0.25">
      <c r="A197" t="s">
        <v>83</v>
      </c>
    </row>
    <row r="198" spans="1:1" x14ac:dyDescent="0.25">
      <c r="A198" t="s">
        <v>18</v>
      </c>
    </row>
    <row r="199" spans="1:1" x14ac:dyDescent="0.25">
      <c r="A199" t="s">
        <v>99</v>
      </c>
    </row>
    <row r="200" spans="1:1" x14ac:dyDescent="0.25">
      <c r="A200" t="s">
        <v>222</v>
      </c>
    </row>
    <row r="201" spans="1:1" x14ac:dyDescent="0.25">
      <c r="A201" t="s">
        <v>20</v>
      </c>
    </row>
    <row r="202" spans="1:1" x14ac:dyDescent="0.25">
      <c r="A202" t="s">
        <v>221</v>
      </c>
    </row>
    <row r="203" spans="1:1" x14ac:dyDescent="0.25">
      <c r="A203" t="s">
        <v>77</v>
      </c>
    </row>
    <row r="204" spans="1:1" x14ac:dyDescent="0.25">
      <c r="A204" t="s">
        <v>170</v>
      </c>
    </row>
    <row r="205" spans="1:1" x14ac:dyDescent="0.25">
      <c r="A205" t="s">
        <v>172</v>
      </c>
    </row>
    <row r="206" spans="1:1" x14ac:dyDescent="0.25">
      <c r="A206" t="s">
        <v>173</v>
      </c>
    </row>
    <row r="207" spans="1:1" x14ac:dyDescent="0.25">
      <c r="A207" t="s">
        <v>229</v>
      </c>
    </row>
    <row r="208" spans="1:1" x14ac:dyDescent="0.25">
      <c r="A208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PT. Gresik Cipta Sejahtera</dc:creator>
  <cp:lastModifiedBy>PT. Gresik Cipta Sejahtera</cp:lastModifiedBy>
  <dcterms:created xsi:type="dcterms:W3CDTF">2026-06-11T02:43:38Z</dcterms:created>
  <dcterms:modified xsi:type="dcterms:W3CDTF">2026-09-16T04:52:23Z</dcterms:modified>
</cp:coreProperties>
</file>