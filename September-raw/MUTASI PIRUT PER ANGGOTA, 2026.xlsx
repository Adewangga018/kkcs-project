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315BFB71-6F6E-411C-9974-A07F1956C71D}" xr6:coauthVersionLast="47" xr6:coauthVersionMax="47" xr10:uidLastSave="{00000000-0000-0000-0000-000000000000}"/>
  <bookViews>
    <workbookView xWindow="-120" yWindow="-120" windowWidth="29040" windowHeight="15720" xr2:uid="{334B5B54-2FC0-4B9F-B93B-5CFBAE2387FA}"/>
  </bookViews>
  <sheets>
    <sheet name="2026" sheetId="4" r:id="rId1"/>
    <sheet name="Sheet1" sheetId="5" r:id="rId2"/>
  </sheets>
  <externalReferences>
    <externalReference r:id="rId3"/>
  </externalReferences>
  <definedNames>
    <definedName name="_xlnm._FilterDatabase" localSheetId="0" hidden="1">'2026'!$B$7:$K$100</definedName>
    <definedName name="ACC">#REF!</definedName>
    <definedName name="ACCOUNT">#REF!</definedName>
    <definedName name="AKUN">#REF!</definedName>
    <definedName name="AKUNDUA">#REF!</definedName>
    <definedName name="AKUNEMPAT">#REF!</definedName>
    <definedName name="akunlima">[1]AKUNLIMA!$A$2:$C$310</definedName>
    <definedName name="AKUNTIGA">#REF!</definedName>
    <definedName name="asa">#REF!</definedName>
    <definedName name="_xlnm.Database">#REF!</definedName>
    <definedName name="JAN">#REF!</definedName>
    <definedName name="OMSET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4" l="1"/>
  <c r="P29" i="4" s="1"/>
  <c r="V29" i="4" s="1"/>
  <c r="AB29" i="4" s="1"/>
  <c r="J13" i="4"/>
  <c r="P13" i="4" s="1"/>
  <c r="V13" i="4" s="1"/>
  <c r="AB13" i="4" s="1"/>
  <c r="AH13" i="4" s="1"/>
  <c r="AN13" i="4" s="1"/>
  <c r="AT13" i="4" s="1"/>
  <c r="AZ13" i="4" s="1"/>
  <c r="BF13" i="4" s="1"/>
  <c r="BL13" i="4" s="1"/>
  <c r="BR13" i="4" s="1"/>
  <c r="BX13" i="4" s="1"/>
  <c r="AH29" i="4" l="1"/>
  <c r="AN29" i="4" s="1"/>
  <c r="AT29" i="4" s="1"/>
  <c r="AZ29" i="4" s="1"/>
  <c r="BF29" i="4" s="1"/>
  <c r="BL29" i="4" s="1"/>
  <c r="BR29" i="4" s="1"/>
  <c r="BX29" i="4" s="1"/>
  <c r="J100" i="4" l="1"/>
  <c r="P100" i="4" s="1"/>
  <c r="V100" i="4" s="1"/>
  <c r="AB100" i="4" s="1"/>
  <c r="AH100" i="4" s="1"/>
  <c r="AN100" i="4" s="1"/>
  <c r="AT100" i="4" s="1"/>
  <c r="AZ100" i="4" s="1"/>
  <c r="BF100" i="4" s="1"/>
  <c r="BL100" i="4" s="1"/>
  <c r="BR100" i="4" s="1"/>
  <c r="BX100" i="4" s="1"/>
  <c r="J99" i="4"/>
  <c r="P99" i="4" s="1"/>
  <c r="V99" i="4" s="1"/>
  <c r="AB99" i="4" s="1"/>
  <c r="AH99" i="4" s="1"/>
  <c r="AN99" i="4" s="1"/>
  <c r="AT99" i="4" s="1"/>
  <c r="AZ99" i="4" s="1"/>
  <c r="BF99" i="4" s="1"/>
  <c r="BL99" i="4" s="1"/>
  <c r="BR99" i="4" s="1"/>
  <c r="BX99" i="4" s="1"/>
  <c r="J98" i="4"/>
  <c r="P98" i="4" s="1"/>
  <c r="V98" i="4" s="1"/>
  <c r="AB98" i="4" s="1"/>
  <c r="AH98" i="4" s="1"/>
  <c r="AN98" i="4" s="1"/>
  <c r="AT98" i="4" s="1"/>
  <c r="AZ98" i="4" s="1"/>
  <c r="BF98" i="4" s="1"/>
  <c r="BL98" i="4" s="1"/>
  <c r="BR98" i="4" s="1"/>
  <c r="BX98" i="4" s="1"/>
  <c r="J97" i="4"/>
  <c r="P97" i="4" s="1"/>
  <c r="V97" i="4" s="1"/>
  <c r="AB97" i="4" s="1"/>
  <c r="AH97" i="4" s="1"/>
  <c r="AN97" i="4" s="1"/>
  <c r="AT97" i="4" s="1"/>
  <c r="AZ97" i="4" s="1"/>
  <c r="BF97" i="4" s="1"/>
  <c r="BL97" i="4" s="1"/>
  <c r="BR97" i="4" s="1"/>
  <c r="BX97" i="4" s="1"/>
  <c r="J96" i="4"/>
  <c r="P96" i="4" s="1"/>
  <c r="V96" i="4" s="1"/>
  <c r="AB96" i="4" s="1"/>
  <c r="AH96" i="4" s="1"/>
  <c r="AN96" i="4" s="1"/>
  <c r="AT96" i="4" s="1"/>
  <c r="AZ96" i="4" s="1"/>
  <c r="BF96" i="4" s="1"/>
  <c r="BL96" i="4" s="1"/>
  <c r="BR96" i="4" s="1"/>
  <c r="BX96" i="4" s="1"/>
  <c r="J95" i="4"/>
  <c r="P95" i="4" s="1"/>
  <c r="V95" i="4" s="1"/>
  <c r="AB95" i="4" s="1"/>
  <c r="AH95" i="4" s="1"/>
  <c r="AN95" i="4" s="1"/>
  <c r="AT95" i="4" s="1"/>
  <c r="AZ95" i="4" s="1"/>
  <c r="BF95" i="4" s="1"/>
  <c r="BL95" i="4" s="1"/>
  <c r="BR95" i="4" s="1"/>
  <c r="BX95" i="4" s="1"/>
  <c r="J94" i="4"/>
  <c r="P94" i="4" s="1"/>
  <c r="V94" i="4" s="1"/>
  <c r="AB94" i="4" s="1"/>
  <c r="AH94" i="4" s="1"/>
  <c r="AN94" i="4" s="1"/>
  <c r="AT94" i="4" s="1"/>
  <c r="AZ94" i="4" s="1"/>
  <c r="BF94" i="4" s="1"/>
  <c r="BL94" i="4" s="1"/>
  <c r="BR94" i="4" s="1"/>
  <c r="BX94" i="4" s="1"/>
  <c r="J93" i="4"/>
  <c r="P93" i="4" s="1"/>
  <c r="V93" i="4" s="1"/>
  <c r="AB93" i="4" s="1"/>
  <c r="AH93" i="4" s="1"/>
  <c r="AN93" i="4" s="1"/>
  <c r="AT93" i="4" s="1"/>
  <c r="AZ93" i="4" s="1"/>
  <c r="BF93" i="4" s="1"/>
  <c r="BL93" i="4" s="1"/>
  <c r="BR93" i="4" s="1"/>
  <c r="BX93" i="4" s="1"/>
  <c r="J92" i="4"/>
  <c r="P92" i="4" s="1"/>
  <c r="V92" i="4" s="1"/>
  <c r="AB92" i="4" s="1"/>
  <c r="AH92" i="4" s="1"/>
  <c r="AN92" i="4" s="1"/>
  <c r="AT92" i="4" s="1"/>
  <c r="AZ92" i="4" s="1"/>
  <c r="BF92" i="4" s="1"/>
  <c r="BL92" i="4" s="1"/>
  <c r="BR92" i="4" s="1"/>
  <c r="BX92" i="4" s="1"/>
  <c r="J91" i="4"/>
  <c r="P91" i="4" s="1"/>
  <c r="V91" i="4" s="1"/>
  <c r="AB91" i="4" s="1"/>
  <c r="AH91" i="4" s="1"/>
  <c r="AN91" i="4" s="1"/>
  <c r="AT91" i="4" s="1"/>
  <c r="AZ91" i="4" s="1"/>
  <c r="BF91" i="4" s="1"/>
  <c r="BL91" i="4" s="1"/>
  <c r="BR91" i="4" s="1"/>
  <c r="BX91" i="4" s="1"/>
  <c r="J90" i="4"/>
  <c r="P90" i="4" s="1"/>
  <c r="V90" i="4" s="1"/>
  <c r="AB90" i="4" s="1"/>
  <c r="AH90" i="4" s="1"/>
  <c r="AN90" i="4" s="1"/>
  <c r="AT90" i="4" s="1"/>
  <c r="AZ90" i="4" s="1"/>
  <c r="BF90" i="4" s="1"/>
  <c r="BL90" i="4" s="1"/>
  <c r="BR90" i="4" s="1"/>
  <c r="BX90" i="4" s="1"/>
  <c r="J89" i="4"/>
  <c r="P89" i="4" s="1"/>
  <c r="V89" i="4" s="1"/>
  <c r="AB89" i="4" s="1"/>
  <c r="AH89" i="4" s="1"/>
  <c r="AN89" i="4" s="1"/>
  <c r="AT89" i="4" s="1"/>
  <c r="AZ89" i="4" s="1"/>
  <c r="BF89" i="4" s="1"/>
  <c r="BL89" i="4" s="1"/>
  <c r="BR89" i="4" s="1"/>
  <c r="BX89" i="4" s="1"/>
  <c r="J88" i="4"/>
  <c r="P88" i="4" s="1"/>
  <c r="V88" i="4" s="1"/>
  <c r="AB88" i="4" s="1"/>
  <c r="AH88" i="4" s="1"/>
  <c r="AN88" i="4" s="1"/>
  <c r="AT88" i="4" s="1"/>
  <c r="AZ88" i="4" s="1"/>
  <c r="BF88" i="4" s="1"/>
  <c r="BL88" i="4" s="1"/>
  <c r="BR88" i="4" s="1"/>
  <c r="BX88" i="4" s="1"/>
  <c r="J87" i="4"/>
  <c r="P87" i="4" s="1"/>
  <c r="V87" i="4" s="1"/>
  <c r="AB87" i="4" s="1"/>
  <c r="AH87" i="4" s="1"/>
  <c r="AN87" i="4" s="1"/>
  <c r="AT87" i="4" s="1"/>
  <c r="AZ87" i="4" s="1"/>
  <c r="BF87" i="4" s="1"/>
  <c r="BL87" i="4" s="1"/>
  <c r="BR87" i="4" s="1"/>
  <c r="BX87" i="4" s="1"/>
  <c r="J86" i="4"/>
  <c r="P86" i="4" s="1"/>
  <c r="V86" i="4" s="1"/>
  <c r="AB86" i="4" s="1"/>
  <c r="AH86" i="4" s="1"/>
  <c r="AN86" i="4" s="1"/>
  <c r="AT86" i="4" s="1"/>
  <c r="AZ86" i="4" s="1"/>
  <c r="BF86" i="4" s="1"/>
  <c r="BL86" i="4" s="1"/>
  <c r="BR86" i="4" s="1"/>
  <c r="BX86" i="4" s="1"/>
  <c r="J85" i="4"/>
  <c r="P85" i="4" s="1"/>
  <c r="V85" i="4" s="1"/>
  <c r="AB85" i="4" s="1"/>
  <c r="AH85" i="4" s="1"/>
  <c r="AN85" i="4" s="1"/>
  <c r="AT85" i="4" s="1"/>
  <c r="AZ85" i="4" s="1"/>
  <c r="BF85" i="4" s="1"/>
  <c r="BL85" i="4" s="1"/>
  <c r="BR85" i="4" s="1"/>
  <c r="BX85" i="4" s="1"/>
  <c r="J84" i="4"/>
  <c r="P84" i="4" s="1"/>
  <c r="V84" i="4" s="1"/>
  <c r="AB84" i="4" s="1"/>
  <c r="AH84" i="4" s="1"/>
  <c r="AN84" i="4" s="1"/>
  <c r="AT84" i="4" s="1"/>
  <c r="AZ84" i="4" s="1"/>
  <c r="BF84" i="4" s="1"/>
  <c r="BL84" i="4" s="1"/>
  <c r="BR84" i="4" s="1"/>
  <c r="BX84" i="4" s="1"/>
  <c r="J83" i="4"/>
  <c r="P83" i="4" s="1"/>
  <c r="V83" i="4" s="1"/>
  <c r="AB83" i="4" s="1"/>
  <c r="AH83" i="4" s="1"/>
  <c r="AN83" i="4" s="1"/>
  <c r="AT83" i="4" s="1"/>
  <c r="AZ83" i="4" s="1"/>
  <c r="BF83" i="4" s="1"/>
  <c r="BL83" i="4" s="1"/>
  <c r="BR83" i="4" s="1"/>
  <c r="BX83" i="4" s="1"/>
  <c r="J82" i="4"/>
  <c r="P82" i="4" s="1"/>
  <c r="V82" i="4" s="1"/>
  <c r="AB82" i="4" s="1"/>
  <c r="AH82" i="4" s="1"/>
  <c r="AN82" i="4" s="1"/>
  <c r="AT82" i="4" s="1"/>
  <c r="AZ82" i="4" s="1"/>
  <c r="BF82" i="4" s="1"/>
  <c r="BL82" i="4" s="1"/>
  <c r="BR82" i="4" s="1"/>
  <c r="BX82" i="4" s="1"/>
  <c r="J81" i="4"/>
  <c r="P81" i="4" s="1"/>
  <c r="V81" i="4" s="1"/>
  <c r="AB81" i="4" s="1"/>
  <c r="AH81" i="4" s="1"/>
  <c r="AN81" i="4" s="1"/>
  <c r="AT81" i="4" s="1"/>
  <c r="AZ81" i="4" s="1"/>
  <c r="BF81" i="4" s="1"/>
  <c r="BL81" i="4" s="1"/>
  <c r="BR81" i="4" s="1"/>
  <c r="BX81" i="4" s="1"/>
  <c r="J80" i="4"/>
  <c r="P80" i="4" s="1"/>
  <c r="V80" i="4" s="1"/>
  <c r="AB80" i="4" s="1"/>
  <c r="AH80" i="4" s="1"/>
  <c r="AN80" i="4" s="1"/>
  <c r="AT80" i="4" s="1"/>
  <c r="AZ80" i="4" s="1"/>
  <c r="BF80" i="4" s="1"/>
  <c r="BL80" i="4" s="1"/>
  <c r="BR80" i="4" s="1"/>
  <c r="BX80" i="4" s="1"/>
  <c r="S4" i="4"/>
  <c r="J79" i="4"/>
  <c r="P79" i="4" s="1"/>
  <c r="V79" i="4" s="1"/>
  <c r="AB79" i="4" s="1"/>
  <c r="AH79" i="4" s="1"/>
  <c r="AN79" i="4" s="1"/>
  <c r="AT79" i="4" s="1"/>
  <c r="AZ79" i="4" s="1"/>
  <c r="BF79" i="4" s="1"/>
  <c r="BL79" i="4" s="1"/>
  <c r="BR79" i="4" s="1"/>
  <c r="BX79" i="4" s="1"/>
  <c r="J78" i="4"/>
  <c r="P78" i="4" s="1"/>
  <c r="V78" i="4" s="1"/>
  <c r="AB78" i="4" s="1"/>
  <c r="AH78" i="4" s="1"/>
  <c r="AN78" i="4" s="1"/>
  <c r="AT78" i="4" s="1"/>
  <c r="AZ78" i="4" s="1"/>
  <c r="BF78" i="4" s="1"/>
  <c r="BL78" i="4" s="1"/>
  <c r="BR78" i="4" s="1"/>
  <c r="BX78" i="4" s="1"/>
  <c r="J77" i="4"/>
  <c r="P77" i="4" s="1"/>
  <c r="V77" i="4" s="1"/>
  <c r="AB77" i="4" s="1"/>
  <c r="AH77" i="4" s="1"/>
  <c r="AN77" i="4" s="1"/>
  <c r="AT77" i="4" s="1"/>
  <c r="AZ77" i="4" s="1"/>
  <c r="BF77" i="4" s="1"/>
  <c r="BL77" i="4" s="1"/>
  <c r="BR77" i="4" s="1"/>
  <c r="BX77" i="4" s="1"/>
  <c r="J76" i="4"/>
  <c r="P76" i="4" s="1"/>
  <c r="V76" i="4" s="1"/>
  <c r="AB76" i="4" s="1"/>
  <c r="AH76" i="4" s="1"/>
  <c r="AN76" i="4" s="1"/>
  <c r="AT76" i="4" s="1"/>
  <c r="AZ76" i="4" s="1"/>
  <c r="BF76" i="4" s="1"/>
  <c r="BL76" i="4" s="1"/>
  <c r="BR76" i="4" s="1"/>
  <c r="BX76" i="4" s="1"/>
  <c r="J75" i="4"/>
  <c r="P75" i="4" s="1"/>
  <c r="V75" i="4" s="1"/>
  <c r="AB75" i="4" s="1"/>
  <c r="AH75" i="4" s="1"/>
  <c r="AN75" i="4" s="1"/>
  <c r="AT75" i="4" s="1"/>
  <c r="AZ75" i="4" s="1"/>
  <c r="BF75" i="4" s="1"/>
  <c r="BL75" i="4" s="1"/>
  <c r="BR75" i="4" s="1"/>
  <c r="BX75" i="4" s="1"/>
  <c r="J74" i="4"/>
  <c r="P74" i="4" s="1"/>
  <c r="V74" i="4" s="1"/>
  <c r="AB74" i="4" s="1"/>
  <c r="AH74" i="4" s="1"/>
  <c r="AN74" i="4" s="1"/>
  <c r="AT74" i="4" s="1"/>
  <c r="AZ74" i="4" s="1"/>
  <c r="BF74" i="4" s="1"/>
  <c r="BL74" i="4" s="1"/>
  <c r="BR74" i="4" s="1"/>
  <c r="BX74" i="4" s="1"/>
  <c r="J73" i="4"/>
  <c r="P73" i="4" s="1"/>
  <c r="V73" i="4" s="1"/>
  <c r="AB73" i="4" s="1"/>
  <c r="AH73" i="4" s="1"/>
  <c r="AN73" i="4" s="1"/>
  <c r="AT73" i="4" s="1"/>
  <c r="AZ73" i="4" s="1"/>
  <c r="BF73" i="4" s="1"/>
  <c r="BL73" i="4" s="1"/>
  <c r="BR73" i="4" s="1"/>
  <c r="BX73" i="4" s="1"/>
  <c r="J72" i="4"/>
  <c r="P72" i="4" s="1"/>
  <c r="V72" i="4" s="1"/>
  <c r="AB72" i="4" s="1"/>
  <c r="AH72" i="4" s="1"/>
  <c r="AN72" i="4" s="1"/>
  <c r="AT72" i="4" s="1"/>
  <c r="AZ72" i="4" s="1"/>
  <c r="BF72" i="4" s="1"/>
  <c r="BL72" i="4" s="1"/>
  <c r="BR72" i="4" s="1"/>
  <c r="BX72" i="4" s="1"/>
  <c r="J71" i="4"/>
  <c r="P71" i="4" s="1"/>
  <c r="V71" i="4" s="1"/>
  <c r="AB71" i="4" s="1"/>
  <c r="AH71" i="4" s="1"/>
  <c r="AN71" i="4" s="1"/>
  <c r="AT71" i="4" s="1"/>
  <c r="AZ71" i="4" s="1"/>
  <c r="BF71" i="4" s="1"/>
  <c r="BL71" i="4" s="1"/>
  <c r="BR71" i="4" s="1"/>
  <c r="BX71" i="4" s="1"/>
  <c r="J70" i="4"/>
  <c r="P70" i="4" s="1"/>
  <c r="V70" i="4" s="1"/>
  <c r="AB70" i="4" s="1"/>
  <c r="AH70" i="4" s="1"/>
  <c r="AN70" i="4" s="1"/>
  <c r="AT70" i="4" s="1"/>
  <c r="AZ70" i="4" s="1"/>
  <c r="BF70" i="4" s="1"/>
  <c r="BL70" i="4" s="1"/>
  <c r="BR70" i="4" s="1"/>
  <c r="BX70" i="4" s="1"/>
  <c r="J69" i="4"/>
  <c r="P69" i="4" s="1"/>
  <c r="V69" i="4" s="1"/>
  <c r="AB69" i="4" s="1"/>
  <c r="AH69" i="4" s="1"/>
  <c r="AN69" i="4" s="1"/>
  <c r="AT69" i="4" s="1"/>
  <c r="AZ69" i="4" s="1"/>
  <c r="BF69" i="4" s="1"/>
  <c r="BL69" i="4" s="1"/>
  <c r="BR69" i="4" s="1"/>
  <c r="BX69" i="4" s="1"/>
  <c r="J68" i="4"/>
  <c r="P68" i="4" s="1"/>
  <c r="V68" i="4" s="1"/>
  <c r="AB68" i="4" s="1"/>
  <c r="AH68" i="4" s="1"/>
  <c r="AN68" i="4" s="1"/>
  <c r="AT68" i="4" s="1"/>
  <c r="AZ68" i="4" s="1"/>
  <c r="BF68" i="4" s="1"/>
  <c r="BL68" i="4" s="1"/>
  <c r="BR68" i="4" s="1"/>
  <c r="BX68" i="4" s="1"/>
  <c r="J67" i="4"/>
  <c r="P67" i="4" s="1"/>
  <c r="V67" i="4" s="1"/>
  <c r="AB67" i="4" s="1"/>
  <c r="AH67" i="4" s="1"/>
  <c r="AN67" i="4" s="1"/>
  <c r="AT67" i="4" s="1"/>
  <c r="AZ67" i="4" s="1"/>
  <c r="BF67" i="4" s="1"/>
  <c r="BL67" i="4" s="1"/>
  <c r="BR67" i="4" s="1"/>
  <c r="BX67" i="4" s="1"/>
  <c r="J66" i="4"/>
  <c r="P66" i="4" s="1"/>
  <c r="V66" i="4" s="1"/>
  <c r="AB66" i="4" s="1"/>
  <c r="AH66" i="4" s="1"/>
  <c r="AN66" i="4" s="1"/>
  <c r="AT66" i="4" s="1"/>
  <c r="AZ66" i="4" s="1"/>
  <c r="BF66" i="4" s="1"/>
  <c r="BL66" i="4" s="1"/>
  <c r="BR66" i="4" s="1"/>
  <c r="BX66" i="4" s="1"/>
  <c r="J65" i="4"/>
  <c r="P65" i="4" s="1"/>
  <c r="V65" i="4" s="1"/>
  <c r="AB65" i="4" s="1"/>
  <c r="AH65" i="4" s="1"/>
  <c r="AN65" i="4" s="1"/>
  <c r="AT65" i="4" s="1"/>
  <c r="AZ65" i="4" s="1"/>
  <c r="BF65" i="4" s="1"/>
  <c r="BL65" i="4" s="1"/>
  <c r="BR65" i="4" s="1"/>
  <c r="BX65" i="4" s="1"/>
  <c r="J64" i="4"/>
  <c r="P64" i="4" s="1"/>
  <c r="V64" i="4" s="1"/>
  <c r="AB64" i="4" s="1"/>
  <c r="AH64" i="4" s="1"/>
  <c r="AN64" i="4" s="1"/>
  <c r="AT64" i="4" s="1"/>
  <c r="AZ64" i="4" s="1"/>
  <c r="BF64" i="4" s="1"/>
  <c r="BL64" i="4" s="1"/>
  <c r="BR64" i="4" s="1"/>
  <c r="BX64" i="4" s="1"/>
  <c r="J63" i="4"/>
  <c r="P63" i="4" s="1"/>
  <c r="V63" i="4" s="1"/>
  <c r="AB63" i="4" s="1"/>
  <c r="AH63" i="4" s="1"/>
  <c r="AN63" i="4" s="1"/>
  <c r="AT63" i="4" s="1"/>
  <c r="AZ63" i="4" s="1"/>
  <c r="BF63" i="4" s="1"/>
  <c r="BL63" i="4" s="1"/>
  <c r="BR63" i="4" s="1"/>
  <c r="BX63" i="4" s="1"/>
  <c r="J62" i="4"/>
  <c r="P62" i="4" s="1"/>
  <c r="V62" i="4" s="1"/>
  <c r="AB62" i="4" s="1"/>
  <c r="AH62" i="4" s="1"/>
  <c r="AN62" i="4" s="1"/>
  <c r="AT62" i="4" s="1"/>
  <c r="AZ62" i="4" s="1"/>
  <c r="BF62" i="4" s="1"/>
  <c r="BL62" i="4" s="1"/>
  <c r="BR62" i="4" s="1"/>
  <c r="BX62" i="4" s="1"/>
  <c r="J61" i="4"/>
  <c r="P61" i="4" s="1"/>
  <c r="V61" i="4" s="1"/>
  <c r="AB61" i="4" s="1"/>
  <c r="AH61" i="4" s="1"/>
  <c r="AN61" i="4" s="1"/>
  <c r="AT61" i="4" s="1"/>
  <c r="AZ61" i="4" s="1"/>
  <c r="BF61" i="4" s="1"/>
  <c r="BL61" i="4" s="1"/>
  <c r="BR61" i="4" s="1"/>
  <c r="BX61" i="4" s="1"/>
  <c r="J60" i="4"/>
  <c r="P60" i="4" s="1"/>
  <c r="V60" i="4" s="1"/>
  <c r="AB60" i="4" s="1"/>
  <c r="AH60" i="4" s="1"/>
  <c r="AN60" i="4" s="1"/>
  <c r="AT60" i="4" s="1"/>
  <c r="AZ60" i="4" s="1"/>
  <c r="BF60" i="4" s="1"/>
  <c r="BL60" i="4" s="1"/>
  <c r="BR60" i="4" s="1"/>
  <c r="BX60" i="4" s="1"/>
  <c r="J59" i="4"/>
  <c r="P59" i="4" s="1"/>
  <c r="V59" i="4" s="1"/>
  <c r="AB59" i="4" s="1"/>
  <c r="AH59" i="4" s="1"/>
  <c r="AN59" i="4" s="1"/>
  <c r="AT59" i="4" s="1"/>
  <c r="AZ59" i="4" s="1"/>
  <c r="BF59" i="4" s="1"/>
  <c r="BL59" i="4" s="1"/>
  <c r="BR59" i="4" s="1"/>
  <c r="BX59" i="4" s="1"/>
  <c r="J58" i="4"/>
  <c r="P58" i="4" s="1"/>
  <c r="V58" i="4" s="1"/>
  <c r="AB58" i="4" s="1"/>
  <c r="AH58" i="4" s="1"/>
  <c r="AN58" i="4" s="1"/>
  <c r="AT58" i="4" s="1"/>
  <c r="AZ58" i="4" s="1"/>
  <c r="BF58" i="4" s="1"/>
  <c r="BL58" i="4" s="1"/>
  <c r="BR58" i="4" s="1"/>
  <c r="BX58" i="4" s="1"/>
  <c r="J57" i="4"/>
  <c r="P57" i="4" s="1"/>
  <c r="V57" i="4" s="1"/>
  <c r="AB57" i="4" s="1"/>
  <c r="AH57" i="4" s="1"/>
  <c r="AN57" i="4" s="1"/>
  <c r="AT57" i="4" s="1"/>
  <c r="AZ57" i="4" s="1"/>
  <c r="BF57" i="4" s="1"/>
  <c r="BL57" i="4" s="1"/>
  <c r="BR57" i="4" s="1"/>
  <c r="BX57" i="4" s="1"/>
  <c r="J56" i="4"/>
  <c r="P56" i="4" s="1"/>
  <c r="V56" i="4" s="1"/>
  <c r="AB56" i="4" s="1"/>
  <c r="AH56" i="4" s="1"/>
  <c r="AN56" i="4" s="1"/>
  <c r="AT56" i="4" s="1"/>
  <c r="AZ56" i="4" s="1"/>
  <c r="BF56" i="4" s="1"/>
  <c r="BL56" i="4" s="1"/>
  <c r="BR56" i="4" s="1"/>
  <c r="BX56" i="4" s="1"/>
  <c r="J55" i="4"/>
  <c r="P55" i="4" s="1"/>
  <c r="V55" i="4" s="1"/>
  <c r="AB55" i="4" s="1"/>
  <c r="AH55" i="4" s="1"/>
  <c r="AN55" i="4" s="1"/>
  <c r="AT55" i="4" s="1"/>
  <c r="AZ55" i="4" s="1"/>
  <c r="BF55" i="4" s="1"/>
  <c r="BL55" i="4" s="1"/>
  <c r="BR55" i="4" s="1"/>
  <c r="BX55" i="4" s="1"/>
  <c r="J54" i="4"/>
  <c r="P54" i="4" s="1"/>
  <c r="V54" i="4" s="1"/>
  <c r="AB54" i="4" s="1"/>
  <c r="AH54" i="4" s="1"/>
  <c r="AN54" i="4" s="1"/>
  <c r="AT54" i="4" s="1"/>
  <c r="AZ54" i="4" s="1"/>
  <c r="BF54" i="4" s="1"/>
  <c r="BL54" i="4" s="1"/>
  <c r="BR54" i="4" s="1"/>
  <c r="BX54" i="4" s="1"/>
  <c r="J53" i="4"/>
  <c r="P53" i="4" s="1"/>
  <c r="V53" i="4" s="1"/>
  <c r="AB53" i="4" s="1"/>
  <c r="AH53" i="4" s="1"/>
  <c r="AN53" i="4" s="1"/>
  <c r="AT53" i="4" s="1"/>
  <c r="AZ53" i="4" s="1"/>
  <c r="BF53" i="4" s="1"/>
  <c r="BL53" i="4" s="1"/>
  <c r="BR53" i="4" s="1"/>
  <c r="BX53" i="4" s="1"/>
  <c r="J52" i="4"/>
  <c r="P52" i="4" s="1"/>
  <c r="V52" i="4" s="1"/>
  <c r="AB52" i="4" s="1"/>
  <c r="AH52" i="4" s="1"/>
  <c r="AN52" i="4" s="1"/>
  <c r="AT52" i="4" s="1"/>
  <c r="AZ52" i="4" s="1"/>
  <c r="BF52" i="4" s="1"/>
  <c r="BL52" i="4" s="1"/>
  <c r="BR52" i="4" s="1"/>
  <c r="BX52" i="4" s="1"/>
  <c r="J51" i="4"/>
  <c r="P51" i="4" s="1"/>
  <c r="V51" i="4" s="1"/>
  <c r="AB51" i="4" s="1"/>
  <c r="AH51" i="4" s="1"/>
  <c r="AN51" i="4" s="1"/>
  <c r="AT51" i="4" s="1"/>
  <c r="AZ51" i="4" s="1"/>
  <c r="BF51" i="4" s="1"/>
  <c r="BL51" i="4" s="1"/>
  <c r="BR51" i="4" s="1"/>
  <c r="BX51" i="4" s="1"/>
  <c r="J50" i="4"/>
  <c r="P50" i="4" s="1"/>
  <c r="V50" i="4" s="1"/>
  <c r="AB50" i="4" s="1"/>
  <c r="AH50" i="4" s="1"/>
  <c r="AN50" i="4" s="1"/>
  <c r="AT50" i="4" s="1"/>
  <c r="AZ50" i="4" s="1"/>
  <c r="BF50" i="4" s="1"/>
  <c r="BL50" i="4" s="1"/>
  <c r="BR50" i="4" s="1"/>
  <c r="BX50" i="4" s="1"/>
  <c r="J49" i="4"/>
  <c r="P49" i="4" s="1"/>
  <c r="V49" i="4" s="1"/>
  <c r="AB49" i="4" s="1"/>
  <c r="AH49" i="4" s="1"/>
  <c r="AN49" i="4" s="1"/>
  <c r="AT49" i="4" s="1"/>
  <c r="AZ49" i="4" s="1"/>
  <c r="BF49" i="4" s="1"/>
  <c r="BL49" i="4" s="1"/>
  <c r="BR49" i="4" s="1"/>
  <c r="BX49" i="4" s="1"/>
  <c r="J48" i="4"/>
  <c r="P48" i="4" s="1"/>
  <c r="V48" i="4" s="1"/>
  <c r="AB48" i="4" s="1"/>
  <c r="AH48" i="4" s="1"/>
  <c r="AN48" i="4" s="1"/>
  <c r="AT48" i="4" s="1"/>
  <c r="AZ48" i="4" s="1"/>
  <c r="BF48" i="4" s="1"/>
  <c r="BL48" i="4" s="1"/>
  <c r="BR48" i="4" s="1"/>
  <c r="BX48" i="4" s="1"/>
  <c r="J47" i="4"/>
  <c r="P47" i="4" s="1"/>
  <c r="V47" i="4" s="1"/>
  <c r="AB47" i="4" s="1"/>
  <c r="AH47" i="4" s="1"/>
  <c r="AN47" i="4" s="1"/>
  <c r="AT47" i="4" s="1"/>
  <c r="AZ47" i="4" s="1"/>
  <c r="BF47" i="4" s="1"/>
  <c r="BL47" i="4" s="1"/>
  <c r="BR47" i="4" s="1"/>
  <c r="BX47" i="4" s="1"/>
  <c r="J46" i="4"/>
  <c r="P46" i="4" s="1"/>
  <c r="V46" i="4" s="1"/>
  <c r="AB46" i="4" s="1"/>
  <c r="AH46" i="4" s="1"/>
  <c r="AN46" i="4" s="1"/>
  <c r="AT46" i="4" s="1"/>
  <c r="AZ46" i="4" s="1"/>
  <c r="BF46" i="4" s="1"/>
  <c r="BL46" i="4" s="1"/>
  <c r="BR46" i="4" s="1"/>
  <c r="BX46" i="4" s="1"/>
  <c r="J45" i="4"/>
  <c r="P45" i="4" s="1"/>
  <c r="V45" i="4" s="1"/>
  <c r="AB45" i="4" s="1"/>
  <c r="AH45" i="4" s="1"/>
  <c r="AN45" i="4" s="1"/>
  <c r="AT45" i="4" s="1"/>
  <c r="AZ45" i="4" s="1"/>
  <c r="BF45" i="4" s="1"/>
  <c r="BL45" i="4" s="1"/>
  <c r="BR45" i="4" s="1"/>
  <c r="BX45" i="4" s="1"/>
  <c r="J44" i="4"/>
  <c r="P44" i="4" s="1"/>
  <c r="V44" i="4" s="1"/>
  <c r="AB44" i="4" s="1"/>
  <c r="AH44" i="4" s="1"/>
  <c r="AN44" i="4" s="1"/>
  <c r="AT44" i="4" s="1"/>
  <c r="AZ44" i="4" s="1"/>
  <c r="BF44" i="4" s="1"/>
  <c r="BL44" i="4" s="1"/>
  <c r="BR44" i="4" s="1"/>
  <c r="BX44" i="4" s="1"/>
  <c r="J43" i="4"/>
  <c r="P43" i="4" s="1"/>
  <c r="V43" i="4" s="1"/>
  <c r="AB43" i="4" s="1"/>
  <c r="AH43" i="4" s="1"/>
  <c r="AN43" i="4" s="1"/>
  <c r="AT43" i="4" s="1"/>
  <c r="AZ43" i="4" s="1"/>
  <c r="BF43" i="4" s="1"/>
  <c r="BL43" i="4" s="1"/>
  <c r="BR43" i="4" s="1"/>
  <c r="BX43" i="4" s="1"/>
  <c r="J42" i="4"/>
  <c r="P42" i="4" s="1"/>
  <c r="V42" i="4" s="1"/>
  <c r="AB42" i="4" s="1"/>
  <c r="AH42" i="4" s="1"/>
  <c r="AN42" i="4" s="1"/>
  <c r="AT42" i="4" s="1"/>
  <c r="AZ42" i="4" s="1"/>
  <c r="BF42" i="4" s="1"/>
  <c r="BL42" i="4" s="1"/>
  <c r="BR42" i="4" s="1"/>
  <c r="BX42" i="4" s="1"/>
  <c r="J41" i="4"/>
  <c r="P41" i="4" s="1"/>
  <c r="V41" i="4" s="1"/>
  <c r="AB41" i="4" s="1"/>
  <c r="AH41" i="4" s="1"/>
  <c r="AN41" i="4" s="1"/>
  <c r="AT41" i="4" s="1"/>
  <c r="AZ41" i="4" s="1"/>
  <c r="BF41" i="4" s="1"/>
  <c r="BL41" i="4" s="1"/>
  <c r="BR41" i="4" s="1"/>
  <c r="BX41" i="4" s="1"/>
  <c r="J40" i="4"/>
  <c r="P40" i="4" s="1"/>
  <c r="V40" i="4" s="1"/>
  <c r="AB40" i="4" s="1"/>
  <c r="AH40" i="4" s="1"/>
  <c r="AN40" i="4" s="1"/>
  <c r="AT40" i="4" s="1"/>
  <c r="AZ40" i="4" s="1"/>
  <c r="BF40" i="4" s="1"/>
  <c r="BL40" i="4" s="1"/>
  <c r="BR40" i="4" s="1"/>
  <c r="BX40" i="4" s="1"/>
  <c r="J39" i="4"/>
  <c r="P39" i="4" s="1"/>
  <c r="V39" i="4" s="1"/>
  <c r="AB39" i="4" s="1"/>
  <c r="AH39" i="4" s="1"/>
  <c r="AN39" i="4" s="1"/>
  <c r="AT39" i="4" s="1"/>
  <c r="AZ39" i="4" s="1"/>
  <c r="BF39" i="4" s="1"/>
  <c r="BL39" i="4" s="1"/>
  <c r="BR39" i="4" s="1"/>
  <c r="BX39" i="4" s="1"/>
  <c r="J38" i="4"/>
  <c r="P38" i="4" s="1"/>
  <c r="V38" i="4" s="1"/>
  <c r="AB38" i="4" s="1"/>
  <c r="AH38" i="4" s="1"/>
  <c r="AN38" i="4" s="1"/>
  <c r="AT38" i="4" s="1"/>
  <c r="AZ38" i="4" s="1"/>
  <c r="BF38" i="4" s="1"/>
  <c r="BL38" i="4" s="1"/>
  <c r="BR38" i="4" s="1"/>
  <c r="BX38" i="4" s="1"/>
  <c r="J37" i="4"/>
  <c r="P37" i="4" s="1"/>
  <c r="V37" i="4" s="1"/>
  <c r="AB37" i="4" s="1"/>
  <c r="AH37" i="4" s="1"/>
  <c r="AN37" i="4" s="1"/>
  <c r="AT37" i="4" s="1"/>
  <c r="AZ37" i="4" s="1"/>
  <c r="BF37" i="4" s="1"/>
  <c r="BL37" i="4" s="1"/>
  <c r="BR37" i="4" s="1"/>
  <c r="BX37" i="4" s="1"/>
  <c r="J36" i="4"/>
  <c r="P36" i="4" s="1"/>
  <c r="V36" i="4" s="1"/>
  <c r="AB36" i="4" s="1"/>
  <c r="AH36" i="4" s="1"/>
  <c r="AN36" i="4" s="1"/>
  <c r="AT36" i="4" s="1"/>
  <c r="AZ36" i="4" s="1"/>
  <c r="BF36" i="4" s="1"/>
  <c r="BL36" i="4" s="1"/>
  <c r="BR36" i="4" s="1"/>
  <c r="BX36" i="4" s="1"/>
  <c r="J35" i="4"/>
  <c r="P35" i="4" s="1"/>
  <c r="V35" i="4" s="1"/>
  <c r="AB35" i="4" s="1"/>
  <c r="AH35" i="4" s="1"/>
  <c r="AN35" i="4" s="1"/>
  <c r="AT35" i="4" s="1"/>
  <c r="AZ35" i="4" s="1"/>
  <c r="BF35" i="4" s="1"/>
  <c r="BL35" i="4" s="1"/>
  <c r="BR35" i="4" s="1"/>
  <c r="BX35" i="4" s="1"/>
  <c r="J34" i="4"/>
  <c r="P34" i="4" s="1"/>
  <c r="V34" i="4" s="1"/>
  <c r="AB34" i="4" s="1"/>
  <c r="AH34" i="4" s="1"/>
  <c r="AN34" i="4" s="1"/>
  <c r="AT34" i="4" s="1"/>
  <c r="AZ34" i="4" s="1"/>
  <c r="BF34" i="4" s="1"/>
  <c r="BL34" i="4" s="1"/>
  <c r="BR34" i="4" s="1"/>
  <c r="BX34" i="4" s="1"/>
  <c r="J33" i="4"/>
  <c r="P33" i="4" s="1"/>
  <c r="V33" i="4" s="1"/>
  <c r="AB33" i="4" s="1"/>
  <c r="AH33" i="4" s="1"/>
  <c r="AN33" i="4" s="1"/>
  <c r="AT33" i="4" s="1"/>
  <c r="AZ33" i="4" s="1"/>
  <c r="BF33" i="4" s="1"/>
  <c r="BL33" i="4" s="1"/>
  <c r="BR33" i="4" s="1"/>
  <c r="BX33" i="4" s="1"/>
  <c r="J32" i="4"/>
  <c r="P32" i="4" s="1"/>
  <c r="V32" i="4" s="1"/>
  <c r="AB32" i="4" s="1"/>
  <c r="AH32" i="4" s="1"/>
  <c r="AN32" i="4" s="1"/>
  <c r="AT32" i="4" s="1"/>
  <c r="AZ32" i="4" s="1"/>
  <c r="BF32" i="4" s="1"/>
  <c r="BL32" i="4" s="1"/>
  <c r="BR32" i="4" s="1"/>
  <c r="BX32" i="4" s="1"/>
  <c r="J31" i="4"/>
  <c r="P31" i="4" s="1"/>
  <c r="V31" i="4" s="1"/>
  <c r="AB31" i="4" s="1"/>
  <c r="AH31" i="4" s="1"/>
  <c r="AN31" i="4" s="1"/>
  <c r="AT31" i="4" s="1"/>
  <c r="AZ31" i="4" s="1"/>
  <c r="BF31" i="4" s="1"/>
  <c r="BL31" i="4" s="1"/>
  <c r="BR31" i="4" s="1"/>
  <c r="BX31" i="4" s="1"/>
  <c r="J30" i="4"/>
  <c r="P30" i="4" s="1"/>
  <c r="V30" i="4" s="1"/>
  <c r="AB30" i="4" s="1"/>
  <c r="AH30" i="4" s="1"/>
  <c r="AN30" i="4" s="1"/>
  <c r="AT30" i="4" s="1"/>
  <c r="AZ30" i="4" s="1"/>
  <c r="BF30" i="4" s="1"/>
  <c r="BL30" i="4" s="1"/>
  <c r="BR30" i="4" s="1"/>
  <c r="BX30" i="4" s="1"/>
  <c r="J28" i="4"/>
  <c r="P28" i="4" s="1"/>
  <c r="V28" i="4" s="1"/>
  <c r="AB28" i="4" s="1"/>
  <c r="AH28" i="4" s="1"/>
  <c r="AN28" i="4" s="1"/>
  <c r="AT28" i="4" s="1"/>
  <c r="AZ28" i="4" s="1"/>
  <c r="BF28" i="4" s="1"/>
  <c r="BL28" i="4" s="1"/>
  <c r="BR28" i="4" s="1"/>
  <c r="BX28" i="4" s="1"/>
  <c r="J27" i="4"/>
  <c r="P27" i="4" s="1"/>
  <c r="V27" i="4" s="1"/>
  <c r="AB27" i="4" s="1"/>
  <c r="AH27" i="4" s="1"/>
  <c r="AN27" i="4" s="1"/>
  <c r="AT27" i="4" s="1"/>
  <c r="AZ27" i="4" s="1"/>
  <c r="BF27" i="4" s="1"/>
  <c r="BL27" i="4" s="1"/>
  <c r="BR27" i="4" s="1"/>
  <c r="BX27" i="4" s="1"/>
  <c r="J26" i="4"/>
  <c r="P26" i="4" s="1"/>
  <c r="V26" i="4" s="1"/>
  <c r="AB26" i="4" s="1"/>
  <c r="AH26" i="4" s="1"/>
  <c r="AN26" i="4" s="1"/>
  <c r="AT26" i="4" s="1"/>
  <c r="AZ26" i="4" s="1"/>
  <c r="BF26" i="4" s="1"/>
  <c r="BL26" i="4" s="1"/>
  <c r="BR26" i="4" s="1"/>
  <c r="BX26" i="4" s="1"/>
  <c r="J25" i="4"/>
  <c r="P25" i="4" s="1"/>
  <c r="V25" i="4" s="1"/>
  <c r="AB25" i="4" s="1"/>
  <c r="AH25" i="4" s="1"/>
  <c r="AN25" i="4" s="1"/>
  <c r="AT25" i="4" s="1"/>
  <c r="AZ25" i="4" s="1"/>
  <c r="BF25" i="4" s="1"/>
  <c r="BL25" i="4" s="1"/>
  <c r="BR25" i="4" s="1"/>
  <c r="BX25" i="4" s="1"/>
  <c r="J24" i="4"/>
  <c r="P24" i="4" s="1"/>
  <c r="V24" i="4" s="1"/>
  <c r="AB24" i="4" s="1"/>
  <c r="AH24" i="4" s="1"/>
  <c r="AN24" i="4" s="1"/>
  <c r="AT24" i="4" s="1"/>
  <c r="AZ24" i="4" s="1"/>
  <c r="BF24" i="4" s="1"/>
  <c r="BL24" i="4" s="1"/>
  <c r="BR24" i="4" s="1"/>
  <c r="BX24" i="4" s="1"/>
  <c r="J23" i="4"/>
  <c r="P23" i="4" s="1"/>
  <c r="V23" i="4" s="1"/>
  <c r="AB23" i="4" s="1"/>
  <c r="AH23" i="4" s="1"/>
  <c r="AN23" i="4" s="1"/>
  <c r="AT23" i="4" s="1"/>
  <c r="AZ23" i="4" s="1"/>
  <c r="BF23" i="4" s="1"/>
  <c r="BL23" i="4" s="1"/>
  <c r="BR23" i="4" s="1"/>
  <c r="BX23" i="4" s="1"/>
  <c r="J22" i="4"/>
  <c r="P22" i="4" s="1"/>
  <c r="V22" i="4" s="1"/>
  <c r="AB22" i="4" s="1"/>
  <c r="AH22" i="4" s="1"/>
  <c r="AN22" i="4" s="1"/>
  <c r="AT22" i="4" s="1"/>
  <c r="AZ22" i="4" s="1"/>
  <c r="BF22" i="4" s="1"/>
  <c r="BL22" i="4" s="1"/>
  <c r="BR22" i="4" s="1"/>
  <c r="BX22" i="4" s="1"/>
  <c r="J21" i="4"/>
  <c r="P21" i="4" s="1"/>
  <c r="V21" i="4" s="1"/>
  <c r="AB21" i="4" s="1"/>
  <c r="AH21" i="4" s="1"/>
  <c r="AN21" i="4" s="1"/>
  <c r="AT21" i="4" s="1"/>
  <c r="AZ21" i="4" s="1"/>
  <c r="BF21" i="4" s="1"/>
  <c r="BL21" i="4" s="1"/>
  <c r="BR21" i="4" s="1"/>
  <c r="BX21" i="4" s="1"/>
  <c r="P20" i="4"/>
  <c r="V20" i="4" s="1"/>
  <c r="AB20" i="4" s="1"/>
  <c r="AH20" i="4" s="1"/>
  <c r="AN20" i="4" s="1"/>
  <c r="AT20" i="4" s="1"/>
  <c r="AZ20" i="4" s="1"/>
  <c r="BF20" i="4" s="1"/>
  <c r="BL20" i="4" s="1"/>
  <c r="BR20" i="4" s="1"/>
  <c r="BX20" i="4" s="1"/>
  <c r="AF4" i="4"/>
  <c r="J19" i="4"/>
  <c r="P19" i="4" s="1"/>
  <c r="V19" i="4" s="1"/>
  <c r="AB19" i="4" s="1"/>
  <c r="AH19" i="4" s="1"/>
  <c r="AN19" i="4" s="1"/>
  <c r="AT19" i="4" s="1"/>
  <c r="AZ19" i="4" s="1"/>
  <c r="BF19" i="4" s="1"/>
  <c r="BL19" i="4" s="1"/>
  <c r="BR19" i="4" s="1"/>
  <c r="BX19" i="4" s="1"/>
  <c r="J18" i="4"/>
  <c r="P18" i="4" s="1"/>
  <c r="V18" i="4" s="1"/>
  <c r="AB18" i="4" s="1"/>
  <c r="AH18" i="4" s="1"/>
  <c r="AN18" i="4" s="1"/>
  <c r="AT18" i="4" s="1"/>
  <c r="AZ18" i="4" s="1"/>
  <c r="BF18" i="4" s="1"/>
  <c r="BL18" i="4" s="1"/>
  <c r="BR18" i="4" s="1"/>
  <c r="BX18" i="4" s="1"/>
  <c r="U4" i="4"/>
  <c r="J17" i="4"/>
  <c r="P17" i="4" s="1"/>
  <c r="V17" i="4" s="1"/>
  <c r="AB17" i="4" s="1"/>
  <c r="AH17" i="4" s="1"/>
  <c r="AN17" i="4" s="1"/>
  <c r="AT17" i="4" s="1"/>
  <c r="AZ17" i="4" s="1"/>
  <c r="BF17" i="4" s="1"/>
  <c r="BL17" i="4" s="1"/>
  <c r="BR17" i="4" s="1"/>
  <c r="BX17" i="4" s="1"/>
  <c r="J16" i="4"/>
  <c r="P16" i="4" s="1"/>
  <c r="V16" i="4" s="1"/>
  <c r="AB16" i="4" s="1"/>
  <c r="AH16" i="4" s="1"/>
  <c r="AN16" i="4" s="1"/>
  <c r="AT16" i="4" s="1"/>
  <c r="AZ16" i="4" s="1"/>
  <c r="BF16" i="4" s="1"/>
  <c r="BL16" i="4" s="1"/>
  <c r="BR16" i="4" s="1"/>
  <c r="BX16" i="4" s="1"/>
  <c r="J15" i="4"/>
  <c r="P15" i="4" s="1"/>
  <c r="V15" i="4" s="1"/>
  <c r="AB15" i="4" s="1"/>
  <c r="AH15" i="4" s="1"/>
  <c r="AN15" i="4" s="1"/>
  <c r="AT15" i="4" s="1"/>
  <c r="AZ15" i="4" s="1"/>
  <c r="BF15" i="4" s="1"/>
  <c r="BL15" i="4" s="1"/>
  <c r="BR15" i="4" s="1"/>
  <c r="BX15" i="4" s="1"/>
  <c r="J14" i="4"/>
  <c r="P14" i="4" s="1"/>
  <c r="V14" i="4" s="1"/>
  <c r="AB14" i="4" s="1"/>
  <c r="AH14" i="4" s="1"/>
  <c r="AN14" i="4" s="1"/>
  <c r="AT14" i="4" s="1"/>
  <c r="AZ14" i="4" s="1"/>
  <c r="BF14" i="4" s="1"/>
  <c r="BL14" i="4" s="1"/>
  <c r="BR14" i="4" s="1"/>
  <c r="BX14" i="4" s="1"/>
  <c r="J12" i="4"/>
  <c r="P12" i="4" s="1"/>
  <c r="V12" i="4" s="1"/>
  <c r="AB12" i="4" s="1"/>
  <c r="AH12" i="4" s="1"/>
  <c r="AN12" i="4" s="1"/>
  <c r="AT12" i="4" s="1"/>
  <c r="AZ12" i="4" s="1"/>
  <c r="BF12" i="4" s="1"/>
  <c r="BL12" i="4" s="1"/>
  <c r="BR12" i="4" s="1"/>
  <c r="BX12" i="4" s="1"/>
  <c r="J11" i="4"/>
  <c r="P11" i="4" s="1"/>
  <c r="V11" i="4" s="1"/>
  <c r="AB11" i="4" s="1"/>
  <c r="AH11" i="4" s="1"/>
  <c r="AN11" i="4" s="1"/>
  <c r="AT11" i="4" s="1"/>
  <c r="AZ11" i="4" s="1"/>
  <c r="BF11" i="4" s="1"/>
  <c r="BL11" i="4" s="1"/>
  <c r="BR11" i="4" s="1"/>
  <c r="BX11" i="4" s="1"/>
  <c r="J10" i="4"/>
  <c r="P10" i="4" s="1"/>
  <c r="V10" i="4" s="1"/>
  <c r="AB10" i="4" s="1"/>
  <c r="AH10" i="4" s="1"/>
  <c r="AN10" i="4" s="1"/>
  <c r="AT10" i="4" s="1"/>
  <c r="AZ10" i="4" s="1"/>
  <c r="BF10" i="4" s="1"/>
  <c r="BL10" i="4" s="1"/>
  <c r="BR10" i="4" s="1"/>
  <c r="BX10" i="4" s="1"/>
  <c r="J9" i="4"/>
  <c r="P9" i="4" s="1"/>
  <c r="V9" i="4" s="1"/>
  <c r="AB9" i="4" s="1"/>
  <c r="AH9" i="4" s="1"/>
  <c r="AN9" i="4" s="1"/>
  <c r="AT9" i="4" s="1"/>
  <c r="AZ9" i="4" s="1"/>
  <c r="BF9" i="4" s="1"/>
  <c r="BL9" i="4" s="1"/>
  <c r="BR9" i="4" s="1"/>
  <c r="BX9" i="4" s="1"/>
  <c r="J8" i="4"/>
  <c r="BW4" i="4"/>
  <c r="BV4" i="4"/>
  <c r="BU4" i="4"/>
  <c r="BT4" i="4"/>
  <c r="BQ4" i="4"/>
  <c r="BP4" i="4"/>
  <c r="BO4" i="4"/>
  <c r="BN4" i="4"/>
  <c r="BK4" i="4"/>
  <c r="BJ4" i="4"/>
  <c r="BI4" i="4"/>
  <c r="BH4" i="4"/>
  <c r="BE4" i="4"/>
  <c r="BD4" i="4"/>
  <c r="BC4" i="4"/>
  <c r="BB4" i="4"/>
  <c r="AY4" i="4"/>
  <c r="AX4" i="4"/>
  <c r="AW4" i="4"/>
  <c r="AV4" i="4"/>
  <c r="AS4" i="4"/>
  <c r="AR4" i="4"/>
  <c r="AQ4" i="4"/>
  <c r="AP4" i="4"/>
  <c r="AM4" i="4"/>
  <c r="AL4" i="4"/>
  <c r="AK4" i="4"/>
  <c r="AJ4" i="4"/>
  <c r="AG4" i="4"/>
  <c r="AE4" i="4"/>
  <c r="AD4" i="4"/>
  <c r="AA4" i="4"/>
  <c r="Z4" i="4"/>
  <c r="Y4" i="4"/>
  <c r="X4" i="4"/>
  <c r="T4" i="4"/>
  <c r="R4" i="4"/>
  <c r="O4" i="4"/>
  <c r="N4" i="4"/>
  <c r="M4" i="4"/>
  <c r="L4" i="4"/>
  <c r="I4" i="4"/>
  <c r="H4" i="4"/>
  <c r="G4" i="4"/>
  <c r="F4" i="4"/>
  <c r="D4" i="4"/>
  <c r="J4" i="4" l="1"/>
  <c r="P8" i="4"/>
  <c r="V8" i="4" s="1"/>
  <c r="AB8" i="4" s="1"/>
  <c r="AH8" i="4" s="1"/>
  <c r="AN8" i="4" s="1"/>
  <c r="AT8" i="4" s="1"/>
  <c r="AZ8" i="4" s="1"/>
  <c r="BF8" i="4" s="1"/>
  <c r="BL8" i="4" s="1"/>
  <c r="BR8" i="4" s="1"/>
  <c r="BX8" i="4" s="1"/>
  <c r="P4" i="4" l="1"/>
  <c r="V4" i="4" l="1"/>
  <c r="AB4" i="4" l="1"/>
  <c r="AH4" i="4" l="1"/>
  <c r="AN4" i="4" l="1"/>
  <c r="AT4" i="4" l="1"/>
  <c r="AZ4" i="4" l="1"/>
  <c r="BF4" i="4" l="1"/>
  <c r="BL4" i="4" l="1"/>
  <c r="BR4" i="4" l="1"/>
  <c r="BX4" i="4" l="1"/>
</calcChain>
</file>

<file path=xl/sharedStrings.xml><?xml version="1.0" encoding="utf-8"?>
<sst xmlns="http://schemas.openxmlformats.org/spreadsheetml/2006/main" count="941" uniqueCount="204">
  <si>
    <t>N A M A</t>
  </si>
  <si>
    <t>SALDO AWAL TAHUN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</si>
  <si>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</si>
  <si>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</si>
  <si>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</si>
  <si>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</si>
  <si>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</si>
  <si>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</si>
  <si>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</si>
  <si>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</si>
  <si>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</si>
  <si>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</si>
  <si>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</si>
  <si>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</si>
  <si>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SALDO BB</t>
  </si>
  <si>
    <t>KOMPENSASI</t>
  </si>
  <si>
    <t>UTANG</t>
  </si>
  <si>
    <t>BAYAR MANDIRI</t>
  </si>
  <si>
    <t>BAYAR POTONG</t>
  </si>
  <si>
    <t>.</t>
  </si>
  <si>
    <t>ABDUL RAHMAN, SE</t>
  </si>
  <si>
    <t>ABDUL ROCHIM,SP.</t>
  </si>
  <si>
    <t>ACH. WACHYUDI</t>
  </si>
  <si>
    <t>ADY PURNOMO</t>
  </si>
  <si>
    <t>AENAL DARWIS</t>
  </si>
  <si>
    <t>AGHNIA PUTRI RUSIANTO</t>
  </si>
  <si>
    <t>AHMAD MUKHLIS K.</t>
  </si>
  <si>
    <t>ARDHI YUNANTO</t>
  </si>
  <si>
    <t>ARI KUNCORO</t>
  </si>
  <si>
    <t>ARI RAHAYU</t>
  </si>
  <si>
    <t>BAGUS ADITA</t>
  </si>
  <si>
    <t>BAMBANG SYAMADJI</t>
  </si>
  <si>
    <t>BURNAMA KUSUMA DR.,SE</t>
  </si>
  <si>
    <t>CHOIRI,SE</t>
  </si>
  <si>
    <t>DANDUNG KASIATNO</t>
  </si>
  <si>
    <t>DARWANTO</t>
  </si>
  <si>
    <t>DEWI FATMAWATI</t>
  </si>
  <si>
    <t>DIAH PUSPITASARI</t>
  </si>
  <si>
    <t>DICKY SUSANTHO</t>
  </si>
  <si>
    <t>DWI RINI P, SE</t>
  </si>
  <si>
    <t>ENDIN TAFRIORO</t>
  </si>
  <si>
    <t>ERLY NURLIANTI</t>
  </si>
  <si>
    <t>FABIAN ABDUL GAFFAR</t>
  </si>
  <si>
    <t>FADELAN CHADARIANTO</t>
  </si>
  <si>
    <t>FIFI EMMALIA,SE</t>
  </si>
  <si>
    <t>GOLIK</t>
  </si>
  <si>
    <t>HADI SANYOTO, SE</t>
  </si>
  <si>
    <t>HANDOKO TEJO SAPUTRO, STp.</t>
  </si>
  <si>
    <t>HARI EKO SUSANTO, SE</t>
  </si>
  <si>
    <t>HARJO SUCIPTO</t>
  </si>
  <si>
    <t>HENDRAWAN NDOEN</t>
  </si>
  <si>
    <t>HENY ISTIANA</t>
  </si>
  <si>
    <t>HERMANTO</t>
  </si>
  <si>
    <t>HERY PURNOMO</t>
  </si>
  <si>
    <t>I DEWA PUTU CANDRA K., ST</t>
  </si>
  <si>
    <t xml:space="preserve">ISFA' </t>
  </si>
  <si>
    <t>ITA SUDARWATI</t>
  </si>
  <si>
    <t>IWAN RANGGA KUSUMA</t>
  </si>
  <si>
    <t>JAFRINDA REZA ELTRICO</t>
  </si>
  <si>
    <t>JOKO PURWANTO,SE</t>
  </si>
  <si>
    <t>KUSNAN</t>
  </si>
  <si>
    <t>KUSNO</t>
  </si>
  <si>
    <t>LAKSANA MUS ARDHIANTO</t>
  </si>
  <si>
    <t>LILIK MUNAWATI</t>
  </si>
  <si>
    <t>LISTYO HARTONO</t>
  </si>
  <si>
    <t>LUBANA NAZMA S.</t>
  </si>
  <si>
    <t>M. CHASIM</t>
  </si>
  <si>
    <t>M. NASERUL</t>
  </si>
  <si>
    <t>M. SYAMSUDDIN, SE</t>
  </si>
  <si>
    <t>MASTUR</t>
  </si>
  <si>
    <t>MONDA MORINA HARAHAP</t>
  </si>
  <si>
    <t>MUH. ALI S.</t>
  </si>
  <si>
    <t>MUHAMMAD ARIF SURACHMAN</t>
  </si>
  <si>
    <t>MUHARI RIZKITA</t>
  </si>
  <si>
    <t>NANANG BUDI D, SE</t>
  </si>
  <si>
    <t>NURUDIN</t>
  </si>
  <si>
    <t>PURWANTO</t>
  </si>
  <si>
    <t>RIADHO KURNIAWAN</t>
  </si>
  <si>
    <t>RIDLO PATYODI</t>
  </si>
  <si>
    <t>RIZKY VILIYANT ISMARYONO</t>
  </si>
  <si>
    <t>RONNY P. KUKUH</t>
  </si>
  <si>
    <t>RUDI HARTONO</t>
  </si>
  <si>
    <t>SAFI'I</t>
  </si>
  <si>
    <t>SETYO HARYONO</t>
  </si>
  <si>
    <t>SHOLIKIN</t>
  </si>
  <si>
    <t>SLAMET RYADI</t>
  </si>
  <si>
    <t>SOEYANTO</t>
  </si>
  <si>
    <t>SOLICHIN</t>
  </si>
  <si>
    <t>SRI RAHAYU</t>
  </si>
  <si>
    <t>SUBAGIO JUNAEDI</t>
  </si>
  <si>
    <t>SUGENG HARIANTO</t>
  </si>
  <si>
    <t>SUMARSONO</t>
  </si>
  <si>
    <t>SUNACHI</t>
  </si>
  <si>
    <t>SUTAN PRIATMAJA</t>
  </si>
  <si>
    <t>SUTO SUSENO</t>
  </si>
  <si>
    <t>SUWADI</t>
  </si>
  <si>
    <t>SUWANDI</t>
  </si>
  <si>
    <t>SYAMSUL HUDA</t>
  </si>
  <si>
    <t>T. SAFRIZALUDDIN</t>
  </si>
  <si>
    <t>TEDJO WAHYONO</t>
  </si>
  <si>
    <t>TEGUH PRIYONO</t>
  </si>
  <si>
    <t>WAKIMAN</t>
  </si>
  <si>
    <t>WIDODO</t>
  </si>
  <si>
    <t>WIDYA NANANG SURYANTO, ST</t>
  </si>
  <si>
    <t>WYNFRIED ARDIAN DIDOK</t>
  </si>
  <si>
    <t>YODI ERMANTO</t>
  </si>
  <si>
    <t>YUDI ISFANDIYARI</t>
  </si>
  <si>
    <t>YUDISTIRA SIGIT W.</t>
  </si>
  <si>
    <t>SUBKHAN</t>
  </si>
  <si>
    <t>NO</t>
  </si>
  <si>
    <t>NIK</t>
  </si>
  <si>
    <t>NAMA KARYAWAN</t>
  </si>
  <si>
    <t>KET</t>
  </si>
  <si>
    <t>PINJAMAN RUTIN</t>
  </si>
  <si>
    <t>POKOK</t>
  </si>
  <si>
    <t>JASA</t>
  </si>
  <si>
    <t>JUMLAH</t>
  </si>
  <si>
    <t>T.940138</t>
  </si>
  <si>
    <t>AKTIF</t>
  </si>
  <si>
    <t>T.940152</t>
  </si>
  <si>
    <t>T.940159</t>
  </si>
  <si>
    <t>T.940160</t>
  </si>
  <si>
    <t>T.940161</t>
  </si>
  <si>
    <t>T.960203</t>
  </si>
  <si>
    <t>T.970174</t>
  </si>
  <si>
    <t>T.970175</t>
  </si>
  <si>
    <t>T.970200</t>
  </si>
  <si>
    <t>T.980185</t>
  </si>
  <si>
    <t>T.980186</t>
  </si>
  <si>
    <t>T.980187</t>
  </si>
  <si>
    <t>T.990196</t>
  </si>
  <si>
    <t>T.202203</t>
  </si>
  <si>
    <t>T.202206</t>
  </si>
  <si>
    <t>T.202207</t>
  </si>
  <si>
    <t>T.205213</t>
  </si>
  <si>
    <t>T.205218</t>
  </si>
  <si>
    <t>T.205219</t>
  </si>
  <si>
    <t>T.205220</t>
  </si>
  <si>
    <t>T.205221</t>
  </si>
  <si>
    <t>T.205225</t>
  </si>
  <si>
    <t>T.205232</t>
  </si>
  <si>
    <t>T.205234</t>
  </si>
  <si>
    <t>T.205235</t>
  </si>
  <si>
    <t>T.205237</t>
  </si>
  <si>
    <t>T.205238</t>
  </si>
  <si>
    <t>T.205239</t>
  </si>
  <si>
    <t>T.205240</t>
  </si>
  <si>
    <t>T.205241</t>
  </si>
  <si>
    <t>T.206242</t>
  </si>
  <si>
    <t>T.206247</t>
  </si>
  <si>
    <t>T.207246</t>
  </si>
  <si>
    <t>T.207247</t>
  </si>
  <si>
    <t>T.207248</t>
  </si>
  <si>
    <t>T.208252</t>
  </si>
  <si>
    <t>T.208253</t>
  </si>
  <si>
    <t>T.208254</t>
  </si>
  <si>
    <t>T.208255</t>
  </si>
  <si>
    <t>T.208256</t>
  </si>
  <si>
    <t>T.208257</t>
  </si>
  <si>
    <t>T.210258</t>
  </si>
  <si>
    <t>T.210259</t>
  </si>
  <si>
    <t>T.210261</t>
  </si>
  <si>
    <t>T.210265</t>
  </si>
  <si>
    <t>T.210269</t>
  </si>
  <si>
    <t>T.211270</t>
  </si>
  <si>
    <t>T.211271</t>
  </si>
  <si>
    <t>T.211272</t>
  </si>
  <si>
    <t>T.211275</t>
  </si>
  <si>
    <t>T.211276</t>
  </si>
  <si>
    <t xml:space="preserve">DIAH PUSPITASARI </t>
  </si>
  <si>
    <t>T.211277</t>
  </si>
  <si>
    <t>T.211279</t>
  </si>
  <si>
    <t>T.211273</t>
  </si>
  <si>
    <t>T.213284</t>
  </si>
  <si>
    <t>T.213285</t>
  </si>
  <si>
    <t>T.213286</t>
  </si>
  <si>
    <t>T.213287</t>
  </si>
  <si>
    <t>T.213288</t>
  </si>
  <si>
    <t>T.214289</t>
  </si>
  <si>
    <t>T.214291</t>
  </si>
  <si>
    <t>T.215299</t>
  </si>
  <si>
    <t>T.215300</t>
  </si>
  <si>
    <t>T.215301</t>
  </si>
  <si>
    <t>T.215303</t>
  </si>
  <si>
    <t>T.217305</t>
  </si>
  <si>
    <t>T.217308</t>
  </si>
  <si>
    <t>T.221309</t>
  </si>
  <si>
    <t>RIZKY VILIANT ISMARYONO</t>
  </si>
  <si>
    <t>T.221311</t>
  </si>
  <si>
    <t>T.221312</t>
  </si>
  <si>
    <t>RIADO KURNIAWAN</t>
  </si>
  <si>
    <t>T.221310</t>
  </si>
  <si>
    <t>T.223313</t>
  </si>
  <si>
    <t>T.225315</t>
  </si>
  <si>
    <t>AGA FIRMANSYAH</t>
  </si>
  <si>
    <t>T.225317</t>
  </si>
  <si>
    <t>FARID FAHRUDIN</t>
  </si>
  <si>
    <t>T.225319</t>
  </si>
  <si>
    <t>DWI TEGUH ARIWIBOWO</t>
  </si>
  <si>
    <t>T.225316</t>
  </si>
  <si>
    <t>DEWA HENTYARSA UTOMO</t>
  </si>
  <si>
    <t>ARFANDY NAHSAR</t>
  </si>
  <si>
    <t>TAUFIK HIDAYAT</t>
  </si>
  <si>
    <t>NIKO FREDIKA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</si>
</sst>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9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0" applyNumberFormat="1" applyFont="1"/>
    <xf numFmtId="43" fontId="3" fillId="0" borderId="0" xfId="0" applyNumberFormat="1" applyFont="1"/>
    <xf numFmtId="0" fontId="4" fillId="0" borderId="0" xfId="0" applyFont="1"/>
    <xf numFmtId="0" fontId="5" fillId="0" borderId="0" xfId="0" applyFont="1"/>
    <xf numFmtId="43" fontId="5" fillId="0" borderId="0" xfId="1" applyFont="1" applyBorder="1"/>
    <xf numFmtId="43" fontId="4" fillId="0" borderId="0" xfId="1" applyFont="1" applyBorder="1"/>
    <xf numFmtId="0" fontId="6" fillId="0" borderId="0" xfId="0" applyFont="1"/>
    <xf numFmtId="43" fontId="7" fillId="0" borderId="1" xfId="1" applyFont="1" applyBorder="1"/>
    <xf numFmtId="0" fontId="8" fillId="0" borderId="0" xfId="0" applyFont="1" applyAlignment="1">
      <alignment vertical="center"/>
    </xf>
    <xf numFmtId="43" fontId="9" fillId="0" borderId="3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3" fontId="7" fillId="0" borderId="8" xfId="1" applyFont="1" applyBorder="1" applyAlignment="1">
      <alignment horizontal="center"/>
    </xf>
    <xf numFmtId="43" fontId="7" fillId="0" borderId="9" xfId="1" applyFont="1" applyBorder="1" applyAlignment="1">
      <alignment horizontal="center"/>
    </xf>
    <xf numFmtId="43" fontId="7" fillId="0" borderId="10" xfId="1" applyFont="1" applyBorder="1" applyAlignment="1">
      <alignment horizontal="center"/>
    </xf>
    <xf numFmtId="43" fontId="7" fillId="0" borderId="11" xfId="1" applyFont="1" applyBorder="1" applyAlignment="1">
      <alignment horizontal="center"/>
    </xf>
    <xf numFmtId="0" fontId="7" fillId="4" borderId="8" xfId="0" applyFont="1" applyFill="1" applyBorder="1" applyAlignment="1">
      <alignment horizontal="center" vertical="center"/>
    </xf>
    <xf numFmtId="43" fontId="7" fillId="4" borderId="8" xfId="1" applyFont="1" applyFill="1" applyBorder="1" applyAlignment="1">
      <alignment horizontal="center"/>
    </xf>
    <xf numFmtId="43" fontId="7" fillId="4" borderId="9" xfId="1" applyFont="1" applyFill="1" applyBorder="1" applyAlignment="1">
      <alignment horizontal="center"/>
    </xf>
    <xf numFmtId="43" fontId="7" fillId="4" borderId="10" xfId="1" applyFont="1" applyFill="1" applyBorder="1" applyAlignment="1">
      <alignment horizontal="center"/>
    </xf>
    <xf numFmtId="43" fontId="7" fillId="4" borderId="11" xfId="1" applyFont="1" applyFill="1" applyBorder="1" applyAlignment="1">
      <alignment horizontal="center"/>
    </xf>
    <xf numFmtId="43" fontId="4" fillId="0" borderId="0" xfId="0" applyNumberFormat="1" applyFont="1"/>
    <xf numFmtId="42" fontId="6" fillId="0" borderId="12" xfId="0" quotePrefix="1" applyNumberFormat="1" applyFont="1" applyBorder="1" applyAlignment="1">
      <alignment horizontal="left" indent="1"/>
    </xf>
    <xf numFmtId="42" fontId="6" fillId="0" borderId="0" xfId="0" quotePrefix="1" applyNumberFormat="1" applyFont="1" applyAlignment="1">
      <alignment horizontal="left"/>
    </xf>
    <xf numFmtId="43" fontId="5" fillId="5" borderId="12" xfId="1" applyFont="1" applyFill="1" applyBorder="1"/>
    <xf numFmtId="43" fontId="5" fillId="0" borderId="13" xfId="1" applyFont="1" applyBorder="1"/>
    <xf numFmtId="43" fontId="5" fillId="0" borderId="14" xfId="1" applyFont="1" applyBorder="1"/>
    <xf numFmtId="43" fontId="4" fillId="0" borderId="14" xfId="1" applyFont="1" applyBorder="1"/>
    <xf numFmtId="43" fontId="5" fillId="5" borderId="15" xfId="1" applyFont="1" applyFill="1" applyBorder="1"/>
    <xf numFmtId="42" fontId="6" fillId="0" borderId="16" xfId="0" quotePrefix="1" applyNumberFormat="1" applyFont="1" applyBorder="1" applyAlignment="1">
      <alignment horizontal="left" indent="1"/>
    </xf>
    <xf numFmtId="43" fontId="5" fillId="5" borderId="16" xfId="1" applyFont="1" applyFill="1" applyBorder="1"/>
    <xf numFmtId="43" fontId="5" fillId="0" borderId="17" xfId="1" applyFont="1" applyBorder="1"/>
    <xf numFmtId="43" fontId="5" fillId="0" borderId="18" xfId="1" applyFont="1" applyBorder="1"/>
    <xf numFmtId="43" fontId="4" fillId="0" borderId="18" xfId="1" applyFont="1" applyBorder="1"/>
    <xf numFmtId="43" fontId="5" fillId="5" borderId="19" xfId="1" applyFont="1" applyFill="1" applyBorder="1"/>
    <xf numFmtId="43" fontId="5" fillId="5" borderId="20" xfId="1" applyFont="1" applyFill="1" applyBorder="1"/>
    <xf numFmtId="43" fontId="5" fillId="0" borderId="21" xfId="1" applyFont="1" applyBorder="1"/>
    <xf numFmtId="43" fontId="5" fillId="0" borderId="22" xfId="1" applyFont="1" applyBorder="1"/>
    <xf numFmtId="43" fontId="4" fillId="0" borderId="22" xfId="1" applyFont="1" applyBorder="1"/>
    <xf numFmtId="43" fontId="5" fillId="5" borderId="23" xfId="1" applyFont="1" applyFill="1" applyBorder="1"/>
    <xf numFmtId="43" fontId="5" fillId="0" borderId="17" xfId="1" applyFont="1" applyFill="1" applyBorder="1"/>
    <xf numFmtId="43" fontId="5" fillId="0" borderId="18" xfId="1" applyFont="1" applyFill="1" applyBorder="1"/>
    <xf numFmtId="42" fontId="6" fillId="0" borderId="24" xfId="0" quotePrefix="1" applyNumberFormat="1" applyFont="1" applyBorder="1" applyAlignment="1">
      <alignment horizontal="left" indent="1"/>
    </xf>
    <xf numFmtId="43" fontId="5" fillId="5" borderId="24" xfId="1" applyFont="1" applyFill="1" applyBorder="1"/>
    <xf numFmtId="43" fontId="5" fillId="0" borderId="25" xfId="1" applyFont="1" applyBorder="1"/>
    <xf numFmtId="43" fontId="5" fillId="0" borderId="26" xfId="1" applyFont="1" applyBorder="1"/>
    <xf numFmtId="43" fontId="4" fillId="0" borderId="26" xfId="1" applyFont="1" applyBorder="1"/>
    <xf numFmtId="43" fontId="5" fillId="5" borderId="27" xfId="1" applyFont="1" applyFill="1" applyBorder="1"/>
    <xf numFmtId="43" fontId="13" fillId="0" borderId="0" xfId="1" applyFont="1" applyBorder="1"/>
    <xf numFmtId="43" fontId="9" fillId="3" borderId="4" xfId="1" applyFont="1" applyFill="1" applyBorder="1" applyAlignment="1">
      <alignment horizontal="center" vertical="center"/>
    </xf>
    <xf numFmtId="43" fontId="9" fillId="3" borderId="5" xfId="1" applyFont="1" applyFill="1" applyBorder="1" applyAlignment="1">
      <alignment horizontal="center" vertical="center"/>
    </xf>
    <xf numFmtId="43" fontId="9" fillId="3" borderId="6" xfId="1" applyFont="1" applyFill="1" applyBorder="1" applyAlignment="1">
      <alignment horizontal="center" vertical="center"/>
    </xf>
    <xf numFmtId="43" fontId="9" fillId="2" borderId="4" xfId="1" applyFont="1" applyFill="1" applyBorder="1" applyAlignment="1">
      <alignment horizontal="center" vertical="center"/>
    </xf>
    <xf numFmtId="43" fontId="9" fillId="2" borderId="5" xfId="1" applyFont="1" applyFill="1" applyBorder="1" applyAlignment="1">
      <alignment horizontal="center" vertical="center"/>
    </xf>
    <xf numFmtId="43" fontId="9" fillId="2" borderId="6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7">
    <cellStyle name="Comma" xfId="1" builtinId="3"/>
    <cellStyle name="Comma [0] 2" xfId="4" xr:uid="{390A5984-49E3-4616-B3CD-AF7D22776DF2}"/>
    <cellStyle name="Comma 2" xfId="3" xr:uid="{93BF65C0-4E6E-425E-8864-0165D1681359}"/>
    <cellStyle name="Normal" xfId="0" builtinId="0"/>
    <cellStyle name="Normal 2" xfId="2" xr:uid="{CEE47387-1A05-433C-9FB1-4CD857FB1BE2}"/>
    <cellStyle name="Normal 3" xfId="6" xr:uid="{1F14981D-2497-4726-B3A2-7818624BB2F1}"/>
    <cellStyle name="Percent 2" xfId="5" xr:uid="{06E53954-FD37-4246-88C7-531842306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9-10-2017\---2017---\00.%20URGENT\01.%20Order%20P.%20Joko\Persiapan%20Month%20End%202017\Laporan%20WORKSHEET%202017_per%20Apr%20(Month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 TAHUNAN"/>
      <sheetName val="WORKING  BULANAN"/>
      <sheetName val="1 (ada yg brbh)"/>
      <sheetName val="2 (ada + jur hut)"/>
      <sheetName val="3"/>
      <sheetName val="4 (ada yg brbh)"/>
      <sheetName val="5"/>
      <sheetName val="AKUNL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110101</v>
          </cell>
          <cell r="B2" t="str">
            <v>Kas IDR Gresik</v>
          </cell>
          <cell r="C2" t="str">
            <v>A01</v>
          </cell>
        </row>
        <row r="3">
          <cell r="A3" t="str">
            <v>110102</v>
          </cell>
          <cell r="B3" t="str">
            <v>Kas IDR Medan</v>
          </cell>
          <cell r="C3" t="str">
            <v>A01</v>
          </cell>
        </row>
        <row r="4">
          <cell r="A4" t="str">
            <v>110103</v>
          </cell>
          <cell r="B4" t="str">
            <v>Kas IDR Makassar</v>
          </cell>
          <cell r="C4" t="str">
            <v>A01</v>
          </cell>
        </row>
        <row r="5">
          <cell r="A5" t="str">
            <v>110104</v>
          </cell>
          <cell r="B5" t="str">
            <v>Kas IDR Lampung</v>
          </cell>
          <cell r="C5" t="str">
            <v>A01</v>
          </cell>
        </row>
        <row r="6">
          <cell r="A6" t="str">
            <v>110110</v>
          </cell>
          <cell r="B6" t="str">
            <v>Kas USD</v>
          </cell>
          <cell r="C6" t="str">
            <v>A01</v>
          </cell>
        </row>
        <row r="7">
          <cell r="A7" t="str">
            <v>110120</v>
          </cell>
          <cell r="B7" t="str">
            <v>Kas Kecil IDR KIG</v>
          </cell>
          <cell r="C7" t="str">
            <v>A01</v>
          </cell>
        </row>
        <row r="8">
          <cell r="A8" t="str">
            <v>110201</v>
          </cell>
          <cell r="B8" t="str">
            <v>Giro Mandiri Gresik</v>
          </cell>
          <cell r="C8" t="str">
            <v>A02</v>
          </cell>
        </row>
        <row r="9">
          <cell r="A9" t="str">
            <v>110202</v>
          </cell>
          <cell r="B9" t="str">
            <v xml:space="preserve">Giro BNI'46 Gresik                                          </v>
          </cell>
          <cell r="C9" t="str">
            <v>A02</v>
          </cell>
        </row>
        <row r="10">
          <cell r="A10" t="str">
            <v>110203</v>
          </cell>
          <cell r="B10" t="str">
            <v>Giro Lippo Gresik</v>
          </cell>
          <cell r="C10" t="str">
            <v>A02</v>
          </cell>
        </row>
        <row r="11">
          <cell r="A11" t="str">
            <v>110204</v>
          </cell>
          <cell r="B11" t="str">
            <v>Giro Niaga Gresik</v>
          </cell>
          <cell r="C11" t="str">
            <v>A02</v>
          </cell>
        </row>
        <row r="12">
          <cell r="A12" t="str">
            <v>110205</v>
          </cell>
          <cell r="B12" t="str">
            <v>Giro BRI I Gresik</v>
          </cell>
          <cell r="C12" t="str">
            <v>A02</v>
          </cell>
        </row>
        <row r="13">
          <cell r="A13" t="str">
            <v>110206</v>
          </cell>
          <cell r="B13" t="str">
            <v>Giro Agro Gresik</v>
          </cell>
          <cell r="C13" t="str">
            <v>A02</v>
          </cell>
        </row>
        <row r="14">
          <cell r="A14" t="str">
            <v>110207</v>
          </cell>
          <cell r="B14" t="str">
            <v>Giro BCA Gresik</v>
          </cell>
          <cell r="C14" t="str">
            <v>A02</v>
          </cell>
        </row>
        <row r="15">
          <cell r="A15" t="str">
            <v>110208</v>
          </cell>
          <cell r="B15" t="str">
            <v>Giro Bank Jatim Gresik</v>
          </cell>
          <cell r="C15" t="str">
            <v>A02</v>
          </cell>
        </row>
        <row r="16">
          <cell r="A16" t="str">
            <v>110209</v>
          </cell>
          <cell r="B16" t="str">
            <v>Giro Dollar Mandiri Gresik</v>
          </cell>
          <cell r="C16" t="str">
            <v>A02</v>
          </cell>
        </row>
        <row r="17">
          <cell r="A17" t="str">
            <v>110210</v>
          </cell>
          <cell r="B17" t="str">
            <v>Giro Dollar CIMB Niaga Gresik</v>
          </cell>
          <cell r="C17" t="str">
            <v>A02</v>
          </cell>
        </row>
        <row r="18">
          <cell r="A18" t="str">
            <v>110211</v>
          </cell>
          <cell r="B18" t="str">
            <v>Giro Bank Jatim Surabaya</v>
          </cell>
          <cell r="C18" t="str">
            <v>A02</v>
          </cell>
        </row>
        <row r="19">
          <cell r="A19" t="str">
            <v>110212</v>
          </cell>
          <cell r="B19" t="str">
            <v>Giro Dollar Panin Surabaya</v>
          </cell>
          <cell r="C19" t="str">
            <v>A02</v>
          </cell>
        </row>
        <row r="20">
          <cell r="A20" t="str">
            <v>110213</v>
          </cell>
          <cell r="B20" t="str">
            <v>Giro Mandiri Medan</v>
          </cell>
          <cell r="C20" t="str">
            <v>A02</v>
          </cell>
        </row>
        <row r="21">
          <cell r="A21" t="str">
            <v>110214</v>
          </cell>
          <cell r="B21" t="str">
            <v xml:space="preserve">Giro BNI'46 Medan                                           </v>
          </cell>
          <cell r="C21" t="str">
            <v>A02</v>
          </cell>
        </row>
        <row r="22">
          <cell r="A22" t="str">
            <v>110215</v>
          </cell>
          <cell r="B22" t="str">
            <v>Giro BRI Medan</v>
          </cell>
          <cell r="C22" t="str">
            <v>A02</v>
          </cell>
        </row>
        <row r="23">
          <cell r="A23" t="str">
            <v>110216</v>
          </cell>
          <cell r="B23" t="str">
            <v xml:space="preserve">Giro BNI'46 Makassar                                        </v>
          </cell>
          <cell r="C23" t="str">
            <v>A02</v>
          </cell>
        </row>
        <row r="24">
          <cell r="A24" t="str">
            <v>110217</v>
          </cell>
          <cell r="B24" t="str">
            <v>Giro Bukopin Makassar</v>
          </cell>
          <cell r="C24" t="str">
            <v>A02</v>
          </cell>
        </row>
        <row r="25">
          <cell r="A25" t="str">
            <v>110218</v>
          </cell>
          <cell r="B25" t="str">
            <v>Giro BRI Sidrap Makassar</v>
          </cell>
          <cell r="C25" t="str">
            <v>A02</v>
          </cell>
        </row>
        <row r="26">
          <cell r="A26" t="str">
            <v>110219</v>
          </cell>
          <cell r="B26" t="str">
            <v>Giro Mandiri Makassar</v>
          </cell>
          <cell r="C26" t="str">
            <v>A02</v>
          </cell>
        </row>
        <row r="27">
          <cell r="A27" t="str">
            <v>110220</v>
          </cell>
          <cell r="B27" t="str">
            <v>Giro BRI Makassar</v>
          </cell>
          <cell r="C27" t="str">
            <v>A02</v>
          </cell>
        </row>
        <row r="28">
          <cell r="A28" t="str">
            <v>110221</v>
          </cell>
          <cell r="B28" t="str">
            <v>Giro Mandiri Lampung</v>
          </cell>
          <cell r="C28" t="str">
            <v>A02</v>
          </cell>
        </row>
        <row r="29">
          <cell r="A29" t="str">
            <v>110222</v>
          </cell>
          <cell r="B29" t="str">
            <v>Giro BRI Lampung</v>
          </cell>
          <cell r="C29" t="str">
            <v>A02</v>
          </cell>
        </row>
        <row r="30">
          <cell r="A30" t="str">
            <v>110223</v>
          </cell>
          <cell r="B30" t="str">
            <v>Giro BRI II Gresik</v>
          </cell>
          <cell r="C30" t="str">
            <v>A02</v>
          </cell>
        </row>
        <row r="31">
          <cell r="A31" t="str">
            <v>110224</v>
          </cell>
          <cell r="B31" t="str">
            <v>Giro Bank DBS Surabaya</v>
          </cell>
          <cell r="C31" t="str">
            <v>A02</v>
          </cell>
        </row>
        <row r="32">
          <cell r="A32" t="str">
            <v>110225</v>
          </cell>
          <cell r="B32" t="str">
            <v>Giro Bank DBS Dolar Surabaya</v>
          </cell>
          <cell r="C32" t="str">
            <v>A02</v>
          </cell>
        </row>
        <row r="33">
          <cell r="A33" t="str">
            <v>110226</v>
          </cell>
          <cell r="B33" t="str">
            <v>KMK Bank Mandiri</v>
          </cell>
          <cell r="C33" t="str">
            <v>P08</v>
          </cell>
        </row>
        <row r="34">
          <cell r="A34" t="str">
            <v>110227</v>
          </cell>
          <cell r="B34" t="str">
            <v>KMK CIMB Niaga</v>
          </cell>
          <cell r="C34" t="str">
            <v>P08</v>
          </cell>
        </row>
        <row r="35">
          <cell r="A35" t="str">
            <v>110228</v>
          </cell>
          <cell r="B35" t="str">
            <v>KMK CIMB Niaga Dolar</v>
          </cell>
          <cell r="C35" t="str">
            <v>P01A</v>
          </cell>
        </row>
        <row r="36">
          <cell r="A36" t="str">
            <v>110229</v>
          </cell>
          <cell r="B36" t="str">
            <v>Giro BRI Rajawali Surabaya</v>
          </cell>
          <cell r="C36" t="str">
            <v>A02</v>
          </cell>
        </row>
        <row r="37">
          <cell r="A37" t="str">
            <v>110230</v>
          </cell>
          <cell r="B37" t="str">
            <v>Giro BRI III Gresik</v>
          </cell>
          <cell r="C37" t="str">
            <v>A02</v>
          </cell>
        </row>
        <row r="38">
          <cell r="A38" t="str">
            <v>110231</v>
          </cell>
          <cell r="B38" t="str">
            <v>Giro Mandiri Gresik 2</v>
          </cell>
          <cell r="C38" t="str">
            <v>A02</v>
          </cell>
        </row>
        <row r="39">
          <cell r="A39" t="str">
            <v>110232</v>
          </cell>
          <cell r="B39" t="str">
            <v>Giro BRI III Escrow</v>
          </cell>
          <cell r="C39" t="str">
            <v>A02</v>
          </cell>
        </row>
        <row r="40">
          <cell r="A40" t="str">
            <v>110251</v>
          </cell>
          <cell r="B40" t="str">
            <v>Giro Mandiri Gresik - (Bank Perantara)</v>
          </cell>
          <cell r="C40" t="str">
            <v>A02</v>
          </cell>
        </row>
        <row r="41">
          <cell r="A41" t="str">
            <v>110252</v>
          </cell>
          <cell r="B41" t="str">
            <v xml:space="preserve">Giro BNI'46 Gresik - (Bank Perantara)                       </v>
          </cell>
          <cell r="C41" t="str">
            <v>A02</v>
          </cell>
        </row>
        <row r="42">
          <cell r="A42" t="str">
            <v>110253</v>
          </cell>
          <cell r="B42" t="str">
            <v>Giro Lippo Gresik - (Bank Perantara)</v>
          </cell>
          <cell r="C42" t="str">
            <v>A02</v>
          </cell>
        </row>
        <row r="43">
          <cell r="A43" t="str">
            <v>110254</v>
          </cell>
          <cell r="B43" t="str">
            <v>Giro Niaga Gresik - (Bank Perantara)</v>
          </cell>
          <cell r="C43" t="str">
            <v>A02</v>
          </cell>
        </row>
        <row r="44">
          <cell r="A44" t="str">
            <v>110255</v>
          </cell>
          <cell r="B44" t="str">
            <v>Giro BRI Gresik - (Bank Perantara)</v>
          </cell>
          <cell r="C44" t="str">
            <v>A02</v>
          </cell>
        </row>
        <row r="45">
          <cell r="A45" t="str">
            <v>110256</v>
          </cell>
          <cell r="B45" t="str">
            <v>Giro Agro Gresik - (Bank Perantara)</v>
          </cell>
          <cell r="C45" t="str">
            <v>A02</v>
          </cell>
        </row>
        <row r="46">
          <cell r="A46" t="str">
            <v>110257</v>
          </cell>
          <cell r="B46" t="str">
            <v>Giro BCA Gresik - (Bank Perantara)</v>
          </cell>
          <cell r="C46" t="str">
            <v>A02</v>
          </cell>
        </row>
        <row r="47">
          <cell r="A47" t="str">
            <v>110258</v>
          </cell>
          <cell r="B47" t="str">
            <v>Giro Bank Jatim Gresik - (Bank Perantara)</v>
          </cell>
          <cell r="C47" t="str">
            <v>A02</v>
          </cell>
        </row>
        <row r="48">
          <cell r="A48" t="str">
            <v>110259</v>
          </cell>
          <cell r="B48" t="str">
            <v>Giro Dollar Mandiri Gresik - (Bank Perantara)</v>
          </cell>
          <cell r="C48" t="str">
            <v>A02</v>
          </cell>
        </row>
        <row r="49">
          <cell r="A49" t="str">
            <v>110260</v>
          </cell>
          <cell r="B49" t="str">
            <v>Giro Dollar CIMB Niaga Gresik - (Bank Perantara)</v>
          </cell>
          <cell r="C49" t="str">
            <v>A02</v>
          </cell>
        </row>
        <row r="50">
          <cell r="A50" t="str">
            <v>110261</v>
          </cell>
          <cell r="B50" t="str">
            <v>Giro Bank Jatim Surabaya - (Bank Perantara)</v>
          </cell>
          <cell r="C50" t="str">
            <v>A02</v>
          </cell>
        </row>
        <row r="51">
          <cell r="A51" t="str">
            <v>110262</v>
          </cell>
          <cell r="B51" t="str">
            <v>Giro Dollar Panin Surabaya - (Bank Perantara)</v>
          </cell>
          <cell r="C51" t="str">
            <v>A02</v>
          </cell>
        </row>
        <row r="52">
          <cell r="A52" t="str">
            <v>110263</v>
          </cell>
          <cell r="B52" t="str">
            <v>Giro Mandiri Medan - (Bank Perantara)</v>
          </cell>
          <cell r="C52" t="str">
            <v>A02</v>
          </cell>
        </row>
        <row r="53">
          <cell r="A53" t="str">
            <v>110264</v>
          </cell>
          <cell r="B53" t="str">
            <v xml:space="preserve">Giro BNI'46 Medan - (Bank Perantara)                        </v>
          </cell>
          <cell r="C53" t="str">
            <v>A02</v>
          </cell>
        </row>
        <row r="54">
          <cell r="A54" t="str">
            <v>110265</v>
          </cell>
          <cell r="B54" t="str">
            <v>Giro BRI Medan - (Bank Perantara)</v>
          </cell>
          <cell r="C54" t="str">
            <v>A02</v>
          </cell>
        </row>
        <row r="55">
          <cell r="A55" t="str">
            <v>110266</v>
          </cell>
          <cell r="B55" t="str">
            <v xml:space="preserve">Giro BNI'46 Makassar - (Bank Perantara)                     </v>
          </cell>
          <cell r="C55" t="str">
            <v>A02</v>
          </cell>
        </row>
        <row r="56">
          <cell r="A56" t="str">
            <v>110267</v>
          </cell>
          <cell r="B56" t="str">
            <v>Giro Bukopin Makassar - (Bank Perantara)</v>
          </cell>
          <cell r="C56" t="str">
            <v>A02</v>
          </cell>
        </row>
        <row r="57">
          <cell r="A57" t="str">
            <v>110268</v>
          </cell>
          <cell r="B57" t="str">
            <v>Giro BRI Sidrap Makassar - (Bank Perantara)</v>
          </cell>
          <cell r="C57" t="str">
            <v>A02</v>
          </cell>
        </row>
        <row r="58">
          <cell r="A58" t="str">
            <v>110269</v>
          </cell>
          <cell r="B58" t="str">
            <v>Giro Mandiri Makassar - (Bank Perantara)</v>
          </cell>
          <cell r="C58" t="str">
            <v>A02</v>
          </cell>
        </row>
        <row r="59">
          <cell r="A59" t="str">
            <v>110270</v>
          </cell>
          <cell r="B59" t="str">
            <v>Giro BRI Makassar - (Bank Perantara)</v>
          </cell>
          <cell r="C59" t="str">
            <v>A02</v>
          </cell>
        </row>
        <row r="60">
          <cell r="A60" t="str">
            <v>110271</v>
          </cell>
          <cell r="B60" t="str">
            <v>Giro Mandiri Lampung - (Bank Perantara)</v>
          </cell>
          <cell r="C60" t="str">
            <v>A02</v>
          </cell>
        </row>
        <row r="61">
          <cell r="A61" t="str">
            <v>110272</v>
          </cell>
          <cell r="B61" t="str">
            <v>KMK Mandiri Gresik - (Bank Perantara)</v>
          </cell>
          <cell r="C61" t="str">
            <v>A02</v>
          </cell>
        </row>
        <row r="62">
          <cell r="A62" t="str">
            <v>110273</v>
          </cell>
          <cell r="B62" t="str">
            <v>KMK Bank BRI</v>
          </cell>
          <cell r="C62" t="str">
            <v>P08</v>
          </cell>
        </row>
        <row r="63">
          <cell r="A63" t="str">
            <v>110274</v>
          </cell>
          <cell r="B63" t="str">
            <v>KMK BCA Syariah Gresik</v>
          </cell>
          <cell r="C63" t="str">
            <v>A02</v>
          </cell>
        </row>
        <row r="64">
          <cell r="A64" t="str">
            <v>110275</v>
          </cell>
          <cell r="B64" t="str">
            <v>Giro BCA Syariah Gresik</v>
          </cell>
          <cell r="C64" t="str">
            <v>A02</v>
          </cell>
        </row>
        <row r="65">
          <cell r="A65" t="str">
            <v>110276</v>
          </cell>
          <cell r="B65" t="str">
            <v>KMK TR Mandiri</v>
          </cell>
          <cell r="C65" t="str">
            <v>A02</v>
          </cell>
        </row>
        <row r="66">
          <cell r="A66" t="str">
            <v>110277</v>
          </cell>
          <cell r="B66" t="str">
            <v>KMK Loan DF Mandiri</v>
          </cell>
          <cell r="C66" t="str">
            <v>A02</v>
          </cell>
        </row>
        <row r="67">
          <cell r="A67" t="str">
            <v>110278</v>
          </cell>
          <cell r="B67" t="str">
            <v>Giro Bank Lampung Cab. Metro</v>
          </cell>
          <cell r="C67" t="str">
            <v>A02</v>
          </cell>
        </row>
        <row r="68">
          <cell r="A68" t="str">
            <v>110279</v>
          </cell>
          <cell r="B68" t="str">
            <v>Giro Bank Lampung Cab. Lampung Tengah</v>
          </cell>
          <cell r="C68" t="str">
            <v>A02</v>
          </cell>
        </row>
        <row r="69">
          <cell r="A69" t="str">
            <v>110301</v>
          </cell>
          <cell r="B69" t="str">
            <v>Bank Garansi Gresik</v>
          </cell>
          <cell r="C69" t="str">
            <v>A03</v>
          </cell>
        </row>
        <row r="70">
          <cell r="A70" t="str">
            <v>110302</v>
          </cell>
          <cell r="B70" t="str">
            <v>Deposito Berjangka Gresik</v>
          </cell>
          <cell r="C70" t="str">
            <v>A03</v>
          </cell>
        </row>
        <row r="71">
          <cell r="A71" t="str">
            <v>110303</v>
          </cell>
          <cell r="B71" t="str">
            <v>DOC Gresik</v>
          </cell>
          <cell r="C71" t="str">
            <v>A03</v>
          </cell>
        </row>
        <row r="72">
          <cell r="A72" t="str">
            <v>110304</v>
          </cell>
          <cell r="B72" t="str">
            <v>Deposito Dollar Gresik</v>
          </cell>
          <cell r="C72" t="str">
            <v>A03</v>
          </cell>
        </row>
        <row r="73">
          <cell r="A73" t="str">
            <v>110305</v>
          </cell>
          <cell r="B73" t="str">
            <v>Setor Jaminan Skbdn</v>
          </cell>
          <cell r="C73" t="str">
            <v>A03</v>
          </cell>
        </row>
        <row r="74">
          <cell r="A74" t="str">
            <v>110306</v>
          </cell>
          <cell r="B74" t="str">
            <v>Surat-Surat Berharga</v>
          </cell>
          <cell r="C74" t="str">
            <v>A03</v>
          </cell>
        </row>
        <row r="75">
          <cell r="A75" t="str">
            <v>110307</v>
          </cell>
          <cell r="B75" t="str">
            <v>Saham</v>
          </cell>
          <cell r="C75" t="str">
            <v>A03</v>
          </cell>
        </row>
        <row r="76">
          <cell r="A76" t="str">
            <v>110308</v>
          </cell>
          <cell r="B76" t="str">
            <v>Bank Garansi Medan</v>
          </cell>
          <cell r="C76" t="str">
            <v>A03</v>
          </cell>
        </row>
        <row r="77">
          <cell r="A77" t="str">
            <v>110309</v>
          </cell>
          <cell r="B77" t="str">
            <v>Deposito Berjangka Medan</v>
          </cell>
          <cell r="C77" t="str">
            <v>A03</v>
          </cell>
        </row>
        <row r="78">
          <cell r="A78" t="str">
            <v>110310</v>
          </cell>
          <cell r="B78" t="str">
            <v>DOC Medan</v>
          </cell>
          <cell r="C78" t="str">
            <v>A03</v>
          </cell>
        </row>
        <row r="79">
          <cell r="A79" t="str">
            <v>110401</v>
          </cell>
          <cell r="B79" t="str">
            <v>Piutang Usaha</v>
          </cell>
          <cell r="C79" t="str">
            <v>A04</v>
          </cell>
        </row>
        <row r="80">
          <cell r="A80" t="str">
            <v>110402</v>
          </cell>
          <cell r="B80" t="str">
            <v>Piutang Affiliasi</v>
          </cell>
          <cell r="C80" t="str">
            <v>A05</v>
          </cell>
        </row>
        <row r="81">
          <cell r="A81" t="str">
            <v>110403</v>
          </cell>
          <cell r="B81" t="str">
            <v>Piutang Lain - lain</v>
          </cell>
          <cell r="C81" t="str">
            <v>A06</v>
          </cell>
        </row>
        <row r="82">
          <cell r="A82" t="str">
            <v>110501</v>
          </cell>
          <cell r="B82" t="str">
            <v>Cad. PH Piutang Usaha</v>
          </cell>
          <cell r="C82" t="str">
            <v>A07</v>
          </cell>
        </row>
        <row r="83">
          <cell r="A83" t="str">
            <v>110502</v>
          </cell>
          <cell r="B83" t="str">
            <v>Cad. PH Piutang Lain - lain</v>
          </cell>
          <cell r="C83" t="str">
            <v>A07</v>
          </cell>
        </row>
        <row r="84">
          <cell r="A84" t="str">
            <v>110600</v>
          </cell>
          <cell r="B84" t="str">
            <v>Persediaan Barang Jadi</v>
          </cell>
          <cell r="C84" t="str">
            <v>A08</v>
          </cell>
        </row>
        <row r="85">
          <cell r="A85" t="str">
            <v>110601</v>
          </cell>
          <cell r="B85" t="str">
            <v>Pupuk Subsidi</v>
          </cell>
          <cell r="C85" t="str">
            <v>A08</v>
          </cell>
        </row>
        <row r="86">
          <cell r="A86" t="str">
            <v>110602</v>
          </cell>
          <cell r="B86" t="str">
            <v>Pupuk Non Subsidi</v>
          </cell>
          <cell r="C86" t="str">
            <v>A08</v>
          </cell>
        </row>
        <row r="87">
          <cell r="A87" t="str">
            <v>110603</v>
          </cell>
          <cell r="B87" t="str">
            <v>Pupuk Non Subsidi Ritail</v>
          </cell>
          <cell r="C87" t="str">
            <v>A08</v>
          </cell>
        </row>
        <row r="88">
          <cell r="A88" t="str">
            <v>110604</v>
          </cell>
          <cell r="B88" t="str">
            <v>Pupuk Indrustri</v>
          </cell>
          <cell r="C88" t="str">
            <v>A08</v>
          </cell>
        </row>
        <row r="89">
          <cell r="A89" t="str">
            <v>110605</v>
          </cell>
          <cell r="B89" t="str">
            <v>Pestisida</v>
          </cell>
          <cell r="C89" t="str">
            <v>A08</v>
          </cell>
        </row>
        <row r="90">
          <cell r="A90" t="str">
            <v>110606</v>
          </cell>
          <cell r="B90" t="str">
            <v>Bahan Kimia</v>
          </cell>
          <cell r="C90" t="str">
            <v>A08</v>
          </cell>
        </row>
        <row r="91">
          <cell r="A91" t="str">
            <v>110607</v>
          </cell>
          <cell r="B91" t="str">
            <v>Kesuplieran Bahan Teknik</v>
          </cell>
          <cell r="C91" t="str">
            <v>A08</v>
          </cell>
        </row>
        <row r="92">
          <cell r="A92" t="str">
            <v>110608</v>
          </cell>
          <cell r="B92" t="str">
            <v>Kesuplieran Bahan Kimia</v>
          </cell>
          <cell r="C92" t="str">
            <v>A08</v>
          </cell>
        </row>
        <row r="93">
          <cell r="A93" t="str">
            <v>110609</v>
          </cell>
          <cell r="B93" t="str">
            <v>Bibit Benih</v>
          </cell>
          <cell r="C93" t="str">
            <v>A08</v>
          </cell>
        </row>
        <row r="94">
          <cell r="A94" t="str">
            <v>110610</v>
          </cell>
          <cell r="B94" t="str">
            <v>Benih</v>
          </cell>
          <cell r="C94" t="str">
            <v>A08</v>
          </cell>
        </row>
        <row r="95">
          <cell r="A95" t="str">
            <v>110611</v>
          </cell>
          <cell r="B95" t="str">
            <v>Jasa Angkutan Pupuk</v>
          </cell>
          <cell r="C95" t="str">
            <v>A08</v>
          </cell>
        </row>
        <row r="96">
          <cell r="A96" t="str">
            <v>110612</v>
          </cell>
          <cell r="B96" t="str">
            <v>Jasa Angkutan Non Pupuk</v>
          </cell>
          <cell r="C96" t="str">
            <v>A08</v>
          </cell>
        </row>
        <row r="97">
          <cell r="A97" t="str">
            <v>110613</v>
          </cell>
          <cell r="B97" t="str">
            <v>Hasil Produksi Petroganik</v>
          </cell>
          <cell r="C97" t="str">
            <v>A08</v>
          </cell>
        </row>
        <row r="98">
          <cell r="A98" t="str">
            <v>110701</v>
          </cell>
          <cell r="B98" t="str">
            <v>Persediaan Barang Dalam Proses</v>
          </cell>
          <cell r="C98" t="str">
            <v>A09</v>
          </cell>
        </row>
        <row r="99">
          <cell r="A99" t="str">
            <v>110801</v>
          </cell>
          <cell r="B99" t="str">
            <v>Bahan Baku Produksi</v>
          </cell>
          <cell r="C99" t="str">
            <v>A10</v>
          </cell>
        </row>
        <row r="100">
          <cell r="A100" t="str">
            <v>110802</v>
          </cell>
          <cell r="B100" t="str">
            <v>Bahan Penolong Produksi</v>
          </cell>
          <cell r="C100" t="str">
            <v>A10</v>
          </cell>
        </row>
        <row r="101">
          <cell r="A101" t="str">
            <v>110803</v>
          </cell>
          <cell r="B101" t="str">
            <v>Peralatan Keselamat Kerja</v>
          </cell>
          <cell r="C101" t="str">
            <v>A10</v>
          </cell>
        </row>
        <row r="102">
          <cell r="A102" t="str">
            <v>110804</v>
          </cell>
          <cell r="B102" t="str">
            <v>Hasil Produksi Petroganik</v>
          </cell>
          <cell r="C102" t="str">
            <v>A10</v>
          </cell>
        </row>
        <row r="103">
          <cell r="A103" t="str">
            <v>110805</v>
          </cell>
          <cell r="B103" t="str">
            <v>Hasil Panen Padi</v>
          </cell>
          <cell r="C103" t="str">
            <v>A10</v>
          </cell>
        </row>
        <row r="104">
          <cell r="A104" t="str">
            <v>110901</v>
          </cell>
          <cell r="B104" t="str">
            <v>Bahan Penolong Petroganik</v>
          </cell>
          <cell r="C104" t="str">
            <v>A11</v>
          </cell>
        </row>
        <row r="105">
          <cell r="A105" t="str">
            <v>110902</v>
          </cell>
          <cell r="B105" t="str">
            <v>Peralatan Keselamat Kerja</v>
          </cell>
          <cell r="C105" t="str">
            <v>A11</v>
          </cell>
        </row>
        <row r="106">
          <cell r="A106" t="str">
            <v>111001</v>
          </cell>
          <cell r="B106" t="str">
            <v>Uang Muka Pembelian</v>
          </cell>
          <cell r="C106" t="str">
            <v>A13</v>
          </cell>
        </row>
        <row r="107">
          <cell r="A107" t="str">
            <v>111002</v>
          </cell>
          <cell r="B107" t="str">
            <v>Uang Muka Pajak</v>
          </cell>
          <cell r="C107" t="str">
            <v>A14</v>
          </cell>
        </row>
        <row r="108">
          <cell r="A108" t="str">
            <v>111003</v>
          </cell>
          <cell r="B108" t="str">
            <v>Uang Muka Lain - Lain</v>
          </cell>
          <cell r="C108" t="str">
            <v>A15</v>
          </cell>
        </row>
        <row r="109">
          <cell r="A109" t="str">
            <v>111100</v>
          </cell>
          <cell r="B109" t="str">
            <v>Biaya Yang Dibayar Dimuka</v>
          </cell>
          <cell r="C109" t="str">
            <v>A15</v>
          </cell>
        </row>
        <row r="110">
          <cell r="A110" t="str">
            <v>111101</v>
          </cell>
          <cell r="B110" t="str">
            <v>BYDD Asuransi</v>
          </cell>
          <cell r="C110" t="str">
            <v>A15</v>
          </cell>
        </row>
        <row r="111">
          <cell r="A111" t="str">
            <v>111102</v>
          </cell>
          <cell r="B111" t="str">
            <v>BYDD Pajak</v>
          </cell>
          <cell r="C111" t="str">
            <v>A15</v>
          </cell>
        </row>
        <row r="112">
          <cell r="A112" t="str">
            <v>111103</v>
          </cell>
          <cell r="B112" t="str">
            <v>BYDD Sewa</v>
          </cell>
          <cell r="C112" t="str">
            <v>A15</v>
          </cell>
        </row>
        <row r="113">
          <cell r="A113" t="str">
            <v>111104</v>
          </cell>
          <cell r="B113" t="str">
            <v>BYDD Transportasi</v>
          </cell>
          <cell r="C113" t="str">
            <v>A15</v>
          </cell>
        </row>
        <row r="114">
          <cell r="A114" t="str">
            <v>111105</v>
          </cell>
          <cell r="B114" t="str">
            <v>BYDD Lain -lain</v>
          </cell>
          <cell r="C114" t="str">
            <v>A15</v>
          </cell>
        </row>
        <row r="115">
          <cell r="A115" t="str">
            <v>111200</v>
          </cell>
          <cell r="B115" t="str">
            <v>Persediaan Barang Habis Pakai</v>
          </cell>
          <cell r="C115" t="str">
            <v>A112</v>
          </cell>
        </row>
        <row r="116">
          <cell r="A116" t="str">
            <v>120101</v>
          </cell>
          <cell r="B116" t="str">
            <v>Sumber Alam Organik Sejahtera, PT</v>
          </cell>
          <cell r="C116" t="str">
            <v>A16</v>
          </cell>
        </row>
        <row r="117">
          <cell r="A117" t="str">
            <v>120102</v>
          </cell>
          <cell r="B117" t="str">
            <v>Sumekar Abdi Sejahtera, PT</v>
          </cell>
          <cell r="C117" t="str">
            <v>A16</v>
          </cell>
        </row>
        <row r="118">
          <cell r="A118" t="str">
            <v>121002</v>
          </cell>
          <cell r="B118" t="str">
            <v>KOSONG</v>
          </cell>
          <cell r="C118" t="str">
            <v>A16</v>
          </cell>
        </row>
        <row r="119">
          <cell r="A119" t="str">
            <v>130101</v>
          </cell>
          <cell r="B119" t="str">
            <v>Aktiva Pajak Tangguhan</v>
          </cell>
          <cell r="C119" t="str">
            <v>A17A</v>
          </cell>
        </row>
        <row r="120">
          <cell r="A120" t="str">
            <v>140101</v>
          </cell>
          <cell r="B120" t="str">
            <v>Aktiva Imbalan Pasca Kerja</v>
          </cell>
          <cell r="C120" t="str">
            <v>A17</v>
          </cell>
        </row>
        <row r="121">
          <cell r="A121" t="str">
            <v>150101</v>
          </cell>
          <cell r="B121" t="str">
            <v>Tanah</v>
          </cell>
          <cell r="C121" t="str">
            <v>A18A</v>
          </cell>
        </row>
        <row r="122">
          <cell r="A122" t="str">
            <v>150102</v>
          </cell>
          <cell r="B122" t="str">
            <v>Gedung Dan Instalasi Listrik</v>
          </cell>
          <cell r="C122" t="str">
            <v>A18B</v>
          </cell>
        </row>
        <row r="123">
          <cell r="A123" t="str">
            <v>150103</v>
          </cell>
          <cell r="B123" t="str">
            <v>Kendaraan</v>
          </cell>
          <cell r="C123" t="str">
            <v>A18C</v>
          </cell>
        </row>
        <row r="124">
          <cell r="A124" t="str">
            <v>150104</v>
          </cell>
          <cell r="B124" t="str">
            <v>Mesin &amp; Peralatan Pabrik</v>
          </cell>
          <cell r="C124" t="str">
            <v>A18D</v>
          </cell>
        </row>
        <row r="125">
          <cell r="A125" t="str">
            <v>150105</v>
          </cell>
          <cell r="B125" t="str">
            <v>Inventaris Kantor</v>
          </cell>
          <cell r="C125" t="str">
            <v>A18E</v>
          </cell>
        </row>
        <row r="126">
          <cell r="A126" t="str">
            <v>150200</v>
          </cell>
          <cell r="B126" t="str">
            <v>Aktiva Tetap Tak Berwujud</v>
          </cell>
          <cell r="C126" t="str">
            <v>A19</v>
          </cell>
        </row>
        <row r="127">
          <cell r="A127" t="str">
            <v>150201</v>
          </cell>
          <cell r="B127" t="str">
            <v>Aktiva Tetap Tak Berwujud</v>
          </cell>
          <cell r="C127" t="str">
            <v>A19</v>
          </cell>
        </row>
        <row r="128">
          <cell r="A128" t="str">
            <v>160102</v>
          </cell>
          <cell r="B128" t="str">
            <v>Akm.PH Gedung &amp; Instalasi Listrik</v>
          </cell>
          <cell r="C128" t="str">
            <v>A20</v>
          </cell>
        </row>
        <row r="129">
          <cell r="A129" t="str">
            <v>160103</v>
          </cell>
          <cell r="B129" t="str">
            <v>Akm.PH Kendaraan</v>
          </cell>
          <cell r="C129" t="str">
            <v>A20</v>
          </cell>
        </row>
        <row r="130">
          <cell r="A130" t="str">
            <v>160104</v>
          </cell>
          <cell r="B130" t="str">
            <v>Akm.PH Mesin &amp; Peralatan Pabrik</v>
          </cell>
          <cell r="C130" t="str">
            <v>A20</v>
          </cell>
        </row>
        <row r="131">
          <cell r="A131" t="str">
            <v>160105</v>
          </cell>
          <cell r="B131" t="str">
            <v>Akm.PH Inventaris Kantor</v>
          </cell>
          <cell r="C131" t="str">
            <v>A20</v>
          </cell>
        </row>
        <row r="132">
          <cell r="A132" t="str">
            <v>160200</v>
          </cell>
          <cell r="B132" t="str">
            <v>Akm.PH Aktiva Tetap Tak Berwujud</v>
          </cell>
          <cell r="C132" t="str">
            <v>A21</v>
          </cell>
        </row>
        <row r="133">
          <cell r="A133" t="str">
            <v>170000</v>
          </cell>
          <cell r="B133" t="str">
            <v>Aktiva Dalam Pelaksanaan</v>
          </cell>
          <cell r="C133" t="str">
            <v>A22</v>
          </cell>
        </row>
        <row r="134">
          <cell r="A134" t="str">
            <v>170100</v>
          </cell>
          <cell r="B134" t="str">
            <v>Pengembangan Software Sistem Informasi</v>
          </cell>
          <cell r="C134" t="str">
            <v>A22</v>
          </cell>
        </row>
        <row r="135">
          <cell r="A135" t="str">
            <v>170200</v>
          </cell>
          <cell r="B135" t="str">
            <v>Kendaraan</v>
          </cell>
          <cell r="C135" t="str">
            <v>A22</v>
          </cell>
        </row>
        <row r="136">
          <cell r="A136" t="str">
            <v>170300</v>
          </cell>
          <cell r="B136" t="str">
            <v>Produksi / Pabrik</v>
          </cell>
          <cell r="C136" t="str">
            <v>A22</v>
          </cell>
        </row>
        <row r="137">
          <cell r="A137" t="str">
            <v>170400</v>
          </cell>
          <cell r="B137" t="str">
            <v>Bangunan</v>
          </cell>
          <cell r="C137" t="str">
            <v>A22</v>
          </cell>
        </row>
        <row r="138">
          <cell r="A138" t="str">
            <v>180000</v>
          </cell>
          <cell r="B138" t="str">
            <v>Aktiva Lain-2</v>
          </cell>
          <cell r="C138" t="str">
            <v>A23</v>
          </cell>
        </row>
        <row r="139">
          <cell r="A139" t="str">
            <v>180100</v>
          </cell>
          <cell r="B139" t="str">
            <v>Piutang Dalam Perkara</v>
          </cell>
          <cell r="C139" t="str">
            <v>A23</v>
          </cell>
        </row>
        <row r="140">
          <cell r="A140" t="str">
            <v>180200</v>
          </cell>
          <cell r="B140" t="str">
            <v>Penyisihan Piutang Perkara</v>
          </cell>
          <cell r="C140" t="str">
            <v>A23</v>
          </cell>
        </row>
        <row r="141">
          <cell r="A141" t="str">
            <v>180300</v>
          </cell>
          <cell r="B141" t="str">
            <v>Aset Sitaan</v>
          </cell>
          <cell r="C141" t="str">
            <v>A23</v>
          </cell>
        </row>
        <row r="142">
          <cell r="A142" t="str">
            <v>180400</v>
          </cell>
          <cell r="B142" t="str">
            <v>Aset Pabrik Petroganik Ex PT SAOS</v>
          </cell>
          <cell r="C142" t="str">
            <v>A23</v>
          </cell>
        </row>
        <row r="143">
          <cell r="A143" t="str">
            <v>180500</v>
          </cell>
          <cell r="B143" t="str">
            <v>Konsorsium MBU</v>
          </cell>
          <cell r="C143" t="str">
            <v>A23</v>
          </cell>
        </row>
        <row r="144">
          <cell r="A144" t="str">
            <v>180600</v>
          </cell>
          <cell r="B144" t="str">
            <v>Jaminan Botol</v>
          </cell>
          <cell r="C144" t="str">
            <v>A23</v>
          </cell>
        </row>
        <row r="145">
          <cell r="A145" t="str">
            <v>180700</v>
          </cell>
          <cell r="B145" t="str">
            <v>Aktiva Dalam Proses Jual</v>
          </cell>
          <cell r="C145" t="str">
            <v>A23</v>
          </cell>
        </row>
        <row r="146">
          <cell r="A146" t="str">
            <v>210100</v>
          </cell>
          <cell r="B146" t="str">
            <v>Hutang Dagang</v>
          </cell>
          <cell r="C146" t="str">
            <v>P01</v>
          </cell>
        </row>
        <row r="147">
          <cell r="A147" t="str">
            <v>210200</v>
          </cell>
          <cell r="B147" t="str">
            <v>Hutang Bank</v>
          </cell>
          <cell r="C147" t="str">
            <v>P01A</v>
          </cell>
        </row>
        <row r="148">
          <cell r="A148" t="str">
            <v>210300</v>
          </cell>
          <cell r="B148" t="str">
            <v>Hutang Affiliasi</v>
          </cell>
          <cell r="C148" t="str">
            <v>P02</v>
          </cell>
        </row>
        <row r="149">
          <cell r="A149" t="str">
            <v>210400</v>
          </cell>
          <cell r="B149" t="str">
            <v>Hutang Pajak</v>
          </cell>
          <cell r="C149" t="str">
            <v>P03</v>
          </cell>
        </row>
        <row r="150">
          <cell r="A150" t="str">
            <v>210500</v>
          </cell>
          <cell r="B150" t="str">
            <v>Hutang Lain-Lain</v>
          </cell>
          <cell r="C150" t="str">
            <v>P04</v>
          </cell>
        </row>
        <row r="151">
          <cell r="A151" t="str">
            <v>210600</v>
          </cell>
          <cell r="B151" t="str">
            <v>Biaya Yang Masih Harus Dibayar</v>
          </cell>
          <cell r="C151" t="str">
            <v>P05</v>
          </cell>
        </row>
        <row r="152">
          <cell r="A152" t="str">
            <v>---210602</v>
          </cell>
          <cell r="B152" t="str">
            <v>Biaya Yang Masih Harus Dibayar</v>
          </cell>
          <cell r="C152" t="str">
            <v>P05</v>
          </cell>
        </row>
        <row r="153">
          <cell r="A153" t="str">
            <v>---210603</v>
          </cell>
          <cell r="B153" t="str">
            <v>Biaya Yang Masih Harus Dibayar</v>
          </cell>
          <cell r="C153" t="str">
            <v>P05</v>
          </cell>
        </row>
        <row r="154">
          <cell r="A154" t="str">
            <v>210700</v>
          </cell>
          <cell r="B154" t="str">
            <v>UM Penjualan - Pupuk Subsidi</v>
          </cell>
          <cell r="C154" t="str">
            <v>P06</v>
          </cell>
        </row>
        <row r="155">
          <cell r="A155" t="str">
            <v>210701</v>
          </cell>
          <cell r="B155" t="str">
            <v>UM Penjualan - Pupuk Subsidi</v>
          </cell>
          <cell r="C155" t="str">
            <v>P06</v>
          </cell>
        </row>
        <row r="156">
          <cell r="A156" t="str">
            <v>210702</v>
          </cell>
          <cell r="B156" t="str">
            <v>UM Penjualan - Pupuk Non Subsidi</v>
          </cell>
          <cell r="C156" t="str">
            <v>P06</v>
          </cell>
        </row>
        <row r="157">
          <cell r="A157" t="str">
            <v>210703</v>
          </cell>
          <cell r="B157" t="str">
            <v>UM Penjualan - Pupuk Non Subsidi Ritail</v>
          </cell>
          <cell r="C157" t="str">
            <v>P06</v>
          </cell>
        </row>
        <row r="158">
          <cell r="A158" t="str">
            <v>210704</v>
          </cell>
          <cell r="B158" t="str">
            <v>UM Penjualan - Pupuk Indrustri</v>
          </cell>
          <cell r="C158" t="str">
            <v>P06</v>
          </cell>
        </row>
        <row r="159">
          <cell r="A159" t="str">
            <v>210705</v>
          </cell>
          <cell r="B159" t="str">
            <v>UM Penjualan - Pestisida</v>
          </cell>
          <cell r="C159" t="str">
            <v>P06</v>
          </cell>
        </row>
        <row r="160">
          <cell r="A160" t="str">
            <v>210706</v>
          </cell>
          <cell r="B160" t="str">
            <v>UM Penjualan - Bahan Kimia</v>
          </cell>
          <cell r="C160" t="str">
            <v>P06</v>
          </cell>
        </row>
        <row r="161">
          <cell r="A161" t="str">
            <v>210707</v>
          </cell>
          <cell r="B161" t="str">
            <v>UM Penjualan - Kesuplieran Bahan Teknik</v>
          </cell>
          <cell r="C161" t="str">
            <v>P06</v>
          </cell>
        </row>
        <row r="162">
          <cell r="A162" t="str">
            <v>210708</v>
          </cell>
          <cell r="B162" t="str">
            <v>UM Penjualan - Kesuplieran Bahan Kimia</v>
          </cell>
          <cell r="C162" t="str">
            <v>P06</v>
          </cell>
        </row>
        <row r="163">
          <cell r="A163" t="str">
            <v>210709</v>
          </cell>
          <cell r="B163" t="str">
            <v>UM Penjualan - Bibit Benih</v>
          </cell>
          <cell r="C163" t="str">
            <v>P06</v>
          </cell>
        </row>
        <row r="164">
          <cell r="A164" t="str">
            <v>210710</v>
          </cell>
          <cell r="B164" t="str">
            <v>UM Penjualan - Benih</v>
          </cell>
          <cell r="C164" t="str">
            <v>P06</v>
          </cell>
        </row>
        <row r="165">
          <cell r="A165" t="str">
            <v>210711</v>
          </cell>
          <cell r="B165" t="str">
            <v>UM Penjualan - Jasa Angkutan Pupuk</v>
          </cell>
          <cell r="C165" t="str">
            <v>P06</v>
          </cell>
        </row>
        <row r="166">
          <cell r="A166" t="str">
            <v>210712</v>
          </cell>
          <cell r="B166" t="str">
            <v>UM Penjualan - Jasa Angkutan Non Pupuk</v>
          </cell>
          <cell r="C166" t="str">
            <v>P06</v>
          </cell>
        </row>
        <row r="167">
          <cell r="A167" t="str">
            <v>210713</v>
          </cell>
          <cell r="B167" t="str">
            <v>UM Penjualan - Jasa Pengelolaan Gudang</v>
          </cell>
          <cell r="C167" t="str">
            <v>P06</v>
          </cell>
        </row>
        <row r="168">
          <cell r="A168" t="str">
            <v>210714</v>
          </cell>
          <cell r="B168" t="str">
            <v>UM Penjualan - Hasil Produksi Petroganik</v>
          </cell>
          <cell r="C168" t="str">
            <v>P06</v>
          </cell>
        </row>
        <row r="169">
          <cell r="A169" t="str">
            <v>210800</v>
          </cell>
          <cell r="B169" t="str">
            <v>Hutang Jangka Panjang</v>
          </cell>
          <cell r="C169" t="str">
            <v>P07</v>
          </cell>
        </row>
        <row r="170">
          <cell r="A170" t="str">
            <v>210801</v>
          </cell>
          <cell r="B170" t="str">
            <v>Hutang Jangka Panjang jatuh Tempo</v>
          </cell>
          <cell r="C170" t="str">
            <v>P07</v>
          </cell>
        </row>
        <row r="171">
          <cell r="A171" t="str">
            <v>220100</v>
          </cell>
          <cell r="B171" t="str">
            <v>Hutang Bank Jangka Panjang</v>
          </cell>
          <cell r="C171" t="str">
            <v>P08</v>
          </cell>
        </row>
        <row r="172">
          <cell r="A172" t="str">
            <v>220200</v>
          </cell>
          <cell r="B172" t="str">
            <v>Hutang Investasi</v>
          </cell>
          <cell r="C172" t="str">
            <v>P09</v>
          </cell>
        </row>
        <row r="173">
          <cell r="A173" t="str">
            <v>220300</v>
          </cell>
          <cell r="B173" t="str">
            <v>Kewajiban Imbalan Pasca Kerja</v>
          </cell>
          <cell r="C173" t="str">
            <v>P10</v>
          </cell>
        </row>
        <row r="174">
          <cell r="A174" t="str">
            <v>220400</v>
          </cell>
          <cell r="B174" t="str">
            <v>Hutang Jangka Panjang Lainnya</v>
          </cell>
          <cell r="C174" t="str">
            <v>P11</v>
          </cell>
        </row>
        <row r="175">
          <cell r="A175" t="str">
            <v>230101</v>
          </cell>
          <cell r="B175" t="str">
            <v>Kewajiban Pajak Tangguhan</v>
          </cell>
          <cell r="C175" t="str">
            <v>P12</v>
          </cell>
        </row>
        <row r="176">
          <cell r="A176" t="str">
            <v>240101</v>
          </cell>
          <cell r="B176" t="str">
            <v>Saham Statutair</v>
          </cell>
          <cell r="C176" t="str">
            <v>P14</v>
          </cell>
        </row>
        <row r="177">
          <cell r="A177" t="str">
            <v>240102</v>
          </cell>
          <cell r="B177" t="str">
            <v>Saham Belum Ditempatkan</v>
          </cell>
          <cell r="C177" t="str">
            <v>P15</v>
          </cell>
        </row>
        <row r="178">
          <cell r="A178" t="str">
            <v>240103</v>
          </cell>
          <cell r="B178" t="str">
            <v>Saham Yang Telah Disetor</v>
          </cell>
          <cell r="C178" t="str">
            <v>P16</v>
          </cell>
        </row>
        <row r="179">
          <cell r="A179" t="str">
            <v>240200</v>
          </cell>
          <cell r="B179" t="str">
            <v>Laba yang dicadangkan</v>
          </cell>
          <cell r="C179" t="str">
            <v>P19</v>
          </cell>
        </row>
        <row r="180">
          <cell r="A180" t="str">
            <v>240201</v>
          </cell>
          <cell r="B180" t="str">
            <v>Laba yang dicadangkan</v>
          </cell>
          <cell r="C180" t="str">
            <v>P19A</v>
          </cell>
        </row>
        <row r="181">
          <cell r="A181" t="str">
            <v>240301</v>
          </cell>
          <cell r="B181" t="str">
            <v>Laba/(Rugi) Tahun Berjalan</v>
          </cell>
          <cell r="C181" t="str">
            <v>P18</v>
          </cell>
        </row>
        <row r="182">
          <cell r="A182" t="str">
            <v>240302</v>
          </cell>
          <cell r="B182" t="str">
            <v>Laba/(Rugi)Belum Dicadangkan</v>
          </cell>
          <cell r="C182" t="str">
            <v>P19</v>
          </cell>
        </row>
        <row r="183">
          <cell r="A183" t="str">
            <v>240400</v>
          </cell>
          <cell r="B183" t="str">
            <v>Ayat Silang Antar Cabang</v>
          </cell>
          <cell r="C183" t="str">
            <v>P14</v>
          </cell>
        </row>
        <row r="184">
          <cell r="A184" t="str">
            <v>240401</v>
          </cell>
          <cell r="B184" t="str">
            <v>Ayat Silang Antar Cabang Gresik</v>
          </cell>
          <cell r="C184" t="str">
            <v>A02</v>
          </cell>
        </row>
        <row r="185">
          <cell r="A185" t="str">
            <v>240402</v>
          </cell>
          <cell r="B185" t="str">
            <v>Ayat Silang Antar Cabang Medan</v>
          </cell>
          <cell r="C185" t="str">
            <v>A02</v>
          </cell>
        </row>
        <row r="186">
          <cell r="A186" t="str">
            <v>240403</v>
          </cell>
          <cell r="B186" t="str">
            <v>Ayat Silang Antar Cabang Makassar</v>
          </cell>
          <cell r="C186" t="str">
            <v>A02</v>
          </cell>
        </row>
        <row r="187">
          <cell r="A187" t="str">
            <v>240404</v>
          </cell>
          <cell r="B187" t="str">
            <v>Ayat Silang Antar Cabang Lampung</v>
          </cell>
          <cell r="C187" t="str">
            <v>A02</v>
          </cell>
        </row>
        <row r="188">
          <cell r="A188" t="str">
            <v>240500</v>
          </cell>
          <cell r="B188" t="str">
            <v>KOSONG</v>
          </cell>
          <cell r="C188" t="str">
            <v>P14</v>
          </cell>
        </row>
        <row r="189">
          <cell r="A189" t="str">
            <v>250100</v>
          </cell>
          <cell r="B189" t="str">
            <v>Penjualan Pupuk</v>
          </cell>
          <cell r="C189" t="str">
            <v>LR01</v>
          </cell>
        </row>
        <row r="190">
          <cell r="A190" t="str">
            <v>250101</v>
          </cell>
          <cell r="B190" t="str">
            <v>Pupuk Subsidi</v>
          </cell>
          <cell r="C190" t="str">
            <v>LR01</v>
          </cell>
        </row>
        <row r="191">
          <cell r="A191" t="str">
            <v>250102</v>
          </cell>
          <cell r="B191" t="str">
            <v>Pupuk Non Subsidi</v>
          </cell>
          <cell r="C191" t="str">
            <v>LR01</v>
          </cell>
        </row>
        <row r="192">
          <cell r="A192" t="str">
            <v>250103</v>
          </cell>
          <cell r="B192" t="str">
            <v>Pupuk Non Subsidi Ritail</v>
          </cell>
          <cell r="C192" t="str">
            <v>LR01</v>
          </cell>
        </row>
        <row r="193">
          <cell r="A193" t="str">
            <v>250104</v>
          </cell>
          <cell r="B193" t="str">
            <v>Pupuk Indrustri</v>
          </cell>
          <cell r="C193" t="str">
            <v>LR01</v>
          </cell>
        </row>
        <row r="194">
          <cell r="A194" t="str">
            <v>250105</v>
          </cell>
          <cell r="B194" t="str">
            <v>Pestisida</v>
          </cell>
          <cell r="C194" t="str">
            <v>LR01</v>
          </cell>
        </row>
        <row r="195">
          <cell r="A195" t="str">
            <v>250106</v>
          </cell>
          <cell r="B195" t="str">
            <v>Bahan Kimia</v>
          </cell>
          <cell r="C195" t="str">
            <v>LR01</v>
          </cell>
        </row>
        <row r="196">
          <cell r="A196" t="str">
            <v>250107</v>
          </cell>
          <cell r="B196" t="str">
            <v>Kesuplieran Bahan Teknik</v>
          </cell>
          <cell r="C196" t="str">
            <v>LR01</v>
          </cell>
        </row>
        <row r="197">
          <cell r="A197" t="str">
            <v>250108</v>
          </cell>
          <cell r="B197" t="str">
            <v>Kesuplieran Bahan Kimia</v>
          </cell>
          <cell r="C197" t="str">
            <v>LR01</v>
          </cell>
        </row>
        <row r="198">
          <cell r="A198" t="str">
            <v>250109</v>
          </cell>
          <cell r="B198" t="str">
            <v>Bibit Benih</v>
          </cell>
          <cell r="C198" t="str">
            <v>LR01</v>
          </cell>
        </row>
        <row r="199">
          <cell r="A199" t="str">
            <v>250110</v>
          </cell>
          <cell r="B199" t="str">
            <v>Benih</v>
          </cell>
          <cell r="C199" t="str">
            <v>LR01</v>
          </cell>
        </row>
        <row r="200">
          <cell r="A200" t="str">
            <v>250111</v>
          </cell>
          <cell r="B200" t="str">
            <v>Jasa Angkutan Pupuk</v>
          </cell>
          <cell r="C200" t="str">
            <v>LR01</v>
          </cell>
        </row>
        <row r="201">
          <cell r="A201" t="str">
            <v>250112</v>
          </cell>
          <cell r="B201" t="str">
            <v>Jasa Angkutan Non Pupuk</v>
          </cell>
          <cell r="C201" t="str">
            <v>LR01</v>
          </cell>
        </row>
        <row r="202">
          <cell r="A202" t="str">
            <v>250113</v>
          </cell>
          <cell r="B202" t="str">
            <v>Jasa Pengelolaan Gudang</v>
          </cell>
          <cell r="C202" t="str">
            <v>LR01</v>
          </cell>
        </row>
        <row r="203">
          <cell r="A203" t="str">
            <v>250114</v>
          </cell>
          <cell r="B203" t="str">
            <v>Hasil Produksi Petroganik</v>
          </cell>
          <cell r="C203" t="str">
            <v>LR01</v>
          </cell>
        </row>
        <row r="204">
          <cell r="A204" t="str">
            <v>250200</v>
          </cell>
          <cell r="B204" t="str">
            <v>Diskon Penjualan Pupuk</v>
          </cell>
          <cell r="C204" t="str">
            <v>LR03</v>
          </cell>
        </row>
        <row r="205">
          <cell r="A205" t="str">
            <v>250201</v>
          </cell>
          <cell r="B205" t="str">
            <v>Pupuk Subsidi</v>
          </cell>
          <cell r="C205" t="str">
            <v>LR03</v>
          </cell>
        </row>
        <row r="206">
          <cell r="A206" t="str">
            <v>250202</v>
          </cell>
          <cell r="B206" t="str">
            <v>Pupuk Non Subsidi</v>
          </cell>
          <cell r="C206" t="str">
            <v>LR03</v>
          </cell>
        </row>
        <row r="207">
          <cell r="A207" t="str">
            <v>250203</v>
          </cell>
          <cell r="B207" t="str">
            <v>Pupuk Non Subsidi Ritail</v>
          </cell>
          <cell r="C207" t="str">
            <v>LR03</v>
          </cell>
        </row>
        <row r="208">
          <cell r="A208" t="str">
            <v>250204</v>
          </cell>
          <cell r="B208" t="str">
            <v>Pupuk Indrustri</v>
          </cell>
          <cell r="C208" t="str">
            <v>LR03</v>
          </cell>
        </row>
        <row r="209">
          <cell r="A209" t="str">
            <v>250205</v>
          </cell>
          <cell r="B209" t="str">
            <v>Pestisida</v>
          </cell>
          <cell r="C209" t="str">
            <v>LR03</v>
          </cell>
        </row>
        <row r="210">
          <cell r="A210" t="str">
            <v>250206</v>
          </cell>
          <cell r="B210" t="str">
            <v>Bahan Kimia</v>
          </cell>
          <cell r="C210" t="str">
            <v>LR03</v>
          </cell>
        </row>
        <row r="211">
          <cell r="A211" t="str">
            <v>250207</v>
          </cell>
          <cell r="B211" t="str">
            <v>Kesuplieran Bahan Teknik</v>
          </cell>
          <cell r="C211" t="str">
            <v>LR03</v>
          </cell>
        </row>
        <row r="212">
          <cell r="A212" t="str">
            <v>250208</v>
          </cell>
          <cell r="B212" t="str">
            <v>Kesuplieran Bahan Kimia</v>
          </cell>
          <cell r="C212" t="str">
            <v>LR03</v>
          </cell>
        </row>
        <row r="213">
          <cell r="A213" t="str">
            <v>250209</v>
          </cell>
          <cell r="B213" t="str">
            <v>Bibit Benih</v>
          </cell>
          <cell r="C213" t="str">
            <v>LR03</v>
          </cell>
        </row>
        <row r="214">
          <cell r="A214" t="str">
            <v>250210</v>
          </cell>
          <cell r="B214" t="str">
            <v>Benih</v>
          </cell>
          <cell r="C214" t="str">
            <v>LR03</v>
          </cell>
        </row>
        <row r="215">
          <cell r="A215" t="str">
            <v>250211</v>
          </cell>
          <cell r="B215" t="str">
            <v>Jasa Angkutan Pupuk</v>
          </cell>
          <cell r="C215" t="str">
            <v>LR03</v>
          </cell>
        </row>
        <row r="216">
          <cell r="A216" t="str">
            <v>250212</v>
          </cell>
          <cell r="B216" t="str">
            <v>Jasa Angkutan Non Pupuk</v>
          </cell>
          <cell r="C216" t="str">
            <v>LR03</v>
          </cell>
        </row>
        <row r="217">
          <cell r="A217" t="str">
            <v>250213</v>
          </cell>
          <cell r="B217" t="str">
            <v>Jasa Pengelolaan Gudang</v>
          </cell>
          <cell r="C217" t="str">
            <v>LR03</v>
          </cell>
        </row>
        <row r="218">
          <cell r="A218" t="str">
            <v>250214</v>
          </cell>
          <cell r="B218" t="str">
            <v>Hasil Produksi Petroganik</v>
          </cell>
          <cell r="C218" t="str">
            <v>LR03</v>
          </cell>
        </row>
        <row r="219">
          <cell r="A219" t="str">
            <v>250301</v>
          </cell>
          <cell r="B219" t="str">
            <v>Pupuk Subsidi</v>
          </cell>
          <cell r="C219" t="str">
            <v>LR04</v>
          </cell>
        </row>
        <row r="220">
          <cell r="A220" t="str">
            <v>250302</v>
          </cell>
          <cell r="B220" t="str">
            <v>Pupuk Non Subsidi</v>
          </cell>
          <cell r="C220" t="str">
            <v>LR04</v>
          </cell>
        </row>
        <row r="221">
          <cell r="A221" t="str">
            <v>250303</v>
          </cell>
          <cell r="B221" t="str">
            <v>Pupuk Non Subsidi Ritail</v>
          </cell>
          <cell r="C221" t="str">
            <v>LR04</v>
          </cell>
        </row>
        <row r="222">
          <cell r="A222" t="str">
            <v>250304</v>
          </cell>
          <cell r="B222" t="str">
            <v>Pupuk Indrustri</v>
          </cell>
          <cell r="C222" t="str">
            <v>LR04</v>
          </cell>
        </row>
        <row r="223">
          <cell r="A223" t="str">
            <v>250305</v>
          </cell>
          <cell r="B223" t="str">
            <v>Pestisida</v>
          </cell>
          <cell r="C223" t="str">
            <v>LR04</v>
          </cell>
        </row>
        <row r="224">
          <cell r="A224" t="str">
            <v>250306</v>
          </cell>
          <cell r="B224" t="str">
            <v>Bahan Kimia</v>
          </cell>
          <cell r="C224" t="str">
            <v>LR04</v>
          </cell>
        </row>
        <row r="225">
          <cell r="A225" t="str">
            <v>250307</v>
          </cell>
          <cell r="B225" t="str">
            <v>Kesuplieran Bahan Teknik</v>
          </cell>
          <cell r="C225" t="str">
            <v>LR04</v>
          </cell>
        </row>
        <row r="226">
          <cell r="A226" t="str">
            <v>250308</v>
          </cell>
          <cell r="B226" t="str">
            <v>Kesuplieran Bahan Kimia</v>
          </cell>
          <cell r="C226" t="str">
            <v>LR04</v>
          </cell>
        </row>
        <row r="227">
          <cell r="A227" t="str">
            <v>250309</v>
          </cell>
          <cell r="B227" t="str">
            <v>Bibit Benih</v>
          </cell>
          <cell r="C227" t="str">
            <v>LR04</v>
          </cell>
        </row>
        <row r="228">
          <cell r="A228" t="str">
            <v>250310</v>
          </cell>
          <cell r="B228" t="str">
            <v>Benih</v>
          </cell>
          <cell r="C228" t="str">
            <v>LR04</v>
          </cell>
        </row>
        <row r="229">
          <cell r="A229" t="str">
            <v>250311</v>
          </cell>
          <cell r="B229" t="str">
            <v>Jasa Angkutan Pupuk</v>
          </cell>
          <cell r="C229" t="str">
            <v>LR04</v>
          </cell>
        </row>
        <row r="230">
          <cell r="A230" t="str">
            <v>250312</v>
          </cell>
          <cell r="B230" t="str">
            <v>Jasa Angkutan Non Pupuk</v>
          </cell>
          <cell r="C230" t="str">
            <v>LR04</v>
          </cell>
        </row>
        <row r="231">
          <cell r="A231" t="str">
            <v>250313</v>
          </cell>
          <cell r="B231" t="str">
            <v>Jasa Pengelolaan Gudang</v>
          </cell>
          <cell r="C231" t="str">
            <v>LR04</v>
          </cell>
        </row>
        <row r="232">
          <cell r="A232" t="str">
            <v>250314</v>
          </cell>
          <cell r="B232" t="str">
            <v>Hasil Produksi Petroganik</v>
          </cell>
          <cell r="C232" t="str">
            <v>LR04</v>
          </cell>
        </row>
        <row r="233">
          <cell r="A233" t="str">
            <v>250400</v>
          </cell>
          <cell r="B233" t="str">
            <v>Harga Pokok Penjualan</v>
          </cell>
          <cell r="C233" t="str">
            <v>LR02</v>
          </cell>
        </row>
        <row r="234">
          <cell r="A234" t="str">
            <v>250401</v>
          </cell>
          <cell r="B234" t="str">
            <v>Harga Bahan Pokok Barang</v>
          </cell>
          <cell r="C234" t="str">
            <v>LR02</v>
          </cell>
        </row>
        <row r="235">
          <cell r="A235" t="str">
            <v>250402</v>
          </cell>
          <cell r="B235" t="str">
            <v>Kesusutan Barang</v>
          </cell>
          <cell r="C235" t="str">
            <v>LR02</v>
          </cell>
        </row>
        <row r="236">
          <cell r="A236" t="str">
            <v>250403</v>
          </cell>
          <cell r="B236" t="str">
            <v>Harga Bahan Baku Produksi</v>
          </cell>
          <cell r="C236" t="str">
            <v>LR02</v>
          </cell>
        </row>
        <row r="237">
          <cell r="A237" t="str">
            <v>250404</v>
          </cell>
          <cell r="B237" t="str">
            <v>Harga Bahan Pokok Produksi (Adj)</v>
          </cell>
          <cell r="C237" t="str">
            <v>LR02</v>
          </cell>
        </row>
        <row r="238">
          <cell r="A238" t="str">
            <v>250405</v>
          </cell>
          <cell r="B238" t="str">
            <v>Harga Bahan Penolong Produksi</v>
          </cell>
          <cell r="C238" t="str">
            <v>LR02</v>
          </cell>
        </row>
        <row r="239">
          <cell r="A239" t="str">
            <v>250406</v>
          </cell>
          <cell r="B239" t="str">
            <v>Biaya Diperhitungkan ke HPP</v>
          </cell>
          <cell r="C239" t="str">
            <v>LR02</v>
          </cell>
        </row>
        <row r="240">
          <cell r="A240" t="str">
            <v>260100</v>
          </cell>
          <cell r="B240" t="str">
            <v>Biaya Umum Dan Administrasi</v>
          </cell>
          <cell r="C240" t="str">
            <v>LR05</v>
          </cell>
        </row>
        <row r="241">
          <cell r="A241" t="str">
            <v>260101</v>
          </cell>
          <cell r="B241" t="str">
            <v>Biaya Gaji, Upah Dan Honorarium</v>
          </cell>
          <cell r="C241" t="str">
            <v>LR05</v>
          </cell>
        </row>
        <row r="242">
          <cell r="A242" t="str">
            <v>260102</v>
          </cell>
          <cell r="B242" t="str">
            <v>Biaya Gaji Karyawan Dbp</v>
          </cell>
          <cell r="C242" t="str">
            <v>LR05</v>
          </cell>
        </row>
        <row r="243">
          <cell r="A243" t="str">
            <v>260103</v>
          </cell>
          <cell r="B243" t="str">
            <v>Biaya Natura Dan Uang Makan</v>
          </cell>
          <cell r="C243" t="str">
            <v>LR05</v>
          </cell>
        </row>
        <row r="244">
          <cell r="A244" t="str">
            <v>260104</v>
          </cell>
          <cell r="B244" t="str">
            <v>Biaya Perawatan Dan Pengobatan</v>
          </cell>
          <cell r="C244" t="str">
            <v>LR05</v>
          </cell>
        </row>
        <row r="245">
          <cell r="A245" t="str">
            <v>260105</v>
          </cell>
          <cell r="B245" t="str">
            <v xml:space="preserve">Biaya Kesejahteraan Karyawan </v>
          </cell>
          <cell r="C245" t="str">
            <v>LR05</v>
          </cell>
        </row>
        <row r="246">
          <cell r="A246" t="str">
            <v>260106</v>
          </cell>
          <cell r="B246" t="str">
            <v>Biaya Asuransi Karyawan</v>
          </cell>
          <cell r="C246" t="str">
            <v>LR05</v>
          </cell>
        </row>
        <row r="247">
          <cell r="A247" t="str">
            <v>260107</v>
          </cell>
          <cell r="B247" t="str">
            <v>Biaya Bbc</v>
          </cell>
          <cell r="C247" t="str">
            <v>LR05</v>
          </cell>
        </row>
        <row r="248">
          <cell r="A248" t="str">
            <v>260108</v>
          </cell>
          <cell r="B248" t="str">
            <v>Biaya Keagamaan</v>
          </cell>
          <cell r="C248" t="str">
            <v>LR05</v>
          </cell>
        </row>
        <row r="249">
          <cell r="A249" t="str">
            <v>260109</v>
          </cell>
          <cell r="B249" t="str">
            <v>Biaya Insentif</v>
          </cell>
          <cell r="C249" t="str">
            <v>LR05</v>
          </cell>
        </row>
        <row r="250">
          <cell r="A250" t="str">
            <v>260110</v>
          </cell>
          <cell r="B250" t="str">
            <v>Biaya Jasa Operasional</v>
          </cell>
          <cell r="C250" t="str">
            <v>LR05</v>
          </cell>
        </row>
        <row r="251">
          <cell r="A251" t="str">
            <v>260111</v>
          </cell>
          <cell r="B251" t="str">
            <v>Biaya Diklat &amp; Seminar</v>
          </cell>
          <cell r="C251" t="str">
            <v>LR05</v>
          </cell>
        </row>
        <row r="252">
          <cell r="A252" t="str">
            <v>260112</v>
          </cell>
          <cell r="B252" t="str">
            <v>Biaya Perjalanan Dinas</v>
          </cell>
          <cell r="C252" t="str">
            <v>LR05</v>
          </cell>
        </row>
        <row r="253">
          <cell r="A253" t="str">
            <v>260113</v>
          </cell>
          <cell r="B253" t="str">
            <v>Biaya Alat Tulis, Cetak &amp; Foto Copy</v>
          </cell>
          <cell r="C253" t="str">
            <v>LR05</v>
          </cell>
        </row>
        <row r="254">
          <cell r="A254" t="str">
            <v>260114</v>
          </cell>
          <cell r="B254" t="str">
            <v>Biaya Pos, Telepon &amp; Telegram</v>
          </cell>
          <cell r="C254" t="str">
            <v>LR05</v>
          </cell>
        </row>
        <row r="255">
          <cell r="A255" t="str">
            <v>260115</v>
          </cell>
          <cell r="B255" t="str">
            <v>Biaya Materai</v>
          </cell>
          <cell r="C255" t="str">
            <v>LR05</v>
          </cell>
        </row>
        <row r="256">
          <cell r="A256" t="str">
            <v>260116</v>
          </cell>
          <cell r="B256" t="str">
            <v>Biaya Surat Kabar</v>
          </cell>
          <cell r="C256" t="str">
            <v>LR05</v>
          </cell>
        </row>
        <row r="257">
          <cell r="A257" t="str">
            <v>260117</v>
          </cell>
          <cell r="B257" t="str">
            <v>Biaya Rapat Dan Tamu</v>
          </cell>
          <cell r="C257" t="str">
            <v>LR05</v>
          </cell>
        </row>
        <row r="258">
          <cell r="A258" t="str">
            <v>260118</v>
          </cell>
          <cell r="B258" t="str">
            <v>Biaya Audit Dan Konsultan Manajemen</v>
          </cell>
          <cell r="C258" t="str">
            <v>LR05</v>
          </cell>
        </row>
        <row r="259">
          <cell r="A259" t="str">
            <v>260119</v>
          </cell>
          <cell r="B259" t="str">
            <v>Biaya Asuransi</v>
          </cell>
          <cell r="C259" t="str">
            <v>LR05</v>
          </cell>
        </row>
        <row r="260">
          <cell r="A260" t="str">
            <v>260120</v>
          </cell>
          <cell r="B260" t="str">
            <v>Biaya Administrasi Bank</v>
          </cell>
          <cell r="C260" t="str">
            <v>LR05</v>
          </cell>
        </row>
        <row r="261">
          <cell r="A261" t="str">
            <v>260121</v>
          </cell>
          <cell r="B261" t="str">
            <v>Biaya Sewa Kantor, Listrik Dan Air</v>
          </cell>
          <cell r="C261" t="str">
            <v>LR05</v>
          </cell>
        </row>
        <row r="262">
          <cell r="A262" t="str">
            <v>260122</v>
          </cell>
          <cell r="B262" t="str">
            <v>Biaya Transportasi, Bahan Bakar &amp; Oli</v>
          </cell>
          <cell r="C262" t="str">
            <v>LR05</v>
          </cell>
        </row>
        <row r="263">
          <cell r="A263" t="str">
            <v>260123</v>
          </cell>
          <cell r="B263" t="str">
            <v>Biaya Sewa Kendaraan</v>
          </cell>
          <cell r="C263" t="str">
            <v>LR05</v>
          </cell>
        </row>
        <row r="264">
          <cell r="A264" t="str">
            <v>260124</v>
          </cell>
          <cell r="B264" t="str">
            <v>Biaya Pemeliharaan Gedung dan Bangunan</v>
          </cell>
          <cell r="C264" t="str">
            <v>LR05</v>
          </cell>
        </row>
        <row r="265">
          <cell r="A265" t="str">
            <v>260125</v>
          </cell>
          <cell r="B265" t="str">
            <v>Biaya Pemeliharaan Kendaraan</v>
          </cell>
          <cell r="C265" t="str">
            <v>LR05</v>
          </cell>
        </row>
        <row r="266">
          <cell r="A266" t="str">
            <v>260126</v>
          </cell>
          <cell r="B266" t="str">
            <v>Biaya Bantuan Sosial</v>
          </cell>
          <cell r="C266" t="str">
            <v>LR05</v>
          </cell>
        </row>
        <row r="267">
          <cell r="A267" t="str">
            <v>260127</v>
          </cell>
          <cell r="B267" t="str">
            <v>Biaya Penyusutan</v>
          </cell>
          <cell r="C267" t="str">
            <v>LR05</v>
          </cell>
        </row>
        <row r="268">
          <cell r="A268" t="str">
            <v>260128</v>
          </cell>
          <cell r="B268" t="str">
            <v>Biaya Umum Dan Lain-Lain</v>
          </cell>
          <cell r="C268" t="str">
            <v>LR05</v>
          </cell>
        </row>
        <row r="269">
          <cell r="A269" t="str">
            <v>260200</v>
          </cell>
          <cell r="B269" t="str">
            <v>Biaya Gaji, Upah Dan Honorarium</v>
          </cell>
          <cell r="C269" t="str">
            <v>LR06</v>
          </cell>
        </row>
        <row r="270">
          <cell r="A270" t="str">
            <v>260201</v>
          </cell>
          <cell r="B270" t="str">
            <v>Biaya Gaji, Upah Dan Honorarium</v>
          </cell>
          <cell r="C270" t="str">
            <v>LR06</v>
          </cell>
        </row>
        <row r="271">
          <cell r="A271" t="str">
            <v>260202</v>
          </cell>
          <cell r="B271" t="str">
            <v>Biaya Gaji Karyawan Dbp</v>
          </cell>
          <cell r="C271" t="str">
            <v>LR06</v>
          </cell>
        </row>
        <row r="272">
          <cell r="A272" t="str">
            <v>260203</v>
          </cell>
          <cell r="B272" t="str">
            <v>Biaya Natura Dan Uang Makan</v>
          </cell>
          <cell r="C272" t="str">
            <v>LR06</v>
          </cell>
        </row>
        <row r="273">
          <cell r="A273" t="str">
            <v>260204</v>
          </cell>
          <cell r="B273" t="str">
            <v>Biaya Perawatan Dan Pengobatan</v>
          </cell>
          <cell r="C273" t="str">
            <v>LR06</v>
          </cell>
        </row>
        <row r="274">
          <cell r="A274" t="str">
            <v>260205</v>
          </cell>
          <cell r="B274" t="str">
            <v xml:space="preserve">Biaya Kesejahteraan Karyawan </v>
          </cell>
          <cell r="C274" t="str">
            <v>LR06</v>
          </cell>
        </row>
        <row r="275">
          <cell r="A275" t="str">
            <v>260206</v>
          </cell>
          <cell r="B275" t="str">
            <v>Biaya Asuransi Karyawan</v>
          </cell>
          <cell r="C275" t="str">
            <v>LR06</v>
          </cell>
        </row>
        <row r="276">
          <cell r="A276" t="str">
            <v>260207</v>
          </cell>
          <cell r="B276" t="str">
            <v>Biaya Bbc</v>
          </cell>
          <cell r="C276" t="str">
            <v>LR06</v>
          </cell>
        </row>
        <row r="277">
          <cell r="A277" t="str">
            <v>260208</v>
          </cell>
          <cell r="B277" t="str">
            <v>Biaya Keagamaan</v>
          </cell>
          <cell r="C277" t="str">
            <v>LR06</v>
          </cell>
        </row>
        <row r="278">
          <cell r="A278" t="str">
            <v>260209</v>
          </cell>
          <cell r="B278" t="str">
            <v>Biaya Insentif</v>
          </cell>
          <cell r="C278" t="str">
            <v>LR06</v>
          </cell>
        </row>
        <row r="279">
          <cell r="A279" t="str">
            <v>260210</v>
          </cell>
          <cell r="B279" t="str">
            <v>Biaya Jasa Operasional</v>
          </cell>
          <cell r="C279" t="str">
            <v>LR06</v>
          </cell>
        </row>
        <row r="280">
          <cell r="A280" t="str">
            <v>260211</v>
          </cell>
          <cell r="B280" t="str">
            <v>Biaya Diklat &amp; Seminar</v>
          </cell>
          <cell r="C280" t="str">
            <v>LR06</v>
          </cell>
        </row>
        <row r="281">
          <cell r="A281" t="str">
            <v>260212</v>
          </cell>
          <cell r="B281" t="str">
            <v>Biaya Perjalanan Dinas</v>
          </cell>
          <cell r="C281" t="str">
            <v>LR06</v>
          </cell>
        </row>
        <row r="282">
          <cell r="A282" t="str">
            <v>260213</v>
          </cell>
          <cell r="B282" t="str">
            <v>Biaya Alat Tulis, Cetak &amp; Foto Copy</v>
          </cell>
          <cell r="C282" t="str">
            <v>LR06</v>
          </cell>
        </row>
        <row r="283">
          <cell r="A283" t="str">
            <v>260214</v>
          </cell>
          <cell r="B283" t="str">
            <v>Biaya Pos, Telepon &amp; Telegram</v>
          </cell>
          <cell r="C283" t="str">
            <v>LR06</v>
          </cell>
        </row>
        <row r="284">
          <cell r="A284" t="str">
            <v>260215</v>
          </cell>
          <cell r="B284" t="str">
            <v>Biaya Materai</v>
          </cell>
          <cell r="C284" t="str">
            <v>LR06</v>
          </cell>
        </row>
        <row r="285">
          <cell r="A285" t="str">
            <v>260216</v>
          </cell>
          <cell r="B285" t="str">
            <v>Biaya Surat Kabar</v>
          </cell>
          <cell r="C285" t="str">
            <v>LR06</v>
          </cell>
        </row>
        <row r="286">
          <cell r="A286" t="str">
            <v>260217</v>
          </cell>
          <cell r="B286" t="str">
            <v>Biaya Rapat Dan Tamu</v>
          </cell>
          <cell r="C286" t="str">
            <v>LR06</v>
          </cell>
        </row>
        <row r="287">
          <cell r="A287" t="str">
            <v>260218</v>
          </cell>
          <cell r="B287" t="str">
            <v>Biaya Audit Dan Konsultan Manajemen</v>
          </cell>
          <cell r="C287" t="str">
            <v>LR06</v>
          </cell>
        </row>
        <row r="288">
          <cell r="A288" t="str">
            <v>260219</v>
          </cell>
          <cell r="B288" t="str">
            <v>Biaya Asuransi</v>
          </cell>
          <cell r="C288" t="str">
            <v>LR06</v>
          </cell>
        </row>
        <row r="289">
          <cell r="A289" t="str">
            <v>260220</v>
          </cell>
          <cell r="B289" t="str">
            <v>Biaya Administrasi Bank</v>
          </cell>
          <cell r="C289" t="str">
            <v>LR06</v>
          </cell>
        </row>
        <row r="290">
          <cell r="A290" t="str">
            <v>260221</v>
          </cell>
          <cell r="B290" t="str">
            <v>Biaya Sewa Kantor, Listrik Dan Air</v>
          </cell>
          <cell r="C290" t="str">
            <v>LR06</v>
          </cell>
        </row>
        <row r="291">
          <cell r="A291" t="str">
            <v>260222</v>
          </cell>
          <cell r="B291" t="str">
            <v>Biaya Transportasi, Bahan Bakar &amp; Oli</v>
          </cell>
          <cell r="C291" t="str">
            <v>LR06</v>
          </cell>
        </row>
        <row r="292">
          <cell r="A292" t="str">
            <v>260223</v>
          </cell>
          <cell r="B292" t="str">
            <v>Biaya Sewa Kendaraan</v>
          </cell>
          <cell r="C292" t="str">
            <v>LR06</v>
          </cell>
        </row>
        <row r="293">
          <cell r="A293" t="str">
            <v>260224</v>
          </cell>
          <cell r="B293" t="str">
            <v>Biaya Pemeliharaan Kantor</v>
          </cell>
          <cell r="C293" t="str">
            <v>LR06</v>
          </cell>
        </row>
        <row r="294">
          <cell r="A294" t="str">
            <v>260225</v>
          </cell>
          <cell r="B294" t="str">
            <v>Biaya Pemeliharaan Rumah Dinas</v>
          </cell>
          <cell r="C294" t="str">
            <v>LR06</v>
          </cell>
        </row>
        <row r="295">
          <cell r="A295" t="str">
            <v>260226</v>
          </cell>
          <cell r="B295" t="str">
            <v>Biaya Pemeliharaan Pabrik</v>
          </cell>
          <cell r="C295" t="str">
            <v>LR06</v>
          </cell>
        </row>
        <row r="296">
          <cell r="A296" t="str">
            <v>260227</v>
          </cell>
          <cell r="B296" t="str">
            <v>Biaya Pemeliharaan Gudang</v>
          </cell>
          <cell r="C296" t="str">
            <v>LR06</v>
          </cell>
        </row>
        <row r="297">
          <cell r="A297" t="str">
            <v>260228</v>
          </cell>
          <cell r="B297" t="str">
            <v>Biaya Pemeliharaan Kendaraan</v>
          </cell>
          <cell r="C297" t="str">
            <v>LR06</v>
          </cell>
        </row>
        <row r="298">
          <cell r="A298" t="str">
            <v>260229</v>
          </cell>
          <cell r="B298" t="str">
            <v xml:space="preserve">Biaya Penyusustan </v>
          </cell>
          <cell r="C298" t="str">
            <v>LR06</v>
          </cell>
        </row>
        <row r="299">
          <cell r="A299" t="str">
            <v>260230</v>
          </cell>
          <cell r="B299" t="str">
            <v>Biaya Pemasaran Kabupaten (Ppk)</v>
          </cell>
          <cell r="C299" t="str">
            <v>LR06</v>
          </cell>
        </row>
        <row r="300">
          <cell r="A300" t="str">
            <v>260231</v>
          </cell>
          <cell r="B300" t="str">
            <v>Biaya Promosi / Advertensi</v>
          </cell>
          <cell r="C300" t="str">
            <v>LR06</v>
          </cell>
        </row>
        <row r="301">
          <cell r="A301" t="str">
            <v>260232</v>
          </cell>
          <cell r="B301" t="str">
            <v>Biaya Umum Dan Lain-Lain</v>
          </cell>
          <cell r="C301" t="str">
            <v>LR06</v>
          </cell>
        </row>
        <row r="302">
          <cell r="A302" t="str">
            <v>260300</v>
          </cell>
          <cell r="B302" t="str">
            <v>Biaya Bunga</v>
          </cell>
          <cell r="C302" t="str">
            <v>LR07</v>
          </cell>
        </row>
        <row r="303">
          <cell r="A303" t="str">
            <v>260301</v>
          </cell>
          <cell r="B303" t="str">
            <v>Biaya Bunga</v>
          </cell>
          <cell r="C303" t="str">
            <v>LR07</v>
          </cell>
        </row>
        <row r="304">
          <cell r="A304" t="str">
            <v>270100</v>
          </cell>
          <cell r="B304" t="str">
            <v>Pendapatan Penjualan Aktiva Tetap</v>
          </cell>
          <cell r="C304" t="str">
            <v>LR09</v>
          </cell>
        </row>
        <row r="305">
          <cell r="A305" t="str">
            <v>270101</v>
          </cell>
          <cell r="B305" t="str">
            <v>Pendapatan Penjualan Aktiva Tetap</v>
          </cell>
          <cell r="C305" t="str">
            <v>LR09</v>
          </cell>
        </row>
        <row r="306">
          <cell r="A306" t="str">
            <v>270102</v>
          </cell>
          <cell r="B306" t="str">
            <v>Pendapatan Lain - lain</v>
          </cell>
          <cell r="C306" t="str">
            <v>LR09</v>
          </cell>
        </row>
        <row r="307">
          <cell r="A307" t="str">
            <v>270200</v>
          </cell>
          <cell r="B307" t="str">
            <v>Biaya Diluar Usaha</v>
          </cell>
          <cell r="C307" t="str">
            <v>LR09</v>
          </cell>
        </row>
        <row r="308">
          <cell r="A308" t="str">
            <v>270201</v>
          </cell>
          <cell r="B308" t="str">
            <v>Biaya Lain - lain Diluar Usaha</v>
          </cell>
          <cell r="C308" t="str">
            <v>LR09</v>
          </cell>
        </row>
        <row r="309">
          <cell r="A309" t="str">
            <v>280100</v>
          </cell>
          <cell r="B309" t="str">
            <v>Beban Pajak Penghasilan</v>
          </cell>
          <cell r="C309" t="str">
            <v>LR10</v>
          </cell>
        </row>
        <row r="310">
          <cell r="A310" t="str">
            <v>290100</v>
          </cell>
          <cell r="B310" t="str">
            <v>Laba (Rugi) dipindahkan</v>
          </cell>
          <cell r="C310" t="str">
            <v>LR11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021A-8A4F-454B-A968-C2097C04213C}">
  <dimension ref="A1:BY104"/>
  <sheetViews>
    <sheetView tabSelected="1" zoomScaleNormal="100" workbookViewId="0">
      <pane xSplit="3" ySplit="7" topLeftCell="AR8" activePane="bottomRight" state="frozen"/>
      <selection pane="topRight" activeCell="D1" sqref="D1"/>
      <selection pane="bottomLeft" activeCell="A7" sqref="A7"/>
      <selection pane="bottomRight" activeCell="BF10" sqref="BF10"/>
    </sheetView>
  </sheetViews>
  <sheetFormatPr defaultRowHeight="12" x14ac:dyDescent="0.2"/>
  <cols>
    <col min="1" max="1" width="12" style="5" bestFit="1" customWidth="1"/>
    <col min="2" max="2" width="38.85546875" style="6" bestFit="1" customWidth="1"/>
    <col min="3" max="3" width="0.85546875" style="6" customWidth="1"/>
    <col min="4" max="4" width="21.42578125" style="7" bestFit="1" customWidth="1"/>
    <col min="5" max="5" width="0.85546875" style="6" customWidth="1"/>
    <col min="6" max="6" width="14" style="7" bestFit="1" customWidth="1"/>
    <col min="7" max="7" width="13.5703125" style="7" bestFit="1" customWidth="1"/>
    <col min="8" max="8" width="14.140625" style="7" bestFit="1" customWidth="1"/>
    <col min="9" max="9" width="13.85546875" style="8" bestFit="1" customWidth="1"/>
    <col min="10" max="10" width="14.28515625" style="7" customWidth="1"/>
    <col min="11" max="11" width="0.85546875" style="6" customWidth="1"/>
    <col min="12" max="12" width="12.5703125" style="7" bestFit="1" customWidth="1"/>
    <col min="13" max="13" width="12.85546875" style="7" bestFit="1" customWidth="1"/>
    <col min="14" max="14" width="14.140625" style="7" bestFit="1" customWidth="1"/>
    <col min="15" max="15" width="13.85546875" style="8" bestFit="1" customWidth="1"/>
    <col min="16" max="16" width="14.28515625" style="7" customWidth="1"/>
    <col min="17" max="17" width="0.85546875" style="6" customWidth="1"/>
    <col min="18" max="18" width="12.5703125" style="7" bestFit="1" customWidth="1"/>
    <col min="19" max="19" width="12.85546875" style="7" bestFit="1" customWidth="1"/>
    <col min="20" max="20" width="14.140625" style="7" bestFit="1" customWidth="1"/>
    <col min="21" max="21" width="13.85546875" style="8" bestFit="1" customWidth="1"/>
    <col min="22" max="22" width="14.28515625" style="7" customWidth="1"/>
    <col min="23" max="23" width="0.85546875" style="6" customWidth="1"/>
    <col min="24" max="24" width="12.5703125" style="7" bestFit="1" customWidth="1"/>
    <col min="25" max="25" width="12.85546875" style="7" bestFit="1" customWidth="1"/>
    <col min="26" max="26" width="14.140625" style="7" bestFit="1" customWidth="1"/>
    <col min="27" max="27" width="13.85546875" style="8" bestFit="1" customWidth="1"/>
    <col min="28" max="28" width="14.28515625" style="7" customWidth="1"/>
    <col min="29" max="29" width="0.85546875" style="6" customWidth="1"/>
    <col min="30" max="30" width="13.5703125" style="7" bestFit="1" customWidth="1"/>
    <col min="31" max="31" width="12.85546875" style="7" bestFit="1" customWidth="1"/>
    <col min="32" max="32" width="14.140625" style="7" bestFit="1" customWidth="1"/>
    <col min="33" max="33" width="13.85546875" style="8" bestFit="1" customWidth="1"/>
    <col min="34" max="34" width="14.28515625" style="7" customWidth="1"/>
    <col min="35" max="35" width="0.85546875" style="6" customWidth="1"/>
    <col min="36" max="36" width="12.5703125" style="7" bestFit="1" customWidth="1"/>
    <col min="37" max="37" width="12.85546875" style="7" bestFit="1" customWidth="1"/>
    <col min="38" max="38" width="14.140625" style="7" bestFit="1" customWidth="1"/>
    <col min="39" max="39" width="13.85546875" style="8" bestFit="1" customWidth="1"/>
    <col min="40" max="40" width="14.28515625" style="7" customWidth="1"/>
    <col min="41" max="41" width="0.85546875" style="6" customWidth="1"/>
    <col min="42" max="42" width="13.5703125" style="7" bestFit="1" customWidth="1"/>
    <col min="43" max="43" width="12.85546875" style="7" bestFit="1" customWidth="1"/>
    <col min="44" max="44" width="14.140625" style="7" customWidth="1"/>
    <col min="45" max="45" width="13.85546875" style="8" bestFit="1" customWidth="1"/>
    <col min="46" max="46" width="14.28515625" style="7" customWidth="1"/>
    <col min="47" max="47" width="0.85546875" style="6" customWidth="1"/>
    <col min="48" max="48" width="13.5703125" style="7" bestFit="1" customWidth="1"/>
    <col min="49" max="49" width="12.85546875" style="7" bestFit="1" customWidth="1"/>
    <col min="50" max="50" width="14.140625" style="7" customWidth="1"/>
    <col min="51" max="51" width="13.85546875" style="8" bestFit="1" customWidth="1"/>
    <col min="52" max="52" width="14.28515625" style="7" customWidth="1"/>
    <col min="53" max="53" width="0.85546875" style="6" customWidth="1"/>
    <col min="54" max="54" width="13.5703125" style="7" bestFit="1" customWidth="1"/>
    <col min="55" max="55" width="12.85546875" style="7" bestFit="1" customWidth="1"/>
    <col min="56" max="56" width="14.140625" style="7" customWidth="1"/>
    <col min="57" max="57" width="13.85546875" style="8" bestFit="1" customWidth="1"/>
    <col min="58" max="58" width="14.28515625" style="7" customWidth="1"/>
    <col min="59" max="59" width="0.85546875" style="6" customWidth="1"/>
    <col min="60" max="60" width="13.5703125" style="7" bestFit="1" customWidth="1"/>
    <col min="61" max="61" width="12.85546875" style="7" bestFit="1" customWidth="1"/>
    <col min="62" max="62" width="14.140625" style="7" customWidth="1"/>
    <col min="63" max="63" width="13.85546875" style="8" bestFit="1" customWidth="1"/>
    <col min="64" max="64" width="14.28515625" style="7" customWidth="1"/>
    <col min="65" max="65" width="0.85546875" style="6" customWidth="1"/>
    <col min="66" max="66" width="13.5703125" style="7" bestFit="1" customWidth="1"/>
    <col min="67" max="67" width="12.85546875" style="7" bestFit="1" customWidth="1"/>
    <col min="68" max="68" width="14.140625" style="7" customWidth="1"/>
    <col min="69" max="69" width="13.85546875" style="8" bestFit="1" customWidth="1"/>
    <col min="70" max="70" width="14.28515625" style="7" customWidth="1"/>
    <col min="71" max="71" width="0.85546875" style="6" customWidth="1"/>
    <col min="72" max="72" width="13.5703125" style="7" bestFit="1" customWidth="1"/>
    <col min="73" max="73" width="12.85546875" style="7" bestFit="1" customWidth="1"/>
    <col min="74" max="74" width="14.140625" style="7" customWidth="1"/>
    <col min="75" max="75" width="13.85546875" style="8" bestFit="1" customWidth="1"/>
    <col min="76" max="76" width="14.28515625" style="7" customWidth="1"/>
    <col min="77" max="77" width="0.85546875" style="6" customWidth="1"/>
    <col min="78" max="16384" width="9.140625" style="6"/>
  </cols>
  <sheetData>
    <row r="1" spans="1:77" x14ac:dyDescent="0.2">
      <c r="T1" s="51"/>
    </row>
    <row r="2" spans="1:77" s="2" customFormat="1" ht="12" customHeight="1" x14ac:dyDescent="0.2">
      <c r="A2" s="1"/>
      <c r="I2" s="1"/>
      <c r="O2" s="1"/>
      <c r="U2" s="1"/>
      <c r="AA2" s="3"/>
      <c r="AG2" s="1"/>
      <c r="AH2" s="4"/>
      <c r="AM2" s="3"/>
      <c r="AN2" s="4"/>
      <c r="AS2" s="3"/>
      <c r="AT2" s="4"/>
      <c r="AV2" s="4"/>
      <c r="AY2" s="3"/>
      <c r="AZ2" s="4"/>
      <c r="BB2" s="4"/>
      <c r="BE2" s="3"/>
      <c r="BF2" s="4"/>
      <c r="BH2" s="4"/>
      <c r="BK2" s="3"/>
      <c r="BL2" s="4"/>
      <c r="BN2" s="4"/>
      <c r="BQ2" s="3"/>
      <c r="BR2" s="4"/>
      <c r="BT2" s="4"/>
      <c r="BW2" s="3"/>
      <c r="BX2" s="4"/>
    </row>
    <row r="3" spans="1:77" ht="12" customHeight="1" thickBot="1" x14ac:dyDescent="0.25"/>
    <row r="4" spans="1:77" s="9" customFormat="1" ht="12" customHeight="1" thickTop="1" thickBot="1" x14ac:dyDescent="0.25">
      <c r="D4" s="10">
        <f>SUBTOTAL(9,D8:D100)</f>
        <v>1898421804.9309998</v>
      </c>
      <c r="F4" s="10">
        <f>SUBTOTAL(9,F8:F100)</f>
        <v>-167166668</v>
      </c>
      <c r="G4" s="10">
        <f>SUBTOTAL(9,G8:G100)</f>
        <v>280000000</v>
      </c>
      <c r="H4" s="10">
        <f>SUBTOTAL(9,H8:H100)</f>
        <v>0</v>
      </c>
      <c r="I4" s="10">
        <f>SUBTOTAL(9,I8:I100)</f>
        <v>-60419861.111111127</v>
      </c>
      <c r="J4" s="10">
        <f>SUBTOTAL(9,J8:J100)</f>
        <v>1950835276.1532221</v>
      </c>
      <c r="L4" s="10">
        <f>SUBTOTAL(9,L8:L100)</f>
        <v>-19166667</v>
      </c>
      <c r="M4" s="10">
        <f>SUBTOTAL(9,M8:M100)</f>
        <v>155000000</v>
      </c>
      <c r="N4" s="10">
        <f>SUBTOTAL(9,N8:N100)</f>
        <v>-8800000</v>
      </c>
      <c r="O4" s="10">
        <f>SUBTOTAL(9,O8:O100)</f>
        <v>-61858750.000000015</v>
      </c>
      <c r="P4" s="10">
        <f>SUBTOTAL(9,P8:P100)</f>
        <v>2016009859.1532216</v>
      </c>
      <c r="R4" s="10">
        <f>SUBTOTAL(9,R8:R100)</f>
        <v>0</v>
      </c>
      <c r="S4" s="10">
        <f>SUBTOTAL(9,S8:S100)</f>
        <v>50000000</v>
      </c>
      <c r="T4" s="10">
        <f>SUBTOTAL(9,T8:T100)</f>
        <v>-100000000</v>
      </c>
      <c r="U4" s="10">
        <f>SUBTOTAL(9,U8:U100)</f>
        <v>-62264305.555555575</v>
      </c>
      <c r="V4" s="10">
        <f>SUBTOTAL(9,V8:V100)</f>
        <v>1903745552.9276659</v>
      </c>
      <c r="X4" s="10">
        <f>SUBTOTAL(9,X8:X100)</f>
        <v>-25000000</v>
      </c>
      <c r="Y4" s="10">
        <f>SUBTOTAL(9,Y8:Y100)</f>
        <v>112000000</v>
      </c>
      <c r="Z4" s="10">
        <f>SUBTOTAL(9,Z8:Z100)</f>
        <v>-33333333</v>
      </c>
      <c r="AA4" s="10">
        <f>SUBTOTAL(9,AA8:AA100)</f>
        <v>-59901805.555555567</v>
      </c>
      <c r="AB4" s="10">
        <f>SUBTOTAL(9,AB8:AB100)</f>
        <v>1897510414.0387776</v>
      </c>
      <c r="AD4" s="10">
        <f>SUBTOTAL(9,AD8:AD100)</f>
        <v>-154999999</v>
      </c>
      <c r="AE4" s="10">
        <f>SUBTOTAL(9,AE8:AE100)</f>
        <v>273000000</v>
      </c>
      <c r="AF4" s="10">
        <f>SUBTOTAL(9,AF8:AF100)</f>
        <v>0</v>
      </c>
      <c r="AG4" s="10">
        <f>SUBTOTAL(9,AG8:AG100)</f>
        <v>-62749027.777777784</v>
      </c>
      <c r="AH4" s="10">
        <f>SUBTOTAL(9,AH8:AH100)</f>
        <v>1952761387.2609997</v>
      </c>
      <c r="AJ4" s="10">
        <f>SUBTOTAL(9,AJ8:AJ100)</f>
        <v>0</v>
      </c>
      <c r="AK4" s="10">
        <f>SUBTOTAL(9,AK8:AK100)</f>
        <v>10000000</v>
      </c>
      <c r="AL4" s="10">
        <f>SUBTOTAL(9,AL8:AL100)</f>
        <v>0</v>
      </c>
      <c r="AM4" s="10">
        <f>SUBTOTAL(9,AM8:AM100)</f>
        <v>-63894861.111111112</v>
      </c>
      <c r="AN4" s="10">
        <f>SUBTOTAL(9,AN8:AN100)</f>
        <v>1898866526.1498883</v>
      </c>
      <c r="AP4" s="10">
        <f>SUBTOTAL(9,AP8:AP100)</f>
        <v>-187500000</v>
      </c>
      <c r="AQ4" s="10">
        <f>SUBTOTAL(9,AQ8:AQ100)</f>
        <v>274000000</v>
      </c>
      <c r="AR4" s="10">
        <f>SUBTOTAL(9,AR8:AR100)</f>
        <v>0</v>
      </c>
      <c r="AS4" s="10">
        <f>SUBTOTAL(9,AS8:AS100)</f>
        <v>-65128194.444444448</v>
      </c>
      <c r="AT4" s="10">
        <f>SUBTOTAL(9,AT8:AT100)</f>
        <v>1920238331.7054439</v>
      </c>
      <c r="AV4" s="10">
        <f>SUBTOTAL(9,AV8:AV100)</f>
        <v>-26250000</v>
      </c>
      <c r="AW4" s="10">
        <f>SUBTOTAL(9,AW8:AW100)</f>
        <v>125000000</v>
      </c>
      <c r="AX4" s="10">
        <f>SUBTOTAL(9,AX8:AX100)</f>
        <v>0</v>
      </c>
      <c r="AY4" s="10">
        <f>SUBTOTAL(9,AY8:AY100)</f>
        <v>-65128194.444444448</v>
      </c>
      <c r="AZ4" s="10">
        <f>SUBTOTAL(9,AZ8:AZ100)</f>
        <v>1953860137.2609997</v>
      </c>
      <c r="BB4" s="10">
        <f>SUBTOTAL(9,BB8:BB100)</f>
        <v>-58333334</v>
      </c>
      <c r="BC4" s="10">
        <f>SUBTOTAL(9,BC8:BC100)</f>
        <v>150000000</v>
      </c>
      <c r="BD4" s="10">
        <f>SUBTOTAL(9,BD8:BD100)</f>
        <v>-2916666.6666666665</v>
      </c>
      <c r="BE4" s="10">
        <f>SUBTOTAL(9,BE8:BE100)</f>
        <v>-65405972.222222224</v>
      </c>
      <c r="BF4" s="10">
        <f>SUBTOTAL(9,BF8:BF100)</f>
        <v>1977204164.3721108</v>
      </c>
      <c r="BH4" s="10">
        <f>SUBTOTAL(9,BH8:BH100)</f>
        <v>0</v>
      </c>
      <c r="BI4" s="10">
        <f>SUBTOTAL(9,BI8:BI100)</f>
        <v>0</v>
      </c>
      <c r="BJ4" s="10">
        <f>SUBTOTAL(9,BJ8:BJ100)</f>
        <v>0</v>
      </c>
      <c r="BK4" s="10">
        <f>SUBTOTAL(9,BK8:BK100)</f>
        <v>0</v>
      </c>
      <c r="BL4" s="10">
        <f>SUBTOTAL(9,BL8:BL100)</f>
        <v>1977204164.3721108</v>
      </c>
      <c r="BN4" s="10">
        <f>SUBTOTAL(9,BN8:BN100)</f>
        <v>0</v>
      </c>
      <c r="BO4" s="10">
        <f>SUBTOTAL(9,BO8:BO100)</f>
        <v>0</v>
      </c>
      <c r="BP4" s="10">
        <f>SUBTOTAL(9,BP8:BP100)</f>
        <v>0</v>
      </c>
      <c r="BQ4" s="10">
        <f>SUBTOTAL(9,BQ8:BQ100)</f>
        <v>0</v>
      </c>
      <c r="BR4" s="10">
        <f>SUBTOTAL(9,BR8:BR100)</f>
        <v>1977204164.3721108</v>
      </c>
      <c r="BT4" s="10">
        <f>SUBTOTAL(9,BT8:BT100)</f>
        <v>0</v>
      </c>
      <c r="BU4" s="10">
        <f>SUBTOTAL(9,BU8:BU100)</f>
        <v>0</v>
      </c>
      <c r="BV4" s="10">
        <f>SUBTOTAL(9,BV8:BV100)</f>
        <v>0</v>
      </c>
      <c r="BW4" s="10">
        <f>SUBTOTAL(9,BW8:BW100)</f>
        <v>0</v>
      </c>
      <c r="BX4" s="10">
        <f>SUBTOTAL(9,BX8:BX100)</f>
        <v>1977204164.3721108</v>
      </c>
    </row>
    <row r="5" spans="1:77" s="11" customFormat="1" ht="17.25" customHeight="1" thickTop="1" x14ac:dyDescent="0.25">
      <c r="B5" s="58" t="s">
        <v>0</v>
      </c>
      <c r="D5" s="12" t="s">
        <v>1</v>
      </c>
      <c r="F5" s="55" t="s">
        <v>2</v>
      </c>
      <c r="G5" s="56"/>
      <c r="H5" s="56"/>
      <c r="I5" s="56"/>
      <c r="J5" s="57"/>
      <c r="L5" s="52" t="s">
        <v>3</v>
      </c>
      <c r="M5" s="53"/>
      <c r="N5" s="53"/>
      <c r="O5" s="53"/>
      <c r="P5" s="54"/>
      <c r="R5" s="55" t="s">
        <v>4</v>
      </c>
      <c r="S5" s="56"/>
      <c r="T5" s="56"/>
      <c r="U5" s="56"/>
      <c r="V5" s="57"/>
      <c r="X5" s="52" t="s">
        <v>5</v>
      </c>
      <c r="Y5" s="53"/>
      <c r="Z5" s="53"/>
      <c r="AA5" s="53"/>
      <c r="AB5" s="54"/>
      <c r="AD5" s="55" t="s">
        <v>6</v>
      </c>
      <c r="AE5" s="56"/>
      <c r="AF5" s="56"/>
      <c r="AG5" s="56"/>
      <c r="AH5" s="57"/>
      <c r="AJ5" s="52" t="s">
        <v>7</v>
      </c>
      <c r="AK5" s="53"/>
      <c r="AL5" s="53"/>
      <c r="AM5" s="53"/>
      <c r="AN5" s="54"/>
      <c r="AP5" s="55" t="s">
        <v>8</v>
      </c>
      <c r="AQ5" s="56"/>
      <c r="AR5" s="56"/>
      <c r="AS5" s="56"/>
      <c r="AT5" s="57"/>
      <c r="AV5" s="52" t="s">
        <v>9</v>
      </c>
      <c r="AW5" s="53"/>
      <c r="AX5" s="53"/>
      <c r="AY5" s="53"/>
      <c r="AZ5" s="54"/>
      <c r="BB5" s="55" t="s">
        <v>10</v>
      </c>
      <c r="BC5" s="56"/>
      <c r="BD5" s="56"/>
      <c r="BE5" s="56"/>
      <c r="BF5" s="57"/>
      <c r="BH5" s="52" t="s">
        <v>11</v>
      </c>
      <c r="BI5" s="53"/>
      <c r="BJ5" s="53"/>
      <c r="BK5" s="53"/>
      <c r="BL5" s="54"/>
      <c r="BN5" s="55" t="s">
        <v>12</v>
      </c>
      <c r="BO5" s="56"/>
      <c r="BP5" s="56"/>
      <c r="BQ5" s="56"/>
      <c r="BR5" s="57"/>
      <c r="BT5" s="52" t="s">
        <v>13</v>
      </c>
      <c r="BU5" s="53"/>
      <c r="BV5" s="53"/>
      <c r="BW5" s="53"/>
      <c r="BX5" s="54"/>
    </row>
    <row r="6" spans="1:77" s="13" customFormat="1" ht="12" customHeight="1" x14ac:dyDescent="0.2">
      <c r="B6" s="59"/>
      <c r="C6" s="14"/>
      <c r="D6" s="15" t="s">
        <v>14</v>
      </c>
      <c r="E6" s="14"/>
      <c r="F6" s="16" t="s">
        <v>15</v>
      </c>
      <c r="G6" s="17" t="s">
        <v>16</v>
      </c>
      <c r="H6" s="17" t="s">
        <v>17</v>
      </c>
      <c r="I6" s="17" t="s">
        <v>18</v>
      </c>
      <c r="J6" s="18" t="s">
        <v>14</v>
      </c>
      <c r="K6" s="14"/>
      <c r="L6" s="16" t="s">
        <v>15</v>
      </c>
      <c r="M6" s="17" t="s">
        <v>16</v>
      </c>
      <c r="N6" s="17" t="s">
        <v>17</v>
      </c>
      <c r="O6" s="17" t="s">
        <v>18</v>
      </c>
      <c r="P6" s="18" t="s">
        <v>14</v>
      </c>
      <c r="Q6" s="14"/>
      <c r="R6" s="16" t="s">
        <v>15</v>
      </c>
      <c r="S6" s="17" t="s">
        <v>16</v>
      </c>
      <c r="T6" s="17" t="s">
        <v>17</v>
      </c>
      <c r="U6" s="17" t="s">
        <v>18</v>
      </c>
      <c r="V6" s="18" t="s">
        <v>14</v>
      </c>
      <c r="W6" s="14"/>
      <c r="X6" s="16" t="s">
        <v>15</v>
      </c>
      <c r="Y6" s="17" t="s">
        <v>16</v>
      </c>
      <c r="Z6" s="17" t="s">
        <v>17</v>
      </c>
      <c r="AA6" s="17" t="s">
        <v>18</v>
      </c>
      <c r="AB6" s="18" t="s">
        <v>14</v>
      </c>
      <c r="AC6" s="14"/>
      <c r="AD6" s="16" t="s">
        <v>15</v>
      </c>
      <c r="AE6" s="17" t="s">
        <v>16</v>
      </c>
      <c r="AF6" s="17" t="s">
        <v>17</v>
      </c>
      <c r="AG6" s="17" t="s">
        <v>18</v>
      </c>
      <c r="AH6" s="18" t="s">
        <v>14</v>
      </c>
      <c r="AI6" s="14"/>
      <c r="AJ6" s="16" t="s">
        <v>15</v>
      </c>
      <c r="AK6" s="17" t="s">
        <v>16</v>
      </c>
      <c r="AL6" s="17" t="s">
        <v>17</v>
      </c>
      <c r="AM6" s="17" t="s">
        <v>18</v>
      </c>
      <c r="AN6" s="18" t="s">
        <v>14</v>
      </c>
      <c r="AO6" s="14"/>
      <c r="AP6" s="16" t="s">
        <v>15</v>
      </c>
      <c r="AQ6" s="17" t="s">
        <v>16</v>
      </c>
      <c r="AR6" s="17" t="s">
        <v>17</v>
      </c>
      <c r="AS6" s="17" t="s">
        <v>18</v>
      </c>
      <c r="AT6" s="18" t="s">
        <v>14</v>
      </c>
      <c r="AU6" s="14"/>
      <c r="AV6" s="16" t="s">
        <v>15</v>
      </c>
      <c r="AW6" s="17" t="s">
        <v>16</v>
      </c>
      <c r="AX6" s="17" t="s">
        <v>17</v>
      </c>
      <c r="AY6" s="17" t="s">
        <v>18</v>
      </c>
      <c r="AZ6" s="18" t="s">
        <v>14</v>
      </c>
      <c r="BA6" s="14"/>
      <c r="BB6" s="16" t="s">
        <v>15</v>
      </c>
      <c r="BC6" s="17" t="s">
        <v>16</v>
      </c>
      <c r="BD6" s="17" t="s">
        <v>17</v>
      </c>
      <c r="BE6" s="17" t="s">
        <v>18</v>
      </c>
      <c r="BF6" s="18" t="s">
        <v>14</v>
      </c>
      <c r="BG6" s="14"/>
      <c r="BH6" s="16" t="s">
        <v>15</v>
      </c>
      <c r="BI6" s="17" t="s">
        <v>16</v>
      </c>
      <c r="BJ6" s="17" t="s">
        <v>17</v>
      </c>
      <c r="BK6" s="17" t="s">
        <v>18</v>
      </c>
      <c r="BL6" s="18" t="s">
        <v>14</v>
      </c>
      <c r="BM6" s="14"/>
      <c r="BN6" s="16" t="s">
        <v>15</v>
      </c>
      <c r="BO6" s="17" t="s">
        <v>16</v>
      </c>
      <c r="BP6" s="17" t="s">
        <v>17</v>
      </c>
      <c r="BQ6" s="17" t="s">
        <v>18</v>
      </c>
      <c r="BR6" s="18" t="s">
        <v>14</v>
      </c>
      <c r="BS6" s="14"/>
      <c r="BT6" s="16" t="s">
        <v>15</v>
      </c>
      <c r="BU6" s="17" t="s">
        <v>16</v>
      </c>
      <c r="BV6" s="17" t="s">
        <v>17</v>
      </c>
      <c r="BW6" s="17" t="s">
        <v>18</v>
      </c>
      <c r="BX6" s="18" t="s">
        <v>14</v>
      </c>
      <c r="BY6" s="14"/>
    </row>
    <row r="7" spans="1:77" s="13" customFormat="1" ht="6" customHeight="1" x14ac:dyDescent="0.2">
      <c r="B7" s="19" t="s">
        <v>19</v>
      </c>
      <c r="C7" s="14"/>
      <c r="D7" s="20"/>
      <c r="E7" s="14"/>
      <c r="F7" s="21"/>
      <c r="G7" s="22"/>
      <c r="H7" s="22"/>
      <c r="I7" s="22"/>
      <c r="J7" s="23"/>
      <c r="K7" s="14"/>
      <c r="L7" s="21"/>
      <c r="M7" s="22"/>
      <c r="N7" s="22"/>
      <c r="O7" s="22"/>
      <c r="P7" s="23"/>
      <c r="Q7" s="14"/>
      <c r="R7" s="21"/>
      <c r="S7" s="22"/>
      <c r="T7" s="22"/>
      <c r="U7" s="22"/>
      <c r="V7" s="23"/>
      <c r="W7" s="14"/>
      <c r="X7" s="21"/>
      <c r="Y7" s="22"/>
      <c r="Z7" s="22"/>
      <c r="AA7" s="22"/>
      <c r="AB7" s="23"/>
      <c r="AC7" s="14"/>
      <c r="AD7" s="21"/>
      <c r="AE7" s="22"/>
      <c r="AF7" s="22"/>
      <c r="AG7" s="22"/>
      <c r="AH7" s="23"/>
      <c r="AI7" s="14"/>
      <c r="AJ7" s="21"/>
      <c r="AK7" s="22"/>
      <c r="AL7" s="22"/>
      <c r="AM7" s="22"/>
      <c r="AN7" s="23"/>
      <c r="AO7" s="14"/>
      <c r="AP7" s="21"/>
      <c r="AQ7" s="22"/>
      <c r="AR7" s="22"/>
      <c r="AS7" s="22"/>
      <c r="AT7" s="23"/>
      <c r="AU7" s="14"/>
      <c r="AV7" s="21"/>
      <c r="AW7" s="22"/>
      <c r="AX7" s="22"/>
      <c r="AY7" s="22"/>
      <c r="AZ7" s="23"/>
      <c r="BA7" s="14"/>
      <c r="BB7" s="21"/>
      <c r="BC7" s="22"/>
      <c r="BD7" s="22"/>
      <c r="BE7" s="22"/>
      <c r="BF7" s="23"/>
      <c r="BG7" s="14"/>
      <c r="BH7" s="21"/>
      <c r="BI7" s="22"/>
      <c r="BJ7" s="22"/>
      <c r="BK7" s="22"/>
      <c r="BL7" s="23"/>
      <c r="BM7" s="14"/>
      <c r="BN7" s="21"/>
      <c r="BO7" s="22"/>
      <c r="BP7" s="22"/>
      <c r="BQ7" s="22"/>
      <c r="BR7" s="23"/>
      <c r="BS7" s="14"/>
      <c r="BT7" s="21"/>
      <c r="BU7" s="22"/>
      <c r="BV7" s="22"/>
      <c r="BW7" s="22"/>
      <c r="BX7" s="23"/>
      <c r="BY7" s="14"/>
    </row>
    <row r="8" spans="1:77" ht="12" customHeight="1" x14ac:dyDescent="0.2">
      <c r="A8" s="24"/>
      <c r="B8" s="25" t="s">
        <v>20</v>
      </c>
      <c r="C8" s="26"/>
      <c r="D8" s="27">
        <v>23333333.336666662</v>
      </c>
      <c r="E8" s="26"/>
      <c r="F8" s="28">
        <v>0</v>
      </c>
      <c r="G8" s="29">
        <v>0</v>
      </c>
      <c r="H8" s="29">
        <v>0</v>
      </c>
      <c r="I8" s="30">
        <v>-833333.33333333337</v>
      </c>
      <c r="J8" s="31">
        <f>D8+F8+G8+H8+I8</f>
        <v>22500000.00333333</v>
      </c>
      <c r="K8" s="26"/>
      <c r="L8" s="28">
        <v>0</v>
      </c>
      <c r="M8" s="29">
        <v>0</v>
      </c>
      <c r="N8" s="29">
        <v>0</v>
      </c>
      <c r="O8" s="30">
        <v>-833333.33333333337</v>
      </c>
      <c r="P8" s="31">
        <f>J8+L8+M8+N8+O8</f>
        <v>21666666.669999998</v>
      </c>
      <c r="Q8" s="26"/>
      <c r="R8" s="28">
        <v>0</v>
      </c>
      <c r="S8" s="29">
        <v>0</v>
      </c>
      <c r="T8" s="29">
        <v>0</v>
      </c>
      <c r="U8" s="30">
        <v>-833333.33333333337</v>
      </c>
      <c r="V8" s="31">
        <f>IF(AND(P8+R8+S8+T8+U8&gt;=-2,P8+R8+S8+T8+U8&lt;=2),0,P8+R8+S8+T8+U8)</f>
        <v>20833333.336666666</v>
      </c>
      <c r="W8" s="26"/>
      <c r="X8" s="28">
        <v>0</v>
      </c>
      <c r="Y8" s="29">
        <v>0</v>
      </c>
      <c r="Z8" s="29">
        <v>0</v>
      </c>
      <c r="AA8" s="30">
        <v>-833333.33333333337</v>
      </c>
      <c r="AB8" s="31">
        <f>IF(AND(V8+X8+Y8+Z8+AA8&gt;=-2,V8+X8+Y8+Z8+AA8&lt;=2),0,V8+X8+Y8+Z8+AA8)</f>
        <v>20000000.003333334</v>
      </c>
      <c r="AC8" s="26"/>
      <c r="AD8" s="28">
        <v>0</v>
      </c>
      <c r="AE8" s="29">
        <v>0</v>
      </c>
      <c r="AF8" s="29">
        <v>0</v>
      </c>
      <c r="AG8" s="30">
        <v>-833333.33333333337</v>
      </c>
      <c r="AH8" s="31">
        <f>IF(AND(AB8+AD8+AE8+AF8+AG8&gt;=-2,AB8+AD8+AE8+AF8+AG8&lt;=2),0,AB8+AD8+AE8+AF8+AG8)</f>
        <v>19166666.670000002</v>
      </c>
      <c r="AI8" s="26"/>
      <c r="AJ8" s="28">
        <v>0</v>
      </c>
      <c r="AK8" s="29">
        <v>0</v>
      </c>
      <c r="AL8" s="29">
        <v>0</v>
      </c>
      <c r="AM8" s="30">
        <v>-833333.33333333337</v>
      </c>
      <c r="AN8" s="31">
        <f>IF(AND(AH8+AJ8+AK8+AL8+AM8&gt;=-2,AH8+AJ8+AK8+AL8+AM8&lt;=2),0,AH8+AJ8+AK8+AL8+AM8)</f>
        <v>18333333.33666667</v>
      </c>
      <c r="AO8" s="26"/>
      <c r="AP8" s="28">
        <v>0</v>
      </c>
      <c r="AQ8" s="29">
        <v>0</v>
      </c>
      <c r="AR8" s="29">
        <v>0</v>
      </c>
      <c r="AS8" s="30">
        <v>-833333.33333333337</v>
      </c>
      <c r="AT8" s="31">
        <f>IF(AND(AN8+AP8+AQ8+AR8+AS8&gt;=-2,AN8+AP8+AQ8+AR8+AS8&lt;=2),0,AN8+AP8+AQ8+AR8+AS8)</f>
        <v>17500000.003333338</v>
      </c>
      <c r="AU8" s="26"/>
      <c r="AV8" s="28">
        <v>0</v>
      </c>
      <c r="AW8" s="29">
        <v>0</v>
      </c>
      <c r="AX8" s="29">
        <v>0</v>
      </c>
      <c r="AY8" s="30">
        <v>-833333.33333333337</v>
      </c>
      <c r="AZ8" s="31">
        <f>IF(AND(AT8+AV8+AW8+AX8+AY8&gt;=-2,AT8+AV8+AW8+AX8+AY8&lt;=2),0,AT8+AV8+AW8+AX8+AY8)</f>
        <v>16666666.670000004</v>
      </c>
      <c r="BA8" s="26"/>
      <c r="BB8" s="28">
        <v>0</v>
      </c>
      <c r="BC8" s="29">
        <v>0</v>
      </c>
      <c r="BD8" s="29">
        <v>0</v>
      </c>
      <c r="BE8" s="30">
        <v>-833333.33333333337</v>
      </c>
      <c r="BF8" s="31">
        <f>IF(AND(AZ8+BB8+BC8+BD8+BE8&gt;=-2,AZ8+BB8+BC8+BD8+BE8&lt;=2),0,AZ8+BB8+BC8+BD8+BE8)</f>
        <v>15833333.33666667</v>
      </c>
      <c r="BG8" s="26"/>
      <c r="BH8" s="28">
        <v>0</v>
      </c>
      <c r="BI8" s="29">
        <v>0</v>
      </c>
      <c r="BJ8" s="29">
        <v>0</v>
      </c>
      <c r="BK8" s="30">
        <v>0</v>
      </c>
      <c r="BL8" s="31">
        <f>IF(AND(BF8+BH8+BI8+BJ8+BK8&gt;=-2,BF8+BH8+BI8+BJ8+BK8&lt;=2),0,BF8+BH8+BI8+BJ8+BK8)</f>
        <v>15833333.33666667</v>
      </c>
      <c r="BM8" s="26"/>
      <c r="BN8" s="28">
        <v>0</v>
      </c>
      <c r="BO8" s="29">
        <v>0</v>
      </c>
      <c r="BP8" s="29">
        <v>0</v>
      </c>
      <c r="BQ8" s="30">
        <v>0</v>
      </c>
      <c r="BR8" s="31">
        <f>IF(AND(BL8+BN8+BO8+BP8+BQ8&gt;=-2,BL8+BN8+BO8+BP8+BQ8&lt;=2),0,BL8+BN8+BO8+BP8+BQ8)</f>
        <v>15833333.33666667</v>
      </c>
      <c r="BS8" s="26"/>
      <c r="BT8" s="28">
        <v>0</v>
      </c>
      <c r="BU8" s="29">
        <v>0</v>
      </c>
      <c r="BV8" s="29">
        <v>0</v>
      </c>
      <c r="BW8" s="30">
        <v>0</v>
      </c>
      <c r="BX8" s="31">
        <f>IF(AND(BR8+BT8+BU8+BV8+BW8&gt;=-2,BR8+BT8+BU8+BV8+BW8&lt;=2),0,BR8+BT8+BU8+BV8+BW8)</f>
        <v>15833333.33666667</v>
      </c>
      <c r="BY8" s="26"/>
    </row>
    <row r="9" spans="1:77" ht="12" customHeight="1" x14ac:dyDescent="0.2">
      <c r="A9" s="24"/>
      <c r="B9" s="32" t="s">
        <v>21</v>
      </c>
      <c r="C9" s="26"/>
      <c r="D9" s="33">
        <v>0</v>
      </c>
      <c r="E9" s="26"/>
      <c r="F9" s="34">
        <v>0</v>
      </c>
      <c r="G9" s="35">
        <v>0</v>
      </c>
      <c r="H9" s="35">
        <v>0</v>
      </c>
      <c r="I9" s="36">
        <v>0</v>
      </c>
      <c r="J9" s="37">
        <f t="shared" ref="J9:J74" si="0">D9+F9+G9+H9+I9</f>
        <v>0</v>
      </c>
      <c r="K9" s="26"/>
      <c r="L9" s="34">
        <v>0</v>
      </c>
      <c r="M9" s="35">
        <v>0</v>
      </c>
      <c r="N9" s="35">
        <v>0</v>
      </c>
      <c r="O9" s="36">
        <v>0</v>
      </c>
      <c r="P9" s="37">
        <f t="shared" ref="P9:P74" si="1">J9+L9+M9+N9+O9</f>
        <v>0</v>
      </c>
      <c r="Q9" s="26"/>
      <c r="R9" s="34">
        <v>0</v>
      </c>
      <c r="S9" s="35">
        <v>0</v>
      </c>
      <c r="T9" s="35">
        <v>0</v>
      </c>
      <c r="U9" s="36">
        <v>0</v>
      </c>
      <c r="V9" s="37">
        <f t="shared" ref="V9:V74" si="2">IF(AND(P9+R9+S9+T9+U9&gt;=-2,P9+R9+S9+T9+U9&lt;=2),0,P9+R9+S9+T9+U9)</f>
        <v>0</v>
      </c>
      <c r="W9" s="26"/>
      <c r="X9" s="34">
        <v>0</v>
      </c>
      <c r="Y9" s="35">
        <v>0</v>
      </c>
      <c r="Z9" s="35">
        <v>0</v>
      </c>
      <c r="AA9" s="36">
        <v>0</v>
      </c>
      <c r="AB9" s="37">
        <f t="shared" ref="AB9:AB74" si="3">IF(AND(V9+X9+Y9+Z9+AA9&gt;=-2,V9+X9+Y9+Z9+AA9&lt;=2),0,V9+X9+Y9+Z9+AA9)</f>
        <v>0</v>
      </c>
      <c r="AC9" s="26"/>
      <c r="AD9" s="34">
        <v>0</v>
      </c>
      <c r="AE9" s="35">
        <v>0</v>
      </c>
      <c r="AF9" s="35">
        <v>0</v>
      </c>
      <c r="AG9" s="36">
        <v>0</v>
      </c>
      <c r="AH9" s="37">
        <f t="shared" ref="AH9:AH74" si="4">IF(AND(AB9+AD9+AE9+AF9+AG9&gt;=-2,AB9+AD9+AE9+AF9+AG9&lt;=2),0,AB9+AD9+AE9+AF9+AG9)</f>
        <v>0</v>
      </c>
      <c r="AI9" s="26"/>
      <c r="AJ9" s="34">
        <v>0</v>
      </c>
      <c r="AK9" s="35">
        <v>0</v>
      </c>
      <c r="AL9" s="35">
        <v>0</v>
      </c>
      <c r="AM9" s="36">
        <v>0</v>
      </c>
      <c r="AN9" s="37">
        <f t="shared" ref="AN9:AN74" si="5">IF(AND(AH9+AJ9+AK9+AL9+AM9&gt;=-2,AH9+AJ9+AK9+AL9+AM9&lt;=2),0,AH9+AJ9+AK9+AL9+AM9)</f>
        <v>0</v>
      </c>
      <c r="AO9" s="26"/>
      <c r="AP9" s="34">
        <v>0</v>
      </c>
      <c r="AQ9" s="35">
        <v>0</v>
      </c>
      <c r="AR9" s="35">
        <v>0</v>
      </c>
      <c r="AS9" s="36">
        <v>0</v>
      </c>
      <c r="AT9" s="37">
        <f t="shared" ref="AT9:AT74" si="6">IF(AND(AN9+AP9+AQ9+AR9+AS9&gt;=-2,AN9+AP9+AQ9+AR9+AS9&lt;=2),0,AN9+AP9+AQ9+AR9+AS9)</f>
        <v>0</v>
      </c>
      <c r="AU9" s="26"/>
      <c r="AV9" s="34">
        <v>0</v>
      </c>
      <c r="AW9" s="35">
        <v>0</v>
      </c>
      <c r="AX9" s="35">
        <v>0</v>
      </c>
      <c r="AY9" s="36">
        <v>0</v>
      </c>
      <c r="AZ9" s="37">
        <f t="shared" ref="AZ9:AZ74" si="7">IF(AND(AT9+AV9+AW9+AX9+AY9&gt;=-2,AT9+AV9+AW9+AX9+AY9&lt;=2),0,AT9+AV9+AW9+AX9+AY9)</f>
        <v>0</v>
      </c>
      <c r="BA9" s="26"/>
      <c r="BB9" s="34">
        <v>0</v>
      </c>
      <c r="BC9" s="35">
        <v>0</v>
      </c>
      <c r="BD9" s="35">
        <v>0</v>
      </c>
      <c r="BE9" s="36">
        <v>0</v>
      </c>
      <c r="BF9" s="37">
        <f t="shared" ref="BF9:BF74" si="8">IF(AND(AZ9+BB9+BC9+BD9+BE9&gt;=-2,AZ9+BB9+BC9+BD9+BE9&lt;=2),0,AZ9+BB9+BC9+BD9+BE9)</f>
        <v>0</v>
      </c>
      <c r="BG9" s="26"/>
      <c r="BH9" s="34">
        <v>0</v>
      </c>
      <c r="BI9" s="35">
        <v>0</v>
      </c>
      <c r="BJ9" s="35">
        <v>0</v>
      </c>
      <c r="BK9" s="36">
        <v>0</v>
      </c>
      <c r="BL9" s="37">
        <f t="shared" ref="BL9:BL74" si="9">IF(AND(BF9+BH9+BI9+BJ9+BK9&gt;=-2,BF9+BH9+BI9+BJ9+BK9&lt;=2),0,BF9+BH9+BI9+BJ9+BK9)</f>
        <v>0</v>
      </c>
      <c r="BM9" s="26"/>
      <c r="BN9" s="34">
        <v>0</v>
      </c>
      <c r="BO9" s="35">
        <v>0</v>
      </c>
      <c r="BP9" s="35">
        <v>0</v>
      </c>
      <c r="BQ9" s="36">
        <v>0</v>
      </c>
      <c r="BR9" s="37">
        <f t="shared" ref="BR9:BR74" si="10">IF(AND(BL9+BN9+BO9+BP9+BQ9&gt;=-2,BL9+BN9+BO9+BP9+BQ9&lt;=2),0,BL9+BN9+BO9+BP9+BQ9)</f>
        <v>0</v>
      </c>
      <c r="BS9" s="26"/>
      <c r="BT9" s="34">
        <v>0</v>
      </c>
      <c r="BU9" s="35">
        <v>0</v>
      </c>
      <c r="BV9" s="35">
        <v>0</v>
      </c>
      <c r="BW9" s="36">
        <v>0</v>
      </c>
      <c r="BX9" s="37">
        <f t="shared" ref="BX9:BX74" si="11">IF(AND(BR9+BT9+BU9+BV9+BW9&gt;=-2,BR9+BT9+BU9+BV9+BW9&lt;=2),0,BR9+BT9+BU9+BV9+BW9)</f>
        <v>0</v>
      </c>
      <c r="BY9" s="26"/>
    </row>
    <row r="10" spans="1:77" ht="12" customHeight="1" x14ac:dyDescent="0.2">
      <c r="A10" s="24"/>
      <c r="B10" s="32" t="s">
        <v>22</v>
      </c>
      <c r="C10" s="26"/>
      <c r="D10" s="33">
        <v>32083333.304333266</v>
      </c>
      <c r="E10" s="26"/>
      <c r="F10" s="34">
        <v>0</v>
      </c>
      <c r="G10" s="35">
        <v>0</v>
      </c>
      <c r="H10" s="35">
        <v>0</v>
      </c>
      <c r="I10" s="36">
        <v>-1666666.6666666667</v>
      </c>
      <c r="J10" s="37">
        <f t="shared" si="0"/>
        <v>30416666.637666598</v>
      </c>
      <c r="K10" s="26"/>
      <c r="L10" s="34">
        <v>0</v>
      </c>
      <c r="M10" s="35">
        <v>0</v>
      </c>
      <c r="N10" s="35">
        <v>0</v>
      </c>
      <c r="O10" s="36">
        <v>-1666666.6666666667</v>
      </c>
      <c r="P10" s="37">
        <f t="shared" si="1"/>
        <v>28749999.97099993</v>
      </c>
      <c r="Q10" s="26"/>
      <c r="R10" s="34">
        <v>0</v>
      </c>
      <c r="S10" s="35">
        <v>0</v>
      </c>
      <c r="T10" s="35">
        <v>0</v>
      </c>
      <c r="U10" s="36">
        <v>-1666666.6666666667</v>
      </c>
      <c r="V10" s="37">
        <f t="shared" si="2"/>
        <v>27083333.304333262</v>
      </c>
      <c r="W10" s="26"/>
      <c r="X10" s="34">
        <v>0</v>
      </c>
      <c r="Y10" s="35">
        <v>0</v>
      </c>
      <c r="Z10" s="35">
        <v>0</v>
      </c>
      <c r="AA10" s="36">
        <v>-1666666.6666666667</v>
      </c>
      <c r="AB10" s="37">
        <f t="shared" si="3"/>
        <v>25416666.637666594</v>
      </c>
      <c r="AC10" s="26"/>
      <c r="AD10" s="34">
        <v>0</v>
      </c>
      <c r="AE10" s="35">
        <v>0</v>
      </c>
      <c r="AF10" s="35">
        <v>0</v>
      </c>
      <c r="AG10" s="36">
        <v>-1666666.6666666667</v>
      </c>
      <c r="AH10" s="37">
        <f t="shared" si="4"/>
        <v>23749999.970999926</v>
      </c>
      <c r="AI10" s="26"/>
      <c r="AJ10" s="34">
        <v>0</v>
      </c>
      <c r="AK10" s="35">
        <v>0</v>
      </c>
      <c r="AL10" s="35">
        <v>0</v>
      </c>
      <c r="AM10" s="36">
        <v>-1666666.6666666667</v>
      </c>
      <c r="AN10" s="37">
        <f t="shared" si="5"/>
        <v>22083333.304333258</v>
      </c>
      <c r="AO10" s="26"/>
      <c r="AP10" s="34">
        <v>0</v>
      </c>
      <c r="AQ10" s="35">
        <v>0</v>
      </c>
      <c r="AR10" s="35">
        <v>0</v>
      </c>
      <c r="AS10" s="36">
        <v>-1666666.6666666667</v>
      </c>
      <c r="AT10" s="37">
        <f t="shared" si="6"/>
        <v>20416666.637666591</v>
      </c>
      <c r="AU10" s="26"/>
      <c r="AV10" s="34">
        <v>0</v>
      </c>
      <c r="AW10" s="35">
        <v>0</v>
      </c>
      <c r="AX10" s="35">
        <v>0</v>
      </c>
      <c r="AY10" s="36">
        <v>-1666666.6666666667</v>
      </c>
      <c r="AZ10" s="37">
        <f t="shared" si="7"/>
        <v>18749999.970999923</v>
      </c>
      <c r="BA10" s="26"/>
      <c r="BB10" s="34">
        <v>0</v>
      </c>
      <c r="BC10" s="35">
        <v>0</v>
      </c>
      <c r="BD10" s="35">
        <v>0</v>
      </c>
      <c r="BE10" s="36">
        <v>-1666666.6666666667</v>
      </c>
      <c r="BF10" s="37">
        <f t="shared" si="8"/>
        <v>17083333.304333255</v>
      </c>
      <c r="BG10" s="26"/>
      <c r="BH10" s="34">
        <v>0</v>
      </c>
      <c r="BI10" s="35">
        <v>0</v>
      </c>
      <c r="BJ10" s="35">
        <v>0</v>
      </c>
      <c r="BK10" s="36">
        <v>0</v>
      </c>
      <c r="BL10" s="37">
        <f t="shared" si="9"/>
        <v>17083333.304333255</v>
      </c>
      <c r="BM10" s="26"/>
      <c r="BN10" s="34">
        <v>0</v>
      </c>
      <c r="BO10" s="35">
        <v>0</v>
      </c>
      <c r="BP10" s="35">
        <v>0</v>
      </c>
      <c r="BQ10" s="36">
        <v>0</v>
      </c>
      <c r="BR10" s="37">
        <f t="shared" si="10"/>
        <v>17083333.304333255</v>
      </c>
      <c r="BS10" s="26"/>
      <c r="BT10" s="34">
        <v>0</v>
      </c>
      <c r="BU10" s="35">
        <v>0</v>
      </c>
      <c r="BV10" s="35">
        <v>0</v>
      </c>
      <c r="BW10" s="36">
        <v>0</v>
      </c>
      <c r="BX10" s="37">
        <f t="shared" si="11"/>
        <v>17083333.304333255</v>
      </c>
      <c r="BY10" s="26"/>
    </row>
    <row r="11" spans="1:77" ht="12" customHeight="1" x14ac:dyDescent="0.2">
      <c r="A11" s="24"/>
      <c r="B11" s="32" t="s">
        <v>23</v>
      </c>
      <c r="C11" s="26"/>
      <c r="D11" s="33">
        <v>0</v>
      </c>
      <c r="E11" s="26"/>
      <c r="F11" s="34">
        <v>0</v>
      </c>
      <c r="G11" s="35">
        <v>0</v>
      </c>
      <c r="H11" s="35">
        <v>0</v>
      </c>
      <c r="I11" s="36">
        <v>0</v>
      </c>
      <c r="J11" s="37">
        <f t="shared" si="0"/>
        <v>0</v>
      </c>
      <c r="K11" s="26"/>
      <c r="L11" s="34">
        <v>0</v>
      </c>
      <c r="M11" s="35">
        <v>50000000</v>
      </c>
      <c r="N11" s="35">
        <v>0</v>
      </c>
      <c r="O11" s="36">
        <v>0</v>
      </c>
      <c r="P11" s="37">
        <f t="shared" si="1"/>
        <v>50000000</v>
      </c>
      <c r="Q11" s="26"/>
      <c r="R11" s="34">
        <v>0</v>
      </c>
      <c r="S11" s="35">
        <v>50000000</v>
      </c>
      <c r="T11" s="35">
        <v>0</v>
      </c>
      <c r="U11" s="36">
        <v>-1041666.6666666666</v>
      </c>
      <c r="V11" s="37">
        <f t="shared" si="2"/>
        <v>98958333.333333328</v>
      </c>
      <c r="W11" s="26"/>
      <c r="X11" s="34">
        <v>0</v>
      </c>
      <c r="Y11" s="35">
        <v>0</v>
      </c>
      <c r="Z11" s="35">
        <v>0</v>
      </c>
      <c r="AA11" s="36">
        <v>-2083333.3333333333</v>
      </c>
      <c r="AB11" s="37">
        <f t="shared" si="3"/>
        <v>96875000</v>
      </c>
      <c r="AC11" s="26"/>
      <c r="AD11" s="34">
        <v>0</v>
      </c>
      <c r="AE11" s="35">
        <v>0</v>
      </c>
      <c r="AF11" s="35">
        <v>0</v>
      </c>
      <c r="AG11" s="36">
        <v>-2083333.3333333333</v>
      </c>
      <c r="AH11" s="37">
        <f t="shared" si="4"/>
        <v>94791666.666666672</v>
      </c>
      <c r="AI11" s="26"/>
      <c r="AJ11" s="34">
        <v>0</v>
      </c>
      <c r="AK11" s="35">
        <v>0</v>
      </c>
      <c r="AL11" s="35">
        <v>0</v>
      </c>
      <c r="AM11" s="36">
        <v>-2083333.3333333333</v>
      </c>
      <c r="AN11" s="37">
        <f t="shared" si="5"/>
        <v>92708333.333333343</v>
      </c>
      <c r="AO11" s="26"/>
      <c r="AP11" s="34">
        <v>0</v>
      </c>
      <c r="AQ11" s="35">
        <v>0</v>
      </c>
      <c r="AR11" s="35">
        <v>0</v>
      </c>
      <c r="AS11" s="36">
        <v>-2083333.3333333333</v>
      </c>
      <c r="AT11" s="37">
        <f t="shared" si="6"/>
        <v>90625000.000000015</v>
      </c>
      <c r="AU11" s="26"/>
      <c r="AV11" s="34">
        <v>0</v>
      </c>
      <c r="AW11" s="35">
        <v>0</v>
      </c>
      <c r="AX11" s="35">
        <v>0</v>
      </c>
      <c r="AY11" s="36">
        <v>-2083333.3333333333</v>
      </c>
      <c r="AZ11" s="37">
        <f t="shared" si="7"/>
        <v>88541666.666666687</v>
      </c>
      <c r="BA11" s="26"/>
      <c r="BB11" s="34">
        <v>0</v>
      </c>
      <c r="BC11" s="35">
        <v>0</v>
      </c>
      <c r="BD11" s="35">
        <v>0</v>
      </c>
      <c r="BE11" s="36">
        <v>-2083333.3333333333</v>
      </c>
      <c r="BF11" s="37">
        <f t="shared" si="8"/>
        <v>86458333.333333358</v>
      </c>
      <c r="BG11" s="26"/>
      <c r="BH11" s="34">
        <v>0</v>
      </c>
      <c r="BI11" s="35">
        <v>0</v>
      </c>
      <c r="BJ11" s="35">
        <v>0</v>
      </c>
      <c r="BK11" s="36">
        <v>0</v>
      </c>
      <c r="BL11" s="37">
        <f t="shared" si="9"/>
        <v>86458333.333333358</v>
      </c>
      <c r="BM11" s="26"/>
      <c r="BN11" s="34">
        <v>0</v>
      </c>
      <c r="BO11" s="35">
        <v>0</v>
      </c>
      <c r="BP11" s="35">
        <v>0</v>
      </c>
      <c r="BQ11" s="36">
        <v>0</v>
      </c>
      <c r="BR11" s="37">
        <f t="shared" si="10"/>
        <v>86458333.333333358</v>
      </c>
      <c r="BS11" s="26"/>
      <c r="BT11" s="34">
        <v>0</v>
      </c>
      <c r="BU11" s="35">
        <v>0</v>
      </c>
      <c r="BV11" s="35">
        <v>0</v>
      </c>
      <c r="BW11" s="36">
        <v>0</v>
      </c>
      <c r="BX11" s="37">
        <f t="shared" si="11"/>
        <v>86458333.333333358</v>
      </c>
      <c r="BY11" s="26"/>
    </row>
    <row r="12" spans="1:77" ht="12" customHeight="1" x14ac:dyDescent="0.2">
      <c r="A12" s="24"/>
      <c r="B12" s="32" t="s">
        <v>24</v>
      </c>
      <c r="C12" s="26"/>
      <c r="D12" s="33">
        <v>0</v>
      </c>
      <c r="E12" s="26"/>
      <c r="F12" s="34">
        <v>0</v>
      </c>
      <c r="G12" s="35">
        <v>0</v>
      </c>
      <c r="H12" s="35">
        <v>0</v>
      </c>
      <c r="I12" s="36">
        <v>0</v>
      </c>
      <c r="J12" s="37">
        <f t="shared" si="0"/>
        <v>0</v>
      </c>
      <c r="K12" s="26"/>
      <c r="L12" s="34">
        <v>0</v>
      </c>
      <c r="M12" s="35">
        <v>0</v>
      </c>
      <c r="N12" s="35">
        <v>0</v>
      </c>
      <c r="O12" s="36">
        <v>0</v>
      </c>
      <c r="P12" s="37">
        <f t="shared" si="1"/>
        <v>0</v>
      </c>
      <c r="Q12" s="26"/>
      <c r="R12" s="34">
        <v>0</v>
      </c>
      <c r="S12" s="35">
        <v>0</v>
      </c>
      <c r="T12" s="35">
        <v>0</v>
      </c>
      <c r="U12" s="36">
        <v>0</v>
      </c>
      <c r="V12" s="37">
        <f t="shared" si="2"/>
        <v>0</v>
      </c>
      <c r="W12" s="26"/>
      <c r="X12" s="34">
        <v>0</v>
      </c>
      <c r="Y12" s="35">
        <v>0</v>
      </c>
      <c r="Z12" s="35">
        <v>0</v>
      </c>
      <c r="AA12" s="36">
        <v>0</v>
      </c>
      <c r="AB12" s="37">
        <f t="shared" si="3"/>
        <v>0</v>
      </c>
      <c r="AC12" s="26"/>
      <c r="AD12" s="34">
        <v>0</v>
      </c>
      <c r="AE12" s="35">
        <v>0</v>
      </c>
      <c r="AF12" s="35">
        <v>0</v>
      </c>
      <c r="AG12" s="36">
        <v>0</v>
      </c>
      <c r="AH12" s="37">
        <f t="shared" si="4"/>
        <v>0</v>
      </c>
      <c r="AI12" s="26"/>
      <c r="AJ12" s="34">
        <v>0</v>
      </c>
      <c r="AK12" s="35">
        <v>0</v>
      </c>
      <c r="AL12" s="35">
        <v>0</v>
      </c>
      <c r="AM12" s="36">
        <v>0</v>
      </c>
      <c r="AN12" s="37">
        <f t="shared" si="5"/>
        <v>0</v>
      </c>
      <c r="AO12" s="26"/>
      <c r="AP12" s="34">
        <v>0</v>
      </c>
      <c r="AQ12" s="35">
        <v>0</v>
      </c>
      <c r="AR12" s="35">
        <v>0</v>
      </c>
      <c r="AS12" s="36">
        <v>0</v>
      </c>
      <c r="AT12" s="37">
        <f t="shared" si="6"/>
        <v>0</v>
      </c>
      <c r="AU12" s="26"/>
      <c r="AV12" s="34">
        <v>0</v>
      </c>
      <c r="AW12" s="35">
        <v>0</v>
      </c>
      <c r="AX12" s="35">
        <v>0</v>
      </c>
      <c r="AY12" s="36">
        <v>0</v>
      </c>
      <c r="AZ12" s="37">
        <f t="shared" si="7"/>
        <v>0</v>
      </c>
      <c r="BA12" s="26"/>
      <c r="BB12" s="34">
        <v>0</v>
      </c>
      <c r="BC12" s="35">
        <v>0</v>
      </c>
      <c r="BD12" s="35">
        <v>0</v>
      </c>
      <c r="BE12" s="36">
        <v>0</v>
      </c>
      <c r="BF12" s="37">
        <f t="shared" si="8"/>
        <v>0</v>
      </c>
      <c r="BG12" s="26"/>
      <c r="BH12" s="34">
        <v>0</v>
      </c>
      <c r="BI12" s="35">
        <v>0</v>
      </c>
      <c r="BJ12" s="35">
        <v>0</v>
      </c>
      <c r="BK12" s="36">
        <v>0</v>
      </c>
      <c r="BL12" s="37">
        <f t="shared" si="9"/>
        <v>0</v>
      </c>
      <c r="BM12" s="26"/>
      <c r="BN12" s="34">
        <v>0</v>
      </c>
      <c r="BO12" s="35">
        <v>0</v>
      </c>
      <c r="BP12" s="35">
        <v>0</v>
      </c>
      <c r="BQ12" s="36">
        <v>0</v>
      </c>
      <c r="BR12" s="37">
        <f t="shared" si="10"/>
        <v>0</v>
      </c>
      <c r="BS12" s="26"/>
      <c r="BT12" s="34">
        <v>0</v>
      </c>
      <c r="BU12" s="35">
        <v>0</v>
      </c>
      <c r="BV12" s="35">
        <v>0</v>
      </c>
      <c r="BW12" s="36">
        <v>0</v>
      </c>
      <c r="BX12" s="37">
        <f t="shared" si="11"/>
        <v>0</v>
      </c>
      <c r="BY12" s="26"/>
    </row>
    <row r="13" spans="1:77" ht="12" customHeight="1" x14ac:dyDescent="0.2">
      <c r="A13" s="24"/>
      <c r="B13" s="32" t="s">
        <v>194</v>
      </c>
      <c r="C13" s="26"/>
      <c r="D13" s="33">
        <v>0</v>
      </c>
      <c r="E13" s="26"/>
      <c r="F13" s="34">
        <v>0</v>
      </c>
      <c r="G13" s="35">
        <v>0</v>
      </c>
      <c r="H13" s="35">
        <v>0</v>
      </c>
      <c r="I13" s="36">
        <v>0</v>
      </c>
      <c r="J13" s="37">
        <f t="shared" ref="J13" si="12">D13+F13+G13+H13+I13</f>
        <v>0</v>
      </c>
      <c r="K13" s="26"/>
      <c r="L13" s="34">
        <v>0</v>
      </c>
      <c r="M13" s="35">
        <v>0</v>
      </c>
      <c r="N13" s="35">
        <v>0</v>
      </c>
      <c r="O13" s="36">
        <v>0</v>
      </c>
      <c r="P13" s="37">
        <f t="shared" ref="P13" si="13">J13+L13+M13+N13+O13</f>
        <v>0</v>
      </c>
      <c r="Q13" s="26"/>
      <c r="R13" s="34">
        <v>0</v>
      </c>
      <c r="S13" s="35">
        <v>0</v>
      </c>
      <c r="T13" s="35">
        <v>0</v>
      </c>
      <c r="U13" s="36">
        <v>0</v>
      </c>
      <c r="V13" s="37">
        <f t="shared" ref="V13" si="14">IF(AND(P13+R13+S13+T13+U13&gt;=-2,P13+R13+S13+T13+U13&lt;=2),0,P13+R13+S13+T13+U13)</f>
        <v>0</v>
      </c>
      <c r="W13" s="26"/>
      <c r="X13" s="34">
        <v>0</v>
      </c>
      <c r="Y13" s="35">
        <v>0</v>
      </c>
      <c r="Z13" s="35">
        <v>0</v>
      </c>
      <c r="AA13" s="36">
        <v>0</v>
      </c>
      <c r="AB13" s="37">
        <f t="shared" ref="AB13" si="15">IF(AND(V13+X13+Y13+Z13+AA13&gt;=-2,V13+X13+Y13+Z13+AA13&lt;=2),0,V13+X13+Y13+Z13+AA13)</f>
        <v>0</v>
      </c>
      <c r="AC13" s="26"/>
      <c r="AD13" s="34">
        <v>0</v>
      </c>
      <c r="AE13" s="35">
        <v>10000000</v>
      </c>
      <c r="AF13" s="35">
        <v>0</v>
      </c>
      <c r="AG13" s="36">
        <v>-833333.33333333337</v>
      </c>
      <c r="AH13" s="37">
        <f t="shared" ref="AH13" si="16">IF(AND(AB13+AD13+AE13+AF13+AG13&gt;=-2,AB13+AD13+AE13+AF13+AG13&lt;=2),0,AB13+AD13+AE13+AF13+AG13)</f>
        <v>9166666.666666666</v>
      </c>
      <c r="AI13" s="26"/>
      <c r="AJ13" s="34">
        <v>0</v>
      </c>
      <c r="AK13" s="35">
        <v>0</v>
      </c>
      <c r="AL13" s="35">
        <v>0</v>
      </c>
      <c r="AM13" s="36">
        <v>-833333.33333333337</v>
      </c>
      <c r="AN13" s="37">
        <f t="shared" ref="AN13" si="17">IF(AND(AH13+AJ13+AK13+AL13+AM13&gt;=-2,AH13+AJ13+AK13+AL13+AM13&lt;=2),0,AH13+AJ13+AK13+AL13+AM13)</f>
        <v>8333333.333333333</v>
      </c>
      <c r="AO13" s="26"/>
      <c r="AP13" s="34">
        <v>0</v>
      </c>
      <c r="AQ13" s="35">
        <v>0</v>
      </c>
      <c r="AR13" s="35">
        <v>0</v>
      </c>
      <c r="AS13" s="36">
        <v>-833333.33333333337</v>
      </c>
      <c r="AT13" s="37">
        <f t="shared" ref="AT13" si="18">IF(AND(AN13+AP13+AQ13+AR13+AS13&gt;=-2,AN13+AP13+AQ13+AR13+AS13&lt;=2),0,AN13+AP13+AQ13+AR13+AS13)</f>
        <v>7500000</v>
      </c>
      <c r="AU13" s="26"/>
      <c r="AV13" s="34">
        <v>0</v>
      </c>
      <c r="AW13" s="35">
        <v>0</v>
      </c>
      <c r="AX13" s="35">
        <v>0</v>
      </c>
      <c r="AY13" s="36">
        <v>-833333.33333333337</v>
      </c>
      <c r="AZ13" s="37">
        <f t="shared" ref="AZ13" si="19">IF(AND(AT13+AV13+AW13+AX13+AY13&gt;=-2,AT13+AV13+AW13+AX13+AY13&lt;=2),0,AT13+AV13+AW13+AX13+AY13)</f>
        <v>6666666.666666667</v>
      </c>
      <c r="BA13" s="26"/>
      <c r="BB13" s="34">
        <v>0</v>
      </c>
      <c r="BC13" s="35">
        <v>0</v>
      </c>
      <c r="BD13" s="35">
        <v>0</v>
      </c>
      <c r="BE13" s="36">
        <v>-833333.33333333337</v>
      </c>
      <c r="BF13" s="37">
        <f t="shared" ref="BF13" si="20">IF(AND(AZ13+BB13+BC13+BD13+BE13&gt;=-2,AZ13+BB13+BC13+BD13+BE13&lt;=2),0,AZ13+BB13+BC13+BD13+BE13)</f>
        <v>5833333.333333334</v>
      </c>
      <c r="BG13" s="26"/>
      <c r="BH13" s="34">
        <v>0</v>
      </c>
      <c r="BI13" s="35">
        <v>0</v>
      </c>
      <c r="BJ13" s="35">
        <v>0</v>
      </c>
      <c r="BK13" s="36">
        <v>0</v>
      </c>
      <c r="BL13" s="37">
        <f t="shared" ref="BL13" si="21">IF(AND(BF13+BH13+BI13+BJ13+BK13&gt;=-2,BF13+BH13+BI13+BJ13+BK13&lt;=2),0,BF13+BH13+BI13+BJ13+BK13)</f>
        <v>5833333.333333334</v>
      </c>
      <c r="BM13" s="26"/>
      <c r="BN13" s="34">
        <v>0</v>
      </c>
      <c r="BO13" s="35">
        <v>0</v>
      </c>
      <c r="BP13" s="35">
        <v>0</v>
      </c>
      <c r="BQ13" s="36">
        <v>0</v>
      </c>
      <c r="BR13" s="37">
        <f t="shared" ref="BR13" si="22">IF(AND(BL13+BN13+BO13+BP13+BQ13&gt;=-2,BL13+BN13+BO13+BP13+BQ13&lt;=2),0,BL13+BN13+BO13+BP13+BQ13)</f>
        <v>5833333.333333334</v>
      </c>
      <c r="BS13" s="26"/>
      <c r="BT13" s="34">
        <v>0</v>
      </c>
      <c r="BU13" s="35">
        <v>0</v>
      </c>
      <c r="BV13" s="35">
        <v>0</v>
      </c>
      <c r="BW13" s="36">
        <v>0</v>
      </c>
      <c r="BX13" s="37">
        <f t="shared" ref="BX13" si="23">IF(AND(BR13+BT13+BU13+BV13+BW13&gt;=-2,BR13+BT13+BU13+BV13+BW13&lt;=2),0,BR13+BT13+BU13+BV13+BW13)</f>
        <v>5833333.333333334</v>
      </c>
      <c r="BY13" s="26"/>
    </row>
    <row r="14" spans="1:77" ht="12" customHeight="1" x14ac:dyDescent="0.2">
      <c r="A14" s="24"/>
      <c r="B14" s="32" t="s">
        <v>25</v>
      </c>
      <c r="C14" s="26"/>
      <c r="D14" s="33">
        <v>0</v>
      </c>
      <c r="E14" s="26"/>
      <c r="F14" s="34">
        <v>0</v>
      </c>
      <c r="G14" s="35">
        <v>0</v>
      </c>
      <c r="H14" s="35">
        <v>0</v>
      </c>
      <c r="I14" s="36">
        <v>0</v>
      </c>
      <c r="J14" s="37">
        <f t="shared" si="0"/>
        <v>0</v>
      </c>
      <c r="K14" s="26"/>
      <c r="L14" s="34">
        <v>0</v>
      </c>
      <c r="M14" s="35">
        <v>0</v>
      </c>
      <c r="N14" s="35">
        <v>0</v>
      </c>
      <c r="O14" s="36">
        <v>0</v>
      </c>
      <c r="P14" s="37">
        <f t="shared" si="1"/>
        <v>0</v>
      </c>
      <c r="Q14" s="26"/>
      <c r="R14" s="34">
        <v>0</v>
      </c>
      <c r="S14" s="35">
        <v>0</v>
      </c>
      <c r="T14" s="35">
        <v>0</v>
      </c>
      <c r="U14" s="36">
        <v>0</v>
      </c>
      <c r="V14" s="37">
        <f t="shared" si="2"/>
        <v>0</v>
      </c>
      <c r="W14" s="26"/>
      <c r="X14" s="34">
        <v>0</v>
      </c>
      <c r="Y14" s="35">
        <v>0</v>
      </c>
      <c r="Z14" s="35">
        <v>0</v>
      </c>
      <c r="AA14" s="36">
        <v>0</v>
      </c>
      <c r="AB14" s="37">
        <f t="shared" si="3"/>
        <v>0</v>
      </c>
      <c r="AC14" s="26"/>
      <c r="AD14" s="34">
        <v>0</v>
      </c>
      <c r="AE14" s="35">
        <v>0</v>
      </c>
      <c r="AF14" s="35">
        <v>0</v>
      </c>
      <c r="AG14" s="36">
        <v>0</v>
      </c>
      <c r="AH14" s="37">
        <f t="shared" si="4"/>
        <v>0</v>
      </c>
      <c r="AI14" s="26"/>
      <c r="AJ14" s="34">
        <v>0</v>
      </c>
      <c r="AK14" s="35">
        <v>0</v>
      </c>
      <c r="AL14" s="35">
        <v>0</v>
      </c>
      <c r="AM14" s="36">
        <v>0</v>
      </c>
      <c r="AN14" s="37">
        <f t="shared" si="5"/>
        <v>0</v>
      </c>
      <c r="AO14" s="26"/>
      <c r="AP14" s="34">
        <v>0</v>
      </c>
      <c r="AQ14" s="35">
        <v>0</v>
      </c>
      <c r="AR14" s="35">
        <v>0</v>
      </c>
      <c r="AS14" s="36">
        <v>0</v>
      </c>
      <c r="AT14" s="37">
        <f t="shared" si="6"/>
        <v>0</v>
      </c>
      <c r="AU14" s="26"/>
      <c r="AV14" s="34">
        <v>0</v>
      </c>
      <c r="AW14" s="35">
        <v>0</v>
      </c>
      <c r="AX14" s="35">
        <v>0</v>
      </c>
      <c r="AY14" s="36">
        <v>0</v>
      </c>
      <c r="AZ14" s="37">
        <f t="shared" si="7"/>
        <v>0</v>
      </c>
      <c r="BA14" s="26"/>
      <c r="BB14" s="34">
        <v>0</v>
      </c>
      <c r="BC14" s="35">
        <v>0</v>
      </c>
      <c r="BD14" s="35">
        <v>0</v>
      </c>
      <c r="BE14" s="36">
        <v>0</v>
      </c>
      <c r="BF14" s="37">
        <f t="shared" si="8"/>
        <v>0</v>
      </c>
      <c r="BG14" s="26"/>
      <c r="BH14" s="34">
        <v>0</v>
      </c>
      <c r="BI14" s="35">
        <v>0</v>
      </c>
      <c r="BJ14" s="35">
        <v>0</v>
      </c>
      <c r="BK14" s="36">
        <v>0</v>
      </c>
      <c r="BL14" s="37">
        <f t="shared" si="9"/>
        <v>0</v>
      </c>
      <c r="BM14" s="26"/>
      <c r="BN14" s="34">
        <v>0</v>
      </c>
      <c r="BO14" s="35">
        <v>0</v>
      </c>
      <c r="BP14" s="35">
        <v>0</v>
      </c>
      <c r="BQ14" s="36">
        <v>0</v>
      </c>
      <c r="BR14" s="37">
        <f t="shared" si="10"/>
        <v>0</v>
      </c>
      <c r="BS14" s="26"/>
      <c r="BT14" s="34">
        <v>0</v>
      </c>
      <c r="BU14" s="35">
        <v>0</v>
      </c>
      <c r="BV14" s="35">
        <v>0</v>
      </c>
      <c r="BW14" s="36">
        <v>0</v>
      </c>
      <c r="BX14" s="37">
        <f t="shared" si="11"/>
        <v>0</v>
      </c>
      <c r="BY14" s="26"/>
    </row>
    <row r="15" spans="1:77" ht="12" customHeight="1" x14ac:dyDescent="0.2">
      <c r="A15" s="24"/>
      <c r="B15" s="32" t="s">
        <v>26</v>
      </c>
      <c r="C15" s="26"/>
      <c r="D15" s="33">
        <v>30333333.323333371</v>
      </c>
      <c r="E15" s="26"/>
      <c r="F15" s="34">
        <v>0</v>
      </c>
      <c r="G15" s="35">
        <v>0</v>
      </c>
      <c r="H15" s="35">
        <v>0</v>
      </c>
      <c r="I15" s="36">
        <v>-1166666.6666666667</v>
      </c>
      <c r="J15" s="37">
        <f t="shared" si="0"/>
        <v>29166666.656666704</v>
      </c>
      <c r="K15" s="26"/>
      <c r="L15" s="34">
        <v>0</v>
      </c>
      <c r="M15" s="35">
        <v>0</v>
      </c>
      <c r="N15" s="35">
        <v>0</v>
      </c>
      <c r="O15" s="36">
        <v>-1166666.6666666667</v>
      </c>
      <c r="P15" s="37">
        <f t="shared" si="1"/>
        <v>27999999.990000036</v>
      </c>
      <c r="Q15" s="26"/>
      <c r="R15" s="34">
        <v>0</v>
      </c>
      <c r="S15" s="35">
        <v>0</v>
      </c>
      <c r="T15" s="35">
        <v>0</v>
      </c>
      <c r="U15" s="36">
        <v>-1166666.6666666667</v>
      </c>
      <c r="V15" s="37">
        <f t="shared" si="2"/>
        <v>26833333.323333368</v>
      </c>
      <c r="W15" s="26"/>
      <c r="X15" s="34">
        <v>0</v>
      </c>
      <c r="Y15" s="35">
        <v>0</v>
      </c>
      <c r="Z15" s="35">
        <v>0</v>
      </c>
      <c r="AA15" s="36">
        <v>-1166666.6666666667</v>
      </c>
      <c r="AB15" s="37">
        <f t="shared" si="3"/>
        <v>25666666.6566667</v>
      </c>
      <c r="AC15" s="26"/>
      <c r="AD15" s="34">
        <v>0</v>
      </c>
      <c r="AE15" s="35">
        <v>0</v>
      </c>
      <c r="AF15" s="35">
        <v>0</v>
      </c>
      <c r="AG15" s="36">
        <v>-1166666.6666666667</v>
      </c>
      <c r="AH15" s="37">
        <f t="shared" si="4"/>
        <v>24499999.990000032</v>
      </c>
      <c r="AI15" s="26"/>
      <c r="AJ15" s="34">
        <v>0</v>
      </c>
      <c r="AK15" s="35">
        <v>0</v>
      </c>
      <c r="AL15" s="35">
        <v>0</v>
      </c>
      <c r="AM15" s="36">
        <v>-1166666.6666666667</v>
      </c>
      <c r="AN15" s="37">
        <f t="shared" si="5"/>
        <v>23333333.323333364</v>
      </c>
      <c r="AO15" s="26"/>
      <c r="AP15" s="34">
        <v>0</v>
      </c>
      <c r="AQ15" s="35">
        <v>0</v>
      </c>
      <c r="AR15" s="35">
        <v>0</v>
      </c>
      <c r="AS15" s="36">
        <v>-1166666.6666666667</v>
      </c>
      <c r="AT15" s="37">
        <f t="shared" si="6"/>
        <v>22166666.656666696</v>
      </c>
      <c r="AU15" s="26"/>
      <c r="AV15" s="34">
        <v>0</v>
      </c>
      <c r="AW15" s="35">
        <v>0</v>
      </c>
      <c r="AX15" s="35">
        <v>0</v>
      </c>
      <c r="AY15" s="36">
        <v>-1166666.6666666667</v>
      </c>
      <c r="AZ15" s="37">
        <f t="shared" si="7"/>
        <v>20999999.990000028</v>
      </c>
      <c r="BA15" s="26"/>
      <c r="BB15" s="34">
        <v>0</v>
      </c>
      <c r="BC15" s="35">
        <v>0</v>
      </c>
      <c r="BD15" s="35">
        <v>0</v>
      </c>
      <c r="BE15" s="36">
        <v>-1166666.6666666667</v>
      </c>
      <c r="BF15" s="37">
        <f t="shared" si="8"/>
        <v>19833333.32333336</v>
      </c>
      <c r="BG15" s="26"/>
      <c r="BH15" s="34">
        <v>0</v>
      </c>
      <c r="BI15" s="35">
        <v>0</v>
      </c>
      <c r="BJ15" s="35">
        <v>0</v>
      </c>
      <c r="BK15" s="36">
        <v>0</v>
      </c>
      <c r="BL15" s="37">
        <f t="shared" si="9"/>
        <v>19833333.32333336</v>
      </c>
      <c r="BM15" s="26"/>
      <c r="BN15" s="34">
        <v>0</v>
      </c>
      <c r="BO15" s="35">
        <v>0</v>
      </c>
      <c r="BP15" s="35">
        <v>0</v>
      </c>
      <c r="BQ15" s="36">
        <v>0</v>
      </c>
      <c r="BR15" s="37">
        <f t="shared" si="10"/>
        <v>19833333.32333336</v>
      </c>
      <c r="BS15" s="26"/>
      <c r="BT15" s="34">
        <v>0</v>
      </c>
      <c r="BU15" s="35">
        <v>0</v>
      </c>
      <c r="BV15" s="35">
        <v>0</v>
      </c>
      <c r="BW15" s="36">
        <v>0</v>
      </c>
      <c r="BX15" s="37">
        <f t="shared" si="11"/>
        <v>19833333.32333336</v>
      </c>
      <c r="BY15" s="26"/>
    </row>
    <row r="16" spans="1:77" ht="12" customHeight="1" x14ac:dyDescent="0.2">
      <c r="A16" s="24"/>
      <c r="B16" s="32" t="s">
        <v>27</v>
      </c>
      <c r="C16" s="26"/>
      <c r="D16" s="33">
        <v>94999999.669999987</v>
      </c>
      <c r="E16" s="26"/>
      <c r="F16" s="34">
        <v>0</v>
      </c>
      <c r="G16" s="35">
        <v>0</v>
      </c>
      <c r="H16" s="35">
        <v>0</v>
      </c>
      <c r="I16" s="36">
        <v>-1666666.6666666667</v>
      </c>
      <c r="J16" s="37">
        <f t="shared" si="0"/>
        <v>93333333.003333315</v>
      </c>
      <c r="K16" s="26"/>
      <c r="L16" s="34">
        <v>0</v>
      </c>
      <c r="M16" s="35">
        <v>0</v>
      </c>
      <c r="N16" s="35">
        <v>0</v>
      </c>
      <c r="O16" s="36">
        <v>-1666666.6666666667</v>
      </c>
      <c r="P16" s="37">
        <f t="shared" si="1"/>
        <v>91666666.336666644</v>
      </c>
      <c r="Q16" s="26"/>
      <c r="R16" s="34">
        <v>0</v>
      </c>
      <c r="S16" s="35">
        <v>0</v>
      </c>
      <c r="T16" s="35">
        <v>0</v>
      </c>
      <c r="U16" s="36">
        <v>-1666666.6666666667</v>
      </c>
      <c r="V16" s="37">
        <f t="shared" si="2"/>
        <v>89999999.669999972</v>
      </c>
      <c r="W16" s="26"/>
      <c r="X16" s="34">
        <v>0</v>
      </c>
      <c r="Y16" s="35">
        <v>0</v>
      </c>
      <c r="Z16" s="35">
        <v>0</v>
      </c>
      <c r="AA16" s="36">
        <v>-1666666.6666666667</v>
      </c>
      <c r="AB16" s="37">
        <f t="shared" si="3"/>
        <v>88333333.0033333</v>
      </c>
      <c r="AC16" s="26"/>
      <c r="AD16" s="34">
        <v>-86666666</v>
      </c>
      <c r="AE16" s="35">
        <v>100000000</v>
      </c>
      <c r="AF16" s="35">
        <v>0</v>
      </c>
      <c r="AG16" s="36">
        <v>-1666666.6666666667</v>
      </c>
      <c r="AH16" s="37">
        <f t="shared" si="4"/>
        <v>100000000.33666663</v>
      </c>
      <c r="AI16" s="26"/>
      <c r="AJ16" s="34">
        <v>0</v>
      </c>
      <c r="AK16" s="35">
        <v>0</v>
      </c>
      <c r="AL16" s="35">
        <v>0</v>
      </c>
      <c r="AM16" s="36">
        <v>-1666666.6666666667</v>
      </c>
      <c r="AN16" s="37">
        <f t="shared" si="5"/>
        <v>98333333.669999957</v>
      </c>
      <c r="AO16" s="26"/>
      <c r="AP16" s="34">
        <v>0</v>
      </c>
      <c r="AQ16" s="35">
        <v>0</v>
      </c>
      <c r="AR16" s="35">
        <v>0</v>
      </c>
      <c r="AS16" s="36">
        <v>-1666666.6666666667</v>
      </c>
      <c r="AT16" s="37">
        <f t="shared" si="6"/>
        <v>96666667.003333285</v>
      </c>
      <c r="AU16" s="26"/>
      <c r="AV16" s="34">
        <v>0</v>
      </c>
      <c r="AW16" s="35">
        <v>0</v>
      </c>
      <c r="AX16" s="35">
        <v>0</v>
      </c>
      <c r="AY16" s="36">
        <v>-1666666.6666666667</v>
      </c>
      <c r="AZ16" s="37">
        <f t="shared" si="7"/>
        <v>95000000.336666614</v>
      </c>
      <c r="BA16" s="26"/>
      <c r="BB16" s="34">
        <v>0</v>
      </c>
      <c r="BC16" s="35">
        <v>0</v>
      </c>
      <c r="BD16" s="35">
        <v>0</v>
      </c>
      <c r="BE16" s="36">
        <v>-1666666.6666666667</v>
      </c>
      <c r="BF16" s="37">
        <f t="shared" si="8"/>
        <v>93333333.669999942</v>
      </c>
      <c r="BG16" s="26"/>
      <c r="BH16" s="34">
        <v>0</v>
      </c>
      <c r="BI16" s="35">
        <v>0</v>
      </c>
      <c r="BJ16" s="35">
        <v>0</v>
      </c>
      <c r="BK16" s="36">
        <v>0</v>
      </c>
      <c r="BL16" s="37">
        <f t="shared" si="9"/>
        <v>93333333.669999942</v>
      </c>
      <c r="BM16" s="26"/>
      <c r="BN16" s="34">
        <v>0</v>
      </c>
      <c r="BO16" s="35">
        <v>0</v>
      </c>
      <c r="BP16" s="35">
        <v>0</v>
      </c>
      <c r="BQ16" s="36">
        <v>0</v>
      </c>
      <c r="BR16" s="37">
        <f t="shared" si="10"/>
        <v>93333333.669999942</v>
      </c>
      <c r="BS16" s="26"/>
      <c r="BT16" s="34">
        <v>0</v>
      </c>
      <c r="BU16" s="35">
        <v>0</v>
      </c>
      <c r="BV16" s="35">
        <v>0</v>
      </c>
      <c r="BW16" s="36">
        <v>0</v>
      </c>
      <c r="BX16" s="37">
        <f t="shared" si="11"/>
        <v>93333333.669999942</v>
      </c>
      <c r="BY16" s="26"/>
    </row>
    <row r="17" spans="1:77" ht="12" customHeight="1" x14ac:dyDescent="0.2">
      <c r="A17" s="24"/>
      <c r="B17" s="32" t="s">
        <v>28</v>
      </c>
      <c r="C17" s="26"/>
      <c r="D17" s="33">
        <v>0</v>
      </c>
      <c r="E17" s="26"/>
      <c r="F17" s="34">
        <v>0</v>
      </c>
      <c r="G17" s="35">
        <v>0</v>
      </c>
      <c r="H17" s="35">
        <v>0</v>
      </c>
      <c r="I17" s="36">
        <v>0</v>
      </c>
      <c r="J17" s="37">
        <f t="shared" si="0"/>
        <v>0</v>
      </c>
      <c r="K17" s="26"/>
      <c r="L17" s="34">
        <v>0</v>
      </c>
      <c r="M17" s="35">
        <v>0</v>
      </c>
      <c r="N17" s="35">
        <v>0</v>
      </c>
      <c r="O17" s="36">
        <v>0</v>
      </c>
      <c r="P17" s="37">
        <f t="shared" si="1"/>
        <v>0</v>
      </c>
      <c r="Q17" s="26"/>
      <c r="R17" s="34">
        <v>0</v>
      </c>
      <c r="S17" s="35">
        <v>0</v>
      </c>
      <c r="T17" s="35">
        <v>0</v>
      </c>
      <c r="U17" s="36">
        <v>0</v>
      </c>
      <c r="V17" s="37">
        <f t="shared" si="2"/>
        <v>0</v>
      </c>
      <c r="W17" s="26"/>
      <c r="X17" s="34">
        <v>0</v>
      </c>
      <c r="Y17" s="35">
        <v>0</v>
      </c>
      <c r="Z17" s="35">
        <v>0</v>
      </c>
      <c r="AA17" s="36">
        <v>0</v>
      </c>
      <c r="AB17" s="37">
        <f t="shared" si="3"/>
        <v>0</v>
      </c>
      <c r="AC17" s="26"/>
      <c r="AD17" s="34">
        <v>0</v>
      </c>
      <c r="AE17" s="35">
        <v>0</v>
      </c>
      <c r="AF17" s="35">
        <v>0</v>
      </c>
      <c r="AG17" s="36">
        <v>0</v>
      </c>
      <c r="AH17" s="37">
        <f t="shared" si="4"/>
        <v>0</v>
      </c>
      <c r="AI17" s="26"/>
      <c r="AJ17" s="34">
        <v>0</v>
      </c>
      <c r="AK17" s="35">
        <v>0</v>
      </c>
      <c r="AL17" s="35">
        <v>0</v>
      </c>
      <c r="AM17" s="36">
        <v>0</v>
      </c>
      <c r="AN17" s="37">
        <f t="shared" si="5"/>
        <v>0</v>
      </c>
      <c r="AO17" s="26"/>
      <c r="AP17" s="34">
        <v>0</v>
      </c>
      <c r="AQ17" s="35">
        <v>0</v>
      </c>
      <c r="AR17" s="35">
        <v>0</v>
      </c>
      <c r="AS17" s="36">
        <v>0</v>
      </c>
      <c r="AT17" s="37">
        <f t="shared" si="6"/>
        <v>0</v>
      </c>
      <c r="AU17" s="26"/>
      <c r="AV17" s="34">
        <v>0</v>
      </c>
      <c r="AW17" s="35">
        <v>0</v>
      </c>
      <c r="AX17" s="35">
        <v>0</v>
      </c>
      <c r="AY17" s="36">
        <v>0</v>
      </c>
      <c r="AZ17" s="37">
        <f t="shared" si="7"/>
        <v>0</v>
      </c>
      <c r="BA17" s="26"/>
      <c r="BB17" s="34">
        <v>0</v>
      </c>
      <c r="BC17" s="35">
        <v>0</v>
      </c>
      <c r="BD17" s="35">
        <v>0</v>
      </c>
      <c r="BE17" s="36">
        <v>0</v>
      </c>
      <c r="BF17" s="37">
        <f t="shared" si="8"/>
        <v>0</v>
      </c>
      <c r="BG17" s="26"/>
      <c r="BH17" s="34">
        <v>0</v>
      </c>
      <c r="BI17" s="35">
        <v>0</v>
      </c>
      <c r="BJ17" s="35">
        <v>0</v>
      </c>
      <c r="BK17" s="36">
        <v>0</v>
      </c>
      <c r="BL17" s="37">
        <f t="shared" si="9"/>
        <v>0</v>
      </c>
      <c r="BM17" s="26"/>
      <c r="BN17" s="34">
        <v>0</v>
      </c>
      <c r="BO17" s="35">
        <v>0</v>
      </c>
      <c r="BP17" s="35">
        <v>0</v>
      </c>
      <c r="BQ17" s="36">
        <v>0</v>
      </c>
      <c r="BR17" s="37">
        <f t="shared" si="10"/>
        <v>0</v>
      </c>
      <c r="BS17" s="26"/>
      <c r="BT17" s="34">
        <v>0</v>
      </c>
      <c r="BU17" s="35">
        <v>0</v>
      </c>
      <c r="BV17" s="35">
        <v>0</v>
      </c>
      <c r="BW17" s="36">
        <v>0</v>
      </c>
      <c r="BX17" s="37">
        <f t="shared" si="11"/>
        <v>0</v>
      </c>
      <c r="BY17" s="26"/>
    </row>
    <row r="18" spans="1:77" ht="12" customHeight="1" x14ac:dyDescent="0.2">
      <c r="A18" s="24"/>
      <c r="B18" s="32" t="s">
        <v>29</v>
      </c>
      <c r="C18" s="26"/>
      <c r="D18" s="38">
        <v>0</v>
      </c>
      <c r="E18" s="26"/>
      <c r="F18" s="39">
        <v>0</v>
      </c>
      <c r="G18" s="40">
        <v>0</v>
      </c>
      <c r="H18" s="40">
        <v>0</v>
      </c>
      <c r="I18" s="41">
        <v>0</v>
      </c>
      <c r="J18" s="42">
        <f t="shared" si="0"/>
        <v>0</v>
      </c>
      <c r="K18" s="26"/>
      <c r="L18" s="39">
        <v>0</v>
      </c>
      <c r="M18" s="40">
        <v>0</v>
      </c>
      <c r="N18" s="40">
        <v>0</v>
      </c>
      <c r="O18" s="41">
        <v>0</v>
      </c>
      <c r="P18" s="42">
        <f t="shared" si="1"/>
        <v>0</v>
      </c>
      <c r="Q18" s="26"/>
      <c r="R18" s="39">
        <v>0</v>
      </c>
      <c r="S18" s="40">
        <v>0</v>
      </c>
      <c r="T18" s="40">
        <v>0</v>
      </c>
      <c r="U18" s="41">
        <v>0</v>
      </c>
      <c r="V18" s="42">
        <f t="shared" si="2"/>
        <v>0</v>
      </c>
      <c r="W18" s="26"/>
      <c r="X18" s="39">
        <v>0</v>
      </c>
      <c r="Y18" s="40">
        <v>0</v>
      </c>
      <c r="Z18" s="40">
        <v>0</v>
      </c>
      <c r="AA18" s="41">
        <v>0</v>
      </c>
      <c r="AB18" s="42">
        <f t="shared" si="3"/>
        <v>0</v>
      </c>
      <c r="AC18" s="26"/>
      <c r="AD18" s="39">
        <v>0</v>
      </c>
      <c r="AE18" s="40">
        <v>0</v>
      </c>
      <c r="AF18" s="40">
        <v>0</v>
      </c>
      <c r="AG18" s="41">
        <v>0</v>
      </c>
      <c r="AH18" s="42">
        <f t="shared" si="4"/>
        <v>0</v>
      </c>
      <c r="AI18" s="26"/>
      <c r="AJ18" s="39">
        <v>0</v>
      </c>
      <c r="AK18" s="40">
        <v>0</v>
      </c>
      <c r="AL18" s="40">
        <v>0</v>
      </c>
      <c r="AM18" s="41">
        <v>0</v>
      </c>
      <c r="AN18" s="42">
        <f t="shared" si="5"/>
        <v>0</v>
      </c>
      <c r="AO18" s="26"/>
      <c r="AP18" s="39">
        <v>0</v>
      </c>
      <c r="AQ18" s="40">
        <v>0</v>
      </c>
      <c r="AR18" s="40">
        <v>0</v>
      </c>
      <c r="AS18" s="41">
        <v>0</v>
      </c>
      <c r="AT18" s="42">
        <f t="shared" si="6"/>
        <v>0</v>
      </c>
      <c r="AU18" s="26"/>
      <c r="AV18" s="39">
        <v>0</v>
      </c>
      <c r="AW18" s="40">
        <v>0</v>
      </c>
      <c r="AX18" s="40">
        <v>0</v>
      </c>
      <c r="AY18" s="41">
        <v>0</v>
      </c>
      <c r="AZ18" s="42">
        <f t="shared" si="7"/>
        <v>0</v>
      </c>
      <c r="BA18" s="26"/>
      <c r="BB18" s="39">
        <v>0</v>
      </c>
      <c r="BC18" s="40">
        <v>0</v>
      </c>
      <c r="BD18" s="40">
        <v>0</v>
      </c>
      <c r="BE18" s="41">
        <v>0</v>
      </c>
      <c r="BF18" s="42">
        <f t="shared" si="8"/>
        <v>0</v>
      </c>
      <c r="BG18" s="26"/>
      <c r="BH18" s="39">
        <v>0</v>
      </c>
      <c r="BI18" s="40">
        <v>0</v>
      </c>
      <c r="BJ18" s="40">
        <v>0</v>
      </c>
      <c r="BK18" s="41">
        <v>0</v>
      </c>
      <c r="BL18" s="42">
        <f t="shared" si="9"/>
        <v>0</v>
      </c>
      <c r="BM18" s="26"/>
      <c r="BN18" s="39">
        <v>0</v>
      </c>
      <c r="BO18" s="40">
        <v>0</v>
      </c>
      <c r="BP18" s="40">
        <v>0</v>
      </c>
      <c r="BQ18" s="41">
        <v>0</v>
      </c>
      <c r="BR18" s="42">
        <f t="shared" si="10"/>
        <v>0</v>
      </c>
      <c r="BS18" s="26"/>
      <c r="BT18" s="39">
        <v>0</v>
      </c>
      <c r="BU18" s="40">
        <v>0</v>
      </c>
      <c r="BV18" s="40">
        <v>0</v>
      </c>
      <c r="BW18" s="41">
        <v>0</v>
      </c>
      <c r="BX18" s="42">
        <f t="shared" si="11"/>
        <v>0</v>
      </c>
      <c r="BY18" s="26"/>
    </row>
    <row r="19" spans="1:77" ht="12" customHeight="1" x14ac:dyDescent="0.2">
      <c r="A19" s="24"/>
      <c r="B19" s="32" t="s">
        <v>30</v>
      </c>
      <c r="C19" s="26"/>
      <c r="D19" s="33">
        <v>93333332.99999994</v>
      </c>
      <c r="E19" s="26"/>
      <c r="F19" s="34">
        <v>0</v>
      </c>
      <c r="G19" s="35">
        <v>0</v>
      </c>
      <c r="H19" s="35">
        <v>0</v>
      </c>
      <c r="I19" s="36">
        <v>-2000000</v>
      </c>
      <c r="J19" s="37">
        <f t="shared" si="0"/>
        <v>91333332.99999994</v>
      </c>
      <c r="K19" s="26"/>
      <c r="L19" s="34">
        <v>0</v>
      </c>
      <c r="M19" s="35">
        <v>0</v>
      </c>
      <c r="N19" s="35">
        <v>0</v>
      </c>
      <c r="O19" s="36">
        <v>-2000000</v>
      </c>
      <c r="P19" s="37">
        <f t="shared" si="1"/>
        <v>89333332.99999994</v>
      </c>
      <c r="Q19" s="26"/>
      <c r="R19" s="34">
        <v>0</v>
      </c>
      <c r="S19" s="35">
        <v>0</v>
      </c>
      <c r="T19" s="35">
        <v>0</v>
      </c>
      <c r="U19" s="36">
        <v>-2000000</v>
      </c>
      <c r="V19" s="37">
        <f t="shared" si="2"/>
        <v>87333332.99999994</v>
      </c>
      <c r="W19" s="26"/>
      <c r="X19" s="34">
        <v>0</v>
      </c>
      <c r="Y19" s="35">
        <v>0</v>
      </c>
      <c r="Z19" s="35">
        <v>0</v>
      </c>
      <c r="AA19" s="36">
        <v>-2000000</v>
      </c>
      <c r="AB19" s="37">
        <f t="shared" si="3"/>
        <v>85333332.99999994</v>
      </c>
      <c r="AC19" s="26"/>
      <c r="AD19" s="34">
        <v>-68333333</v>
      </c>
      <c r="AE19" s="35">
        <v>100000000</v>
      </c>
      <c r="AF19" s="35">
        <v>0</v>
      </c>
      <c r="AG19" s="36">
        <v>-2000000</v>
      </c>
      <c r="AH19" s="37">
        <f t="shared" si="4"/>
        <v>114999999.99999994</v>
      </c>
      <c r="AI19" s="26"/>
      <c r="AJ19" s="34">
        <v>0</v>
      </c>
      <c r="AK19" s="35">
        <v>0</v>
      </c>
      <c r="AL19" s="35">
        <v>0</v>
      </c>
      <c r="AM19" s="36">
        <v>-1999999.9999999998</v>
      </c>
      <c r="AN19" s="37">
        <f t="shared" si="5"/>
        <v>112999999.99999994</v>
      </c>
      <c r="AO19" s="26"/>
      <c r="AP19" s="34">
        <v>0</v>
      </c>
      <c r="AQ19" s="35">
        <v>0</v>
      </c>
      <c r="AR19" s="35">
        <v>0</v>
      </c>
      <c r="AS19" s="36">
        <v>-1999999.9999999998</v>
      </c>
      <c r="AT19" s="37">
        <f t="shared" si="6"/>
        <v>110999999.99999994</v>
      </c>
      <c r="AU19" s="26"/>
      <c r="AV19" s="34">
        <v>0</v>
      </c>
      <c r="AW19" s="35">
        <v>0</v>
      </c>
      <c r="AX19" s="35">
        <v>0</v>
      </c>
      <c r="AY19" s="36">
        <v>-1999999.9999999998</v>
      </c>
      <c r="AZ19" s="37">
        <f t="shared" si="7"/>
        <v>108999999.99999994</v>
      </c>
      <c r="BA19" s="26"/>
      <c r="BB19" s="34">
        <v>0</v>
      </c>
      <c r="BC19" s="35">
        <v>0</v>
      </c>
      <c r="BD19" s="35">
        <v>0</v>
      </c>
      <c r="BE19" s="36">
        <v>-1999999.9999999998</v>
      </c>
      <c r="BF19" s="37">
        <f t="shared" si="8"/>
        <v>106999999.99999994</v>
      </c>
      <c r="BG19" s="26"/>
      <c r="BH19" s="34">
        <v>0</v>
      </c>
      <c r="BI19" s="35">
        <v>0</v>
      </c>
      <c r="BJ19" s="35">
        <v>0</v>
      </c>
      <c r="BK19" s="36">
        <v>0</v>
      </c>
      <c r="BL19" s="37">
        <f t="shared" si="9"/>
        <v>106999999.99999994</v>
      </c>
      <c r="BM19" s="26"/>
      <c r="BN19" s="34">
        <v>0</v>
      </c>
      <c r="BO19" s="35">
        <v>0</v>
      </c>
      <c r="BP19" s="35">
        <v>0</v>
      </c>
      <c r="BQ19" s="36">
        <v>0</v>
      </c>
      <c r="BR19" s="37">
        <f t="shared" si="10"/>
        <v>106999999.99999994</v>
      </c>
      <c r="BS19" s="26"/>
      <c r="BT19" s="34">
        <v>0</v>
      </c>
      <c r="BU19" s="35">
        <v>0</v>
      </c>
      <c r="BV19" s="35">
        <v>0</v>
      </c>
      <c r="BW19" s="36">
        <v>0</v>
      </c>
      <c r="BX19" s="37">
        <f t="shared" si="11"/>
        <v>106999999.99999994</v>
      </c>
      <c r="BY19" s="26"/>
    </row>
    <row r="20" spans="1:77" ht="12" customHeight="1" x14ac:dyDescent="0.2">
      <c r="A20" s="24"/>
      <c r="B20" s="32" t="s">
        <v>31</v>
      </c>
      <c r="C20" s="26"/>
      <c r="D20" s="33">
        <v>20277777.777777776</v>
      </c>
      <c r="E20" s="26"/>
      <c r="F20" s="34">
        <v>0</v>
      </c>
      <c r="G20" s="35">
        <v>0</v>
      </c>
      <c r="H20" s="35">
        <v>0</v>
      </c>
      <c r="I20" s="36">
        <v>-1111111.1111111112</v>
      </c>
      <c r="J20" s="37">
        <v>19166667</v>
      </c>
      <c r="K20" s="26"/>
      <c r="L20" s="34">
        <v>-19166667</v>
      </c>
      <c r="M20" s="35">
        <v>30000000</v>
      </c>
      <c r="N20" s="35">
        <v>0</v>
      </c>
      <c r="O20" s="36">
        <v>-833333.33333333337</v>
      </c>
      <c r="P20" s="37">
        <f t="shared" si="1"/>
        <v>29166666.666666668</v>
      </c>
      <c r="Q20" s="26"/>
      <c r="R20" s="34">
        <v>0</v>
      </c>
      <c r="S20" s="35">
        <v>0</v>
      </c>
      <c r="T20" s="35">
        <v>0</v>
      </c>
      <c r="U20" s="36">
        <v>-833333.33333333337</v>
      </c>
      <c r="V20" s="37">
        <f t="shared" si="2"/>
        <v>28333333.333333336</v>
      </c>
      <c r="W20" s="26"/>
      <c r="X20" s="34">
        <v>0</v>
      </c>
      <c r="Y20" s="35">
        <v>0</v>
      </c>
      <c r="Z20" s="35">
        <v>0</v>
      </c>
      <c r="AA20" s="36">
        <v>-833333.33333333337</v>
      </c>
      <c r="AB20" s="37">
        <f t="shared" si="3"/>
        <v>27500000.000000004</v>
      </c>
      <c r="AC20" s="26"/>
      <c r="AD20" s="34">
        <v>0</v>
      </c>
      <c r="AE20" s="35">
        <v>0</v>
      </c>
      <c r="AF20" s="35">
        <v>0</v>
      </c>
      <c r="AG20" s="36">
        <v>-833333.33333333337</v>
      </c>
      <c r="AH20" s="37">
        <f t="shared" si="4"/>
        <v>26666666.666666672</v>
      </c>
      <c r="AI20" s="26"/>
      <c r="AJ20" s="34">
        <v>0</v>
      </c>
      <c r="AK20" s="35">
        <v>10000000</v>
      </c>
      <c r="AL20" s="35">
        <v>0</v>
      </c>
      <c r="AM20" s="36">
        <v>-833333.33333333337</v>
      </c>
      <c r="AN20" s="37">
        <f t="shared" si="5"/>
        <v>35833333.333333336</v>
      </c>
      <c r="AO20" s="26"/>
      <c r="AP20" s="34">
        <v>0</v>
      </c>
      <c r="AQ20" s="35">
        <v>0</v>
      </c>
      <c r="AR20" s="35">
        <v>0</v>
      </c>
      <c r="AS20" s="36">
        <v>-1111111.111111111</v>
      </c>
      <c r="AT20" s="37">
        <f t="shared" si="6"/>
        <v>34722222.222222224</v>
      </c>
      <c r="AU20" s="26"/>
      <c r="AV20" s="34">
        <v>0</v>
      </c>
      <c r="AW20" s="35">
        <v>0</v>
      </c>
      <c r="AX20" s="35">
        <v>0</v>
      </c>
      <c r="AY20" s="36">
        <v>-1111111.111111111</v>
      </c>
      <c r="AZ20" s="37">
        <f t="shared" si="7"/>
        <v>33611111.111111112</v>
      </c>
      <c r="BA20" s="26"/>
      <c r="BB20" s="34">
        <v>0</v>
      </c>
      <c r="BC20" s="35">
        <v>0</v>
      </c>
      <c r="BD20" s="35">
        <v>0</v>
      </c>
      <c r="BE20" s="36">
        <v>-1111111.111111111</v>
      </c>
      <c r="BF20" s="37">
        <f t="shared" si="8"/>
        <v>32500000</v>
      </c>
      <c r="BG20" s="26"/>
      <c r="BH20" s="34">
        <v>0</v>
      </c>
      <c r="BI20" s="35">
        <v>0</v>
      </c>
      <c r="BJ20" s="35">
        <v>0</v>
      </c>
      <c r="BK20" s="36">
        <v>0</v>
      </c>
      <c r="BL20" s="37">
        <f t="shared" si="9"/>
        <v>32500000</v>
      </c>
      <c r="BM20" s="26"/>
      <c r="BN20" s="34">
        <v>0</v>
      </c>
      <c r="BO20" s="35">
        <v>0</v>
      </c>
      <c r="BP20" s="35">
        <v>0</v>
      </c>
      <c r="BQ20" s="36">
        <v>0</v>
      </c>
      <c r="BR20" s="37">
        <f t="shared" si="10"/>
        <v>32500000</v>
      </c>
      <c r="BS20" s="26"/>
      <c r="BT20" s="34">
        <v>0</v>
      </c>
      <c r="BU20" s="35">
        <v>0</v>
      </c>
      <c r="BV20" s="35">
        <v>0</v>
      </c>
      <c r="BW20" s="36">
        <v>0</v>
      </c>
      <c r="BX20" s="37">
        <f t="shared" si="11"/>
        <v>32500000</v>
      </c>
      <c r="BY20" s="26"/>
    </row>
    <row r="21" spans="1:77" ht="12" customHeight="1" x14ac:dyDescent="0.2">
      <c r="A21" s="24"/>
      <c r="B21" s="32" t="s">
        <v>32</v>
      </c>
      <c r="C21" s="26"/>
      <c r="D21" s="33">
        <v>0</v>
      </c>
      <c r="E21" s="26"/>
      <c r="F21" s="34">
        <v>0</v>
      </c>
      <c r="G21" s="35">
        <v>0</v>
      </c>
      <c r="H21" s="35">
        <v>0</v>
      </c>
      <c r="I21" s="36">
        <v>0</v>
      </c>
      <c r="J21" s="37">
        <f t="shared" si="0"/>
        <v>0</v>
      </c>
      <c r="K21" s="26"/>
      <c r="L21" s="34">
        <v>0</v>
      </c>
      <c r="M21" s="35">
        <v>0</v>
      </c>
      <c r="N21" s="35">
        <v>0</v>
      </c>
      <c r="O21" s="36">
        <v>0</v>
      </c>
      <c r="P21" s="37">
        <f t="shared" si="1"/>
        <v>0</v>
      </c>
      <c r="Q21" s="26"/>
      <c r="R21" s="34">
        <v>0</v>
      </c>
      <c r="S21" s="35">
        <v>0</v>
      </c>
      <c r="T21" s="35">
        <v>0</v>
      </c>
      <c r="U21" s="36">
        <v>0</v>
      </c>
      <c r="V21" s="37">
        <f t="shared" si="2"/>
        <v>0</v>
      </c>
      <c r="W21" s="26"/>
      <c r="X21" s="34">
        <v>0</v>
      </c>
      <c r="Y21" s="35">
        <v>0</v>
      </c>
      <c r="Z21" s="35">
        <v>0</v>
      </c>
      <c r="AA21" s="36">
        <v>0</v>
      </c>
      <c r="AB21" s="37">
        <f t="shared" si="3"/>
        <v>0</v>
      </c>
      <c r="AC21" s="26"/>
      <c r="AD21" s="34">
        <v>0</v>
      </c>
      <c r="AE21" s="35">
        <v>0</v>
      </c>
      <c r="AF21" s="35">
        <v>0</v>
      </c>
      <c r="AG21" s="36">
        <v>0</v>
      </c>
      <c r="AH21" s="37">
        <f t="shared" si="4"/>
        <v>0</v>
      </c>
      <c r="AI21" s="26"/>
      <c r="AJ21" s="34">
        <v>0</v>
      </c>
      <c r="AK21" s="35">
        <v>0</v>
      </c>
      <c r="AL21" s="35">
        <v>0</v>
      </c>
      <c r="AM21" s="36">
        <v>0</v>
      </c>
      <c r="AN21" s="37">
        <f t="shared" si="5"/>
        <v>0</v>
      </c>
      <c r="AO21" s="26"/>
      <c r="AP21" s="34">
        <v>0</v>
      </c>
      <c r="AQ21" s="35">
        <v>0</v>
      </c>
      <c r="AR21" s="35">
        <v>0</v>
      </c>
      <c r="AS21" s="36">
        <v>0</v>
      </c>
      <c r="AT21" s="37">
        <f t="shared" si="6"/>
        <v>0</v>
      </c>
      <c r="AU21" s="26"/>
      <c r="AV21" s="34">
        <v>0</v>
      </c>
      <c r="AW21" s="35">
        <v>0</v>
      </c>
      <c r="AX21" s="35">
        <v>0</v>
      </c>
      <c r="AY21" s="36">
        <v>0</v>
      </c>
      <c r="AZ21" s="37">
        <f t="shared" si="7"/>
        <v>0</v>
      </c>
      <c r="BA21" s="26"/>
      <c r="BB21" s="34">
        <v>0</v>
      </c>
      <c r="BC21" s="35">
        <v>0</v>
      </c>
      <c r="BD21" s="35">
        <v>0</v>
      </c>
      <c r="BE21" s="36">
        <v>0</v>
      </c>
      <c r="BF21" s="37">
        <f t="shared" si="8"/>
        <v>0</v>
      </c>
      <c r="BG21" s="26"/>
      <c r="BH21" s="34">
        <v>0</v>
      </c>
      <c r="BI21" s="35">
        <v>0</v>
      </c>
      <c r="BJ21" s="35">
        <v>0</v>
      </c>
      <c r="BK21" s="36">
        <v>0</v>
      </c>
      <c r="BL21" s="37">
        <f t="shared" si="9"/>
        <v>0</v>
      </c>
      <c r="BM21" s="26"/>
      <c r="BN21" s="34">
        <v>0</v>
      </c>
      <c r="BO21" s="35">
        <v>0</v>
      </c>
      <c r="BP21" s="35">
        <v>0</v>
      </c>
      <c r="BQ21" s="36">
        <v>0</v>
      </c>
      <c r="BR21" s="37">
        <f t="shared" si="10"/>
        <v>0</v>
      </c>
      <c r="BS21" s="26"/>
      <c r="BT21" s="34">
        <v>0</v>
      </c>
      <c r="BU21" s="35">
        <v>0</v>
      </c>
      <c r="BV21" s="35">
        <v>0</v>
      </c>
      <c r="BW21" s="36">
        <v>0</v>
      </c>
      <c r="BX21" s="37">
        <f t="shared" si="11"/>
        <v>0</v>
      </c>
      <c r="BY21" s="26"/>
    </row>
    <row r="22" spans="1:77" ht="12" customHeight="1" x14ac:dyDescent="0.2">
      <c r="A22" s="24"/>
      <c r="B22" s="32" t="s">
        <v>33</v>
      </c>
      <c r="C22" s="26"/>
      <c r="D22" s="33">
        <v>34027777.781111091</v>
      </c>
      <c r="E22" s="26"/>
      <c r="F22" s="34">
        <v>0</v>
      </c>
      <c r="G22" s="35">
        <v>0</v>
      </c>
      <c r="H22" s="35">
        <v>0</v>
      </c>
      <c r="I22" s="36">
        <v>-972222.22222222225</v>
      </c>
      <c r="J22" s="37">
        <f t="shared" si="0"/>
        <v>33055555.558888867</v>
      </c>
      <c r="K22" s="26"/>
      <c r="L22" s="34">
        <v>0</v>
      </c>
      <c r="M22" s="35">
        <v>0</v>
      </c>
      <c r="N22" s="35">
        <v>0</v>
      </c>
      <c r="O22" s="36">
        <v>-972222.22222222225</v>
      </c>
      <c r="P22" s="37">
        <f t="shared" si="1"/>
        <v>32083333.336666644</v>
      </c>
      <c r="Q22" s="26"/>
      <c r="R22" s="34">
        <v>0</v>
      </c>
      <c r="S22" s="35">
        <v>0</v>
      </c>
      <c r="T22" s="35">
        <v>0</v>
      </c>
      <c r="U22" s="36">
        <v>-972222.22222222225</v>
      </c>
      <c r="V22" s="37">
        <f t="shared" si="2"/>
        <v>31111111.11444442</v>
      </c>
      <c r="W22" s="26"/>
      <c r="X22" s="34">
        <v>0</v>
      </c>
      <c r="Y22" s="35">
        <v>0</v>
      </c>
      <c r="Z22" s="35">
        <v>0</v>
      </c>
      <c r="AA22" s="36">
        <v>-972222.22222222225</v>
      </c>
      <c r="AB22" s="37">
        <f t="shared" si="3"/>
        <v>30138888.892222196</v>
      </c>
      <c r="AC22" s="26"/>
      <c r="AD22" s="34">
        <v>0</v>
      </c>
      <c r="AE22" s="35">
        <v>0</v>
      </c>
      <c r="AF22" s="35">
        <v>0</v>
      </c>
      <c r="AG22" s="36">
        <v>-972222.22222222225</v>
      </c>
      <c r="AH22" s="37">
        <f t="shared" si="4"/>
        <v>29166666.669999972</v>
      </c>
      <c r="AI22" s="26"/>
      <c r="AJ22" s="34">
        <v>0</v>
      </c>
      <c r="AK22" s="35">
        <v>0</v>
      </c>
      <c r="AL22" s="35">
        <v>0</v>
      </c>
      <c r="AM22" s="36">
        <v>-972222.22222222225</v>
      </c>
      <c r="AN22" s="37">
        <f t="shared" si="5"/>
        <v>28194444.447777748</v>
      </c>
      <c r="AO22" s="26"/>
      <c r="AP22" s="34">
        <v>0</v>
      </c>
      <c r="AQ22" s="35">
        <v>0</v>
      </c>
      <c r="AR22" s="35">
        <v>0</v>
      </c>
      <c r="AS22" s="36">
        <v>-972222.22222222225</v>
      </c>
      <c r="AT22" s="37">
        <f t="shared" si="6"/>
        <v>27222222.225555524</v>
      </c>
      <c r="AU22" s="26"/>
      <c r="AV22" s="34">
        <v>-26250000</v>
      </c>
      <c r="AW22" s="35">
        <v>125000000</v>
      </c>
      <c r="AX22" s="35">
        <v>0</v>
      </c>
      <c r="AY22" s="36">
        <v>-972222.22222222225</v>
      </c>
      <c r="AZ22" s="37">
        <f t="shared" si="7"/>
        <v>125000000.0033333</v>
      </c>
      <c r="BA22" s="26"/>
      <c r="BB22" s="34">
        <v>0</v>
      </c>
      <c r="BC22" s="35">
        <v>0</v>
      </c>
      <c r="BD22" s="35">
        <v>0</v>
      </c>
      <c r="BE22" s="36">
        <v>-2083333.3333333333</v>
      </c>
      <c r="BF22" s="37">
        <f t="shared" si="8"/>
        <v>122916666.66999997</v>
      </c>
      <c r="BG22" s="26"/>
      <c r="BH22" s="34">
        <v>0</v>
      </c>
      <c r="BI22" s="35">
        <v>0</v>
      </c>
      <c r="BJ22" s="35">
        <v>0</v>
      </c>
      <c r="BK22" s="36">
        <v>0</v>
      </c>
      <c r="BL22" s="37">
        <f t="shared" si="9"/>
        <v>122916666.66999997</v>
      </c>
      <c r="BM22" s="26"/>
      <c r="BN22" s="34">
        <v>0</v>
      </c>
      <c r="BO22" s="35">
        <v>0</v>
      </c>
      <c r="BP22" s="35">
        <v>0</v>
      </c>
      <c r="BQ22" s="36">
        <v>0</v>
      </c>
      <c r="BR22" s="37">
        <f t="shared" si="10"/>
        <v>122916666.66999997</v>
      </c>
      <c r="BS22" s="26"/>
      <c r="BT22" s="34">
        <v>0</v>
      </c>
      <c r="BU22" s="35">
        <v>0</v>
      </c>
      <c r="BV22" s="35">
        <v>0</v>
      </c>
      <c r="BW22" s="36">
        <v>0</v>
      </c>
      <c r="BX22" s="37">
        <f t="shared" si="11"/>
        <v>122916666.66999997</v>
      </c>
      <c r="BY22" s="26"/>
    </row>
    <row r="23" spans="1:77" ht="12" customHeight="1" x14ac:dyDescent="0.2">
      <c r="A23" s="24"/>
      <c r="B23" s="32" t="s">
        <v>34</v>
      </c>
      <c r="C23" s="26"/>
      <c r="D23" s="33">
        <v>40416666.328888908</v>
      </c>
      <c r="E23" s="26"/>
      <c r="F23" s="34">
        <v>0</v>
      </c>
      <c r="G23" s="35">
        <v>0</v>
      </c>
      <c r="H23" s="35">
        <v>0</v>
      </c>
      <c r="I23" s="36">
        <v>-1736111.111111111</v>
      </c>
      <c r="J23" s="37">
        <f t="shared" si="0"/>
        <v>38680555.217777796</v>
      </c>
      <c r="K23" s="26"/>
      <c r="L23" s="34">
        <v>0</v>
      </c>
      <c r="M23" s="35">
        <v>0</v>
      </c>
      <c r="N23" s="35">
        <v>0</v>
      </c>
      <c r="O23" s="36">
        <v>-1736111.111111111</v>
      </c>
      <c r="P23" s="37">
        <f t="shared" si="1"/>
        <v>36944444.106666684</v>
      </c>
      <c r="Q23" s="26"/>
      <c r="R23" s="34">
        <v>0</v>
      </c>
      <c r="S23" s="35">
        <v>0</v>
      </c>
      <c r="T23" s="35">
        <v>0</v>
      </c>
      <c r="U23" s="36">
        <v>-1736111.111111111</v>
      </c>
      <c r="V23" s="37">
        <f t="shared" si="2"/>
        <v>35208332.995555572</v>
      </c>
      <c r="W23" s="26"/>
      <c r="X23" s="34">
        <v>0</v>
      </c>
      <c r="Y23" s="35">
        <v>0</v>
      </c>
      <c r="Z23" s="35">
        <v>0</v>
      </c>
      <c r="AA23" s="36">
        <v>-1736111.111111111</v>
      </c>
      <c r="AB23" s="37">
        <f t="shared" si="3"/>
        <v>33472221.88444446</v>
      </c>
      <c r="AC23" s="26"/>
      <c r="AD23" s="34">
        <v>0</v>
      </c>
      <c r="AE23" s="35">
        <v>0</v>
      </c>
      <c r="AF23" s="35">
        <v>0</v>
      </c>
      <c r="AG23" s="36">
        <v>-1736111.111111111</v>
      </c>
      <c r="AH23" s="37">
        <f t="shared" si="4"/>
        <v>31736110.773333348</v>
      </c>
      <c r="AI23" s="26"/>
      <c r="AJ23" s="34">
        <v>0</v>
      </c>
      <c r="AK23" s="35">
        <v>0</v>
      </c>
      <c r="AL23" s="35">
        <v>0</v>
      </c>
      <c r="AM23" s="36">
        <v>-1736111.111111111</v>
      </c>
      <c r="AN23" s="37">
        <f t="shared" si="5"/>
        <v>29999999.662222236</v>
      </c>
      <c r="AO23" s="26"/>
      <c r="AP23" s="34">
        <v>0</v>
      </c>
      <c r="AQ23" s="35">
        <v>0</v>
      </c>
      <c r="AR23" s="35">
        <v>0</v>
      </c>
      <c r="AS23" s="36">
        <v>-1736111.111111111</v>
      </c>
      <c r="AT23" s="37">
        <f t="shared" si="6"/>
        <v>28263888.551111124</v>
      </c>
      <c r="AU23" s="26"/>
      <c r="AV23" s="34">
        <v>0</v>
      </c>
      <c r="AW23" s="35">
        <v>0</v>
      </c>
      <c r="AX23" s="35">
        <v>0</v>
      </c>
      <c r="AY23" s="36">
        <v>-1736111.111111111</v>
      </c>
      <c r="AZ23" s="37">
        <f t="shared" si="7"/>
        <v>26527777.440000013</v>
      </c>
      <c r="BA23" s="26"/>
      <c r="BB23" s="34">
        <v>0</v>
      </c>
      <c r="BC23" s="35">
        <v>0</v>
      </c>
      <c r="BD23" s="35">
        <v>0</v>
      </c>
      <c r="BE23" s="36">
        <v>-1736111.111111111</v>
      </c>
      <c r="BF23" s="37">
        <f t="shared" si="8"/>
        <v>24791666.328888901</v>
      </c>
      <c r="BG23" s="26"/>
      <c r="BH23" s="34">
        <v>0</v>
      </c>
      <c r="BI23" s="35">
        <v>0</v>
      </c>
      <c r="BJ23" s="35">
        <v>0</v>
      </c>
      <c r="BK23" s="36">
        <v>0</v>
      </c>
      <c r="BL23" s="37">
        <f t="shared" si="9"/>
        <v>24791666.328888901</v>
      </c>
      <c r="BM23" s="26"/>
      <c r="BN23" s="34">
        <v>0</v>
      </c>
      <c r="BO23" s="35">
        <v>0</v>
      </c>
      <c r="BP23" s="35">
        <v>0</v>
      </c>
      <c r="BQ23" s="36">
        <v>0</v>
      </c>
      <c r="BR23" s="37">
        <f t="shared" si="10"/>
        <v>24791666.328888901</v>
      </c>
      <c r="BS23" s="26"/>
      <c r="BT23" s="34">
        <v>0</v>
      </c>
      <c r="BU23" s="35">
        <v>0</v>
      </c>
      <c r="BV23" s="35">
        <v>0</v>
      </c>
      <c r="BW23" s="36">
        <v>0</v>
      </c>
      <c r="BX23" s="37">
        <f t="shared" si="11"/>
        <v>24791666.328888901</v>
      </c>
      <c r="BY23" s="26"/>
    </row>
    <row r="24" spans="1:77" ht="12" customHeight="1" x14ac:dyDescent="0.2">
      <c r="A24" s="24"/>
      <c r="B24" s="32" t="s">
        <v>35</v>
      </c>
      <c r="C24" s="26"/>
      <c r="D24" s="33">
        <v>74000000.000000015</v>
      </c>
      <c r="E24" s="26"/>
      <c r="F24" s="34">
        <v>-72166667</v>
      </c>
      <c r="G24" s="35">
        <v>100000000</v>
      </c>
      <c r="H24" s="35">
        <v>0</v>
      </c>
      <c r="I24" s="36">
        <v>-1833333.3333333335</v>
      </c>
      <c r="J24" s="37">
        <f t="shared" si="0"/>
        <v>99999999.666666687</v>
      </c>
      <c r="K24" s="26"/>
      <c r="L24" s="34">
        <v>0</v>
      </c>
      <c r="M24" s="35">
        <v>0</v>
      </c>
      <c r="N24" s="35">
        <v>0</v>
      </c>
      <c r="O24" s="36">
        <v>-1666666.6666666667</v>
      </c>
      <c r="P24" s="37">
        <f t="shared" si="1"/>
        <v>98333333.000000015</v>
      </c>
      <c r="Q24" s="26"/>
      <c r="R24" s="34">
        <v>0</v>
      </c>
      <c r="S24" s="35">
        <v>0</v>
      </c>
      <c r="T24" s="35">
        <v>0</v>
      </c>
      <c r="U24" s="36">
        <v>-1666666.6666666667</v>
      </c>
      <c r="V24" s="37">
        <f t="shared" si="2"/>
        <v>96666666.333333343</v>
      </c>
      <c r="W24" s="26"/>
      <c r="X24" s="34">
        <v>0</v>
      </c>
      <c r="Y24" s="35">
        <v>0</v>
      </c>
      <c r="Z24" s="35">
        <v>0</v>
      </c>
      <c r="AA24" s="36">
        <v>-1666666.6666666667</v>
      </c>
      <c r="AB24" s="37">
        <f t="shared" si="3"/>
        <v>94999999.666666672</v>
      </c>
      <c r="AC24" s="26"/>
      <c r="AD24" s="34">
        <v>0</v>
      </c>
      <c r="AE24" s="35">
        <v>0</v>
      </c>
      <c r="AF24" s="35">
        <v>0</v>
      </c>
      <c r="AG24" s="36">
        <v>-1666666.6666666667</v>
      </c>
      <c r="AH24" s="37">
        <f t="shared" si="4"/>
        <v>93333333</v>
      </c>
      <c r="AI24" s="26"/>
      <c r="AJ24" s="34">
        <v>0</v>
      </c>
      <c r="AK24" s="35">
        <v>0</v>
      </c>
      <c r="AL24" s="35">
        <v>0</v>
      </c>
      <c r="AM24" s="36">
        <v>-1666666.6666666667</v>
      </c>
      <c r="AN24" s="37">
        <f t="shared" si="5"/>
        <v>91666666.333333328</v>
      </c>
      <c r="AO24" s="26"/>
      <c r="AP24" s="34">
        <v>-91666667</v>
      </c>
      <c r="AQ24" s="35">
        <v>100000000</v>
      </c>
      <c r="AR24" s="35">
        <v>0</v>
      </c>
      <c r="AS24" s="36">
        <v>-1666666.6666666667</v>
      </c>
      <c r="AT24" s="37">
        <f t="shared" si="6"/>
        <v>98333332.666666657</v>
      </c>
      <c r="AU24" s="26"/>
      <c r="AV24" s="34">
        <v>0</v>
      </c>
      <c r="AW24" s="35">
        <v>0</v>
      </c>
      <c r="AX24" s="35">
        <v>0</v>
      </c>
      <c r="AY24" s="36">
        <v>-1666666.6666666667</v>
      </c>
      <c r="AZ24" s="37">
        <f t="shared" si="7"/>
        <v>96666665.999999985</v>
      </c>
      <c r="BA24" s="26"/>
      <c r="BB24" s="34">
        <v>0</v>
      </c>
      <c r="BC24" s="35">
        <v>0</v>
      </c>
      <c r="BD24" s="35">
        <v>0</v>
      </c>
      <c r="BE24" s="36">
        <v>-1666666.6666666667</v>
      </c>
      <c r="BF24" s="37">
        <f t="shared" si="8"/>
        <v>94999999.333333313</v>
      </c>
      <c r="BG24" s="26"/>
      <c r="BH24" s="34">
        <v>0</v>
      </c>
      <c r="BI24" s="35">
        <v>0</v>
      </c>
      <c r="BJ24" s="35">
        <v>0</v>
      </c>
      <c r="BK24" s="36">
        <v>0</v>
      </c>
      <c r="BL24" s="37">
        <f t="shared" si="9"/>
        <v>94999999.333333313</v>
      </c>
      <c r="BM24" s="26"/>
      <c r="BN24" s="34">
        <v>0</v>
      </c>
      <c r="BO24" s="35">
        <v>0</v>
      </c>
      <c r="BP24" s="35">
        <v>0</v>
      </c>
      <c r="BQ24" s="36">
        <v>0</v>
      </c>
      <c r="BR24" s="37">
        <f t="shared" si="10"/>
        <v>94999999.333333313</v>
      </c>
      <c r="BS24" s="26"/>
      <c r="BT24" s="34">
        <v>0</v>
      </c>
      <c r="BU24" s="35">
        <v>0</v>
      </c>
      <c r="BV24" s="35">
        <v>0</v>
      </c>
      <c r="BW24" s="36">
        <v>0</v>
      </c>
      <c r="BX24" s="37">
        <f t="shared" si="11"/>
        <v>94999999.333333313</v>
      </c>
      <c r="BY24" s="26"/>
    </row>
    <row r="25" spans="1:77" ht="12" customHeight="1" x14ac:dyDescent="0.2">
      <c r="A25" s="24"/>
      <c r="B25" s="32" t="s">
        <v>36</v>
      </c>
      <c r="C25" s="26"/>
      <c r="D25" s="33">
        <v>0</v>
      </c>
      <c r="E25" s="26"/>
      <c r="F25" s="34">
        <v>0</v>
      </c>
      <c r="G25" s="35">
        <v>0</v>
      </c>
      <c r="H25" s="35">
        <v>0</v>
      </c>
      <c r="I25" s="36">
        <v>0</v>
      </c>
      <c r="J25" s="37">
        <f t="shared" si="0"/>
        <v>0</v>
      </c>
      <c r="K25" s="26"/>
      <c r="L25" s="34">
        <v>0</v>
      </c>
      <c r="M25" s="35">
        <v>0</v>
      </c>
      <c r="N25" s="35">
        <v>0</v>
      </c>
      <c r="O25" s="36">
        <v>0</v>
      </c>
      <c r="P25" s="37">
        <f t="shared" si="1"/>
        <v>0</v>
      </c>
      <c r="Q25" s="26"/>
      <c r="R25" s="34">
        <v>0</v>
      </c>
      <c r="S25" s="35">
        <v>0</v>
      </c>
      <c r="T25" s="35">
        <v>0</v>
      </c>
      <c r="U25" s="36">
        <v>0</v>
      </c>
      <c r="V25" s="37">
        <f t="shared" si="2"/>
        <v>0</v>
      </c>
      <c r="W25" s="26"/>
      <c r="X25" s="34">
        <v>0</v>
      </c>
      <c r="Y25" s="35">
        <v>0</v>
      </c>
      <c r="Z25" s="35">
        <v>0</v>
      </c>
      <c r="AA25" s="36">
        <v>0</v>
      </c>
      <c r="AB25" s="37">
        <f t="shared" si="3"/>
        <v>0</v>
      </c>
      <c r="AC25" s="26"/>
      <c r="AD25" s="34">
        <v>0</v>
      </c>
      <c r="AE25" s="35">
        <v>0</v>
      </c>
      <c r="AF25" s="35">
        <v>0</v>
      </c>
      <c r="AG25" s="36">
        <v>0</v>
      </c>
      <c r="AH25" s="37">
        <f t="shared" si="4"/>
        <v>0</v>
      </c>
      <c r="AI25" s="26"/>
      <c r="AJ25" s="34">
        <v>0</v>
      </c>
      <c r="AK25" s="35">
        <v>0</v>
      </c>
      <c r="AL25" s="35">
        <v>0</v>
      </c>
      <c r="AM25" s="36">
        <v>0</v>
      </c>
      <c r="AN25" s="37">
        <f t="shared" si="5"/>
        <v>0</v>
      </c>
      <c r="AO25" s="26"/>
      <c r="AP25" s="34">
        <v>0</v>
      </c>
      <c r="AQ25" s="35">
        <v>0</v>
      </c>
      <c r="AR25" s="35">
        <v>0</v>
      </c>
      <c r="AS25" s="36">
        <v>0</v>
      </c>
      <c r="AT25" s="37">
        <f t="shared" si="6"/>
        <v>0</v>
      </c>
      <c r="AU25" s="26"/>
      <c r="AV25" s="34">
        <v>0</v>
      </c>
      <c r="AW25" s="35">
        <v>0</v>
      </c>
      <c r="AX25" s="35">
        <v>0</v>
      </c>
      <c r="AY25" s="36">
        <v>0</v>
      </c>
      <c r="AZ25" s="37">
        <f t="shared" si="7"/>
        <v>0</v>
      </c>
      <c r="BA25" s="26"/>
      <c r="BB25" s="34">
        <v>0</v>
      </c>
      <c r="BC25" s="35">
        <v>0</v>
      </c>
      <c r="BD25" s="35">
        <v>0</v>
      </c>
      <c r="BE25" s="36">
        <v>0</v>
      </c>
      <c r="BF25" s="37">
        <f t="shared" si="8"/>
        <v>0</v>
      </c>
      <c r="BG25" s="26"/>
      <c r="BH25" s="34">
        <v>0</v>
      </c>
      <c r="BI25" s="35">
        <v>0</v>
      </c>
      <c r="BJ25" s="35">
        <v>0</v>
      </c>
      <c r="BK25" s="36">
        <v>0</v>
      </c>
      <c r="BL25" s="37">
        <f t="shared" si="9"/>
        <v>0</v>
      </c>
      <c r="BM25" s="26"/>
      <c r="BN25" s="34">
        <v>0</v>
      </c>
      <c r="BO25" s="35">
        <v>0</v>
      </c>
      <c r="BP25" s="35">
        <v>0</v>
      </c>
      <c r="BQ25" s="36">
        <v>0</v>
      </c>
      <c r="BR25" s="37">
        <f t="shared" si="10"/>
        <v>0</v>
      </c>
      <c r="BS25" s="26"/>
      <c r="BT25" s="34">
        <v>0</v>
      </c>
      <c r="BU25" s="35">
        <v>0</v>
      </c>
      <c r="BV25" s="35">
        <v>0</v>
      </c>
      <c r="BW25" s="36">
        <v>0</v>
      </c>
      <c r="BX25" s="37">
        <f t="shared" si="11"/>
        <v>0</v>
      </c>
      <c r="BY25" s="26"/>
    </row>
    <row r="26" spans="1:77" ht="12" customHeight="1" x14ac:dyDescent="0.2">
      <c r="A26" s="24"/>
      <c r="B26" s="32" t="s">
        <v>37</v>
      </c>
      <c r="C26" s="26"/>
      <c r="D26" s="33">
        <v>0</v>
      </c>
      <c r="E26" s="26"/>
      <c r="F26" s="34">
        <v>0</v>
      </c>
      <c r="G26" s="35">
        <v>0</v>
      </c>
      <c r="H26" s="35">
        <v>0</v>
      </c>
      <c r="I26" s="36">
        <v>0</v>
      </c>
      <c r="J26" s="37">
        <f t="shared" si="0"/>
        <v>0</v>
      </c>
      <c r="K26" s="26"/>
      <c r="L26" s="34">
        <v>0</v>
      </c>
      <c r="M26" s="35">
        <v>0</v>
      </c>
      <c r="N26" s="35">
        <v>0</v>
      </c>
      <c r="O26" s="36">
        <v>0</v>
      </c>
      <c r="P26" s="37">
        <f t="shared" si="1"/>
        <v>0</v>
      </c>
      <c r="Q26" s="26"/>
      <c r="R26" s="34">
        <v>0</v>
      </c>
      <c r="S26" s="35">
        <v>0</v>
      </c>
      <c r="T26" s="35">
        <v>0</v>
      </c>
      <c r="U26" s="36">
        <v>0</v>
      </c>
      <c r="V26" s="37">
        <f t="shared" si="2"/>
        <v>0</v>
      </c>
      <c r="W26" s="26"/>
      <c r="X26" s="34">
        <v>0</v>
      </c>
      <c r="Y26" s="35">
        <v>0</v>
      </c>
      <c r="Z26" s="35">
        <v>0</v>
      </c>
      <c r="AA26" s="36">
        <v>0</v>
      </c>
      <c r="AB26" s="37">
        <f t="shared" si="3"/>
        <v>0</v>
      </c>
      <c r="AC26" s="26"/>
      <c r="AD26" s="34">
        <v>0</v>
      </c>
      <c r="AE26" s="35">
        <v>0</v>
      </c>
      <c r="AF26" s="35">
        <v>0</v>
      </c>
      <c r="AG26" s="36">
        <v>0</v>
      </c>
      <c r="AH26" s="37">
        <f t="shared" si="4"/>
        <v>0</v>
      </c>
      <c r="AI26" s="26"/>
      <c r="AJ26" s="34">
        <v>0</v>
      </c>
      <c r="AK26" s="35">
        <v>0</v>
      </c>
      <c r="AL26" s="35">
        <v>0</v>
      </c>
      <c r="AM26" s="36">
        <v>0</v>
      </c>
      <c r="AN26" s="37">
        <f t="shared" si="5"/>
        <v>0</v>
      </c>
      <c r="AO26" s="26"/>
      <c r="AP26" s="34">
        <v>0</v>
      </c>
      <c r="AQ26" s="35">
        <v>0</v>
      </c>
      <c r="AR26" s="35">
        <v>0</v>
      </c>
      <c r="AS26" s="36">
        <v>0</v>
      </c>
      <c r="AT26" s="37">
        <f t="shared" si="6"/>
        <v>0</v>
      </c>
      <c r="AU26" s="26"/>
      <c r="AV26" s="34">
        <v>0</v>
      </c>
      <c r="AW26" s="35">
        <v>0</v>
      </c>
      <c r="AX26" s="35">
        <v>0</v>
      </c>
      <c r="AY26" s="36">
        <v>0</v>
      </c>
      <c r="AZ26" s="37">
        <f t="shared" si="7"/>
        <v>0</v>
      </c>
      <c r="BA26" s="26"/>
      <c r="BB26" s="34">
        <v>0</v>
      </c>
      <c r="BC26" s="35">
        <v>0</v>
      </c>
      <c r="BD26" s="35">
        <v>0</v>
      </c>
      <c r="BE26" s="36">
        <v>0</v>
      </c>
      <c r="BF26" s="37">
        <f t="shared" si="8"/>
        <v>0</v>
      </c>
      <c r="BG26" s="26"/>
      <c r="BH26" s="34">
        <v>0</v>
      </c>
      <c r="BI26" s="35">
        <v>0</v>
      </c>
      <c r="BJ26" s="35">
        <v>0</v>
      </c>
      <c r="BK26" s="36">
        <v>0</v>
      </c>
      <c r="BL26" s="37">
        <f t="shared" si="9"/>
        <v>0</v>
      </c>
      <c r="BM26" s="26"/>
      <c r="BN26" s="34">
        <v>0</v>
      </c>
      <c r="BO26" s="35">
        <v>0</v>
      </c>
      <c r="BP26" s="35">
        <v>0</v>
      </c>
      <c r="BQ26" s="36">
        <v>0</v>
      </c>
      <c r="BR26" s="37">
        <f t="shared" si="10"/>
        <v>0</v>
      </c>
      <c r="BS26" s="26"/>
      <c r="BT26" s="34">
        <v>0</v>
      </c>
      <c r="BU26" s="35">
        <v>0</v>
      </c>
      <c r="BV26" s="35">
        <v>0</v>
      </c>
      <c r="BW26" s="36">
        <v>0</v>
      </c>
      <c r="BX26" s="37">
        <f t="shared" si="11"/>
        <v>0</v>
      </c>
      <c r="BY26" s="26"/>
    </row>
    <row r="27" spans="1:77" ht="12" customHeight="1" x14ac:dyDescent="0.2">
      <c r="A27" s="24"/>
      <c r="B27" s="32" t="s">
        <v>38</v>
      </c>
      <c r="C27" s="26"/>
      <c r="D27" s="33">
        <v>41666666.666666672</v>
      </c>
      <c r="E27" s="26"/>
      <c r="F27" s="34">
        <v>0</v>
      </c>
      <c r="G27" s="35">
        <v>0</v>
      </c>
      <c r="H27" s="35">
        <v>0</v>
      </c>
      <c r="I27" s="36">
        <v>-1388888.888888889</v>
      </c>
      <c r="J27" s="37">
        <f t="shared" si="0"/>
        <v>40277777.777777784</v>
      </c>
      <c r="K27" s="26"/>
      <c r="L27" s="34">
        <v>0</v>
      </c>
      <c r="M27" s="35">
        <v>0</v>
      </c>
      <c r="N27" s="35">
        <v>0</v>
      </c>
      <c r="O27" s="36">
        <v>-1388888.888888889</v>
      </c>
      <c r="P27" s="37">
        <f t="shared" si="1"/>
        <v>38888888.888888896</v>
      </c>
      <c r="Q27" s="26"/>
      <c r="R27" s="34">
        <v>0</v>
      </c>
      <c r="S27" s="35">
        <v>0</v>
      </c>
      <c r="T27" s="35">
        <v>0</v>
      </c>
      <c r="U27" s="36">
        <v>-1388888.888888889</v>
      </c>
      <c r="V27" s="37">
        <f t="shared" si="2"/>
        <v>37500000.000000007</v>
      </c>
      <c r="W27" s="26"/>
      <c r="X27" s="34">
        <v>0</v>
      </c>
      <c r="Y27" s="35">
        <v>0</v>
      </c>
      <c r="Z27" s="35">
        <v>0</v>
      </c>
      <c r="AA27" s="36">
        <v>-1388888.888888889</v>
      </c>
      <c r="AB27" s="37">
        <f t="shared" si="3"/>
        <v>36111111.111111119</v>
      </c>
      <c r="AC27" s="26"/>
      <c r="AD27" s="34">
        <v>0</v>
      </c>
      <c r="AE27" s="35">
        <v>0</v>
      </c>
      <c r="AF27" s="35">
        <v>0</v>
      </c>
      <c r="AG27" s="36">
        <v>-1388888.888888889</v>
      </c>
      <c r="AH27" s="37">
        <f t="shared" si="4"/>
        <v>34722222.222222231</v>
      </c>
      <c r="AI27" s="26"/>
      <c r="AJ27" s="34">
        <v>0</v>
      </c>
      <c r="AK27" s="35">
        <v>0</v>
      </c>
      <c r="AL27" s="35">
        <v>0</v>
      </c>
      <c r="AM27" s="36">
        <v>-1388888.888888889</v>
      </c>
      <c r="AN27" s="37">
        <f t="shared" si="5"/>
        <v>33333333.333333343</v>
      </c>
      <c r="AO27" s="26"/>
      <c r="AP27" s="34">
        <v>0</v>
      </c>
      <c r="AQ27" s="35">
        <v>0</v>
      </c>
      <c r="AR27" s="35">
        <v>0</v>
      </c>
      <c r="AS27" s="36">
        <v>-1388888.888888889</v>
      </c>
      <c r="AT27" s="37">
        <f t="shared" si="6"/>
        <v>31944444.444444455</v>
      </c>
      <c r="AU27" s="26"/>
      <c r="AV27" s="34">
        <v>0</v>
      </c>
      <c r="AW27" s="35">
        <v>0</v>
      </c>
      <c r="AX27" s="35">
        <v>0</v>
      </c>
      <c r="AY27" s="36">
        <v>-1388888.888888889</v>
      </c>
      <c r="AZ27" s="37">
        <f t="shared" si="7"/>
        <v>30555555.555555567</v>
      </c>
      <c r="BA27" s="26"/>
      <c r="BB27" s="34">
        <v>0</v>
      </c>
      <c r="BC27" s="35">
        <v>0</v>
      </c>
      <c r="BD27" s="35">
        <v>0</v>
      </c>
      <c r="BE27" s="36">
        <v>-1388888.888888889</v>
      </c>
      <c r="BF27" s="37">
        <f t="shared" si="8"/>
        <v>29166666.666666679</v>
      </c>
      <c r="BG27" s="26"/>
      <c r="BH27" s="34">
        <v>0</v>
      </c>
      <c r="BI27" s="35">
        <v>0</v>
      </c>
      <c r="BJ27" s="35">
        <v>0</v>
      </c>
      <c r="BK27" s="36">
        <v>0</v>
      </c>
      <c r="BL27" s="37">
        <f t="shared" si="9"/>
        <v>29166666.666666679</v>
      </c>
      <c r="BM27" s="26"/>
      <c r="BN27" s="34">
        <v>0</v>
      </c>
      <c r="BO27" s="35">
        <v>0</v>
      </c>
      <c r="BP27" s="35">
        <v>0</v>
      </c>
      <c r="BQ27" s="36">
        <v>0</v>
      </c>
      <c r="BR27" s="37">
        <f t="shared" si="10"/>
        <v>29166666.666666679</v>
      </c>
      <c r="BS27" s="26"/>
      <c r="BT27" s="34">
        <v>0</v>
      </c>
      <c r="BU27" s="35">
        <v>0</v>
      </c>
      <c r="BV27" s="35">
        <v>0</v>
      </c>
      <c r="BW27" s="36">
        <v>0</v>
      </c>
      <c r="BX27" s="37">
        <f t="shared" si="11"/>
        <v>29166666.666666679</v>
      </c>
      <c r="BY27" s="26"/>
    </row>
    <row r="28" spans="1:77" ht="12" customHeight="1" x14ac:dyDescent="0.2">
      <c r="A28" s="24"/>
      <c r="B28" s="32" t="s">
        <v>39</v>
      </c>
      <c r="C28" s="26"/>
      <c r="D28" s="33">
        <v>0</v>
      </c>
      <c r="E28" s="26"/>
      <c r="F28" s="34">
        <v>0</v>
      </c>
      <c r="G28" s="35">
        <v>0</v>
      </c>
      <c r="H28" s="35">
        <v>0</v>
      </c>
      <c r="I28" s="36">
        <v>0</v>
      </c>
      <c r="J28" s="37">
        <f t="shared" si="0"/>
        <v>0</v>
      </c>
      <c r="K28" s="26"/>
      <c r="L28" s="34">
        <v>0</v>
      </c>
      <c r="M28" s="35">
        <v>0</v>
      </c>
      <c r="N28" s="35">
        <v>0</v>
      </c>
      <c r="O28" s="36">
        <v>0</v>
      </c>
      <c r="P28" s="37">
        <f t="shared" si="1"/>
        <v>0</v>
      </c>
      <c r="Q28" s="26"/>
      <c r="R28" s="34">
        <v>0</v>
      </c>
      <c r="S28" s="35">
        <v>0</v>
      </c>
      <c r="T28" s="35">
        <v>0</v>
      </c>
      <c r="U28" s="36">
        <v>0</v>
      </c>
      <c r="V28" s="37">
        <f t="shared" si="2"/>
        <v>0</v>
      </c>
      <c r="W28" s="26"/>
      <c r="X28" s="34">
        <v>0</v>
      </c>
      <c r="Y28" s="35">
        <v>0</v>
      </c>
      <c r="Z28" s="35">
        <v>0</v>
      </c>
      <c r="AA28" s="36">
        <v>0</v>
      </c>
      <c r="AB28" s="37">
        <f t="shared" si="3"/>
        <v>0</v>
      </c>
      <c r="AC28" s="26"/>
      <c r="AD28" s="34">
        <v>0</v>
      </c>
      <c r="AE28" s="35">
        <v>0</v>
      </c>
      <c r="AF28" s="35">
        <v>0</v>
      </c>
      <c r="AG28" s="36">
        <v>0</v>
      </c>
      <c r="AH28" s="37">
        <f t="shared" si="4"/>
        <v>0</v>
      </c>
      <c r="AI28" s="26"/>
      <c r="AJ28" s="34">
        <v>0</v>
      </c>
      <c r="AK28" s="35">
        <v>0</v>
      </c>
      <c r="AL28" s="35">
        <v>0</v>
      </c>
      <c r="AM28" s="36">
        <v>0</v>
      </c>
      <c r="AN28" s="37">
        <f t="shared" si="5"/>
        <v>0</v>
      </c>
      <c r="AO28" s="26"/>
      <c r="AP28" s="34">
        <v>0</v>
      </c>
      <c r="AQ28" s="35">
        <v>0</v>
      </c>
      <c r="AR28" s="35">
        <v>0</v>
      </c>
      <c r="AS28" s="36">
        <v>0</v>
      </c>
      <c r="AT28" s="37">
        <f t="shared" si="6"/>
        <v>0</v>
      </c>
      <c r="AU28" s="26"/>
      <c r="AV28" s="34">
        <v>0</v>
      </c>
      <c r="AW28" s="35">
        <v>0</v>
      </c>
      <c r="AX28" s="35">
        <v>0</v>
      </c>
      <c r="AY28" s="36">
        <v>0</v>
      </c>
      <c r="AZ28" s="37">
        <f t="shared" si="7"/>
        <v>0</v>
      </c>
      <c r="BA28" s="26"/>
      <c r="BB28" s="34">
        <v>0</v>
      </c>
      <c r="BC28" s="35">
        <v>0</v>
      </c>
      <c r="BD28" s="35">
        <v>0</v>
      </c>
      <c r="BE28" s="36">
        <v>0</v>
      </c>
      <c r="BF28" s="37">
        <f t="shared" si="8"/>
        <v>0</v>
      </c>
      <c r="BG28" s="26"/>
      <c r="BH28" s="34">
        <v>0</v>
      </c>
      <c r="BI28" s="35">
        <v>0</v>
      </c>
      <c r="BJ28" s="35">
        <v>0</v>
      </c>
      <c r="BK28" s="36">
        <v>0</v>
      </c>
      <c r="BL28" s="37">
        <f t="shared" si="9"/>
        <v>0</v>
      </c>
      <c r="BM28" s="26"/>
      <c r="BN28" s="34">
        <v>0</v>
      </c>
      <c r="BO28" s="35">
        <v>0</v>
      </c>
      <c r="BP28" s="35">
        <v>0</v>
      </c>
      <c r="BQ28" s="36">
        <v>0</v>
      </c>
      <c r="BR28" s="37">
        <f t="shared" si="10"/>
        <v>0</v>
      </c>
      <c r="BS28" s="26"/>
      <c r="BT28" s="34">
        <v>0</v>
      </c>
      <c r="BU28" s="35">
        <v>0</v>
      </c>
      <c r="BV28" s="35">
        <v>0</v>
      </c>
      <c r="BW28" s="36">
        <v>0</v>
      </c>
      <c r="BX28" s="37">
        <f t="shared" si="11"/>
        <v>0</v>
      </c>
      <c r="BY28" s="26"/>
    </row>
    <row r="29" spans="1:77" ht="12" customHeight="1" x14ac:dyDescent="0.2">
      <c r="A29" s="24"/>
      <c r="B29" s="32" t="s">
        <v>198</v>
      </c>
      <c r="C29" s="26"/>
      <c r="D29" s="33">
        <v>0</v>
      </c>
      <c r="E29" s="26"/>
      <c r="F29" s="34">
        <v>0</v>
      </c>
      <c r="G29" s="35">
        <v>0</v>
      </c>
      <c r="H29" s="35">
        <v>0</v>
      </c>
      <c r="I29" s="36">
        <v>0</v>
      </c>
      <c r="J29" s="37">
        <f t="shared" ref="J29" si="24">D29+F29+G29+H29+I29</f>
        <v>0</v>
      </c>
      <c r="K29" s="26"/>
      <c r="L29" s="34">
        <v>0</v>
      </c>
      <c r="M29" s="35">
        <v>0</v>
      </c>
      <c r="N29" s="35">
        <v>0</v>
      </c>
      <c r="O29" s="36">
        <v>0</v>
      </c>
      <c r="P29" s="37">
        <f t="shared" ref="P29" si="25">J29+L29+M29+N29+O29</f>
        <v>0</v>
      </c>
      <c r="Q29" s="26"/>
      <c r="R29" s="34">
        <v>0</v>
      </c>
      <c r="S29" s="35">
        <v>0</v>
      </c>
      <c r="T29" s="35">
        <v>0</v>
      </c>
      <c r="U29" s="36">
        <v>0</v>
      </c>
      <c r="V29" s="37">
        <f t="shared" ref="V29" si="26">IF(AND(P29+R29+S29+T29+U29&gt;=-2,P29+R29+S29+T29+U29&lt;=2),0,P29+R29+S29+T29+U29)</f>
        <v>0</v>
      </c>
      <c r="W29" s="26"/>
      <c r="X29" s="34">
        <v>0</v>
      </c>
      <c r="Y29" s="35">
        <v>0</v>
      </c>
      <c r="Z29" s="35">
        <v>0</v>
      </c>
      <c r="AA29" s="36">
        <v>0</v>
      </c>
      <c r="AB29" s="37">
        <f t="shared" ref="AB29" si="27">IF(AND(V29+X29+Y29+Z29+AA29&gt;=-2,V29+X29+Y29+Z29+AA29&lt;=2),0,V29+X29+Y29+Z29+AA29)</f>
        <v>0</v>
      </c>
      <c r="AC29" s="26"/>
      <c r="AD29" s="34">
        <v>0</v>
      </c>
      <c r="AE29" s="35">
        <v>23000000</v>
      </c>
      <c r="AF29" s="35">
        <v>0</v>
      </c>
      <c r="AG29" s="36">
        <v>0</v>
      </c>
      <c r="AH29" s="37">
        <f t="shared" ref="AH29" si="28">IF(AND(AB29+AD29+AE29+AF29+AG29&gt;=-2,AB29+AD29+AE29+AF29+AG29&lt;=2),0,AB29+AD29+AE29+AF29+AG29)</f>
        <v>23000000</v>
      </c>
      <c r="AI29" s="26"/>
      <c r="AJ29" s="34">
        <v>0</v>
      </c>
      <c r="AK29" s="35">
        <v>0</v>
      </c>
      <c r="AL29" s="35">
        <v>0</v>
      </c>
      <c r="AM29" s="36">
        <v>-479166.66666666698</v>
      </c>
      <c r="AN29" s="37">
        <f t="shared" ref="AN29" si="29">IF(AND(AH29+AJ29+AK29+AL29+AM29&gt;=-2,AH29+AJ29+AK29+AL29+AM29&lt;=2),0,AH29+AJ29+AK29+AL29+AM29)</f>
        <v>22520833.333333332</v>
      </c>
      <c r="AO29" s="26"/>
      <c r="AP29" s="34">
        <v>0</v>
      </c>
      <c r="AQ29" s="35">
        <v>0</v>
      </c>
      <c r="AR29" s="35">
        <v>0</v>
      </c>
      <c r="AS29" s="36">
        <v>-479166.66666666669</v>
      </c>
      <c r="AT29" s="37">
        <f t="shared" ref="AT29" si="30">IF(AND(AN29+AP29+AQ29+AR29+AS29&gt;=-2,AN29+AP29+AQ29+AR29+AS29&lt;=2),0,AN29+AP29+AQ29+AR29+AS29)</f>
        <v>22041666.666666664</v>
      </c>
      <c r="AU29" s="26"/>
      <c r="AV29" s="34">
        <v>0</v>
      </c>
      <c r="AW29" s="35">
        <v>0</v>
      </c>
      <c r="AX29" s="35">
        <v>0</v>
      </c>
      <c r="AY29" s="36">
        <v>-479166.66666666669</v>
      </c>
      <c r="AZ29" s="37">
        <f t="shared" ref="AZ29" si="31">IF(AND(AT29+AV29+AW29+AX29+AY29&gt;=-2,AT29+AV29+AW29+AX29+AY29&lt;=2),0,AT29+AV29+AW29+AX29+AY29)</f>
        <v>21562499.999999996</v>
      </c>
      <c r="BA29" s="26"/>
      <c r="BB29" s="34">
        <v>0</v>
      </c>
      <c r="BC29" s="35">
        <v>0</v>
      </c>
      <c r="BD29" s="35">
        <v>0</v>
      </c>
      <c r="BE29" s="36">
        <v>-479166.66666666669</v>
      </c>
      <c r="BF29" s="37">
        <f t="shared" ref="BF29" si="32">IF(AND(AZ29+BB29+BC29+BD29+BE29&gt;=-2,AZ29+BB29+BC29+BD29+BE29&lt;=2),0,AZ29+BB29+BC29+BD29+BE29)</f>
        <v>21083333.333333328</v>
      </c>
      <c r="BG29" s="26"/>
      <c r="BH29" s="34">
        <v>0</v>
      </c>
      <c r="BI29" s="35">
        <v>0</v>
      </c>
      <c r="BJ29" s="35">
        <v>0</v>
      </c>
      <c r="BK29" s="36">
        <v>0</v>
      </c>
      <c r="BL29" s="37">
        <f t="shared" ref="BL29" si="33">IF(AND(BF29+BH29+BI29+BJ29+BK29&gt;=-2,BF29+BH29+BI29+BJ29+BK29&lt;=2),0,BF29+BH29+BI29+BJ29+BK29)</f>
        <v>21083333.333333328</v>
      </c>
      <c r="BM29" s="26"/>
      <c r="BN29" s="34">
        <v>0</v>
      </c>
      <c r="BO29" s="35">
        <v>0</v>
      </c>
      <c r="BP29" s="35">
        <v>0</v>
      </c>
      <c r="BQ29" s="36">
        <v>0</v>
      </c>
      <c r="BR29" s="37">
        <f t="shared" ref="BR29" si="34">IF(AND(BL29+BN29+BO29+BP29+BQ29&gt;=-2,BL29+BN29+BO29+BP29+BQ29&lt;=2),0,BL29+BN29+BO29+BP29+BQ29)</f>
        <v>21083333.333333328</v>
      </c>
      <c r="BS29" s="26"/>
      <c r="BT29" s="34">
        <v>0</v>
      </c>
      <c r="BU29" s="35">
        <v>0</v>
      </c>
      <c r="BV29" s="35">
        <v>0</v>
      </c>
      <c r="BW29" s="36">
        <v>0</v>
      </c>
      <c r="BX29" s="37">
        <f t="shared" ref="BX29" si="35">IF(AND(BR29+BT29+BU29+BV29+BW29&gt;=-2,BR29+BT29+BU29+BV29+BW29&lt;=2),0,BR29+BT29+BU29+BV29+BW29)</f>
        <v>21083333.333333328</v>
      </c>
      <c r="BY29" s="26"/>
    </row>
    <row r="30" spans="1:77" ht="12" customHeight="1" x14ac:dyDescent="0.2">
      <c r="A30" s="24"/>
      <c r="B30" s="32" t="s">
        <v>40</v>
      </c>
      <c r="C30" s="26"/>
      <c r="D30" s="33">
        <v>0</v>
      </c>
      <c r="E30" s="26"/>
      <c r="F30" s="34">
        <v>0</v>
      </c>
      <c r="G30" s="35">
        <v>0</v>
      </c>
      <c r="H30" s="35">
        <v>0</v>
      </c>
      <c r="I30" s="36">
        <v>0</v>
      </c>
      <c r="J30" s="37">
        <f t="shared" si="0"/>
        <v>0</v>
      </c>
      <c r="K30" s="26"/>
      <c r="L30" s="34">
        <v>0</v>
      </c>
      <c r="M30" s="35">
        <v>0</v>
      </c>
      <c r="N30" s="35">
        <v>0</v>
      </c>
      <c r="O30" s="36">
        <v>0</v>
      </c>
      <c r="P30" s="37">
        <f t="shared" si="1"/>
        <v>0</v>
      </c>
      <c r="Q30" s="26"/>
      <c r="R30" s="34">
        <v>0</v>
      </c>
      <c r="S30" s="35">
        <v>0</v>
      </c>
      <c r="T30" s="35">
        <v>0</v>
      </c>
      <c r="U30" s="36">
        <v>0</v>
      </c>
      <c r="V30" s="37">
        <f t="shared" si="2"/>
        <v>0</v>
      </c>
      <c r="W30" s="26"/>
      <c r="X30" s="34">
        <v>0</v>
      </c>
      <c r="Y30" s="35">
        <v>0</v>
      </c>
      <c r="Z30" s="35">
        <v>0</v>
      </c>
      <c r="AA30" s="36">
        <v>0</v>
      </c>
      <c r="AB30" s="37">
        <f t="shared" si="3"/>
        <v>0</v>
      </c>
      <c r="AC30" s="26"/>
      <c r="AD30" s="34">
        <v>0</v>
      </c>
      <c r="AE30" s="35">
        <v>0</v>
      </c>
      <c r="AF30" s="35">
        <v>0</v>
      </c>
      <c r="AG30" s="36">
        <v>0</v>
      </c>
      <c r="AH30" s="37">
        <f t="shared" si="4"/>
        <v>0</v>
      </c>
      <c r="AI30" s="26"/>
      <c r="AJ30" s="34">
        <v>0</v>
      </c>
      <c r="AK30" s="35">
        <v>0</v>
      </c>
      <c r="AL30" s="35">
        <v>0</v>
      </c>
      <c r="AM30" s="36">
        <v>0</v>
      </c>
      <c r="AN30" s="37">
        <f t="shared" si="5"/>
        <v>0</v>
      </c>
      <c r="AO30" s="26"/>
      <c r="AP30" s="34">
        <v>0</v>
      </c>
      <c r="AQ30" s="35">
        <v>0</v>
      </c>
      <c r="AR30" s="35">
        <v>0</v>
      </c>
      <c r="AS30" s="36">
        <v>0</v>
      </c>
      <c r="AT30" s="37">
        <f t="shared" si="6"/>
        <v>0</v>
      </c>
      <c r="AU30" s="26"/>
      <c r="AV30" s="34">
        <v>0</v>
      </c>
      <c r="AW30" s="35">
        <v>0</v>
      </c>
      <c r="AX30" s="35">
        <v>0</v>
      </c>
      <c r="AY30" s="36">
        <v>0</v>
      </c>
      <c r="AZ30" s="37">
        <f t="shared" si="7"/>
        <v>0</v>
      </c>
      <c r="BA30" s="26"/>
      <c r="BB30" s="34">
        <v>0</v>
      </c>
      <c r="BC30" s="35">
        <v>0</v>
      </c>
      <c r="BD30" s="35">
        <v>0</v>
      </c>
      <c r="BE30" s="36">
        <v>0</v>
      </c>
      <c r="BF30" s="37">
        <f t="shared" si="8"/>
        <v>0</v>
      </c>
      <c r="BG30" s="26"/>
      <c r="BH30" s="34">
        <v>0</v>
      </c>
      <c r="BI30" s="35">
        <v>0</v>
      </c>
      <c r="BJ30" s="35">
        <v>0</v>
      </c>
      <c r="BK30" s="36">
        <v>0</v>
      </c>
      <c r="BL30" s="37">
        <f t="shared" si="9"/>
        <v>0</v>
      </c>
      <c r="BM30" s="26"/>
      <c r="BN30" s="34">
        <v>0</v>
      </c>
      <c r="BO30" s="35">
        <v>0</v>
      </c>
      <c r="BP30" s="35">
        <v>0</v>
      </c>
      <c r="BQ30" s="36">
        <v>0</v>
      </c>
      <c r="BR30" s="37">
        <f t="shared" si="10"/>
        <v>0</v>
      </c>
      <c r="BS30" s="26"/>
      <c r="BT30" s="34">
        <v>0</v>
      </c>
      <c r="BU30" s="35">
        <v>0</v>
      </c>
      <c r="BV30" s="35">
        <v>0</v>
      </c>
      <c r="BW30" s="36">
        <v>0</v>
      </c>
      <c r="BX30" s="37">
        <f t="shared" si="11"/>
        <v>0</v>
      </c>
      <c r="BY30" s="26"/>
    </row>
    <row r="31" spans="1:77" ht="12" customHeight="1" x14ac:dyDescent="0.2">
      <c r="A31" s="24"/>
      <c r="B31" s="32" t="s">
        <v>41</v>
      </c>
      <c r="C31" s="26"/>
      <c r="D31" s="33">
        <v>26249999.999999981</v>
      </c>
      <c r="E31" s="26"/>
      <c r="F31" s="34">
        <v>0</v>
      </c>
      <c r="G31" s="35">
        <v>0</v>
      </c>
      <c r="H31" s="35">
        <v>0</v>
      </c>
      <c r="I31" s="36">
        <v>-2916666.6666666665</v>
      </c>
      <c r="J31" s="37">
        <f t="shared" si="0"/>
        <v>23333333.333333313</v>
      </c>
      <c r="K31" s="26"/>
      <c r="L31" s="34">
        <v>0</v>
      </c>
      <c r="M31" s="35">
        <v>0</v>
      </c>
      <c r="N31" s="35">
        <v>0</v>
      </c>
      <c r="O31" s="36">
        <v>-2916666.6666666665</v>
      </c>
      <c r="P31" s="37">
        <f t="shared" si="1"/>
        <v>20416666.666666646</v>
      </c>
      <c r="Q31" s="26"/>
      <c r="R31" s="34">
        <v>0</v>
      </c>
      <c r="S31" s="35">
        <v>0</v>
      </c>
      <c r="T31" s="35">
        <v>0</v>
      </c>
      <c r="U31" s="36">
        <v>-2916666.6666666665</v>
      </c>
      <c r="V31" s="37">
        <f t="shared" si="2"/>
        <v>17499999.999999978</v>
      </c>
      <c r="W31" s="26"/>
      <c r="X31" s="34">
        <v>0</v>
      </c>
      <c r="Y31" s="35">
        <v>0</v>
      </c>
      <c r="Z31" s="35">
        <v>0</v>
      </c>
      <c r="AA31" s="36">
        <v>-2916666.6666666665</v>
      </c>
      <c r="AB31" s="37">
        <f t="shared" si="3"/>
        <v>14583333.333333312</v>
      </c>
      <c r="AC31" s="26"/>
      <c r="AD31" s="34">
        <v>0</v>
      </c>
      <c r="AE31" s="35">
        <v>0</v>
      </c>
      <c r="AF31" s="35">
        <v>0</v>
      </c>
      <c r="AG31" s="36">
        <v>-2916666.6666666665</v>
      </c>
      <c r="AH31" s="37">
        <f t="shared" si="4"/>
        <v>11666666.666666646</v>
      </c>
      <c r="AI31" s="26"/>
      <c r="AJ31" s="34">
        <v>0</v>
      </c>
      <c r="AK31" s="35">
        <v>0</v>
      </c>
      <c r="AL31" s="35">
        <v>0</v>
      </c>
      <c r="AM31" s="36">
        <v>-2916666.6666666665</v>
      </c>
      <c r="AN31" s="37">
        <f t="shared" si="5"/>
        <v>8749999.9999999795</v>
      </c>
      <c r="AO31" s="26"/>
      <c r="AP31" s="34">
        <v>0</v>
      </c>
      <c r="AQ31" s="35">
        <v>0</v>
      </c>
      <c r="AR31" s="35">
        <v>0</v>
      </c>
      <c r="AS31" s="36">
        <v>-2916666.6666666665</v>
      </c>
      <c r="AT31" s="37">
        <f t="shared" si="6"/>
        <v>5833333.3333333135</v>
      </c>
      <c r="AU31" s="26"/>
      <c r="AV31" s="34">
        <v>0</v>
      </c>
      <c r="AW31" s="35">
        <v>0</v>
      </c>
      <c r="AX31" s="35">
        <v>0</v>
      </c>
      <c r="AY31" s="36">
        <v>-2916666.6666666665</v>
      </c>
      <c r="AZ31" s="37">
        <f t="shared" si="7"/>
        <v>2916666.666666647</v>
      </c>
      <c r="BA31" s="26"/>
      <c r="BB31" s="34">
        <v>0</v>
      </c>
      <c r="BC31" s="35">
        <v>50000000</v>
      </c>
      <c r="BD31" s="35">
        <v>-2916666.6666666665</v>
      </c>
      <c r="BE31" s="36">
        <v>-2083333.3333333333</v>
      </c>
      <c r="BF31" s="37">
        <f t="shared" si="8"/>
        <v>47916666.666666649</v>
      </c>
      <c r="BG31" s="26"/>
      <c r="BH31" s="34">
        <v>0</v>
      </c>
      <c r="BI31" s="35">
        <v>0</v>
      </c>
      <c r="BJ31" s="35">
        <v>0</v>
      </c>
      <c r="BK31" s="36">
        <v>0</v>
      </c>
      <c r="BL31" s="37">
        <f t="shared" si="9"/>
        <v>47916666.666666649</v>
      </c>
      <c r="BM31" s="26"/>
      <c r="BN31" s="34">
        <v>0</v>
      </c>
      <c r="BO31" s="35">
        <v>0</v>
      </c>
      <c r="BP31" s="35">
        <v>0</v>
      </c>
      <c r="BQ31" s="36">
        <v>0</v>
      </c>
      <c r="BR31" s="37">
        <f t="shared" si="10"/>
        <v>47916666.666666649</v>
      </c>
      <c r="BS31" s="26"/>
      <c r="BT31" s="34">
        <v>0</v>
      </c>
      <c r="BU31" s="35">
        <v>0</v>
      </c>
      <c r="BV31" s="35">
        <v>0</v>
      </c>
      <c r="BW31" s="36">
        <v>0</v>
      </c>
      <c r="BX31" s="37">
        <f t="shared" si="11"/>
        <v>47916666.666666649</v>
      </c>
      <c r="BY31" s="26"/>
    </row>
    <row r="32" spans="1:77" ht="12" customHeight="1" x14ac:dyDescent="0.2">
      <c r="A32" s="24"/>
      <c r="B32" s="32" t="s">
        <v>196</v>
      </c>
      <c r="C32" s="26"/>
      <c r="D32" s="33">
        <v>0</v>
      </c>
      <c r="E32" s="26"/>
      <c r="F32" s="34">
        <v>0</v>
      </c>
      <c r="G32" s="35">
        <v>0</v>
      </c>
      <c r="H32" s="35">
        <v>0</v>
      </c>
      <c r="I32" s="36">
        <v>0</v>
      </c>
      <c r="J32" s="37">
        <f t="shared" si="0"/>
        <v>0</v>
      </c>
      <c r="K32" s="26"/>
      <c r="L32" s="34">
        <v>0</v>
      </c>
      <c r="M32" s="35">
        <v>0</v>
      </c>
      <c r="N32" s="35">
        <v>0</v>
      </c>
      <c r="O32" s="36">
        <v>0</v>
      </c>
      <c r="P32" s="37">
        <f t="shared" si="1"/>
        <v>0</v>
      </c>
      <c r="Q32" s="26"/>
      <c r="R32" s="34">
        <v>0</v>
      </c>
      <c r="S32" s="35">
        <v>0</v>
      </c>
      <c r="T32" s="35">
        <v>0</v>
      </c>
      <c r="U32" s="36">
        <v>0</v>
      </c>
      <c r="V32" s="37">
        <f t="shared" si="2"/>
        <v>0</v>
      </c>
      <c r="W32" s="26"/>
      <c r="X32" s="34">
        <v>0</v>
      </c>
      <c r="Y32" s="35">
        <v>0</v>
      </c>
      <c r="Z32" s="35">
        <v>0</v>
      </c>
      <c r="AA32" s="36">
        <v>0</v>
      </c>
      <c r="AB32" s="37">
        <f t="shared" si="3"/>
        <v>0</v>
      </c>
      <c r="AC32" s="26"/>
      <c r="AD32" s="34">
        <v>0</v>
      </c>
      <c r="AE32" s="35">
        <v>0</v>
      </c>
      <c r="AF32" s="35">
        <v>0</v>
      </c>
      <c r="AG32" s="36">
        <v>0</v>
      </c>
      <c r="AH32" s="37">
        <f t="shared" si="4"/>
        <v>0</v>
      </c>
      <c r="AI32" s="26"/>
      <c r="AJ32" s="34">
        <v>0</v>
      </c>
      <c r="AK32" s="35">
        <v>0</v>
      </c>
      <c r="AL32" s="35">
        <v>0</v>
      </c>
      <c r="AM32" s="36">
        <v>0</v>
      </c>
      <c r="AN32" s="37">
        <f t="shared" si="5"/>
        <v>0</v>
      </c>
      <c r="AO32" s="26"/>
      <c r="AP32" s="34">
        <v>0</v>
      </c>
      <c r="AQ32" s="35">
        <v>24000000</v>
      </c>
      <c r="AR32" s="35">
        <v>0</v>
      </c>
      <c r="AS32" s="36">
        <v>-400000</v>
      </c>
      <c r="AT32" s="37">
        <f t="shared" si="6"/>
        <v>23600000</v>
      </c>
      <c r="AU32" s="26"/>
      <c r="AV32" s="34">
        <v>0</v>
      </c>
      <c r="AW32" s="35">
        <v>0</v>
      </c>
      <c r="AX32" s="35">
        <v>0</v>
      </c>
      <c r="AY32" s="36">
        <v>-400000</v>
      </c>
      <c r="AZ32" s="37">
        <f t="shared" si="7"/>
        <v>23200000</v>
      </c>
      <c r="BA32" s="26"/>
      <c r="BB32" s="34">
        <v>0</v>
      </c>
      <c r="BC32" s="35">
        <v>0</v>
      </c>
      <c r="BD32" s="35">
        <v>0</v>
      </c>
      <c r="BE32" s="36">
        <v>-400000</v>
      </c>
      <c r="BF32" s="37">
        <f t="shared" si="8"/>
        <v>22800000</v>
      </c>
      <c r="BG32" s="26"/>
      <c r="BH32" s="34">
        <v>0</v>
      </c>
      <c r="BI32" s="35">
        <v>0</v>
      </c>
      <c r="BJ32" s="35">
        <v>0</v>
      </c>
      <c r="BK32" s="36">
        <v>0</v>
      </c>
      <c r="BL32" s="37">
        <f t="shared" si="9"/>
        <v>22800000</v>
      </c>
      <c r="BM32" s="26"/>
      <c r="BN32" s="34">
        <v>0</v>
      </c>
      <c r="BO32" s="35">
        <v>0</v>
      </c>
      <c r="BP32" s="35">
        <v>0</v>
      </c>
      <c r="BQ32" s="36">
        <v>0</v>
      </c>
      <c r="BR32" s="37">
        <f t="shared" si="10"/>
        <v>22800000</v>
      </c>
      <c r="BS32" s="26"/>
      <c r="BT32" s="34">
        <v>0</v>
      </c>
      <c r="BU32" s="35">
        <v>0</v>
      </c>
      <c r="BV32" s="35">
        <v>0</v>
      </c>
      <c r="BW32" s="36">
        <v>0</v>
      </c>
      <c r="BX32" s="37">
        <f t="shared" si="11"/>
        <v>22800000</v>
      </c>
      <c r="BY32" s="26"/>
    </row>
    <row r="33" spans="1:77" ht="12" customHeight="1" x14ac:dyDescent="0.2">
      <c r="A33" s="24"/>
      <c r="B33" s="32" t="s">
        <v>43</v>
      </c>
      <c r="C33" s="26"/>
      <c r="D33" s="33">
        <v>29999999.993333373</v>
      </c>
      <c r="E33" s="26"/>
      <c r="F33" s="34">
        <v>0</v>
      </c>
      <c r="G33" s="35">
        <v>0</v>
      </c>
      <c r="H33" s="35">
        <v>0</v>
      </c>
      <c r="I33" s="36">
        <v>-1666666.6666666667</v>
      </c>
      <c r="J33" s="37">
        <f t="shared" si="0"/>
        <v>28333333.326666705</v>
      </c>
      <c r="K33" s="26"/>
      <c r="L33" s="34">
        <v>0</v>
      </c>
      <c r="M33" s="35">
        <v>0</v>
      </c>
      <c r="N33" s="35">
        <v>0</v>
      </c>
      <c r="O33" s="36">
        <v>-1666666.6666666667</v>
      </c>
      <c r="P33" s="37">
        <f t="shared" si="1"/>
        <v>26666666.660000037</v>
      </c>
      <c r="Q33" s="26"/>
      <c r="R33" s="34">
        <v>0</v>
      </c>
      <c r="S33" s="35">
        <v>0</v>
      </c>
      <c r="T33" s="35">
        <v>0</v>
      </c>
      <c r="U33" s="36">
        <v>-1666666.6666666667</v>
      </c>
      <c r="V33" s="37">
        <f t="shared" si="2"/>
        <v>24999999.993333369</v>
      </c>
      <c r="W33" s="26"/>
      <c r="X33" s="34">
        <v>0</v>
      </c>
      <c r="Y33" s="35">
        <v>0</v>
      </c>
      <c r="Z33" s="35">
        <v>0</v>
      </c>
      <c r="AA33" s="36">
        <v>-1666666.6666666667</v>
      </c>
      <c r="AB33" s="37">
        <f t="shared" si="3"/>
        <v>23333333.326666702</v>
      </c>
      <c r="AC33" s="26"/>
      <c r="AD33" s="34">
        <v>0</v>
      </c>
      <c r="AE33" s="35">
        <v>0</v>
      </c>
      <c r="AF33" s="35">
        <v>0</v>
      </c>
      <c r="AG33" s="36">
        <v>-1666666.6666666667</v>
      </c>
      <c r="AH33" s="37">
        <f t="shared" si="4"/>
        <v>21666666.660000034</v>
      </c>
      <c r="AI33" s="26"/>
      <c r="AJ33" s="34">
        <v>0</v>
      </c>
      <c r="AK33" s="35">
        <v>0</v>
      </c>
      <c r="AL33" s="35">
        <v>0</v>
      </c>
      <c r="AM33" s="36">
        <v>-1666666.6666666667</v>
      </c>
      <c r="AN33" s="37">
        <f t="shared" si="5"/>
        <v>19999999.993333366</v>
      </c>
      <c r="AO33" s="26"/>
      <c r="AP33" s="34">
        <v>0</v>
      </c>
      <c r="AQ33" s="35">
        <v>0</v>
      </c>
      <c r="AR33" s="35">
        <v>0</v>
      </c>
      <c r="AS33" s="36">
        <v>-1666666.6666666667</v>
      </c>
      <c r="AT33" s="37">
        <f t="shared" si="6"/>
        <v>18333333.326666698</v>
      </c>
      <c r="AU33" s="26"/>
      <c r="AV33" s="34">
        <v>0</v>
      </c>
      <c r="AW33" s="35">
        <v>0</v>
      </c>
      <c r="AX33" s="35">
        <v>0</v>
      </c>
      <c r="AY33" s="36">
        <v>-1666666.6666666667</v>
      </c>
      <c r="AZ33" s="37">
        <f t="shared" si="7"/>
        <v>16666666.660000032</v>
      </c>
      <c r="BA33" s="26"/>
      <c r="BB33" s="34">
        <v>0</v>
      </c>
      <c r="BC33" s="35">
        <v>0</v>
      </c>
      <c r="BD33" s="35">
        <v>0</v>
      </c>
      <c r="BE33" s="36">
        <v>-1666666.6666666667</v>
      </c>
      <c r="BF33" s="37">
        <f t="shared" si="8"/>
        <v>14999999.993333366</v>
      </c>
      <c r="BG33" s="26"/>
      <c r="BH33" s="34">
        <v>0</v>
      </c>
      <c r="BI33" s="35">
        <v>0</v>
      </c>
      <c r="BJ33" s="35">
        <v>0</v>
      </c>
      <c r="BK33" s="36">
        <v>0</v>
      </c>
      <c r="BL33" s="37">
        <f t="shared" si="9"/>
        <v>14999999.993333366</v>
      </c>
      <c r="BM33" s="26"/>
      <c r="BN33" s="34">
        <v>0</v>
      </c>
      <c r="BO33" s="35">
        <v>0</v>
      </c>
      <c r="BP33" s="35">
        <v>0</v>
      </c>
      <c r="BQ33" s="36">
        <v>0</v>
      </c>
      <c r="BR33" s="37">
        <f t="shared" si="10"/>
        <v>14999999.993333366</v>
      </c>
      <c r="BS33" s="26"/>
      <c r="BT33" s="34">
        <v>0</v>
      </c>
      <c r="BU33" s="35">
        <v>0</v>
      </c>
      <c r="BV33" s="35">
        <v>0</v>
      </c>
      <c r="BW33" s="36">
        <v>0</v>
      </c>
      <c r="BX33" s="37">
        <f t="shared" si="11"/>
        <v>14999999.993333366</v>
      </c>
      <c r="BY33" s="26"/>
    </row>
    <row r="34" spans="1:77" ht="12" customHeight="1" x14ac:dyDescent="0.2">
      <c r="A34" s="24"/>
      <c r="B34" s="32" t="s">
        <v>44</v>
      </c>
      <c r="C34" s="26"/>
      <c r="D34" s="33">
        <v>0</v>
      </c>
      <c r="E34" s="26"/>
      <c r="F34" s="34">
        <v>0</v>
      </c>
      <c r="G34" s="35">
        <v>0</v>
      </c>
      <c r="H34" s="35">
        <v>0</v>
      </c>
      <c r="I34" s="36">
        <v>0</v>
      </c>
      <c r="J34" s="37">
        <f t="shared" si="0"/>
        <v>0</v>
      </c>
      <c r="K34" s="26"/>
      <c r="L34" s="34">
        <v>0</v>
      </c>
      <c r="M34" s="35">
        <v>0</v>
      </c>
      <c r="N34" s="35">
        <v>0</v>
      </c>
      <c r="O34" s="36">
        <v>0</v>
      </c>
      <c r="P34" s="37">
        <f t="shared" si="1"/>
        <v>0</v>
      </c>
      <c r="Q34" s="26"/>
      <c r="R34" s="34">
        <v>0</v>
      </c>
      <c r="S34" s="35">
        <v>0</v>
      </c>
      <c r="T34" s="35">
        <v>0</v>
      </c>
      <c r="U34" s="36">
        <v>0</v>
      </c>
      <c r="V34" s="37">
        <f t="shared" si="2"/>
        <v>0</v>
      </c>
      <c r="W34" s="26"/>
      <c r="X34" s="34">
        <v>0</v>
      </c>
      <c r="Y34" s="35">
        <v>0</v>
      </c>
      <c r="Z34" s="35">
        <v>0</v>
      </c>
      <c r="AA34" s="36">
        <v>0</v>
      </c>
      <c r="AB34" s="37">
        <f t="shared" si="3"/>
        <v>0</v>
      </c>
      <c r="AC34" s="26"/>
      <c r="AD34" s="34">
        <v>0</v>
      </c>
      <c r="AE34" s="35">
        <v>0</v>
      </c>
      <c r="AF34" s="35">
        <v>0</v>
      </c>
      <c r="AG34" s="36">
        <v>0</v>
      </c>
      <c r="AH34" s="37">
        <f t="shared" si="4"/>
        <v>0</v>
      </c>
      <c r="AI34" s="26"/>
      <c r="AJ34" s="34">
        <v>0</v>
      </c>
      <c r="AK34" s="35">
        <v>0</v>
      </c>
      <c r="AL34" s="35">
        <v>0</v>
      </c>
      <c r="AM34" s="36">
        <v>0</v>
      </c>
      <c r="AN34" s="37">
        <f t="shared" si="5"/>
        <v>0</v>
      </c>
      <c r="AO34" s="26"/>
      <c r="AP34" s="34">
        <v>0</v>
      </c>
      <c r="AQ34" s="35">
        <v>0</v>
      </c>
      <c r="AR34" s="35">
        <v>0</v>
      </c>
      <c r="AS34" s="36">
        <v>0</v>
      </c>
      <c r="AT34" s="37">
        <f t="shared" si="6"/>
        <v>0</v>
      </c>
      <c r="AU34" s="26"/>
      <c r="AV34" s="34">
        <v>0</v>
      </c>
      <c r="AW34" s="35">
        <v>0</v>
      </c>
      <c r="AX34" s="35">
        <v>0</v>
      </c>
      <c r="AY34" s="36">
        <v>0</v>
      </c>
      <c r="AZ34" s="37">
        <f t="shared" si="7"/>
        <v>0</v>
      </c>
      <c r="BA34" s="26"/>
      <c r="BB34" s="34">
        <v>0</v>
      </c>
      <c r="BC34" s="35">
        <v>0</v>
      </c>
      <c r="BD34" s="35">
        <v>0</v>
      </c>
      <c r="BE34" s="36">
        <v>0</v>
      </c>
      <c r="BF34" s="37">
        <f t="shared" si="8"/>
        <v>0</v>
      </c>
      <c r="BG34" s="26"/>
      <c r="BH34" s="34">
        <v>0</v>
      </c>
      <c r="BI34" s="35">
        <v>0</v>
      </c>
      <c r="BJ34" s="35">
        <v>0</v>
      </c>
      <c r="BK34" s="36">
        <v>0</v>
      </c>
      <c r="BL34" s="37">
        <f t="shared" si="9"/>
        <v>0</v>
      </c>
      <c r="BM34" s="26"/>
      <c r="BN34" s="34">
        <v>0</v>
      </c>
      <c r="BO34" s="35">
        <v>0</v>
      </c>
      <c r="BP34" s="35">
        <v>0</v>
      </c>
      <c r="BQ34" s="36">
        <v>0</v>
      </c>
      <c r="BR34" s="37">
        <f t="shared" si="10"/>
        <v>0</v>
      </c>
      <c r="BS34" s="26"/>
      <c r="BT34" s="34">
        <v>0</v>
      </c>
      <c r="BU34" s="35">
        <v>0</v>
      </c>
      <c r="BV34" s="35">
        <v>0</v>
      </c>
      <c r="BW34" s="36">
        <v>0</v>
      </c>
      <c r="BX34" s="37">
        <f t="shared" si="11"/>
        <v>0</v>
      </c>
      <c r="BY34" s="26"/>
    </row>
    <row r="35" spans="1:77" ht="12" customHeight="1" x14ac:dyDescent="0.2">
      <c r="A35" s="24"/>
      <c r="B35" s="32" t="s">
        <v>45</v>
      </c>
      <c r="C35" s="26"/>
      <c r="D35" s="33">
        <v>56000000.000000015</v>
      </c>
      <c r="E35" s="26"/>
      <c r="F35" s="34">
        <v>0</v>
      </c>
      <c r="G35" s="35">
        <v>0</v>
      </c>
      <c r="H35" s="35">
        <v>0</v>
      </c>
      <c r="I35" s="36">
        <v>-1166666.6666666667</v>
      </c>
      <c r="J35" s="37">
        <f t="shared" si="0"/>
        <v>54833333.333333351</v>
      </c>
      <c r="K35" s="26"/>
      <c r="L35" s="34">
        <v>0</v>
      </c>
      <c r="M35" s="35">
        <v>0</v>
      </c>
      <c r="N35" s="35">
        <v>0</v>
      </c>
      <c r="O35" s="36">
        <v>-1166666.6666666667</v>
      </c>
      <c r="P35" s="37">
        <f t="shared" si="1"/>
        <v>53666666.666666687</v>
      </c>
      <c r="Q35" s="26"/>
      <c r="R35" s="34">
        <v>0</v>
      </c>
      <c r="S35" s="35">
        <v>0</v>
      </c>
      <c r="T35" s="35">
        <v>0</v>
      </c>
      <c r="U35" s="36">
        <v>-1166666.6666666667</v>
      </c>
      <c r="V35" s="37">
        <f t="shared" si="2"/>
        <v>52500000.000000022</v>
      </c>
      <c r="W35" s="26"/>
      <c r="X35" s="34">
        <v>0</v>
      </c>
      <c r="Y35" s="35">
        <v>0</v>
      </c>
      <c r="Z35" s="35">
        <v>0</v>
      </c>
      <c r="AA35" s="36">
        <v>-1166666.6666666667</v>
      </c>
      <c r="AB35" s="37">
        <f t="shared" si="3"/>
        <v>51333333.333333358</v>
      </c>
      <c r="AC35" s="26"/>
      <c r="AD35" s="34">
        <v>0</v>
      </c>
      <c r="AE35" s="35">
        <v>0</v>
      </c>
      <c r="AF35" s="35">
        <v>0</v>
      </c>
      <c r="AG35" s="36">
        <v>-1166666.6666666667</v>
      </c>
      <c r="AH35" s="37">
        <f t="shared" si="4"/>
        <v>50166666.666666694</v>
      </c>
      <c r="AI35" s="26"/>
      <c r="AJ35" s="34">
        <v>0</v>
      </c>
      <c r="AK35" s="35">
        <v>0</v>
      </c>
      <c r="AL35" s="35">
        <v>0</v>
      </c>
      <c r="AM35" s="36">
        <v>-1166666.6666666667</v>
      </c>
      <c r="AN35" s="37">
        <f t="shared" si="5"/>
        <v>49000000.00000003</v>
      </c>
      <c r="AO35" s="26"/>
      <c r="AP35" s="34">
        <v>0</v>
      </c>
      <c r="AQ35" s="35">
        <v>0</v>
      </c>
      <c r="AR35" s="35">
        <v>0</v>
      </c>
      <c r="AS35" s="36">
        <v>-1166666.6666666667</v>
      </c>
      <c r="AT35" s="37">
        <f t="shared" si="6"/>
        <v>47833333.333333366</v>
      </c>
      <c r="AU35" s="26"/>
      <c r="AV35" s="34">
        <v>0</v>
      </c>
      <c r="AW35" s="35">
        <v>0</v>
      </c>
      <c r="AX35" s="35">
        <v>0</v>
      </c>
      <c r="AY35" s="36">
        <v>-1166666.6666666667</v>
      </c>
      <c r="AZ35" s="37">
        <f t="shared" si="7"/>
        <v>46666666.666666701</v>
      </c>
      <c r="BA35" s="26"/>
      <c r="BB35" s="34">
        <v>0</v>
      </c>
      <c r="BC35" s="35">
        <v>0</v>
      </c>
      <c r="BD35" s="35">
        <v>0</v>
      </c>
      <c r="BE35" s="36">
        <v>-1166666.6666666667</v>
      </c>
      <c r="BF35" s="37">
        <f t="shared" si="8"/>
        <v>45500000.000000037</v>
      </c>
      <c r="BG35" s="26"/>
      <c r="BH35" s="34">
        <v>0</v>
      </c>
      <c r="BI35" s="35">
        <v>0</v>
      </c>
      <c r="BJ35" s="35">
        <v>0</v>
      </c>
      <c r="BK35" s="36">
        <v>0</v>
      </c>
      <c r="BL35" s="37">
        <f t="shared" si="9"/>
        <v>45500000.000000037</v>
      </c>
      <c r="BM35" s="26"/>
      <c r="BN35" s="34">
        <v>0</v>
      </c>
      <c r="BO35" s="35">
        <v>0</v>
      </c>
      <c r="BP35" s="35">
        <v>0</v>
      </c>
      <c r="BQ35" s="36">
        <v>0</v>
      </c>
      <c r="BR35" s="37">
        <f t="shared" si="10"/>
        <v>45500000.000000037</v>
      </c>
      <c r="BS35" s="26"/>
      <c r="BT35" s="34">
        <v>0</v>
      </c>
      <c r="BU35" s="35">
        <v>0</v>
      </c>
      <c r="BV35" s="35">
        <v>0</v>
      </c>
      <c r="BW35" s="36">
        <v>0</v>
      </c>
      <c r="BX35" s="37">
        <f t="shared" si="11"/>
        <v>45500000.000000037</v>
      </c>
      <c r="BY35" s="26"/>
    </row>
    <row r="36" spans="1:77" ht="12" customHeight="1" x14ac:dyDescent="0.2">
      <c r="A36" s="24"/>
      <c r="B36" s="32" t="s">
        <v>46</v>
      </c>
      <c r="C36" s="26"/>
      <c r="D36" s="33">
        <v>0</v>
      </c>
      <c r="E36" s="26"/>
      <c r="F36" s="34">
        <v>0</v>
      </c>
      <c r="G36" s="35">
        <v>0</v>
      </c>
      <c r="H36" s="35">
        <v>0</v>
      </c>
      <c r="I36" s="36">
        <v>0</v>
      </c>
      <c r="J36" s="37">
        <f t="shared" si="0"/>
        <v>0</v>
      </c>
      <c r="K36" s="26"/>
      <c r="L36" s="34">
        <v>0</v>
      </c>
      <c r="M36" s="35">
        <v>0</v>
      </c>
      <c r="N36" s="35">
        <v>0</v>
      </c>
      <c r="O36" s="36">
        <v>0</v>
      </c>
      <c r="P36" s="37">
        <f t="shared" si="1"/>
        <v>0</v>
      </c>
      <c r="Q36" s="26"/>
      <c r="R36" s="34">
        <v>0</v>
      </c>
      <c r="S36" s="35">
        <v>0</v>
      </c>
      <c r="T36" s="35">
        <v>0</v>
      </c>
      <c r="U36" s="36">
        <v>0</v>
      </c>
      <c r="V36" s="37">
        <f t="shared" si="2"/>
        <v>0</v>
      </c>
      <c r="W36" s="26"/>
      <c r="X36" s="34">
        <v>0</v>
      </c>
      <c r="Y36" s="35">
        <v>0</v>
      </c>
      <c r="Z36" s="35">
        <v>0</v>
      </c>
      <c r="AA36" s="36">
        <v>0</v>
      </c>
      <c r="AB36" s="37">
        <f t="shared" si="3"/>
        <v>0</v>
      </c>
      <c r="AC36" s="26"/>
      <c r="AD36" s="34">
        <v>0</v>
      </c>
      <c r="AE36" s="35">
        <v>0</v>
      </c>
      <c r="AF36" s="35">
        <v>0</v>
      </c>
      <c r="AG36" s="36">
        <v>0</v>
      </c>
      <c r="AH36" s="37">
        <f t="shared" si="4"/>
        <v>0</v>
      </c>
      <c r="AI36" s="26"/>
      <c r="AJ36" s="34">
        <v>0</v>
      </c>
      <c r="AK36" s="35">
        <v>0</v>
      </c>
      <c r="AL36" s="35">
        <v>0</v>
      </c>
      <c r="AM36" s="36">
        <v>0</v>
      </c>
      <c r="AN36" s="37">
        <f t="shared" si="5"/>
        <v>0</v>
      </c>
      <c r="AO36" s="26"/>
      <c r="AP36" s="34">
        <v>0</v>
      </c>
      <c r="AQ36" s="35">
        <v>0</v>
      </c>
      <c r="AR36" s="35">
        <v>0</v>
      </c>
      <c r="AS36" s="36">
        <v>0</v>
      </c>
      <c r="AT36" s="37">
        <f t="shared" si="6"/>
        <v>0</v>
      </c>
      <c r="AU36" s="26"/>
      <c r="AV36" s="34">
        <v>0</v>
      </c>
      <c r="AW36" s="35">
        <v>0</v>
      </c>
      <c r="AX36" s="35">
        <v>0</v>
      </c>
      <c r="AY36" s="36">
        <v>0</v>
      </c>
      <c r="AZ36" s="37">
        <f t="shared" si="7"/>
        <v>0</v>
      </c>
      <c r="BA36" s="26"/>
      <c r="BB36" s="34">
        <v>0</v>
      </c>
      <c r="BC36" s="35">
        <v>0</v>
      </c>
      <c r="BD36" s="35">
        <v>0</v>
      </c>
      <c r="BE36" s="36">
        <v>0</v>
      </c>
      <c r="BF36" s="37">
        <f t="shared" si="8"/>
        <v>0</v>
      </c>
      <c r="BG36" s="26"/>
      <c r="BH36" s="34">
        <v>0</v>
      </c>
      <c r="BI36" s="35">
        <v>0</v>
      </c>
      <c r="BJ36" s="35">
        <v>0</v>
      </c>
      <c r="BK36" s="36">
        <v>0</v>
      </c>
      <c r="BL36" s="37">
        <f t="shared" si="9"/>
        <v>0</v>
      </c>
      <c r="BM36" s="26"/>
      <c r="BN36" s="34">
        <v>0</v>
      </c>
      <c r="BO36" s="35">
        <v>0</v>
      </c>
      <c r="BP36" s="35">
        <v>0</v>
      </c>
      <c r="BQ36" s="36">
        <v>0</v>
      </c>
      <c r="BR36" s="37">
        <f t="shared" si="10"/>
        <v>0</v>
      </c>
      <c r="BS36" s="26"/>
      <c r="BT36" s="34">
        <v>0</v>
      </c>
      <c r="BU36" s="35">
        <v>0</v>
      </c>
      <c r="BV36" s="35">
        <v>0</v>
      </c>
      <c r="BW36" s="36">
        <v>0</v>
      </c>
      <c r="BX36" s="37">
        <f t="shared" si="11"/>
        <v>0</v>
      </c>
      <c r="BY36" s="26"/>
    </row>
    <row r="37" spans="1:77" ht="12" customHeight="1" x14ac:dyDescent="0.2">
      <c r="A37" s="24"/>
      <c r="B37" s="32" t="s">
        <v>47</v>
      </c>
      <c r="C37" s="26"/>
      <c r="D37" s="33">
        <v>23958332.996666659</v>
      </c>
      <c r="E37" s="26"/>
      <c r="F37" s="34">
        <v>0</v>
      </c>
      <c r="G37" s="35">
        <v>0</v>
      </c>
      <c r="H37" s="35">
        <v>0</v>
      </c>
      <c r="I37" s="36">
        <v>-1041666.6666666666</v>
      </c>
      <c r="J37" s="37">
        <f t="shared" si="0"/>
        <v>22916666.329999991</v>
      </c>
      <c r="K37" s="26"/>
      <c r="L37" s="34">
        <v>0</v>
      </c>
      <c r="M37" s="35">
        <v>0</v>
      </c>
      <c r="N37" s="35">
        <v>0</v>
      </c>
      <c r="O37" s="36">
        <v>-1041666.6666666666</v>
      </c>
      <c r="P37" s="37">
        <f t="shared" si="1"/>
        <v>21874999.663333323</v>
      </c>
      <c r="Q37" s="26"/>
      <c r="R37" s="34">
        <v>0</v>
      </c>
      <c r="S37" s="35">
        <v>0</v>
      </c>
      <c r="T37" s="35">
        <v>0</v>
      </c>
      <c r="U37" s="36">
        <v>-1041666.6666666666</v>
      </c>
      <c r="V37" s="37">
        <f t="shared" si="2"/>
        <v>20833332.996666655</v>
      </c>
      <c r="W37" s="26"/>
      <c r="X37" s="34">
        <v>0</v>
      </c>
      <c r="Y37" s="35">
        <v>0</v>
      </c>
      <c r="Z37" s="35">
        <v>0</v>
      </c>
      <c r="AA37" s="36">
        <v>-1041666.6666666666</v>
      </c>
      <c r="AB37" s="37">
        <f t="shared" si="3"/>
        <v>19791666.329999987</v>
      </c>
      <c r="AC37" s="26"/>
      <c r="AD37" s="34">
        <v>0</v>
      </c>
      <c r="AE37" s="35">
        <v>0</v>
      </c>
      <c r="AF37" s="35">
        <v>0</v>
      </c>
      <c r="AG37" s="36">
        <v>-1041666.6666666666</v>
      </c>
      <c r="AH37" s="37">
        <f t="shared" si="4"/>
        <v>18749999.663333319</v>
      </c>
      <c r="AI37" s="26"/>
      <c r="AJ37" s="34">
        <v>0</v>
      </c>
      <c r="AK37" s="35">
        <v>0</v>
      </c>
      <c r="AL37" s="35">
        <v>0</v>
      </c>
      <c r="AM37" s="36">
        <v>-1041666.6666666666</v>
      </c>
      <c r="AN37" s="37">
        <f t="shared" si="5"/>
        <v>17708332.996666651</v>
      </c>
      <c r="AO37" s="26"/>
      <c r="AP37" s="34">
        <v>0</v>
      </c>
      <c r="AQ37" s="35">
        <v>0</v>
      </c>
      <c r="AR37" s="35">
        <v>0</v>
      </c>
      <c r="AS37" s="36">
        <v>-1041666.6666666666</v>
      </c>
      <c r="AT37" s="37">
        <f t="shared" si="6"/>
        <v>16666666.329999985</v>
      </c>
      <c r="AU37" s="26"/>
      <c r="AV37" s="34">
        <v>0</v>
      </c>
      <c r="AW37" s="35">
        <v>0</v>
      </c>
      <c r="AX37" s="35">
        <v>0</v>
      </c>
      <c r="AY37" s="36">
        <v>-1041666.6666666666</v>
      </c>
      <c r="AZ37" s="37">
        <f t="shared" si="7"/>
        <v>15624999.663333319</v>
      </c>
      <c r="BA37" s="26"/>
      <c r="BB37" s="34">
        <v>0</v>
      </c>
      <c r="BC37" s="35">
        <v>0</v>
      </c>
      <c r="BD37" s="35">
        <v>0</v>
      </c>
      <c r="BE37" s="36">
        <v>-1041666.6666666666</v>
      </c>
      <c r="BF37" s="37">
        <f t="shared" si="8"/>
        <v>14583332.996666653</v>
      </c>
      <c r="BG37" s="26"/>
      <c r="BH37" s="34">
        <v>0</v>
      </c>
      <c r="BI37" s="35">
        <v>0</v>
      </c>
      <c r="BJ37" s="35">
        <v>0</v>
      </c>
      <c r="BK37" s="36">
        <v>0</v>
      </c>
      <c r="BL37" s="37">
        <f t="shared" si="9"/>
        <v>14583332.996666653</v>
      </c>
      <c r="BM37" s="26"/>
      <c r="BN37" s="34">
        <v>0</v>
      </c>
      <c r="BO37" s="35">
        <v>0</v>
      </c>
      <c r="BP37" s="35">
        <v>0</v>
      </c>
      <c r="BQ37" s="36">
        <v>0</v>
      </c>
      <c r="BR37" s="37">
        <f t="shared" si="10"/>
        <v>14583332.996666653</v>
      </c>
      <c r="BS37" s="26"/>
      <c r="BT37" s="34">
        <v>0</v>
      </c>
      <c r="BU37" s="35">
        <v>0</v>
      </c>
      <c r="BV37" s="35">
        <v>0</v>
      </c>
      <c r="BW37" s="36">
        <v>0</v>
      </c>
      <c r="BX37" s="37">
        <f t="shared" si="11"/>
        <v>14583332.996666653</v>
      </c>
      <c r="BY37" s="26"/>
    </row>
    <row r="38" spans="1:77" ht="12" customHeight="1" x14ac:dyDescent="0.2">
      <c r="A38" s="24"/>
      <c r="B38" s="32" t="s">
        <v>48</v>
      </c>
      <c r="C38" s="26"/>
      <c r="D38" s="33">
        <v>31900000</v>
      </c>
      <c r="E38" s="26"/>
      <c r="F38" s="34">
        <v>0</v>
      </c>
      <c r="G38" s="35">
        <v>0</v>
      </c>
      <c r="H38" s="35">
        <v>0</v>
      </c>
      <c r="I38" s="36">
        <v>-900000</v>
      </c>
      <c r="J38" s="37">
        <f t="shared" si="0"/>
        <v>31000000</v>
      </c>
      <c r="K38" s="26"/>
      <c r="L38" s="34">
        <v>0</v>
      </c>
      <c r="M38" s="35">
        <v>25000000</v>
      </c>
      <c r="N38" s="35">
        <v>0</v>
      </c>
      <c r="O38" s="36">
        <v>-900000</v>
      </c>
      <c r="P38" s="37">
        <f t="shared" si="1"/>
        <v>55100000</v>
      </c>
      <c r="Q38" s="26"/>
      <c r="R38" s="34">
        <v>0</v>
      </c>
      <c r="S38" s="35">
        <v>0</v>
      </c>
      <c r="T38" s="35">
        <v>-10000000</v>
      </c>
      <c r="U38" s="36">
        <v>-1150000</v>
      </c>
      <c r="V38" s="37">
        <f t="shared" si="2"/>
        <v>43950000</v>
      </c>
      <c r="W38" s="26"/>
      <c r="X38" s="34">
        <v>0</v>
      </c>
      <c r="Y38" s="35">
        <v>0</v>
      </c>
      <c r="Z38" s="35">
        <v>0</v>
      </c>
      <c r="AA38" s="36">
        <v>-1150000</v>
      </c>
      <c r="AB38" s="37">
        <f t="shared" si="3"/>
        <v>42800000</v>
      </c>
      <c r="AC38" s="26"/>
      <c r="AD38" s="34">
        <v>0</v>
      </c>
      <c r="AE38" s="35">
        <v>0</v>
      </c>
      <c r="AF38" s="35">
        <v>0</v>
      </c>
      <c r="AG38" s="36">
        <v>-1150000</v>
      </c>
      <c r="AH38" s="37">
        <f t="shared" si="4"/>
        <v>41650000</v>
      </c>
      <c r="AI38" s="26"/>
      <c r="AJ38" s="34">
        <v>0</v>
      </c>
      <c r="AK38" s="35">
        <v>0</v>
      </c>
      <c r="AL38" s="35">
        <v>0</v>
      </c>
      <c r="AM38" s="36">
        <v>-1150000</v>
      </c>
      <c r="AN38" s="37">
        <f t="shared" si="5"/>
        <v>40500000</v>
      </c>
      <c r="AO38" s="26"/>
      <c r="AP38" s="34">
        <v>0</v>
      </c>
      <c r="AQ38" s="35">
        <v>0</v>
      </c>
      <c r="AR38" s="35">
        <v>0</v>
      </c>
      <c r="AS38" s="36">
        <v>-1150000</v>
      </c>
      <c r="AT38" s="37">
        <f t="shared" si="6"/>
        <v>39350000</v>
      </c>
      <c r="AU38" s="26"/>
      <c r="AV38" s="34">
        <v>0</v>
      </c>
      <c r="AW38" s="35">
        <v>0</v>
      </c>
      <c r="AX38" s="35">
        <v>0</v>
      </c>
      <c r="AY38" s="36">
        <v>-1150000</v>
      </c>
      <c r="AZ38" s="37">
        <f t="shared" si="7"/>
        <v>38200000</v>
      </c>
      <c r="BA38" s="26"/>
      <c r="BB38" s="34">
        <v>0</v>
      </c>
      <c r="BC38" s="35">
        <v>0</v>
      </c>
      <c r="BD38" s="35">
        <v>0</v>
      </c>
      <c r="BE38" s="36">
        <v>-1150000</v>
      </c>
      <c r="BF38" s="37">
        <f t="shared" si="8"/>
        <v>37050000</v>
      </c>
      <c r="BG38" s="26"/>
      <c r="BH38" s="34">
        <v>0</v>
      </c>
      <c r="BI38" s="35">
        <v>0</v>
      </c>
      <c r="BJ38" s="35">
        <v>0</v>
      </c>
      <c r="BK38" s="36">
        <v>0</v>
      </c>
      <c r="BL38" s="37">
        <f t="shared" si="9"/>
        <v>37050000</v>
      </c>
      <c r="BM38" s="26"/>
      <c r="BN38" s="34">
        <v>0</v>
      </c>
      <c r="BO38" s="35">
        <v>0</v>
      </c>
      <c r="BP38" s="35">
        <v>0</v>
      </c>
      <c r="BQ38" s="36">
        <v>0</v>
      </c>
      <c r="BR38" s="37">
        <f t="shared" si="10"/>
        <v>37050000</v>
      </c>
      <c r="BS38" s="26"/>
      <c r="BT38" s="34">
        <v>0</v>
      </c>
      <c r="BU38" s="35">
        <v>0</v>
      </c>
      <c r="BV38" s="35">
        <v>0</v>
      </c>
      <c r="BW38" s="36">
        <v>0</v>
      </c>
      <c r="BX38" s="37">
        <f t="shared" si="11"/>
        <v>37050000</v>
      </c>
      <c r="BY38" s="26"/>
    </row>
    <row r="39" spans="1:77" ht="12" customHeight="1" x14ac:dyDescent="0.2">
      <c r="A39" s="24"/>
      <c r="B39" s="32" t="s">
        <v>49</v>
      </c>
      <c r="C39" s="26"/>
      <c r="D39" s="33">
        <v>0</v>
      </c>
      <c r="E39" s="26"/>
      <c r="F39" s="34">
        <v>0</v>
      </c>
      <c r="G39" s="35">
        <v>0</v>
      </c>
      <c r="H39" s="35">
        <v>0</v>
      </c>
      <c r="I39" s="36">
        <v>0</v>
      </c>
      <c r="J39" s="37">
        <f t="shared" si="0"/>
        <v>0</v>
      </c>
      <c r="K39" s="26"/>
      <c r="L39" s="34">
        <v>0</v>
      </c>
      <c r="M39" s="35">
        <v>0</v>
      </c>
      <c r="N39" s="35">
        <v>0</v>
      </c>
      <c r="O39" s="36">
        <v>0</v>
      </c>
      <c r="P39" s="37">
        <f t="shared" si="1"/>
        <v>0</v>
      </c>
      <c r="Q39" s="26"/>
      <c r="R39" s="34">
        <v>0</v>
      </c>
      <c r="S39" s="35">
        <v>0</v>
      </c>
      <c r="T39" s="35">
        <v>0</v>
      </c>
      <c r="U39" s="36">
        <v>0</v>
      </c>
      <c r="V39" s="37">
        <f t="shared" si="2"/>
        <v>0</v>
      </c>
      <c r="W39" s="26"/>
      <c r="X39" s="34">
        <v>0</v>
      </c>
      <c r="Y39" s="35">
        <v>0</v>
      </c>
      <c r="Z39" s="35">
        <v>0</v>
      </c>
      <c r="AA39" s="36">
        <v>0</v>
      </c>
      <c r="AB39" s="37">
        <f t="shared" si="3"/>
        <v>0</v>
      </c>
      <c r="AC39" s="26"/>
      <c r="AD39" s="34">
        <v>0</v>
      </c>
      <c r="AE39" s="35">
        <v>0</v>
      </c>
      <c r="AF39" s="35">
        <v>0</v>
      </c>
      <c r="AG39" s="36">
        <v>0</v>
      </c>
      <c r="AH39" s="37">
        <f t="shared" si="4"/>
        <v>0</v>
      </c>
      <c r="AI39" s="26"/>
      <c r="AJ39" s="34">
        <v>0</v>
      </c>
      <c r="AK39" s="35">
        <v>0</v>
      </c>
      <c r="AL39" s="35">
        <v>0</v>
      </c>
      <c r="AM39" s="36">
        <v>0</v>
      </c>
      <c r="AN39" s="37">
        <f t="shared" si="5"/>
        <v>0</v>
      </c>
      <c r="AO39" s="26"/>
      <c r="AP39" s="34">
        <v>0</v>
      </c>
      <c r="AQ39" s="35">
        <v>0</v>
      </c>
      <c r="AR39" s="35">
        <v>0</v>
      </c>
      <c r="AS39" s="36">
        <v>0</v>
      </c>
      <c r="AT39" s="37">
        <f t="shared" si="6"/>
        <v>0</v>
      </c>
      <c r="AU39" s="26"/>
      <c r="AV39" s="34">
        <v>0</v>
      </c>
      <c r="AW39" s="35">
        <v>0</v>
      </c>
      <c r="AX39" s="35">
        <v>0</v>
      </c>
      <c r="AY39" s="36">
        <v>0</v>
      </c>
      <c r="AZ39" s="37">
        <f t="shared" si="7"/>
        <v>0</v>
      </c>
      <c r="BA39" s="26"/>
      <c r="BB39" s="34">
        <v>0</v>
      </c>
      <c r="BC39" s="35">
        <v>0</v>
      </c>
      <c r="BD39" s="35">
        <v>0</v>
      </c>
      <c r="BE39" s="36">
        <v>0</v>
      </c>
      <c r="BF39" s="37">
        <f t="shared" si="8"/>
        <v>0</v>
      </c>
      <c r="BG39" s="26"/>
      <c r="BH39" s="34">
        <v>0</v>
      </c>
      <c r="BI39" s="35">
        <v>0</v>
      </c>
      <c r="BJ39" s="35">
        <v>0</v>
      </c>
      <c r="BK39" s="36">
        <v>0</v>
      </c>
      <c r="BL39" s="37">
        <f t="shared" si="9"/>
        <v>0</v>
      </c>
      <c r="BM39" s="26"/>
      <c r="BN39" s="34">
        <v>0</v>
      </c>
      <c r="BO39" s="35">
        <v>0</v>
      </c>
      <c r="BP39" s="35">
        <v>0</v>
      </c>
      <c r="BQ39" s="36">
        <v>0</v>
      </c>
      <c r="BR39" s="37">
        <f t="shared" si="10"/>
        <v>0</v>
      </c>
      <c r="BS39" s="26"/>
      <c r="BT39" s="34">
        <v>0</v>
      </c>
      <c r="BU39" s="35">
        <v>0</v>
      </c>
      <c r="BV39" s="35">
        <v>0</v>
      </c>
      <c r="BW39" s="36">
        <v>0</v>
      </c>
      <c r="BX39" s="37">
        <f t="shared" si="11"/>
        <v>0</v>
      </c>
      <c r="BY39" s="26"/>
    </row>
    <row r="40" spans="1:77" ht="12" customHeight="1" x14ac:dyDescent="0.2">
      <c r="A40" s="24"/>
      <c r="B40" s="32" t="s">
        <v>50</v>
      </c>
      <c r="C40" s="26"/>
      <c r="D40" s="33">
        <v>0</v>
      </c>
      <c r="E40" s="26"/>
      <c r="F40" s="34">
        <v>0</v>
      </c>
      <c r="G40" s="35">
        <v>0</v>
      </c>
      <c r="H40" s="35">
        <v>0</v>
      </c>
      <c r="I40" s="36">
        <v>0</v>
      </c>
      <c r="J40" s="37">
        <f t="shared" si="0"/>
        <v>0</v>
      </c>
      <c r="K40" s="26"/>
      <c r="L40" s="34">
        <v>0</v>
      </c>
      <c r="M40" s="35">
        <v>0</v>
      </c>
      <c r="N40" s="35">
        <v>0</v>
      </c>
      <c r="O40" s="36">
        <v>0</v>
      </c>
      <c r="P40" s="37">
        <f t="shared" si="1"/>
        <v>0</v>
      </c>
      <c r="Q40" s="26"/>
      <c r="R40" s="34">
        <v>0</v>
      </c>
      <c r="S40" s="35">
        <v>0</v>
      </c>
      <c r="T40" s="35">
        <v>0</v>
      </c>
      <c r="U40" s="36">
        <v>0</v>
      </c>
      <c r="V40" s="37">
        <f t="shared" si="2"/>
        <v>0</v>
      </c>
      <c r="W40" s="26"/>
      <c r="X40" s="34">
        <v>0</v>
      </c>
      <c r="Y40" s="35">
        <v>0</v>
      </c>
      <c r="Z40" s="35">
        <v>0</v>
      </c>
      <c r="AA40" s="36">
        <v>0</v>
      </c>
      <c r="AB40" s="37">
        <f t="shared" si="3"/>
        <v>0</v>
      </c>
      <c r="AC40" s="26"/>
      <c r="AD40" s="34">
        <v>0</v>
      </c>
      <c r="AE40" s="35">
        <v>0</v>
      </c>
      <c r="AF40" s="35">
        <v>0</v>
      </c>
      <c r="AG40" s="36">
        <v>0</v>
      </c>
      <c r="AH40" s="37">
        <f t="shared" si="4"/>
        <v>0</v>
      </c>
      <c r="AI40" s="26"/>
      <c r="AJ40" s="34">
        <v>0</v>
      </c>
      <c r="AK40" s="35">
        <v>0</v>
      </c>
      <c r="AL40" s="35">
        <v>0</v>
      </c>
      <c r="AM40" s="36">
        <v>0</v>
      </c>
      <c r="AN40" s="37">
        <f t="shared" si="5"/>
        <v>0</v>
      </c>
      <c r="AO40" s="26"/>
      <c r="AP40" s="34">
        <v>0</v>
      </c>
      <c r="AQ40" s="35">
        <v>0</v>
      </c>
      <c r="AR40" s="35">
        <v>0</v>
      </c>
      <c r="AS40" s="36">
        <v>0</v>
      </c>
      <c r="AT40" s="37">
        <f t="shared" si="6"/>
        <v>0</v>
      </c>
      <c r="AU40" s="26"/>
      <c r="AV40" s="34">
        <v>0</v>
      </c>
      <c r="AW40" s="35">
        <v>0</v>
      </c>
      <c r="AX40" s="35">
        <v>0</v>
      </c>
      <c r="AY40" s="36">
        <v>0</v>
      </c>
      <c r="AZ40" s="37">
        <f t="shared" si="7"/>
        <v>0</v>
      </c>
      <c r="BA40" s="26"/>
      <c r="BB40" s="34">
        <v>0</v>
      </c>
      <c r="BC40" s="35">
        <v>0</v>
      </c>
      <c r="BD40" s="35">
        <v>0</v>
      </c>
      <c r="BE40" s="36">
        <v>0</v>
      </c>
      <c r="BF40" s="37">
        <f t="shared" si="8"/>
        <v>0</v>
      </c>
      <c r="BG40" s="26"/>
      <c r="BH40" s="34">
        <v>0</v>
      </c>
      <c r="BI40" s="35">
        <v>0</v>
      </c>
      <c r="BJ40" s="35">
        <v>0</v>
      </c>
      <c r="BK40" s="36">
        <v>0</v>
      </c>
      <c r="BL40" s="37">
        <f t="shared" si="9"/>
        <v>0</v>
      </c>
      <c r="BM40" s="26"/>
      <c r="BN40" s="34">
        <v>0</v>
      </c>
      <c r="BO40" s="35">
        <v>0</v>
      </c>
      <c r="BP40" s="35">
        <v>0</v>
      </c>
      <c r="BQ40" s="36">
        <v>0</v>
      </c>
      <c r="BR40" s="37">
        <f t="shared" si="10"/>
        <v>0</v>
      </c>
      <c r="BS40" s="26"/>
      <c r="BT40" s="34">
        <v>0</v>
      </c>
      <c r="BU40" s="35">
        <v>0</v>
      </c>
      <c r="BV40" s="35">
        <v>0</v>
      </c>
      <c r="BW40" s="36">
        <v>0</v>
      </c>
      <c r="BX40" s="37">
        <f t="shared" si="11"/>
        <v>0</v>
      </c>
      <c r="BY40" s="26"/>
    </row>
    <row r="41" spans="1:77" ht="12" customHeight="1" x14ac:dyDescent="0.2">
      <c r="A41" s="24"/>
      <c r="B41" s="32" t="s">
        <v>51</v>
      </c>
      <c r="C41" s="26"/>
      <c r="D41" s="33">
        <v>0</v>
      </c>
      <c r="E41" s="26"/>
      <c r="F41" s="34">
        <v>0</v>
      </c>
      <c r="G41" s="35">
        <v>0</v>
      </c>
      <c r="H41" s="35">
        <v>0</v>
      </c>
      <c r="I41" s="36">
        <v>0</v>
      </c>
      <c r="J41" s="37">
        <f t="shared" si="0"/>
        <v>0</v>
      </c>
      <c r="K41" s="26"/>
      <c r="L41" s="34">
        <v>0</v>
      </c>
      <c r="M41" s="35">
        <v>0</v>
      </c>
      <c r="N41" s="35">
        <v>0</v>
      </c>
      <c r="O41" s="36">
        <v>0</v>
      </c>
      <c r="P41" s="37">
        <f t="shared" si="1"/>
        <v>0</v>
      </c>
      <c r="Q41" s="26"/>
      <c r="R41" s="34">
        <v>0</v>
      </c>
      <c r="S41" s="35">
        <v>0</v>
      </c>
      <c r="T41" s="35">
        <v>0</v>
      </c>
      <c r="U41" s="36">
        <v>0</v>
      </c>
      <c r="V41" s="37">
        <f t="shared" si="2"/>
        <v>0</v>
      </c>
      <c r="W41" s="26"/>
      <c r="X41" s="34">
        <v>0</v>
      </c>
      <c r="Y41" s="35">
        <v>0</v>
      </c>
      <c r="Z41" s="35">
        <v>0</v>
      </c>
      <c r="AA41" s="36">
        <v>0</v>
      </c>
      <c r="AB41" s="37">
        <f t="shared" si="3"/>
        <v>0</v>
      </c>
      <c r="AC41" s="26"/>
      <c r="AD41" s="34">
        <v>0</v>
      </c>
      <c r="AE41" s="35">
        <v>0</v>
      </c>
      <c r="AF41" s="35">
        <v>0</v>
      </c>
      <c r="AG41" s="36">
        <v>0</v>
      </c>
      <c r="AH41" s="37">
        <f t="shared" si="4"/>
        <v>0</v>
      </c>
      <c r="AI41" s="26"/>
      <c r="AJ41" s="34">
        <v>0</v>
      </c>
      <c r="AK41" s="35">
        <v>0</v>
      </c>
      <c r="AL41" s="35">
        <v>0</v>
      </c>
      <c r="AM41" s="36">
        <v>0</v>
      </c>
      <c r="AN41" s="37">
        <f t="shared" si="5"/>
        <v>0</v>
      </c>
      <c r="AO41" s="26"/>
      <c r="AP41" s="34">
        <v>0</v>
      </c>
      <c r="AQ41" s="35">
        <v>0</v>
      </c>
      <c r="AR41" s="35">
        <v>0</v>
      </c>
      <c r="AS41" s="36">
        <v>0</v>
      </c>
      <c r="AT41" s="37">
        <f t="shared" si="6"/>
        <v>0</v>
      </c>
      <c r="AU41" s="26"/>
      <c r="AV41" s="34">
        <v>0</v>
      </c>
      <c r="AW41" s="35">
        <v>0</v>
      </c>
      <c r="AX41" s="35">
        <v>0</v>
      </c>
      <c r="AY41" s="36">
        <v>0</v>
      </c>
      <c r="AZ41" s="37">
        <f t="shared" si="7"/>
        <v>0</v>
      </c>
      <c r="BA41" s="26"/>
      <c r="BB41" s="34">
        <v>0</v>
      </c>
      <c r="BC41" s="35">
        <v>0</v>
      </c>
      <c r="BD41" s="35">
        <v>0</v>
      </c>
      <c r="BE41" s="36">
        <v>0</v>
      </c>
      <c r="BF41" s="37">
        <f t="shared" si="8"/>
        <v>0</v>
      </c>
      <c r="BG41" s="26"/>
      <c r="BH41" s="34">
        <v>0</v>
      </c>
      <c r="BI41" s="35">
        <v>0</v>
      </c>
      <c r="BJ41" s="35">
        <v>0</v>
      </c>
      <c r="BK41" s="36">
        <v>0</v>
      </c>
      <c r="BL41" s="37">
        <f t="shared" si="9"/>
        <v>0</v>
      </c>
      <c r="BM41" s="26"/>
      <c r="BN41" s="34">
        <v>0</v>
      </c>
      <c r="BO41" s="35">
        <v>0</v>
      </c>
      <c r="BP41" s="35">
        <v>0</v>
      </c>
      <c r="BQ41" s="36">
        <v>0</v>
      </c>
      <c r="BR41" s="37">
        <f t="shared" si="10"/>
        <v>0</v>
      </c>
      <c r="BS41" s="26"/>
      <c r="BT41" s="34">
        <v>0</v>
      </c>
      <c r="BU41" s="35">
        <v>0</v>
      </c>
      <c r="BV41" s="35">
        <v>0</v>
      </c>
      <c r="BW41" s="36">
        <v>0</v>
      </c>
      <c r="BX41" s="37">
        <f t="shared" si="11"/>
        <v>0</v>
      </c>
      <c r="BY41" s="26"/>
    </row>
    <row r="42" spans="1:77" ht="12" customHeight="1" x14ac:dyDescent="0.2">
      <c r="A42" s="24"/>
      <c r="B42" s="32" t="s">
        <v>52</v>
      </c>
      <c r="C42" s="26"/>
      <c r="D42" s="33">
        <v>23333333.336666644</v>
      </c>
      <c r="E42" s="26"/>
      <c r="F42" s="34">
        <v>0</v>
      </c>
      <c r="G42" s="35">
        <v>0</v>
      </c>
      <c r="H42" s="35">
        <v>0</v>
      </c>
      <c r="I42" s="36">
        <v>-833333.33333333337</v>
      </c>
      <c r="J42" s="37">
        <f t="shared" si="0"/>
        <v>22500000.003333312</v>
      </c>
      <c r="K42" s="26"/>
      <c r="L42" s="34">
        <v>0</v>
      </c>
      <c r="M42" s="35">
        <v>0</v>
      </c>
      <c r="N42" s="35">
        <v>0</v>
      </c>
      <c r="O42" s="36">
        <v>-833333.33333333337</v>
      </c>
      <c r="P42" s="37">
        <f t="shared" si="1"/>
        <v>21666666.669999979</v>
      </c>
      <c r="Q42" s="26"/>
      <c r="R42" s="34">
        <v>0</v>
      </c>
      <c r="S42" s="35">
        <v>0</v>
      </c>
      <c r="T42" s="35">
        <v>0</v>
      </c>
      <c r="U42" s="36">
        <v>-833333.33333333337</v>
      </c>
      <c r="V42" s="37">
        <f t="shared" si="2"/>
        <v>20833333.336666647</v>
      </c>
      <c r="W42" s="26"/>
      <c r="X42" s="34">
        <v>0</v>
      </c>
      <c r="Y42" s="35">
        <v>0</v>
      </c>
      <c r="Z42" s="35">
        <v>0</v>
      </c>
      <c r="AA42" s="36">
        <v>-833333.33333333337</v>
      </c>
      <c r="AB42" s="37">
        <f t="shared" si="3"/>
        <v>20000000.003333315</v>
      </c>
      <c r="AC42" s="26"/>
      <c r="AD42" s="34">
        <v>0</v>
      </c>
      <c r="AE42" s="35">
        <v>0</v>
      </c>
      <c r="AF42" s="35">
        <v>0</v>
      </c>
      <c r="AG42" s="36">
        <v>-833333.33333333337</v>
      </c>
      <c r="AH42" s="37">
        <f t="shared" si="4"/>
        <v>19166666.669999983</v>
      </c>
      <c r="AI42" s="26"/>
      <c r="AJ42" s="34">
        <v>0</v>
      </c>
      <c r="AK42" s="35">
        <v>0</v>
      </c>
      <c r="AL42" s="35">
        <v>0</v>
      </c>
      <c r="AM42" s="36">
        <v>-833333.33333333337</v>
      </c>
      <c r="AN42" s="37">
        <f t="shared" si="5"/>
        <v>18333333.336666651</v>
      </c>
      <c r="AO42" s="26"/>
      <c r="AP42" s="34">
        <v>0</v>
      </c>
      <c r="AQ42" s="35">
        <v>0</v>
      </c>
      <c r="AR42" s="35">
        <v>0</v>
      </c>
      <c r="AS42" s="36">
        <v>-833333.33333333337</v>
      </c>
      <c r="AT42" s="37">
        <f t="shared" si="6"/>
        <v>17500000.003333319</v>
      </c>
      <c r="AU42" s="26"/>
      <c r="AV42" s="34">
        <v>0</v>
      </c>
      <c r="AW42" s="35">
        <v>0</v>
      </c>
      <c r="AX42" s="35">
        <v>0</v>
      </c>
      <c r="AY42" s="36">
        <v>-833333.33333333337</v>
      </c>
      <c r="AZ42" s="37">
        <f t="shared" si="7"/>
        <v>16666666.669999985</v>
      </c>
      <c r="BA42" s="26"/>
      <c r="BB42" s="34">
        <v>0</v>
      </c>
      <c r="BC42" s="35">
        <v>0</v>
      </c>
      <c r="BD42" s="35">
        <v>0</v>
      </c>
      <c r="BE42" s="36">
        <v>-833333.33333333337</v>
      </c>
      <c r="BF42" s="37">
        <f t="shared" si="8"/>
        <v>15833333.336666651</v>
      </c>
      <c r="BG42" s="26"/>
      <c r="BH42" s="34">
        <v>0</v>
      </c>
      <c r="BI42" s="35">
        <v>0</v>
      </c>
      <c r="BJ42" s="35">
        <v>0</v>
      </c>
      <c r="BK42" s="36">
        <v>0</v>
      </c>
      <c r="BL42" s="37">
        <f t="shared" si="9"/>
        <v>15833333.336666651</v>
      </c>
      <c r="BM42" s="26"/>
      <c r="BN42" s="34">
        <v>0</v>
      </c>
      <c r="BO42" s="35">
        <v>0</v>
      </c>
      <c r="BP42" s="35">
        <v>0</v>
      </c>
      <c r="BQ42" s="36">
        <v>0</v>
      </c>
      <c r="BR42" s="37">
        <f t="shared" si="10"/>
        <v>15833333.336666651</v>
      </c>
      <c r="BS42" s="26"/>
      <c r="BT42" s="34">
        <v>0</v>
      </c>
      <c r="BU42" s="35">
        <v>0</v>
      </c>
      <c r="BV42" s="35">
        <v>0</v>
      </c>
      <c r="BW42" s="36">
        <v>0</v>
      </c>
      <c r="BX42" s="37">
        <f t="shared" si="11"/>
        <v>15833333.336666651</v>
      </c>
      <c r="BY42" s="26"/>
    </row>
    <row r="43" spans="1:77" ht="12" customHeight="1" x14ac:dyDescent="0.2">
      <c r="A43" s="24"/>
      <c r="B43" s="32" t="s">
        <v>53</v>
      </c>
      <c r="C43" s="26"/>
      <c r="D43" s="33">
        <v>0</v>
      </c>
      <c r="E43" s="26"/>
      <c r="F43" s="34">
        <v>0</v>
      </c>
      <c r="G43" s="35">
        <v>0</v>
      </c>
      <c r="H43" s="35">
        <v>0</v>
      </c>
      <c r="I43" s="36">
        <v>0</v>
      </c>
      <c r="J43" s="37">
        <f t="shared" si="0"/>
        <v>0</v>
      </c>
      <c r="K43" s="26"/>
      <c r="L43" s="34">
        <v>0</v>
      </c>
      <c r="M43" s="35">
        <v>0</v>
      </c>
      <c r="N43" s="35">
        <v>0</v>
      </c>
      <c r="O43" s="36">
        <v>0</v>
      </c>
      <c r="P43" s="37">
        <f t="shared" si="1"/>
        <v>0</v>
      </c>
      <c r="Q43" s="26"/>
      <c r="R43" s="34">
        <v>0</v>
      </c>
      <c r="S43" s="35">
        <v>0</v>
      </c>
      <c r="T43" s="35">
        <v>0</v>
      </c>
      <c r="U43" s="36">
        <v>0</v>
      </c>
      <c r="V43" s="37">
        <f t="shared" si="2"/>
        <v>0</v>
      </c>
      <c r="W43" s="26"/>
      <c r="X43" s="34">
        <v>0</v>
      </c>
      <c r="Y43" s="35">
        <v>0</v>
      </c>
      <c r="Z43" s="35">
        <v>0</v>
      </c>
      <c r="AA43" s="36">
        <v>0</v>
      </c>
      <c r="AB43" s="37">
        <f t="shared" si="3"/>
        <v>0</v>
      </c>
      <c r="AC43" s="26"/>
      <c r="AD43" s="34">
        <v>0</v>
      </c>
      <c r="AE43" s="35">
        <v>0</v>
      </c>
      <c r="AF43" s="35">
        <v>0</v>
      </c>
      <c r="AG43" s="36">
        <v>0</v>
      </c>
      <c r="AH43" s="37">
        <f t="shared" si="4"/>
        <v>0</v>
      </c>
      <c r="AI43" s="26"/>
      <c r="AJ43" s="34">
        <v>0</v>
      </c>
      <c r="AK43" s="35">
        <v>0</v>
      </c>
      <c r="AL43" s="35">
        <v>0</v>
      </c>
      <c r="AM43" s="36">
        <v>0</v>
      </c>
      <c r="AN43" s="37">
        <f t="shared" si="5"/>
        <v>0</v>
      </c>
      <c r="AO43" s="26"/>
      <c r="AP43" s="34">
        <v>0</v>
      </c>
      <c r="AQ43" s="35">
        <v>0</v>
      </c>
      <c r="AR43" s="35">
        <v>0</v>
      </c>
      <c r="AS43" s="36">
        <v>0</v>
      </c>
      <c r="AT43" s="37">
        <f t="shared" si="6"/>
        <v>0</v>
      </c>
      <c r="AU43" s="26"/>
      <c r="AV43" s="34">
        <v>0</v>
      </c>
      <c r="AW43" s="35">
        <v>0</v>
      </c>
      <c r="AX43" s="35">
        <v>0</v>
      </c>
      <c r="AY43" s="36">
        <v>0</v>
      </c>
      <c r="AZ43" s="37">
        <f t="shared" si="7"/>
        <v>0</v>
      </c>
      <c r="BA43" s="26"/>
      <c r="BB43" s="34">
        <v>0</v>
      </c>
      <c r="BC43" s="35">
        <v>0</v>
      </c>
      <c r="BD43" s="35">
        <v>0</v>
      </c>
      <c r="BE43" s="36">
        <v>0</v>
      </c>
      <c r="BF43" s="37">
        <f t="shared" si="8"/>
        <v>0</v>
      </c>
      <c r="BG43" s="26"/>
      <c r="BH43" s="34">
        <v>0</v>
      </c>
      <c r="BI43" s="35">
        <v>0</v>
      </c>
      <c r="BJ43" s="35">
        <v>0</v>
      </c>
      <c r="BK43" s="36">
        <v>0</v>
      </c>
      <c r="BL43" s="37">
        <f t="shared" si="9"/>
        <v>0</v>
      </c>
      <c r="BM43" s="26"/>
      <c r="BN43" s="34">
        <v>0</v>
      </c>
      <c r="BO43" s="35">
        <v>0</v>
      </c>
      <c r="BP43" s="35">
        <v>0</v>
      </c>
      <c r="BQ43" s="36">
        <v>0</v>
      </c>
      <c r="BR43" s="37">
        <f t="shared" si="10"/>
        <v>0</v>
      </c>
      <c r="BS43" s="26"/>
      <c r="BT43" s="34">
        <v>0</v>
      </c>
      <c r="BU43" s="35">
        <v>0</v>
      </c>
      <c r="BV43" s="35">
        <v>0</v>
      </c>
      <c r="BW43" s="36">
        <v>0</v>
      </c>
      <c r="BX43" s="37">
        <f t="shared" si="11"/>
        <v>0</v>
      </c>
      <c r="BY43" s="26"/>
    </row>
    <row r="44" spans="1:77" ht="12" customHeight="1" x14ac:dyDescent="0.2">
      <c r="A44" s="24"/>
      <c r="B44" s="32" t="s">
        <v>54</v>
      </c>
      <c r="C44" s="26"/>
      <c r="D44" s="33">
        <v>16166666.663333321</v>
      </c>
      <c r="E44" s="26"/>
      <c r="F44" s="34">
        <v>0</v>
      </c>
      <c r="G44" s="35">
        <v>0</v>
      </c>
      <c r="H44" s="35">
        <v>0</v>
      </c>
      <c r="I44" s="36">
        <v>-916666.66666666674</v>
      </c>
      <c r="J44" s="37">
        <f t="shared" si="0"/>
        <v>15249999.996666655</v>
      </c>
      <c r="K44" s="26"/>
      <c r="L44" s="34">
        <v>0</v>
      </c>
      <c r="M44" s="35">
        <v>0</v>
      </c>
      <c r="N44" s="35">
        <v>0</v>
      </c>
      <c r="O44" s="36">
        <v>-916666.66666666674</v>
      </c>
      <c r="P44" s="37">
        <f t="shared" si="1"/>
        <v>14333333.329999989</v>
      </c>
      <c r="Q44" s="26"/>
      <c r="R44" s="34">
        <v>0</v>
      </c>
      <c r="S44" s="35">
        <v>0</v>
      </c>
      <c r="T44" s="35">
        <v>0</v>
      </c>
      <c r="U44" s="36">
        <v>-916666.66666666674</v>
      </c>
      <c r="V44" s="37">
        <f t="shared" si="2"/>
        <v>13416666.663333323</v>
      </c>
      <c r="W44" s="26"/>
      <c r="X44" s="34">
        <v>0</v>
      </c>
      <c r="Y44" s="35">
        <v>0</v>
      </c>
      <c r="Z44" s="35">
        <v>0</v>
      </c>
      <c r="AA44" s="36">
        <v>-916666.66666666674</v>
      </c>
      <c r="AB44" s="37">
        <f t="shared" si="3"/>
        <v>12499999.996666657</v>
      </c>
      <c r="AC44" s="26"/>
      <c r="AD44" s="34">
        <v>0</v>
      </c>
      <c r="AE44" s="35">
        <v>0</v>
      </c>
      <c r="AF44" s="35">
        <v>0</v>
      </c>
      <c r="AG44" s="36">
        <v>-916666.66666666674</v>
      </c>
      <c r="AH44" s="37">
        <f t="shared" si="4"/>
        <v>11583333.329999991</v>
      </c>
      <c r="AI44" s="26"/>
      <c r="AJ44" s="34">
        <v>0</v>
      </c>
      <c r="AK44" s="35">
        <v>0</v>
      </c>
      <c r="AL44" s="35">
        <v>0</v>
      </c>
      <c r="AM44" s="36">
        <v>-916666.66666666674</v>
      </c>
      <c r="AN44" s="37">
        <f t="shared" si="5"/>
        <v>10666666.663333325</v>
      </c>
      <c r="AO44" s="26"/>
      <c r="AP44" s="34">
        <v>0</v>
      </c>
      <c r="AQ44" s="35">
        <v>20000000</v>
      </c>
      <c r="AR44" s="35">
        <v>0</v>
      </c>
      <c r="AS44" s="36">
        <v>-1472222.2222222222</v>
      </c>
      <c r="AT44" s="37">
        <f t="shared" si="6"/>
        <v>29194444.441111103</v>
      </c>
      <c r="AU44" s="26"/>
      <c r="AV44" s="34">
        <v>0</v>
      </c>
      <c r="AW44" s="35">
        <v>0</v>
      </c>
      <c r="AX44" s="35">
        <v>0</v>
      </c>
      <c r="AY44" s="36">
        <v>-1472222.2222222222</v>
      </c>
      <c r="AZ44" s="37">
        <f t="shared" si="7"/>
        <v>27722222.218888879</v>
      </c>
      <c r="BA44" s="26"/>
      <c r="BB44" s="34">
        <v>0</v>
      </c>
      <c r="BC44" s="35">
        <v>0</v>
      </c>
      <c r="BD44" s="35">
        <v>0</v>
      </c>
      <c r="BE44" s="36">
        <v>-1472222.2222222222</v>
      </c>
      <c r="BF44" s="37">
        <f t="shared" si="8"/>
        <v>26249999.996666655</v>
      </c>
      <c r="BG44" s="26"/>
      <c r="BH44" s="34">
        <v>0</v>
      </c>
      <c r="BI44" s="35">
        <v>0</v>
      </c>
      <c r="BJ44" s="35">
        <v>0</v>
      </c>
      <c r="BK44" s="36">
        <v>0</v>
      </c>
      <c r="BL44" s="37">
        <f t="shared" si="9"/>
        <v>26249999.996666655</v>
      </c>
      <c r="BM44" s="26"/>
      <c r="BN44" s="34">
        <v>0</v>
      </c>
      <c r="BO44" s="35">
        <v>0</v>
      </c>
      <c r="BP44" s="35">
        <v>0</v>
      </c>
      <c r="BQ44" s="36">
        <v>0</v>
      </c>
      <c r="BR44" s="37">
        <f t="shared" si="10"/>
        <v>26249999.996666655</v>
      </c>
      <c r="BS44" s="26"/>
      <c r="BT44" s="34">
        <v>0</v>
      </c>
      <c r="BU44" s="35">
        <v>0</v>
      </c>
      <c r="BV44" s="35">
        <v>0</v>
      </c>
      <c r="BW44" s="36">
        <v>0</v>
      </c>
      <c r="BX44" s="37">
        <f t="shared" si="11"/>
        <v>26249999.996666655</v>
      </c>
      <c r="BY44" s="26"/>
    </row>
    <row r="45" spans="1:77" ht="12" customHeight="1" x14ac:dyDescent="0.2">
      <c r="A45" s="24"/>
      <c r="B45" s="32" t="s">
        <v>55</v>
      </c>
      <c r="C45" s="26"/>
      <c r="D45" s="33">
        <v>70583333.333333284</v>
      </c>
      <c r="E45" s="26"/>
      <c r="F45" s="34">
        <v>0</v>
      </c>
      <c r="G45" s="35">
        <v>0</v>
      </c>
      <c r="H45" s="35">
        <v>0</v>
      </c>
      <c r="I45" s="36">
        <v>-1666666.6666666665</v>
      </c>
      <c r="J45" s="37">
        <f t="shared" si="0"/>
        <v>68916666.666666612</v>
      </c>
      <c r="K45" s="26"/>
      <c r="L45" s="34">
        <v>0</v>
      </c>
      <c r="M45" s="35">
        <v>0</v>
      </c>
      <c r="N45" s="35">
        <v>0</v>
      </c>
      <c r="O45" s="36">
        <v>-1666666.6666666665</v>
      </c>
      <c r="P45" s="37">
        <f t="shared" si="1"/>
        <v>67249999.99999994</v>
      </c>
      <c r="Q45" s="26"/>
      <c r="R45" s="34">
        <v>0</v>
      </c>
      <c r="S45" s="35">
        <v>0</v>
      </c>
      <c r="T45" s="35">
        <v>0</v>
      </c>
      <c r="U45" s="36">
        <v>-1666666.6666666665</v>
      </c>
      <c r="V45" s="37">
        <f t="shared" si="2"/>
        <v>65583333.333333276</v>
      </c>
      <c r="W45" s="26"/>
      <c r="X45" s="34">
        <v>0</v>
      </c>
      <c r="Y45" s="35">
        <v>0</v>
      </c>
      <c r="Z45" s="35">
        <v>0</v>
      </c>
      <c r="AA45" s="36">
        <v>-1666666.6666666665</v>
      </c>
      <c r="AB45" s="37">
        <f t="shared" si="3"/>
        <v>63916666.666666612</v>
      </c>
      <c r="AC45" s="26"/>
      <c r="AD45" s="34">
        <v>0</v>
      </c>
      <c r="AE45" s="35">
        <v>0</v>
      </c>
      <c r="AF45" s="35">
        <v>0</v>
      </c>
      <c r="AG45" s="36">
        <v>-1666666.6666666665</v>
      </c>
      <c r="AH45" s="37">
        <f t="shared" si="4"/>
        <v>62249999.999999948</v>
      </c>
      <c r="AI45" s="26"/>
      <c r="AJ45" s="34">
        <v>0</v>
      </c>
      <c r="AK45" s="35">
        <v>0</v>
      </c>
      <c r="AL45" s="35">
        <v>0</v>
      </c>
      <c r="AM45" s="36">
        <v>-1666666.6666666665</v>
      </c>
      <c r="AN45" s="37">
        <f t="shared" si="5"/>
        <v>60583333.333333284</v>
      </c>
      <c r="AO45" s="26"/>
      <c r="AP45" s="34">
        <v>0</v>
      </c>
      <c r="AQ45" s="35">
        <v>0</v>
      </c>
      <c r="AR45" s="35">
        <v>0</v>
      </c>
      <c r="AS45" s="36">
        <v>-1666666.6666666665</v>
      </c>
      <c r="AT45" s="37">
        <f t="shared" si="6"/>
        <v>58916666.666666619</v>
      </c>
      <c r="AU45" s="26"/>
      <c r="AV45" s="34">
        <v>0</v>
      </c>
      <c r="AW45" s="35">
        <v>0</v>
      </c>
      <c r="AX45" s="35">
        <v>0</v>
      </c>
      <c r="AY45" s="36">
        <v>-1666666.6666666665</v>
      </c>
      <c r="AZ45" s="37">
        <f t="shared" si="7"/>
        <v>57249999.999999955</v>
      </c>
      <c r="BA45" s="26"/>
      <c r="BB45" s="34">
        <v>0</v>
      </c>
      <c r="BC45" s="35">
        <v>0</v>
      </c>
      <c r="BD45" s="35">
        <v>0</v>
      </c>
      <c r="BE45" s="36">
        <v>-1666666.6666666665</v>
      </c>
      <c r="BF45" s="37">
        <f t="shared" si="8"/>
        <v>55583333.333333291</v>
      </c>
      <c r="BG45" s="26"/>
      <c r="BH45" s="34">
        <v>0</v>
      </c>
      <c r="BI45" s="35">
        <v>0</v>
      </c>
      <c r="BJ45" s="35">
        <v>0</v>
      </c>
      <c r="BK45" s="36">
        <v>0</v>
      </c>
      <c r="BL45" s="37">
        <f t="shared" si="9"/>
        <v>55583333.333333291</v>
      </c>
      <c r="BM45" s="26"/>
      <c r="BN45" s="34">
        <v>0</v>
      </c>
      <c r="BO45" s="35">
        <v>0</v>
      </c>
      <c r="BP45" s="35">
        <v>0</v>
      </c>
      <c r="BQ45" s="36">
        <v>0</v>
      </c>
      <c r="BR45" s="37">
        <f t="shared" si="10"/>
        <v>55583333.333333291</v>
      </c>
      <c r="BS45" s="26"/>
      <c r="BT45" s="34">
        <v>0</v>
      </c>
      <c r="BU45" s="35">
        <v>0</v>
      </c>
      <c r="BV45" s="35">
        <v>0</v>
      </c>
      <c r="BW45" s="36">
        <v>0</v>
      </c>
      <c r="BX45" s="37">
        <f t="shared" si="11"/>
        <v>55583333.333333291</v>
      </c>
      <c r="BY45" s="26"/>
    </row>
    <row r="46" spans="1:77" ht="12" customHeight="1" x14ac:dyDescent="0.2">
      <c r="A46" s="24"/>
      <c r="B46" s="32" t="s">
        <v>56</v>
      </c>
      <c r="C46" s="26"/>
      <c r="D46" s="33">
        <v>45000000.000000045</v>
      </c>
      <c r="E46" s="26"/>
      <c r="F46" s="34">
        <v>0</v>
      </c>
      <c r="G46" s="35">
        <v>0</v>
      </c>
      <c r="H46" s="35">
        <v>0</v>
      </c>
      <c r="I46" s="36">
        <v>-1250000</v>
      </c>
      <c r="J46" s="37">
        <f t="shared" si="0"/>
        <v>43750000.000000045</v>
      </c>
      <c r="K46" s="26"/>
      <c r="L46" s="34">
        <v>0</v>
      </c>
      <c r="M46" s="35">
        <v>0</v>
      </c>
      <c r="N46" s="35">
        <v>0</v>
      </c>
      <c r="O46" s="36">
        <v>-1250000</v>
      </c>
      <c r="P46" s="37">
        <f t="shared" si="1"/>
        <v>42500000.000000045</v>
      </c>
      <c r="Q46" s="26"/>
      <c r="R46" s="34">
        <v>0</v>
      </c>
      <c r="S46" s="35">
        <v>0</v>
      </c>
      <c r="T46" s="35">
        <v>0</v>
      </c>
      <c r="U46" s="36">
        <v>-1250000</v>
      </c>
      <c r="V46" s="37">
        <f t="shared" si="2"/>
        <v>41250000.000000045</v>
      </c>
      <c r="W46" s="26"/>
      <c r="X46" s="34">
        <v>0</v>
      </c>
      <c r="Y46" s="35">
        <v>0</v>
      </c>
      <c r="Z46" s="35">
        <v>0</v>
      </c>
      <c r="AA46" s="36">
        <v>-1250000</v>
      </c>
      <c r="AB46" s="37">
        <f t="shared" si="3"/>
        <v>40000000.000000045</v>
      </c>
      <c r="AC46" s="26"/>
      <c r="AD46" s="34">
        <v>0</v>
      </c>
      <c r="AE46" s="35">
        <v>0</v>
      </c>
      <c r="AF46" s="35">
        <v>0</v>
      </c>
      <c r="AG46" s="36">
        <v>-1250000</v>
      </c>
      <c r="AH46" s="37">
        <f t="shared" si="4"/>
        <v>38750000.000000045</v>
      </c>
      <c r="AI46" s="26"/>
      <c r="AJ46" s="34">
        <v>0</v>
      </c>
      <c r="AK46" s="35">
        <v>0</v>
      </c>
      <c r="AL46" s="35">
        <v>0</v>
      </c>
      <c r="AM46" s="36">
        <v>-1250000</v>
      </c>
      <c r="AN46" s="37">
        <f t="shared" si="5"/>
        <v>37500000.000000045</v>
      </c>
      <c r="AO46" s="26"/>
      <c r="AP46" s="34">
        <v>0</v>
      </c>
      <c r="AQ46" s="35">
        <v>0</v>
      </c>
      <c r="AR46" s="35">
        <v>0</v>
      </c>
      <c r="AS46" s="36">
        <v>-1250000</v>
      </c>
      <c r="AT46" s="37">
        <f t="shared" si="6"/>
        <v>36250000.000000045</v>
      </c>
      <c r="AU46" s="26"/>
      <c r="AV46" s="34">
        <v>0</v>
      </c>
      <c r="AW46" s="35">
        <v>0</v>
      </c>
      <c r="AX46" s="35">
        <v>0</v>
      </c>
      <c r="AY46" s="36">
        <v>-1250000</v>
      </c>
      <c r="AZ46" s="37">
        <f t="shared" si="7"/>
        <v>35000000.000000045</v>
      </c>
      <c r="BA46" s="26"/>
      <c r="BB46" s="34">
        <v>0</v>
      </c>
      <c r="BC46" s="35">
        <v>0</v>
      </c>
      <c r="BD46" s="35">
        <v>0</v>
      </c>
      <c r="BE46" s="36">
        <v>-1250000</v>
      </c>
      <c r="BF46" s="37">
        <f t="shared" si="8"/>
        <v>33750000.000000045</v>
      </c>
      <c r="BG46" s="26"/>
      <c r="BH46" s="34">
        <v>0</v>
      </c>
      <c r="BI46" s="35">
        <v>0</v>
      </c>
      <c r="BJ46" s="35">
        <v>0</v>
      </c>
      <c r="BK46" s="36">
        <v>0</v>
      </c>
      <c r="BL46" s="37">
        <f t="shared" si="9"/>
        <v>33750000.000000045</v>
      </c>
      <c r="BM46" s="26"/>
      <c r="BN46" s="34">
        <v>0</v>
      </c>
      <c r="BO46" s="35">
        <v>0</v>
      </c>
      <c r="BP46" s="35">
        <v>0</v>
      </c>
      <c r="BQ46" s="36">
        <v>0</v>
      </c>
      <c r="BR46" s="37">
        <f t="shared" si="10"/>
        <v>33750000.000000045</v>
      </c>
      <c r="BS46" s="26"/>
      <c r="BT46" s="34">
        <v>0</v>
      </c>
      <c r="BU46" s="35">
        <v>0</v>
      </c>
      <c r="BV46" s="35">
        <v>0</v>
      </c>
      <c r="BW46" s="36">
        <v>0</v>
      </c>
      <c r="BX46" s="37">
        <f t="shared" si="11"/>
        <v>33750000.000000045</v>
      </c>
      <c r="BY46" s="26"/>
    </row>
    <row r="47" spans="1:77" ht="12" customHeight="1" x14ac:dyDescent="0.2">
      <c r="A47" s="24"/>
      <c r="B47" s="32" t="s">
        <v>57</v>
      </c>
      <c r="C47" s="26"/>
      <c r="D47" s="33">
        <v>95000000.666666672</v>
      </c>
      <c r="E47" s="26"/>
      <c r="F47" s="34">
        <v>0</v>
      </c>
      <c r="G47" s="35">
        <v>0</v>
      </c>
      <c r="H47" s="35">
        <v>0</v>
      </c>
      <c r="I47" s="36">
        <v>-1666666.6666666667</v>
      </c>
      <c r="J47" s="37">
        <f t="shared" si="0"/>
        <v>93333334</v>
      </c>
      <c r="K47" s="26"/>
      <c r="L47" s="34">
        <v>0</v>
      </c>
      <c r="M47" s="35">
        <v>0</v>
      </c>
      <c r="N47" s="35">
        <v>0</v>
      </c>
      <c r="O47" s="36">
        <v>-1666666.6666666667</v>
      </c>
      <c r="P47" s="37">
        <f t="shared" si="1"/>
        <v>91666667.333333328</v>
      </c>
      <c r="Q47" s="26"/>
      <c r="R47" s="34">
        <v>0</v>
      </c>
      <c r="S47" s="35">
        <v>0</v>
      </c>
      <c r="T47" s="35">
        <v>-90000000</v>
      </c>
      <c r="U47" s="36">
        <v>-1666666.6666666667</v>
      </c>
      <c r="V47" s="37">
        <f t="shared" si="2"/>
        <v>0</v>
      </c>
      <c r="W47" s="26"/>
      <c r="X47" s="34">
        <v>0</v>
      </c>
      <c r="Y47" s="35">
        <v>0</v>
      </c>
      <c r="Z47" s="35">
        <v>0</v>
      </c>
      <c r="AA47" s="36">
        <v>0</v>
      </c>
      <c r="AB47" s="37">
        <f t="shared" si="3"/>
        <v>0</v>
      </c>
      <c r="AC47" s="26"/>
      <c r="AD47" s="34">
        <v>0</v>
      </c>
      <c r="AE47" s="35">
        <v>40000000</v>
      </c>
      <c r="AF47" s="35">
        <v>0</v>
      </c>
      <c r="AG47" s="36">
        <v>0</v>
      </c>
      <c r="AH47" s="37">
        <f t="shared" si="4"/>
        <v>40000000</v>
      </c>
      <c r="AI47" s="26"/>
      <c r="AJ47" s="34">
        <v>0</v>
      </c>
      <c r="AK47" s="35">
        <v>0</v>
      </c>
      <c r="AL47" s="35">
        <v>0</v>
      </c>
      <c r="AM47" s="36">
        <v>-666666.66666666663</v>
      </c>
      <c r="AN47" s="37">
        <f t="shared" si="5"/>
        <v>39333333.333333336</v>
      </c>
      <c r="AO47" s="26"/>
      <c r="AP47" s="34">
        <v>0</v>
      </c>
      <c r="AQ47" s="35">
        <v>0</v>
      </c>
      <c r="AR47" s="35">
        <v>0</v>
      </c>
      <c r="AS47" s="36">
        <v>-666666.66666666663</v>
      </c>
      <c r="AT47" s="37">
        <f t="shared" si="6"/>
        <v>38666666.666666672</v>
      </c>
      <c r="AU47" s="26"/>
      <c r="AV47" s="34">
        <v>0</v>
      </c>
      <c r="AW47" s="35">
        <v>0</v>
      </c>
      <c r="AX47" s="35">
        <v>0</v>
      </c>
      <c r="AY47" s="36">
        <v>-666666.66666666663</v>
      </c>
      <c r="AZ47" s="37">
        <f t="shared" si="7"/>
        <v>38000000.000000007</v>
      </c>
      <c r="BA47" s="26"/>
      <c r="BB47" s="34">
        <v>0</v>
      </c>
      <c r="BC47" s="35">
        <v>0</v>
      </c>
      <c r="BD47" s="35">
        <v>0</v>
      </c>
      <c r="BE47" s="36">
        <v>-666666.66666666663</v>
      </c>
      <c r="BF47" s="37">
        <f t="shared" si="8"/>
        <v>37333333.333333343</v>
      </c>
      <c r="BG47" s="26"/>
      <c r="BH47" s="34">
        <v>0</v>
      </c>
      <c r="BI47" s="35">
        <v>0</v>
      </c>
      <c r="BJ47" s="35">
        <v>0</v>
      </c>
      <c r="BK47" s="36">
        <v>0</v>
      </c>
      <c r="BL47" s="37">
        <f t="shared" si="9"/>
        <v>37333333.333333343</v>
      </c>
      <c r="BM47" s="26"/>
      <c r="BN47" s="34">
        <v>0</v>
      </c>
      <c r="BO47" s="35">
        <v>0</v>
      </c>
      <c r="BP47" s="35">
        <v>0</v>
      </c>
      <c r="BQ47" s="36">
        <v>0</v>
      </c>
      <c r="BR47" s="37">
        <f t="shared" si="10"/>
        <v>37333333.333333343</v>
      </c>
      <c r="BS47" s="26"/>
      <c r="BT47" s="34">
        <v>0</v>
      </c>
      <c r="BU47" s="35">
        <v>0</v>
      </c>
      <c r="BV47" s="35">
        <v>0</v>
      </c>
      <c r="BW47" s="36">
        <v>0</v>
      </c>
      <c r="BX47" s="37">
        <f t="shared" si="11"/>
        <v>37333333.333333343</v>
      </c>
      <c r="BY47" s="26"/>
    </row>
    <row r="48" spans="1:77" ht="12" customHeight="1" x14ac:dyDescent="0.2">
      <c r="A48" s="24"/>
      <c r="B48" s="32" t="s">
        <v>58</v>
      </c>
      <c r="C48" s="26"/>
      <c r="D48" s="33">
        <v>66766666.666666619</v>
      </c>
      <c r="E48" s="26"/>
      <c r="F48" s="34">
        <v>0</v>
      </c>
      <c r="G48" s="35">
        <v>0</v>
      </c>
      <c r="H48" s="35">
        <v>0</v>
      </c>
      <c r="I48" s="36">
        <v>-1566666.6666666667</v>
      </c>
      <c r="J48" s="37">
        <f t="shared" si="0"/>
        <v>65199999.999999955</v>
      </c>
      <c r="K48" s="26"/>
      <c r="L48" s="34">
        <v>0</v>
      </c>
      <c r="M48" s="35">
        <v>50000000</v>
      </c>
      <c r="N48" s="35">
        <v>-8800000</v>
      </c>
      <c r="O48" s="36">
        <v>-1566666.6666666667</v>
      </c>
      <c r="P48" s="37">
        <f t="shared" si="1"/>
        <v>104833333.33333328</v>
      </c>
      <c r="Q48" s="26"/>
      <c r="R48" s="34">
        <v>0</v>
      </c>
      <c r="S48" s="35">
        <v>0</v>
      </c>
      <c r="T48" s="35">
        <v>0</v>
      </c>
      <c r="U48" s="36">
        <v>-2000000</v>
      </c>
      <c r="V48" s="37">
        <f t="shared" si="2"/>
        <v>102833333.33333328</v>
      </c>
      <c r="W48" s="26"/>
      <c r="X48" s="34">
        <v>0</v>
      </c>
      <c r="Y48" s="35">
        <v>0</v>
      </c>
      <c r="Z48" s="35">
        <v>0</v>
      </c>
      <c r="AA48" s="36">
        <v>-2000000</v>
      </c>
      <c r="AB48" s="37">
        <f t="shared" si="3"/>
        <v>100833333.33333328</v>
      </c>
      <c r="AC48" s="26"/>
      <c r="AD48" s="34">
        <v>0</v>
      </c>
      <c r="AE48" s="35">
        <v>0</v>
      </c>
      <c r="AF48" s="35">
        <v>0</v>
      </c>
      <c r="AG48" s="36">
        <v>-2000000</v>
      </c>
      <c r="AH48" s="37">
        <f t="shared" si="4"/>
        <v>98833333.333333284</v>
      </c>
      <c r="AI48" s="26"/>
      <c r="AJ48" s="34">
        <v>0</v>
      </c>
      <c r="AK48" s="35">
        <v>0</v>
      </c>
      <c r="AL48" s="35">
        <v>0</v>
      </c>
      <c r="AM48" s="36">
        <v>-2000000</v>
      </c>
      <c r="AN48" s="37">
        <f t="shared" si="5"/>
        <v>96833333.333333284</v>
      </c>
      <c r="AO48" s="26"/>
      <c r="AP48" s="34">
        <v>0</v>
      </c>
      <c r="AQ48" s="35">
        <v>0</v>
      </c>
      <c r="AR48" s="35">
        <v>0</v>
      </c>
      <c r="AS48" s="36">
        <v>-2000000</v>
      </c>
      <c r="AT48" s="37">
        <f t="shared" si="6"/>
        <v>94833333.333333284</v>
      </c>
      <c r="AU48" s="26"/>
      <c r="AV48" s="34">
        <v>0</v>
      </c>
      <c r="AW48" s="35">
        <v>0</v>
      </c>
      <c r="AX48" s="35">
        <v>0</v>
      </c>
      <c r="AY48" s="36">
        <v>-2000000</v>
      </c>
      <c r="AZ48" s="37">
        <f t="shared" si="7"/>
        <v>92833333.333333284</v>
      </c>
      <c r="BA48" s="26"/>
      <c r="BB48" s="34">
        <v>0</v>
      </c>
      <c r="BC48" s="35">
        <v>0</v>
      </c>
      <c r="BD48" s="35">
        <v>0</v>
      </c>
      <c r="BE48" s="36">
        <v>-2000000</v>
      </c>
      <c r="BF48" s="37">
        <f t="shared" si="8"/>
        <v>90833333.333333284</v>
      </c>
      <c r="BG48" s="26"/>
      <c r="BH48" s="34">
        <v>0</v>
      </c>
      <c r="BI48" s="35">
        <v>0</v>
      </c>
      <c r="BJ48" s="35">
        <v>0</v>
      </c>
      <c r="BK48" s="36">
        <v>0</v>
      </c>
      <c r="BL48" s="37">
        <f t="shared" si="9"/>
        <v>90833333.333333284</v>
      </c>
      <c r="BM48" s="26"/>
      <c r="BN48" s="34">
        <v>0</v>
      </c>
      <c r="BO48" s="35">
        <v>0</v>
      </c>
      <c r="BP48" s="35">
        <v>0</v>
      </c>
      <c r="BQ48" s="36">
        <v>0</v>
      </c>
      <c r="BR48" s="37">
        <f t="shared" si="10"/>
        <v>90833333.333333284</v>
      </c>
      <c r="BS48" s="26"/>
      <c r="BT48" s="34">
        <v>0</v>
      </c>
      <c r="BU48" s="35">
        <v>0</v>
      </c>
      <c r="BV48" s="35">
        <v>0</v>
      </c>
      <c r="BW48" s="36">
        <v>0</v>
      </c>
      <c r="BX48" s="37">
        <f t="shared" si="11"/>
        <v>90833333.333333284</v>
      </c>
      <c r="BY48" s="26"/>
    </row>
    <row r="49" spans="1:77" ht="12" customHeight="1" x14ac:dyDescent="0.2">
      <c r="A49" s="24"/>
      <c r="B49" s="32" t="s">
        <v>59</v>
      </c>
      <c r="C49" s="26"/>
      <c r="D49" s="33">
        <v>91666666.323333219</v>
      </c>
      <c r="E49" s="26"/>
      <c r="F49" s="34">
        <v>0</v>
      </c>
      <c r="G49" s="35">
        <v>20000000</v>
      </c>
      <c r="H49" s="35">
        <v>0</v>
      </c>
      <c r="I49" s="36">
        <v>-2500000</v>
      </c>
      <c r="J49" s="37">
        <f t="shared" si="0"/>
        <v>109166666.32333322</v>
      </c>
      <c r="K49" s="26"/>
      <c r="L49" s="34">
        <v>0</v>
      </c>
      <c r="M49" s="35">
        <v>0</v>
      </c>
      <c r="N49" s="35">
        <v>0</v>
      </c>
      <c r="O49" s="36">
        <v>-2500000</v>
      </c>
      <c r="P49" s="37">
        <f t="shared" si="1"/>
        <v>106666666.32333322</v>
      </c>
      <c r="Q49" s="26"/>
      <c r="R49" s="34">
        <v>0</v>
      </c>
      <c r="S49" s="35">
        <v>0</v>
      </c>
      <c r="T49" s="35">
        <v>0</v>
      </c>
      <c r="U49" s="36">
        <v>-2500000</v>
      </c>
      <c r="V49" s="37">
        <f t="shared" si="2"/>
        <v>104166666.32333322</v>
      </c>
      <c r="W49" s="26"/>
      <c r="X49" s="34">
        <v>0</v>
      </c>
      <c r="Y49" s="35">
        <v>0</v>
      </c>
      <c r="Z49" s="35">
        <v>0</v>
      </c>
      <c r="AA49" s="36">
        <v>-2500000</v>
      </c>
      <c r="AB49" s="37">
        <f t="shared" si="3"/>
        <v>101666666.32333322</v>
      </c>
      <c r="AC49" s="26"/>
      <c r="AD49" s="34">
        <v>0</v>
      </c>
      <c r="AE49" s="35">
        <v>0</v>
      </c>
      <c r="AF49" s="35">
        <v>0</v>
      </c>
      <c r="AG49" s="36">
        <v>-2500000</v>
      </c>
      <c r="AH49" s="37">
        <f t="shared" si="4"/>
        <v>99166666.323333219</v>
      </c>
      <c r="AI49" s="26"/>
      <c r="AJ49" s="34">
        <v>0</v>
      </c>
      <c r="AK49" s="35">
        <v>0</v>
      </c>
      <c r="AL49" s="35">
        <v>0</v>
      </c>
      <c r="AM49" s="36">
        <v>-2500000</v>
      </c>
      <c r="AN49" s="37">
        <f t="shared" si="5"/>
        <v>96666666.323333219</v>
      </c>
      <c r="AO49" s="26"/>
      <c r="AP49" s="34">
        <v>-80000000</v>
      </c>
      <c r="AQ49" s="35">
        <v>100000000</v>
      </c>
      <c r="AR49" s="35">
        <v>0</v>
      </c>
      <c r="AS49" s="36">
        <v>-2500000</v>
      </c>
      <c r="AT49" s="37">
        <f t="shared" si="6"/>
        <v>114166666.32333322</v>
      </c>
      <c r="AU49" s="26"/>
      <c r="AV49" s="34">
        <v>0</v>
      </c>
      <c r="AW49" s="35">
        <v>0</v>
      </c>
      <c r="AX49" s="35">
        <v>0</v>
      </c>
      <c r="AY49" s="36">
        <v>-2500000</v>
      </c>
      <c r="AZ49" s="37">
        <f t="shared" si="7"/>
        <v>111666666.32333322</v>
      </c>
      <c r="BA49" s="26"/>
      <c r="BB49" s="34">
        <v>0</v>
      </c>
      <c r="BC49" s="35">
        <v>0</v>
      </c>
      <c r="BD49" s="35">
        <v>0</v>
      </c>
      <c r="BE49" s="36">
        <v>-2500000</v>
      </c>
      <c r="BF49" s="37">
        <f t="shared" si="8"/>
        <v>109166666.32333322</v>
      </c>
      <c r="BG49" s="26"/>
      <c r="BH49" s="34">
        <v>0</v>
      </c>
      <c r="BI49" s="35">
        <v>0</v>
      </c>
      <c r="BJ49" s="35">
        <v>0</v>
      </c>
      <c r="BK49" s="36">
        <v>0</v>
      </c>
      <c r="BL49" s="37">
        <f t="shared" si="9"/>
        <v>109166666.32333322</v>
      </c>
      <c r="BM49" s="26"/>
      <c r="BN49" s="34">
        <v>0</v>
      </c>
      <c r="BO49" s="35">
        <v>0</v>
      </c>
      <c r="BP49" s="35">
        <v>0</v>
      </c>
      <c r="BQ49" s="36">
        <v>0</v>
      </c>
      <c r="BR49" s="37">
        <f t="shared" si="10"/>
        <v>109166666.32333322</v>
      </c>
      <c r="BS49" s="26"/>
      <c r="BT49" s="34">
        <v>0</v>
      </c>
      <c r="BU49" s="35">
        <v>0</v>
      </c>
      <c r="BV49" s="35">
        <v>0</v>
      </c>
      <c r="BW49" s="36">
        <v>0</v>
      </c>
      <c r="BX49" s="37">
        <f t="shared" si="11"/>
        <v>109166666.32333322</v>
      </c>
      <c r="BY49" s="26"/>
    </row>
    <row r="50" spans="1:77" ht="12" customHeight="1" x14ac:dyDescent="0.2">
      <c r="A50" s="24"/>
      <c r="B50" s="32" t="s">
        <v>60</v>
      </c>
      <c r="C50" s="26"/>
      <c r="D50" s="33">
        <v>0</v>
      </c>
      <c r="E50" s="26"/>
      <c r="F50" s="34">
        <v>0</v>
      </c>
      <c r="G50" s="35">
        <v>0</v>
      </c>
      <c r="H50" s="35">
        <v>0</v>
      </c>
      <c r="I50" s="36">
        <v>0</v>
      </c>
      <c r="J50" s="37">
        <f t="shared" si="0"/>
        <v>0</v>
      </c>
      <c r="K50" s="26"/>
      <c r="L50" s="34">
        <v>0</v>
      </c>
      <c r="M50" s="35">
        <v>0</v>
      </c>
      <c r="N50" s="35">
        <v>0</v>
      </c>
      <c r="O50" s="36">
        <v>0</v>
      </c>
      <c r="P50" s="37">
        <f t="shared" si="1"/>
        <v>0</v>
      </c>
      <c r="Q50" s="26"/>
      <c r="R50" s="34">
        <v>0</v>
      </c>
      <c r="S50" s="35">
        <v>0</v>
      </c>
      <c r="T50" s="35">
        <v>0</v>
      </c>
      <c r="U50" s="36">
        <v>0</v>
      </c>
      <c r="V50" s="37">
        <f t="shared" si="2"/>
        <v>0</v>
      </c>
      <c r="W50" s="26"/>
      <c r="X50" s="34">
        <v>0</v>
      </c>
      <c r="Y50" s="35">
        <v>0</v>
      </c>
      <c r="Z50" s="35">
        <v>0</v>
      </c>
      <c r="AA50" s="36">
        <v>0</v>
      </c>
      <c r="AB50" s="37">
        <f t="shared" si="3"/>
        <v>0</v>
      </c>
      <c r="AC50" s="26"/>
      <c r="AD50" s="34">
        <v>0</v>
      </c>
      <c r="AE50" s="35">
        <v>0</v>
      </c>
      <c r="AF50" s="35">
        <v>0</v>
      </c>
      <c r="AG50" s="36">
        <v>0</v>
      </c>
      <c r="AH50" s="37">
        <f t="shared" si="4"/>
        <v>0</v>
      </c>
      <c r="AI50" s="26"/>
      <c r="AJ50" s="34">
        <v>0</v>
      </c>
      <c r="AK50" s="35">
        <v>0</v>
      </c>
      <c r="AL50" s="35">
        <v>0</v>
      </c>
      <c r="AM50" s="36">
        <v>0</v>
      </c>
      <c r="AN50" s="37">
        <f t="shared" si="5"/>
        <v>0</v>
      </c>
      <c r="AO50" s="26"/>
      <c r="AP50" s="34">
        <v>0</v>
      </c>
      <c r="AQ50" s="35">
        <v>0</v>
      </c>
      <c r="AR50" s="35">
        <v>0</v>
      </c>
      <c r="AS50" s="36">
        <v>0</v>
      </c>
      <c r="AT50" s="37">
        <f t="shared" si="6"/>
        <v>0</v>
      </c>
      <c r="AU50" s="26"/>
      <c r="AV50" s="34">
        <v>0</v>
      </c>
      <c r="AW50" s="35">
        <v>0</v>
      </c>
      <c r="AX50" s="35">
        <v>0</v>
      </c>
      <c r="AY50" s="36">
        <v>0</v>
      </c>
      <c r="AZ50" s="37">
        <f t="shared" si="7"/>
        <v>0</v>
      </c>
      <c r="BA50" s="26"/>
      <c r="BB50" s="34">
        <v>0</v>
      </c>
      <c r="BC50" s="35">
        <v>0</v>
      </c>
      <c r="BD50" s="35">
        <v>0</v>
      </c>
      <c r="BE50" s="36">
        <v>0</v>
      </c>
      <c r="BF50" s="37">
        <f t="shared" si="8"/>
        <v>0</v>
      </c>
      <c r="BG50" s="26"/>
      <c r="BH50" s="34">
        <v>0</v>
      </c>
      <c r="BI50" s="35">
        <v>0</v>
      </c>
      <c r="BJ50" s="35">
        <v>0</v>
      </c>
      <c r="BK50" s="36">
        <v>0</v>
      </c>
      <c r="BL50" s="37">
        <f t="shared" si="9"/>
        <v>0</v>
      </c>
      <c r="BM50" s="26"/>
      <c r="BN50" s="34">
        <v>0</v>
      </c>
      <c r="BO50" s="35">
        <v>0</v>
      </c>
      <c r="BP50" s="35">
        <v>0</v>
      </c>
      <c r="BQ50" s="36">
        <v>0</v>
      </c>
      <c r="BR50" s="37">
        <f t="shared" si="10"/>
        <v>0</v>
      </c>
      <c r="BS50" s="26"/>
      <c r="BT50" s="34">
        <v>0</v>
      </c>
      <c r="BU50" s="35">
        <v>0</v>
      </c>
      <c r="BV50" s="35">
        <v>0</v>
      </c>
      <c r="BW50" s="36">
        <v>0</v>
      </c>
      <c r="BX50" s="37">
        <f t="shared" si="11"/>
        <v>0</v>
      </c>
      <c r="BY50" s="26"/>
    </row>
    <row r="51" spans="1:77" ht="12" customHeight="1" x14ac:dyDescent="0.2">
      <c r="A51" s="24"/>
      <c r="B51" s="32" t="s">
        <v>61</v>
      </c>
      <c r="C51" s="26"/>
      <c r="D51" s="33">
        <v>94999999.666666687</v>
      </c>
      <c r="E51" s="26"/>
      <c r="F51" s="34">
        <v>0</v>
      </c>
      <c r="G51" s="35">
        <v>0</v>
      </c>
      <c r="H51" s="35">
        <v>0</v>
      </c>
      <c r="I51" s="36">
        <v>-1666666.6666666667</v>
      </c>
      <c r="J51" s="37">
        <f t="shared" si="0"/>
        <v>93333333.000000015</v>
      </c>
      <c r="K51" s="26"/>
      <c r="L51" s="34">
        <v>0</v>
      </c>
      <c r="M51" s="35">
        <v>0</v>
      </c>
      <c r="N51" s="35">
        <v>0</v>
      </c>
      <c r="O51" s="36">
        <v>-1666666.6666666667</v>
      </c>
      <c r="P51" s="37">
        <f t="shared" si="1"/>
        <v>91666666.333333343</v>
      </c>
      <c r="Q51" s="26"/>
      <c r="R51" s="34">
        <v>0</v>
      </c>
      <c r="S51" s="35">
        <v>0</v>
      </c>
      <c r="T51" s="35">
        <v>0</v>
      </c>
      <c r="U51" s="36">
        <v>-1666666.6666666667</v>
      </c>
      <c r="V51" s="37">
        <f t="shared" si="2"/>
        <v>89999999.666666672</v>
      </c>
      <c r="W51" s="26"/>
      <c r="X51" s="34">
        <v>0</v>
      </c>
      <c r="Y51" s="35">
        <v>0</v>
      </c>
      <c r="Z51" s="35">
        <v>0</v>
      </c>
      <c r="AA51" s="36">
        <v>-1666666.6666666667</v>
      </c>
      <c r="AB51" s="37">
        <f t="shared" si="3"/>
        <v>88333333</v>
      </c>
      <c r="AC51" s="26"/>
      <c r="AD51" s="34">
        <v>0</v>
      </c>
      <c r="AE51" s="35">
        <v>0</v>
      </c>
      <c r="AF51" s="35">
        <v>0</v>
      </c>
      <c r="AG51" s="36">
        <v>-1666666.6666666667</v>
      </c>
      <c r="AH51" s="37">
        <f t="shared" si="4"/>
        <v>86666666.333333328</v>
      </c>
      <c r="AI51" s="26"/>
      <c r="AJ51" s="34">
        <v>0</v>
      </c>
      <c r="AK51" s="35">
        <v>0</v>
      </c>
      <c r="AL51" s="35">
        <v>0</v>
      </c>
      <c r="AM51" s="36">
        <v>-1666666.6666666667</v>
      </c>
      <c r="AN51" s="37">
        <f t="shared" si="5"/>
        <v>84999999.666666657</v>
      </c>
      <c r="AO51" s="26"/>
      <c r="AP51" s="34">
        <v>0</v>
      </c>
      <c r="AQ51" s="35">
        <v>0</v>
      </c>
      <c r="AR51" s="35">
        <v>0</v>
      </c>
      <c r="AS51" s="36">
        <v>-1666666.6666666667</v>
      </c>
      <c r="AT51" s="37">
        <f t="shared" si="6"/>
        <v>83333332.999999985</v>
      </c>
      <c r="AU51" s="26"/>
      <c r="AV51" s="34">
        <v>0</v>
      </c>
      <c r="AW51" s="35">
        <v>0</v>
      </c>
      <c r="AX51" s="35">
        <v>0</v>
      </c>
      <c r="AY51" s="36">
        <v>-1666666.6666666667</v>
      </c>
      <c r="AZ51" s="37">
        <f t="shared" si="7"/>
        <v>81666666.333333313</v>
      </c>
      <c r="BA51" s="26"/>
      <c r="BB51" s="34">
        <v>0</v>
      </c>
      <c r="BC51" s="35">
        <v>0</v>
      </c>
      <c r="BD51" s="35">
        <v>0</v>
      </c>
      <c r="BE51" s="36">
        <v>-1666666.6666666667</v>
      </c>
      <c r="BF51" s="37">
        <f t="shared" si="8"/>
        <v>79999999.666666642</v>
      </c>
      <c r="BG51" s="26"/>
      <c r="BH51" s="34">
        <v>0</v>
      </c>
      <c r="BI51" s="35">
        <v>0</v>
      </c>
      <c r="BJ51" s="35">
        <v>0</v>
      </c>
      <c r="BK51" s="36">
        <v>0</v>
      </c>
      <c r="BL51" s="37">
        <f t="shared" si="9"/>
        <v>79999999.666666642</v>
      </c>
      <c r="BM51" s="26"/>
      <c r="BN51" s="34">
        <v>0</v>
      </c>
      <c r="BO51" s="35">
        <v>0</v>
      </c>
      <c r="BP51" s="35">
        <v>0</v>
      </c>
      <c r="BQ51" s="36">
        <v>0</v>
      </c>
      <c r="BR51" s="37">
        <f t="shared" si="10"/>
        <v>79999999.666666642</v>
      </c>
      <c r="BS51" s="26"/>
      <c r="BT51" s="34">
        <v>0</v>
      </c>
      <c r="BU51" s="35">
        <v>0</v>
      </c>
      <c r="BV51" s="35">
        <v>0</v>
      </c>
      <c r="BW51" s="36">
        <v>0</v>
      </c>
      <c r="BX51" s="37">
        <f t="shared" si="11"/>
        <v>79999999.666666642</v>
      </c>
      <c r="BY51" s="26"/>
    </row>
    <row r="52" spans="1:77" ht="12" customHeight="1" x14ac:dyDescent="0.2">
      <c r="A52" s="24"/>
      <c r="B52" s="32" t="s">
        <v>62</v>
      </c>
      <c r="C52" s="26"/>
      <c r="D52" s="33">
        <v>15000000.000000002</v>
      </c>
      <c r="E52" s="26"/>
      <c r="F52" s="34">
        <v>0</v>
      </c>
      <c r="G52" s="35">
        <v>0</v>
      </c>
      <c r="H52" s="35">
        <v>0</v>
      </c>
      <c r="I52" s="36">
        <v>-833333.33333333337</v>
      </c>
      <c r="J52" s="37">
        <f t="shared" si="0"/>
        <v>14166666.666666668</v>
      </c>
      <c r="K52" s="26"/>
      <c r="L52" s="34">
        <v>0</v>
      </c>
      <c r="M52" s="35">
        <v>0</v>
      </c>
      <c r="N52" s="35">
        <v>0</v>
      </c>
      <c r="O52" s="36">
        <v>-833333.33333333337</v>
      </c>
      <c r="P52" s="37">
        <f t="shared" si="1"/>
        <v>13333333.333333334</v>
      </c>
      <c r="Q52" s="26"/>
      <c r="R52" s="34">
        <v>0</v>
      </c>
      <c r="S52" s="35">
        <v>0</v>
      </c>
      <c r="T52" s="35">
        <v>0</v>
      </c>
      <c r="U52" s="36">
        <v>-833333.33333333337</v>
      </c>
      <c r="V52" s="37">
        <f t="shared" si="2"/>
        <v>12500000</v>
      </c>
      <c r="W52" s="26"/>
      <c r="X52" s="34">
        <v>0</v>
      </c>
      <c r="Y52" s="35">
        <v>15000000</v>
      </c>
      <c r="Z52" s="35">
        <v>0</v>
      </c>
      <c r="AA52" s="36">
        <v>-1250000</v>
      </c>
      <c r="AB52" s="37">
        <f t="shared" si="3"/>
        <v>26250000</v>
      </c>
      <c r="AC52" s="26"/>
      <c r="AD52" s="34">
        <v>0</v>
      </c>
      <c r="AE52" s="35">
        <v>0</v>
      </c>
      <c r="AF52" s="35">
        <v>0</v>
      </c>
      <c r="AG52" s="36">
        <v>-1250000</v>
      </c>
      <c r="AH52" s="37">
        <f t="shared" si="4"/>
        <v>25000000</v>
      </c>
      <c r="AI52" s="26"/>
      <c r="AJ52" s="34">
        <v>0</v>
      </c>
      <c r="AK52" s="35">
        <v>0</v>
      </c>
      <c r="AL52" s="35">
        <v>0</v>
      </c>
      <c r="AM52" s="36">
        <v>-1250000</v>
      </c>
      <c r="AN52" s="37">
        <f t="shared" si="5"/>
        <v>23750000</v>
      </c>
      <c r="AO52" s="26"/>
      <c r="AP52" s="34">
        <v>0</v>
      </c>
      <c r="AQ52" s="35">
        <v>0</v>
      </c>
      <c r="AR52" s="35">
        <v>0</v>
      </c>
      <c r="AS52" s="36">
        <v>-1250000</v>
      </c>
      <c r="AT52" s="37">
        <f t="shared" si="6"/>
        <v>22500000</v>
      </c>
      <c r="AU52" s="26"/>
      <c r="AV52" s="34">
        <v>0</v>
      </c>
      <c r="AW52" s="35">
        <v>0</v>
      </c>
      <c r="AX52" s="35">
        <v>0</v>
      </c>
      <c r="AY52" s="36">
        <v>-1250000</v>
      </c>
      <c r="AZ52" s="37">
        <f t="shared" si="7"/>
        <v>21250000</v>
      </c>
      <c r="BA52" s="26"/>
      <c r="BB52" s="34">
        <v>0</v>
      </c>
      <c r="BC52" s="35">
        <v>0</v>
      </c>
      <c r="BD52" s="35">
        <v>0</v>
      </c>
      <c r="BE52" s="36">
        <v>-1250000</v>
      </c>
      <c r="BF52" s="37">
        <f t="shared" si="8"/>
        <v>20000000</v>
      </c>
      <c r="BG52" s="26"/>
      <c r="BH52" s="34">
        <v>0</v>
      </c>
      <c r="BI52" s="35">
        <v>0</v>
      </c>
      <c r="BJ52" s="35">
        <v>0</v>
      </c>
      <c r="BK52" s="36">
        <v>0</v>
      </c>
      <c r="BL52" s="37">
        <f t="shared" si="9"/>
        <v>20000000</v>
      </c>
      <c r="BM52" s="26"/>
      <c r="BN52" s="34">
        <v>0</v>
      </c>
      <c r="BO52" s="35">
        <v>0</v>
      </c>
      <c r="BP52" s="35">
        <v>0</v>
      </c>
      <c r="BQ52" s="36">
        <v>0</v>
      </c>
      <c r="BR52" s="37">
        <f t="shared" si="10"/>
        <v>20000000</v>
      </c>
      <c r="BS52" s="26"/>
      <c r="BT52" s="34">
        <v>0</v>
      </c>
      <c r="BU52" s="35">
        <v>0</v>
      </c>
      <c r="BV52" s="35">
        <v>0</v>
      </c>
      <c r="BW52" s="36">
        <v>0</v>
      </c>
      <c r="BX52" s="37">
        <f t="shared" si="11"/>
        <v>20000000</v>
      </c>
      <c r="BY52" s="26"/>
    </row>
    <row r="53" spans="1:77" ht="12" customHeight="1" x14ac:dyDescent="0.2">
      <c r="A53" s="24"/>
      <c r="B53" s="32" t="s">
        <v>63</v>
      </c>
      <c r="C53" s="26"/>
      <c r="D53" s="33">
        <v>0</v>
      </c>
      <c r="E53" s="26"/>
      <c r="F53" s="34">
        <v>0</v>
      </c>
      <c r="G53" s="35">
        <v>0</v>
      </c>
      <c r="H53" s="35">
        <v>0</v>
      </c>
      <c r="I53" s="36">
        <v>0</v>
      </c>
      <c r="J53" s="37">
        <f t="shared" si="0"/>
        <v>0</v>
      </c>
      <c r="K53" s="26"/>
      <c r="L53" s="34">
        <v>0</v>
      </c>
      <c r="M53" s="35">
        <v>0</v>
      </c>
      <c r="N53" s="35">
        <v>0</v>
      </c>
      <c r="O53" s="36">
        <v>0</v>
      </c>
      <c r="P53" s="37">
        <f t="shared" si="1"/>
        <v>0</v>
      </c>
      <c r="Q53" s="26"/>
      <c r="R53" s="34">
        <v>0</v>
      </c>
      <c r="S53" s="35">
        <v>0</v>
      </c>
      <c r="T53" s="35">
        <v>0</v>
      </c>
      <c r="U53" s="36">
        <v>0</v>
      </c>
      <c r="V53" s="37">
        <f t="shared" si="2"/>
        <v>0</v>
      </c>
      <c r="W53" s="26"/>
      <c r="X53" s="34">
        <v>0</v>
      </c>
      <c r="Y53" s="35">
        <v>0</v>
      </c>
      <c r="Z53" s="35">
        <v>0</v>
      </c>
      <c r="AA53" s="36">
        <v>0</v>
      </c>
      <c r="AB53" s="37">
        <f t="shared" si="3"/>
        <v>0</v>
      </c>
      <c r="AC53" s="26"/>
      <c r="AD53" s="34">
        <v>0</v>
      </c>
      <c r="AE53" s="35">
        <v>0</v>
      </c>
      <c r="AF53" s="35">
        <v>0</v>
      </c>
      <c r="AG53" s="36">
        <v>0</v>
      </c>
      <c r="AH53" s="37">
        <f t="shared" si="4"/>
        <v>0</v>
      </c>
      <c r="AI53" s="26"/>
      <c r="AJ53" s="34">
        <v>0</v>
      </c>
      <c r="AK53" s="35">
        <v>0</v>
      </c>
      <c r="AL53" s="35">
        <v>0</v>
      </c>
      <c r="AM53" s="36">
        <v>0</v>
      </c>
      <c r="AN53" s="37">
        <f t="shared" si="5"/>
        <v>0</v>
      </c>
      <c r="AO53" s="26"/>
      <c r="AP53" s="34">
        <v>0</v>
      </c>
      <c r="AQ53" s="35">
        <v>0</v>
      </c>
      <c r="AR53" s="35">
        <v>0</v>
      </c>
      <c r="AS53" s="36">
        <v>0</v>
      </c>
      <c r="AT53" s="37">
        <f t="shared" si="6"/>
        <v>0</v>
      </c>
      <c r="AU53" s="26"/>
      <c r="AV53" s="34">
        <v>0</v>
      </c>
      <c r="AW53" s="35">
        <v>0</v>
      </c>
      <c r="AX53" s="35">
        <v>0</v>
      </c>
      <c r="AY53" s="36">
        <v>0</v>
      </c>
      <c r="AZ53" s="37">
        <f t="shared" si="7"/>
        <v>0</v>
      </c>
      <c r="BA53" s="26"/>
      <c r="BB53" s="34">
        <v>0</v>
      </c>
      <c r="BC53" s="35">
        <v>0</v>
      </c>
      <c r="BD53" s="35">
        <v>0</v>
      </c>
      <c r="BE53" s="36">
        <v>0</v>
      </c>
      <c r="BF53" s="37">
        <f t="shared" si="8"/>
        <v>0</v>
      </c>
      <c r="BG53" s="26"/>
      <c r="BH53" s="34">
        <v>0</v>
      </c>
      <c r="BI53" s="35">
        <v>0</v>
      </c>
      <c r="BJ53" s="35">
        <v>0</v>
      </c>
      <c r="BK53" s="36">
        <v>0</v>
      </c>
      <c r="BL53" s="37">
        <f t="shared" si="9"/>
        <v>0</v>
      </c>
      <c r="BM53" s="26"/>
      <c r="BN53" s="34">
        <v>0</v>
      </c>
      <c r="BO53" s="35">
        <v>0</v>
      </c>
      <c r="BP53" s="35">
        <v>0</v>
      </c>
      <c r="BQ53" s="36">
        <v>0</v>
      </c>
      <c r="BR53" s="37">
        <f t="shared" si="10"/>
        <v>0</v>
      </c>
      <c r="BS53" s="26"/>
      <c r="BT53" s="34">
        <v>0</v>
      </c>
      <c r="BU53" s="35">
        <v>0</v>
      </c>
      <c r="BV53" s="35">
        <v>0</v>
      </c>
      <c r="BW53" s="36">
        <v>0</v>
      </c>
      <c r="BX53" s="37">
        <f t="shared" si="11"/>
        <v>0</v>
      </c>
      <c r="BY53" s="26"/>
    </row>
    <row r="54" spans="1:77" ht="12" customHeight="1" x14ac:dyDescent="0.2">
      <c r="A54" s="24"/>
      <c r="B54" s="32" t="s">
        <v>64</v>
      </c>
      <c r="C54" s="26"/>
      <c r="D54" s="33">
        <v>0</v>
      </c>
      <c r="E54" s="26"/>
      <c r="F54" s="34">
        <v>0</v>
      </c>
      <c r="G54" s="35">
        <v>0</v>
      </c>
      <c r="H54" s="35">
        <v>0</v>
      </c>
      <c r="I54" s="36">
        <v>0</v>
      </c>
      <c r="J54" s="37">
        <f t="shared" si="0"/>
        <v>0</v>
      </c>
      <c r="K54" s="26"/>
      <c r="L54" s="34">
        <v>0</v>
      </c>
      <c r="M54" s="35">
        <v>0</v>
      </c>
      <c r="N54" s="35">
        <v>0</v>
      </c>
      <c r="O54" s="36">
        <v>0</v>
      </c>
      <c r="P54" s="37">
        <f t="shared" si="1"/>
        <v>0</v>
      </c>
      <c r="Q54" s="26"/>
      <c r="R54" s="34">
        <v>0</v>
      </c>
      <c r="S54" s="35">
        <v>0</v>
      </c>
      <c r="T54" s="35">
        <v>0</v>
      </c>
      <c r="U54" s="36">
        <v>0</v>
      </c>
      <c r="V54" s="37">
        <f t="shared" si="2"/>
        <v>0</v>
      </c>
      <c r="W54" s="26"/>
      <c r="X54" s="34">
        <v>0</v>
      </c>
      <c r="Y54" s="35">
        <v>0</v>
      </c>
      <c r="Z54" s="35">
        <v>0</v>
      </c>
      <c r="AA54" s="36">
        <v>0</v>
      </c>
      <c r="AB54" s="37">
        <f t="shared" si="3"/>
        <v>0</v>
      </c>
      <c r="AC54" s="26"/>
      <c r="AD54" s="34">
        <v>0</v>
      </c>
      <c r="AE54" s="35">
        <v>0</v>
      </c>
      <c r="AF54" s="35">
        <v>0</v>
      </c>
      <c r="AG54" s="36">
        <v>0</v>
      </c>
      <c r="AH54" s="37">
        <f t="shared" si="4"/>
        <v>0</v>
      </c>
      <c r="AI54" s="26"/>
      <c r="AJ54" s="34">
        <v>0</v>
      </c>
      <c r="AK54" s="35">
        <v>0</v>
      </c>
      <c r="AL54" s="35">
        <v>0</v>
      </c>
      <c r="AM54" s="36">
        <v>0</v>
      </c>
      <c r="AN54" s="37">
        <f t="shared" si="5"/>
        <v>0</v>
      </c>
      <c r="AO54" s="26"/>
      <c r="AP54" s="34">
        <v>0</v>
      </c>
      <c r="AQ54" s="35">
        <v>0</v>
      </c>
      <c r="AR54" s="35">
        <v>0</v>
      </c>
      <c r="AS54" s="36">
        <v>0</v>
      </c>
      <c r="AT54" s="37">
        <f t="shared" si="6"/>
        <v>0</v>
      </c>
      <c r="AU54" s="26"/>
      <c r="AV54" s="34">
        <v>0</v>
      </c>
      <c r="AW54" s="35">
        <v>0</v>
      </c>
      <c r="AX54" s="35">
        <v>0</v>
      </c>
      <c r="AY54" s="36">
        <v>0</v>
      </c>
      <c r="AZ54" s="37">
        <f t="shared" si="7"/>
        <v>0</v>
      </c>
      <c r="BA54" s="26"/>
      <c r="BB54" s="34">
        <v>0</v>
      </c>
      <c r="BC54" s="35">
        <v>0</v>
      </c>
      <c r="BD54" s="35">
        <v>0</v>
      </c>
      <c r="BE54" s="36">
        <v>0</v>
      </c>
      <c r="BF54" s="37">
        <f t="shared" si="8"/>
        <v>0</v>
      </c>
      <c r="BG54" s="26"/>
      <c r="BH54" s="34">
        <v>0</v>
      </c>
      <c r="BI54" s="35">
        <v>0</v>
      </c>
      <c r="BJ54" s="35">
        <v>0</v>
      </c>
      <c r="BK54" s="36">
        <v>0</v>
      </c>
      <c r="BL54" s="37">
        <f t="shared" si="9"/>
        <v>0</v>
      </c>
      <c r="BM54" s="26"/>
      <c r="BN54" s="34">
        <v>0</v>
      </c>
      <c r="BO54" s="35">
        <v>0</v>
      </c>
      <c r="BP54" s="35">
        <v>0</v>
      </c>
      <c r="BQ54" s="36">
        <v>0</v>
      </c>
      <c r="BR54" s="37">
        <f t="shared" si="10"/>
        <v>0</v>
      </c>
      <c r="BS54" s="26"/>
      <c r="BT54" s="34">
        <v>0</v>
      </c>
      <c r="BU54" s="35">
        <v>0</v>
      </c>
      <c r="BV54" s="35">
        <v>0</v>
      </c>
      <c r="BW54" s="36">
        <v>0</v>
      </c>
      <c r="BX54" s="37">
        <f t="shared" si="11"/>
        <v>0</v>
      </c>
      <c r="BY54" s="26"/>
    </row>
    <row r="55" spans="1:77" ht="12" customHeight="1" x14ac:dyDescent="0.2">
      <c r="A55" s="24"/>
      <c r="B55" s="32" t="s">
        <v>65</v>
      </c>
      <c r="C55" s="26"/>
      <c r="D55" s="33">
        <v>0</v>
      </c>
      <c r="E55" s="26"/>
      <c r="F55" s="34">
        <v>0</v>
      </c>
      <c r="G55" s="35">
        <v>0</v>
      </c>
      <c r="H55" s="35">
        <v>0</v>
      </c>
      <c r="I55" s="36">
        <v>0</v>
      </c>
      <c r="J55" s="37">
        <f t="shared" si="0"/>
        <v>0</v>
      </c>
      <c r="K55" s="26"/>
      <c r="L55" s="34">
        <v>0</v>
      </c>
      <c r="M55" s="35">
        <v>0</v>
      </c>
      <c r="N55" s="35">
        <v>0</v>
      </c>
      <c r="O55" s="36">
        <v>0</v>
      </c>
      <c r="P55" s="37">
        <f t="shared" si="1"/>
        <v>0</v>
      </c>
      <c r="Q55" s="26"/>
      <c r="R55" s="34">
        <v>0</v>
      </c>
      <c r="S55" s="35">
        <v>0</v>
      </c>
      <c r="T55" s="35">
        <v>0</v>
      </c>
      <c r="U55" s="36">
        <v>0</v>
      </c>
      <c r="V55" s="37">
        <f t="shared" si="2"/>
        <v>0</v>
      </c>
      <c r="W55" s="26"/>
      <c r="X55" s="34">
        <v>0</v>
      </c>
      <c r="Y55" s="35">
        <v>0</v>
      </c>
      <c r="Z55" s="35">
        <v>0</v>
      </c>
      <c r="AA55" s="36">
        <v>0</v>
      </c>
      <c r="AB55" s="37">
        <f t="shared" si="3"/>
        <v>0</v>
      </c>
      <c r="AC55" s="26"/>
      <c r="AD55" s="34">
        <v>0</v>
      </c>
      <c r="AE55" s="35">
        <v>0</v>
      </c>
      <c r="AF55" s="35">
        <v>0</v>
      </c>
      <c r="AG55" s="36">
        <v>0</v>
      </c>
      <c r="AH55" s="37">
        <f t="shared" si="4"/>
        <v>0</v>
      </c>
      <c r="AI55" s="26"/>
      <c r="AJ55" s="34">
        <v>0</v>
      </c>
      <c r="AK55" s="35">
        <v>0</v>
      </c>
      <c r="AL55" s="35">
        <v>0</v>
      </c>
      <c r="AM55" s="36">
        <v>0</v>
      </c>
      <c r="AN55" s="37">
        <f t="shared" si="5"/>
        <v>0</v>
      </c>
      <c r="AO55" s="26"/>
      <c r="AP55" s="34">
        <v>0</v>
      </c>
      <c r="AQ55" s="35">
        <v>0</v>
      </c>
      <c r="AR55" s="35">
        <v>0</v>
      </c>
      <c r="AS55" s="36">
        <v>0</v>
      </c>
      <c r="AT55" s="37">
        <f t="shared" si="6"/>
        <v>0</v>
      </c>
      <c r="AU55" s="26"/>
      <c r="AV55" s="34">
        <v>0</v>
      </c>
      <c r="AW55" s="35">
        <v>0</v>
      </c>
      <c r="AX55" s="35">
        <v>0</v>
      </c>
      <c r="AY55" s="36">
        <v>0</v>
      </c>
      <c r="AZ55" s="37">
        <f t="shared" si="7"/>
        <v>0</v>
      </c>
      <c r="BA55" s="26"/>
      <c r="BB55" s="34">
        <v>0</v>
      </c>
      <c r="BC55" s="35">
        <v>0</v>
      </c>
      <c r="BD55" s="35">
        <v>0</v>
      </c>
      <c r="BE55" s="36">
        <v>0</v>
      </c>
      <c r="BF55" s="37">
        <f t="shared" si="8"/>
        <v>0</v>
      </c>
      <c r="BG55" s="26"/>
      <c r="BH55" s="34">
        <v>0</v>
      </c>
      <c r="BI55" s="35">
        <v>0</v>
      </c>
      <c r="BJ55" s="35">
        <v>0</v>
      </c>
      <c r="BK55" s="36">
        <v>0</v>
      </c>
      <c r="BL55" s="37">
        <f t="shared" si="9"/>
        <v>0</v>
      </c>
      <c r="BM55" s="26"/>
      <c r="BN55" s="34">
        <v>0</v>
      </c>
      <c r="BO55" s="35">
        <v>0</v>
      </c>
      <c r="BP55" s="35">
        <v>0</v>
      </c>
      <c r="BQ55" s="36">
        <v>0</v>
      </c>
      <c r="BR55" s="37">
        <f t="shared" si="10"/>
        <v>0</v>
      </c>
      <c r="BS55" s="26"/>
      <c r="BT55" s="34">
        <v>0</v>
      </c>
      <c r="BU55" s="35">
        <v>0</v>
      </c>
      <c r="BV55" s="35">
        <v>0</v>
      </c>
      <c r="BW55" s="36">
        <v>0</v>
      </c>
      <c r="BX55" s="37">
        <f t="shared" si="11"/>
        <v>0</v>
      </c>
      <c r="BY55" s="26"/>
    </row>
    <row r="56" spans="1:77" ht="12" customHeight="1" x14ac:dyDescent="0.2">
      <c r="A56" s="24"/>
      <c r="B56" s="32" t="s">
        <v>66</v>
      </c>
      <c r="C56" s="26"/>
      <c r="D56" s="33">
        <v>555555.54888888495</v>
      </c>
      <c r="E56" s="26"/>
      <c r="F56" s="34">
        <v>0</v>
      </c>
      <c r="G56" s="35">
        <v>0</v>
      </c>
      <c r="H56" s="35">
        <v>0</v>
      </c>
      <c r="I56" s="36">
        <v>-277777.77777777775</v>
      </c>
      <c r="J56" s="37">
        <f t="shared" si="0"/>
        <v>277777.7711111072</v>
      </c>
      <c r="K56" s="26"/>
      <c r="L56" s="34">
        <v>0</v>
      </c>
      <c r="M56" s="35">
        <v>0</v>
      </c>
      <c r="N56" s="35">
        <v>0</v>
      </c>
      <c r="O56" s="36">
        <v>-277777.77777777775</v>
      </c>
      <c r="P56" s="37">
        <f t="shared" si="1"/>
        <v>-6.6666705533862114E-3</v>
      </c>
      <c r="Q56" s="26"/>
      <c r="R56" s="34">
        <v>0</v>
      </c>
      <c r="S56" s="35">
        <v>0</v>
      </c>
      <c r="T56" s="35">
        <v>0</v>
      </c>
      <c r="U56" s="36">
        <v>0</v>
      </c>
      <c r="V56" s="37">
        <f t="shared" si="2"/>
        <v>0</v>
      </c>
      <c r="W56" s="26"/>
      <c r="X56" s="34">
        <v>0</v>
      </c>
      <c r="Y56" s="35">
        <v>0</v>
      </c>
      <c r="Z56" s="35">
        <v>0</v>
      </c>
      <c r="AA56" s="36">
        <v>0</v>
      </c>
      <c r="AB56" s="37">
        <f t="shared" si="3"/>
        <v>0</v>
      </c>
      <c r="AC56" s="26"/>
      <c r="AD56" s="34">
        <v>0</v>
      </c>
      <c r="AE56" s="35">
        <v>0</v>
      </c>
      <c r="AF56" s="35">
        <v>0</v>
      </c>
      <c r="AG56" s="36">
        <v>0</v>
      </c>
      <c r="AH56" s="37">
        <f t="shared" si="4"/>
        <v>0</v>
      </c>
      <c r="AI56" s="26"/>
      <c r="AJ56" s="34">
        <v>0</v>
      </c>
      <c r="AK56" s="35">
        <v>0</v>
      </c>
      <c r="AL56" s="35">
        <v>0</v>
      </c>
      <c r="AM56" s="36">
        <v>0</v>
      </c>
      <c r="AN56" s="37">
        <f t="shared" si="5"/>
        <v>0</v>
      </c>
      <c r="AO56" s="26"/>
      <c r="AP56" s="34">
        <v>0</v>
      </c>
      <c r="AQ56" s="35">
        <v>0</v>
      </c>
      <c r="AR56" s="35">
        <v>0</v>
      </c>
      <c r="AS56" s="36">
        <v>0</v>
      </c>
      <c r="AT56" s="37">
        <f t="shared" si="6"/>
        <v>0</v>
      </c>
      <c r="AU56" s="26"/>
      <c r="AV56" s="34">
        <v>0</v>
      </c>
      <c r="AW56" s="35">
        <v>0</v>
      </c>
      <c r="AX56" s="35">
        <v>0</v>
      </c>
      <c r="AY56" s="36">
        <v>0</v>
      </c>
      <c r="AZ56" s="37">
        <f t="shared" si="7"/>
        <v>0</v>
      </c>
      <c r="BA56" s="26"/>
      <c r="BB56" s="34">
        <v>0</v>
      </c>
      <c r="BC56" s="35">
        <v>0</v>
      </c>
      <c r="BD56" s="35">
        <v>0</v>
      </c>
      <c r="BE56" s="36">
        <v>0</v>
      </c>
      <c r="BF56" s="37">
        <f t="shared" si="8"/>
        <v>0</v>
      </c>
      <c r="BG56" s="26"/>
      <c r="BH56" s="34">
        <v>0</v>
      </c>
      <c r="BI56" s="35">
        <v>0</v>
      </c>
      <c r="BJ56" s="35">
        <v>0</v>
      </c>
      <c r="BK56" s="36">
        <v>0</v>
      </c>
      <c r="BL56" s="37">
        <f t="shared" si="9"/>
        <v>0</v>
      </c>
      <c r="BM56" s="26"/>
      <c r="BN56" s="34">
        <v>0</v>
      </c>
      <c r="BO56" s="35">
        <v>0</v>
      </c>
      <c r="BP56" s="35">
        <v>0</v>
      </c>
      <c r="BQ56" s="36">
        <v>0</v>
      </c>
      <c r="BR56" s="37">
        <f t="shared" si="10"/>
        <v>0</v>
      </c>
      <c r="BS56" s="26"/>
      <c r="BT56" s="34">
        <v>0</v>
      </c>
      <c r="BU56" s="35">
        <v>0</v>
      </c>
      <c r="BV56" s="35">
        <v>0</v>
      </c>
      <c r="BW56" s="36">
        <v>0</v>
      </c>
      <c r="BX56" s="37">
        <f t="shared" si="11"/>
        <v>0</v>
      </c>
      <c r="BY56" s="26"/>
    </row>
    <row r="57" spans="1:77" ht="12" customHeight="1" x14ac:dyDescent="0.2">
      <c r="A57" s="24"/>
      <c r="B57" s="32" t="s">
        <v>67</v>
      </c>
      <c r="C57" s="26"/>
      <c r="D57" s="33">
        <v>0</v>
      </c>
      <c r="E57" s="26"/>
      <c r="F57" s="34">
        <v>0</v>
      </c>
      <c r="G57" s="35">
        <v>0</v>
      </c>
      <c r="H57" s="35">
        <v>0</v>
      </c>
      <c r="I57" s="36">
        <v>0</v>
      </c>
      <c r="J57" s="37">
        <f t="shared" si="0"/>
        <v>0</v>
      </c>
      <c r="K57" s="26"/>
      <c r="L57" s="34">
        <v>0</v>
      </c>
      <c r="M57" s="35">
        <v>0</v>
      </c>
      <c r="N57" s="35">
        <v>0</v>
      </c>
      <c r="O57" s="36">
        <v>0</v>
      </c>
      <c r="P57" s="37">
        <f t="shared" si="1"/>
        <v>0</v>
      </c>
      <c r="Q57" s="26"/>
      <c r="R57" s="34">
        <v>0</v>
      </c>
      <c r="S57" s="35">
        <v>0</v>
      </c>
      <c r="T57" s="35">
        <v>0</v>
      </c>
      <c r="U57" s="36">
        <v>0</v>
      </c>
      <c r="V57" s="37">
        <f t="shared" si="2"/>
        <v>0</v>
      </c>
      <c r="W57" s="26"/>
      <c r="X57" s="34">
        <v>0</v>
      </c>
      <c r="Y57" s="35">
        <v>0</v>
      </c>
      <c r="Z57" s="35">
        <v>0</v>
      </c>
      <c r="AA57" s="36">
        <v>0</v>
      </c>
      <c r="AB57" s="37">
        <f t="shared" si="3"/>
        <v>0</v>
      </c>
      <c r="AC57" s="26"/>
      <c r="AD57" s="34">
        <v>0</v>
      </c>
      <c r="AE57" s="35">
        <v>0</v>
      </c>
      <c r="AF57" s="35">
        <v>0</v>
      </c>
      <c r="AG57" s="36">
        <v>0</v>
      </c>
      <c r="AH57" s="37">
        <f t="shared" si="4"/>
        <v>0</v>
      </c>
      <c r="AI57" s="26"/>
      <c r="AJ57" s="34">
        <v>0</v>
      </c>
      <c r="AK57" s="35">
        <v>0</v>
      </c>
      <c r="AL57" s="35">
        <v>0</v>
      </c>
      <c r="AM57" s="36">
        <v>0</v>
      </c>
      <c r="AN57" s="37">
        <f t="shared" si="5"/>
        <v>0</v>
      </c>
      <c r="AO57" s="26"/>
      <c r="AP57" s="34">
        <v>0</v>
      </c>
      <c r="AQ57" s="35">
        <v>0</v>
      </c>
      <c r="AR57" s="35">
        <v>0</v>
      </c>
      <c r="AS57" s="36">
        <v>0</v>
      </c>
      <c r="AT57" s="37">
        <f t="shared" si="6"/>
        <v>0</v>
      </c>
      <c r="AU57" s="26"/>
      <c r="AV57" s="34">
        <v>0</v>
      </c>
      <c r="AW57" s="35">
        <v>0</v>
      </c>
      <c r="AX57" s="35">
        <v>0</v>
      </c>
      <c r="AY57" s="36">
        <v>0</v>
      </c>
      <c r="AZ57" s="37">
        <f t="shared" si="7"/>
        <v>0</v>
      </c>
      <c r="BA57" s="26"/>
      <c r="BB57" s="34">
        <v>0</v>
      </c>
      <c r="BC57" s="35">
        <v>0</v>
      </c>
      <c r="BD57" s="35">
        <v>0</v>
      </c>
      <c r="BE57" s="36">
        <v>0</v>
      </c>
      <c r="BF57" s="37">
        <f t="shared" si="8"/>
        <v>0</v>
      </c>
      <c r="BG57" s="26"/>
      <c r="BH57" s="34">
        <v>0</v>
      </c>
      <c r="BI57" s="35">
        <v>0</v>
      </c>
      <c r="BJ57" s="35">
        <v>0</v>
      </c>
      <c r="BK57" s="36">
        <v>0</v>
      </c>
      <c r="BL57" s="37">
        <f t="shared" si="9"/>
        <v>0</v>
      </c>
      <c r="BM57" s="26"/>
      <c r="BN57" s="34">
        <v>0</v>
      </c>
      <c r="BO57" s="35">
        <v>0</v>
      </c>
      <c r="BP57" s="35">
        <v>0</v>
      </c>
      <c r="BQ57" s="36">
        <v>0</v>
      </c>
      <c r="BR57" s="37">
        <f t="shared" si="10"/>
        <v>0</v>
      </c>
      <c r="BS57" s="26"/>
      <c r="BT57" s="34">
        <v>0</v>
      </c>
      <c r="BU57" s="35">
        <v>0</v>
      </c>
      <c r="BV57" s="35">
        <v>0</v>
      </c>
      <c r="BW57" s="36">
        <v>0</v>
      </c>
      <c r="BX57" s="37">
        <f t="shared" si="11"/>
        <v>0</v>
      </c>
      <c r="BY57" s="26"/>
    </row>
    <row r="58" spans="1:77" ht="12" customHeight="1" x14ac:dyDescent="0.2">
      <c r="A58" s="24"/>
      <c r="B58" s="32" t="s">
        <v>68</v>
      </c>
      <c r="C58" s="26"/>
      <c r="D58" s="33">
        <v>0</v>
      </c>
      <c r="E58" s="26"/>
      <c r="F58" s="34">
        <v>0</v>
      </c>
      <c r="G58" s="35">
        <v>0</v>
      </c>
      <c r="H58" s="35">
        <v>0</v>
      </c>
      <c r="I58" s="36">
        <v>0</v>
      </c>
      <c r="J58" s="37">
        <f t="shared" si="0"/>
        <v>0</v>
      </c>
      <c r="K58" s="26"/>
      <c r="L58" s="34">
        <v>0</v>
      </c>
      <c r="M58" s="35">
        <v>0</v>
      </c>
      <c r="N58" s="35">
        <v>0</v>
      </c>
      <c r="O58" s="36">
        <v>0</v>
      </c>
      <c r="P58" s="37">
        <f t="shared" si="1"/>
        <v>0</v>
      </c>
      <c r="Q58" s="26"/>
      <c r="R58" s="34">
        <v>0</v>
      </c>
      <c r="S58" s="35">
        <v>0</v>
      </c>
      <c r="T58" s="35">
        <v>0</v>
      </c>
      <c r="U58" s="36">
        <v>0</v>
      </c>
      <c r="V58" s="37">
        <f t="shared" si="2"/>
        <v>0</v>
      </c>
      <c r="W58" s="26"/>
      <c r="X58" s="34">
        <v>0</v>
      </c>
      <c r="Y58" s="35">
        <v>0</v>
      </c>
      <c r="Z58" s="35">
        <v>0</v>
      </c>
      <c r="AA58" s="36">
        <v>0</v>
      </c>
      <c r="AB58" s="37">
        <f t="shared" si="3"/>
        <v>0</v>
      </c>
      <c r="AC58" s="26"/>
      <c r="AD58" s="34">
        <v>0</v>
      </c>
      <c r="AE58" s="35">
        <v>0</v>
      </c>
      <c r="AF58" s="35">
        <v>0</v>
      </c>
      <c r="AG58" s="36">
        <v>0</v>
      </c>
      <c r="AH58" s="37">
        <f t="shared" si="4"/>
        <v>0</v>
      </c>
      <c r="AI58" s="26"/>
      <c r="AJ58" s="34">
        <v>0</v>
      </c>
      <c r="AK58" s="35">
        <v>0</v>
      </c>
      <c r="AL58" s="35">
        <v>0</v>
      </c>
      <c r="AM58" s="36">
        <v>0</v>
      </c>
      <c r="AN58" s="37">
        <f t="shared" si="5"/>
        <v>0</v>
      </c>
      <c r="AO58" s="26"/>
      <c r="AP58" s="34">
        <v>0</v>
      </c>
      <c r="AQ58" s="35">
        <v>0</v>
      </c>
      <c r="AR58" s="35">
        <v>0</v>
      </c>
      <c r="AS58" s="36">
        <v>0</v>
      </c>
      <c r="AT58" s="37">
        <f t="shared" si="6"/>
        <v>0</v>
      </c>
      <c r="AU58" s="26"/>
      <c r="AV58" s="34">
        <v>0</v>
      </c>
      <c r="AW58" s="35">
        <v>0</v>
      </c>
      <c r="AX58" s="35">
        <v>0</v>
      </c>
      <c r="AY58" s="36">
        <v>0</v>
      </c>
      <c r="AZ58" s="37">
        <f t="shared" si="7"/>
        <v>0</v>
      </c>
      <c r="BA58" s="26"/>
      <c r="BB58" s="34">
        <v>0</v>
      </c>
      <c r="BC58" s="35">
        <v>0</v>
      </c>
      <c r="BD58" s="35">
        <v>0</v>
      </c>
      <c r="BE58" s="36">
        <v>0</v>
      </c>
      <c r="BF58" s="37">
        <f t="shared" si="8"/>
        <v>0</v>
      </c>
      <c r="BG58" s="26"/>
      <c r="BH58" s="34">
        <v>0</v>
      </c>
      <c r="BI58" s="35">
        <v>0</v>
      </c>
      <c r="BJ58" s="35">
        <v>0</v>
      </c>
      <c r="BK58" s="36">
        <v>0</v>
      </c>
      <c r="BL58" s="37">
        <f t="shared" si="9"/>
        <v>0</v>
      </c>
      <c r="BM58" s="26"/>
      <c r="BN58" s="34">
        <v>0</v>
      </c>
      <c r="BO58" s="35">
        <v>0</v>
      </c>
      <c r="BP58" s="35">
        <v>0</v>
      </c>
      <c r="BQ58" s="36">
        <v>0</v>
      </c>
      <c r="BR58" s="37">
        <f t="shared" si="10"/>
        <v>0</v>
      </c>
      <c r="BS58" s="26"/>
      <c r="BT58" s="34">
        <v>0</v>
      </c>
      <c r="BU58" s="35">
        <v>0</v>
      </c>
      <c r="BV58" s="35">
        <v>0</v>
      </c>
      <c r="BW58" s="36">
        <v>0</v>
      </c>
      <c r="BX58" s="37">
        <f t="shared" si="11"/>
        <v>0</v>
      </c>
      <c r="BY58" s="26"/>
    </row>
    <row r="59" spans="1:77" ht="12" customHeight="1" x14ac:dyDescent="0.2">
      <c r="A59" s="24"/>
      <c r="B59" s="32" t="s">
        <v>69</v>
      </c>
      <c r="C59" s="26"/>
      <c r="D59" s="33">
        <v>0</v>
      </c>
      <c r="E59" s="26"/>
      <c r="F59" s="34">
        <v>0</v>
      </c>
      <c r="G59" s="35">
        <v>0</v>
      </c>
      <c r="H59" s="35">
        <v>0</v>
      </c>
      <c r="I59" s="36">
        <v>0</v>
      </c>
      <c r="J59" s="37">
        <f t="shared" si="0"/>
        <v>0</v>
      </c>
      <c r="K59" s="26"/>
      <c r="L59" s="34">
        <v>0</v>
      </c>
      <c r="M59" s="35">
        <v>0</v>
      </c>
      <c r="N59" s="35">
        <v>0</v>
      </c>
      <c r="O59" s="36">
        <v>0</v>
      </c>
      <c r="P59" s="37">
        <f t="shared" si="1"/>
        <v>0</v>
      </c>
      <c r="Q59" s="26"/>
      <c r="R59" s="34">
        <v>0</v>
      </c>
      <c r="S59" s="35">
        <v>0</v>
      </c>
      <c r="T59" s="35">
        <v>0</v>
      </c>
      <c r="U59" s="36">
        <v>0</v>
      </c>
      <c r="V59" s="37">
        <f t="shared" si="2"/>
        <v>0</v>
      </c>
      <c r="W59" s="26"/>
      <c r="X59" s="34">
        <v>0</v>
      </c>
      <c r="Y59" s="35">
        <v>0</v>
      </c>
      <c r="Z59" s="35">
        <v>0</v>
      </c>
      <c r="AA59" s="36">
        <v>0</v>
      </c>
      <c r="AB59" s="37">
        <f t="shared" si="3"/>
        <v>0</v>
      </c>
      <c r="AC59" s="26"/>
      <c r="AD59" s="34">
        <v>0</v>
      </c>
      <c r="AE59" s="35">
        <v>0</v>
      </c>
      <c r="AF59" s="35">
        <v>0</v>
      </c>
      <c r="AG59" s="36">
        <v>0</v>
      </c>
      <c r="AH59" s="37">
        <f t="shared" si="4"/>
        <v>0</v>
      </c>
      <c r="AI59" s="26"/>
      <c r="AJ59" s="34">
        <v>0</v>
      </c>
      <c r="AK59" s="35">
        <v>0</v>
      </c>
      <c r="AL59" s="35">
        <v>0</v>
      </c>
      <c r="AM59" s="36">
        <v>0</v>
      </c>
      <c r="AN59" s="37">
        <f t="shared" si="5"/>
        <v>0</v>
      </c>
      <c r="AO59" s="26"/>
      <c r="AP59" s="34">
        <v>0</v>
      </c>
      <c r="AQ59" s="35">
        <v>0</v>
      </c>
      <c r="AR59" s="35">
        <v>0</v>
      </c>
      <c r="AS59" s="36">
        <v>0</v>
      </c>
      <c r="AT59" s="37">
        <f t="shared" si="6"/>
        <v>0</v>
      </c>
      <c r="AU59" s="26"/>
      <c r="AV59" s="34">
        <v>0</v>
      </c>
      <c r="AW59" s="35">
        <v>0</v>
      </c>
      <c r="AX59" s="35">
        <v>0</v>
      </c>
      <c r="AY59" s="36">
        <v>0</v>
      </c>
      <c r="AZ59" s="37">
        <f t="shared" si="7"/>
        <v>0</v>
      </c>
      <c r="BA59" s="26"/>
      <c r="BB59" s="34">
        <v>0</v>
      </c>
      <c r="BC59" s="35">
        <v>0</v>
      </c>
      <c r="BD59" s="35">
        <v>0</v>
      </c>
      <c r="BE59" s="36">
        <v>0</v>
      </c>
      <c r="BF59" s="37">
        <f t="shared" si="8"/>
        <v>0</v>
      </c>
      <c r="BG59" s="26"/>
      <c r="BH59" s="34">
        <v>0</v>
      </c>
      <c r="BI59" s="35">
        <v>0</v>
      </c>
      <c r="BJ59" s="35">
        <v>0</v>
      </c>
      <c r="BK59" s="36">
        <v>0</v>
      </c>
      <c r="BL59" s="37">
        <f t="shared" si="9"/>
        <v>0</v>
      </c>
      <c r="BM59" s="26"/>
      <c r="BN59" s="34">
        <v>0</v>
      </c>
      <c r="BO59" s="35">
        <v>0</v>
      </c>
      <c r="BP59" s="35">
        <v>0</v>
      </c>
      <c r="BQ59" s="36">
        <v>0</v>
      </c>
      <c r="BR59" s="37">
        <f t="shared" si="10"/>
        <v>0</v>
      </c>
      <c r="BS59" s="26"/>
      <c r="BT59" s="34">
        <v>0</v>
      </c>
      <c r="BU59" s="35">
        <v>0</v>
      </c>
      <c r="BV59" s="35">
        <v>0</v>
      </c>
      <c r="BW59" s="36">
        <v>0</v>
      </c>
      <c r="BX59" s="37">
        <f t="shared" si="11"/>
        <v>0</v>
      </c>
      <c r="BY59" s="26"/>
    </row>
    <row r="60" spans="1:77" ht="12" customHeight="1" x14ac:dyDescent="0.2">
      <c r="A60" s="24"/>
      <c r="B60" s="32" t="s">
        <v>70</v>
      </c>
      <c r="C60" s="26"/>
      <c r="D60" s="33">
        <v>0</v>
      </c>
      <c r="E60" s="26"/>
      <c r="F60" s="34">
        <v>0</v>
      </c>
      <c r="G60" s="35">
        <v>0</v>
      </c>
      <c r="H60" s="35">
        <v>0</v>
      </c>
      <c r="I60" s="36">
        <v>0</v>
      </c>
      <c r="J60" s="37">
        <f t="shared" si="0"/>
        <v>0</v>
      </c>
      <c r="K60" s="26"/>
      <c r="L60" s="34">
        <v>0</v>
      </c>
      <c r="M60" s="35">
        <v>0</v>
      </c>
      <c r="N60" s="35">
        <v>0</v>
      </c>
      <c r="O60" s="36">
        <v>0</v>
      </c>
      <c r="P60" s="37">
        <f t="shared" si="1"/>
        <v>0</v>
      </c>
      <c r="Q60" s="26"/>
      <c r="R60" s="34">
        <v>0</v>
      </c>
      <c r="S60" s="35">
        <v>0</v>
      </c>
      <c r="T60" s="35">
        <v>0</v>
      </c>
      <c r="U60" s="36">
        <v>0</v>
      </c>
      <c r="V60" s="37">
        <f t="shared" si="2"/>
        <v>0</v>
      </c>
      <c r="W60" s="26"/>
      <c r="X60" s="34">
        <v>0</v>
      </c>
      <c r="Y60" s="35">
        <v>0</v>
      </c>
      <c r="Z60" s="35">
        <v>0</v>
      </c>
      <c r="AA60" s="36">
        <v>0</v>
      </c>
      <c r="AB60" s="37">
        <f t="shared" si="3"/>
        <v>0</v>
      </c>
      <c r="AC60" s="26"/>
      <c r="AD60" s="34">
        <v>0</v>
      </c>
      <c r="AE60" s="35">
        <v>0</v>
      </c>
      <c r="AF60" s="35">
        <v>0</v>
      </c>
      <c r="AG60" s="36">
        <v>0</v>
      </c>
      <c r="AH60" s="37">
        <f t="shared" si="4"/>
        <v>0</v>
      </c>
      <c r="AI60" s="26"/>
      <c r="AJ60" s="34">
        <v>0</v>
      </c>
      <c r="AK60" s="35">
        <v>0</v>
      </c>
      <c r="AL60" s="35">
        <v>0</v>
      </c>
      <c r="AM60" s="36">
        <v>0</v>
      </c>
      <c r="AN60" s="37">
        <f t="shared" si="5"/>
        <v>0</v>
      </c>
      <c r="AO60" s="26"/>
      <c r="AP60" s="34">
        <v>0</v>
      </c>
      <c r="AQ60" s="35">
        <v>0</v>
      </c>
      <c r="AR60" s="35">
        <v>0</v>
      </c>
      <c r="AS60" s="36">
        <v>0</v>
      </c>
      <c r="AT60" s="37">
        <f t="shared" si="6"/>
        <v>0</v>
      </c>
      <c r="AU60" s="26"/>
      <c r="AV60" s="34">
        <v>0</v>
      </c>
      <c r="AW60" s="35">
        <v>0</v>
      </c>
      <c r="AX60" s="35">
        <v>0</v>
      </c>
      <c r="AY60" s="36">
        <v>0</v>
      </c>
      <c r="AZ60" s="37">
        <f t="shared" si="7"/>
        <v>0</v>
      </c>
      <c r="BA60" s="26"/>
      <c r="BB60" s="34">
        <v>0</v>
      </c>
      <c r="BC60" s="35">
        <v>0</v>
      </c>
      <c r="BD60" s="35">
        <v>0</v>
      </c>
      <c r="BE60" s="36">
        <v>0</v>
      </c>
      <c r="BF60" s="37">
        <f t="shared" si="8"/>
        <v>0</v>
      </c>
      <c r="BG60" s="26"/>
      <c r="BH60" s="34">
        <v>0</v>
      </c>
      <c r="BI60" s="35">
        <v>0</v>
      </c>
      <c r="BJ60" s="35">
        <v>0</v>
      </c>
      <c r="BK60" s="36">
        <v>0</v>
      </c>
      <c r="BL60" s="37">
        <f t="shared" si="9"/>
        <v>0</v>
      </c>
      <c r="BM60" s="26"/>
      <c r="BN60" s="34">
        <v>0</v>
      </c>
      <c r="BO60" s="35">
        <v>0</v>
      </c>
      <c r="BP60" s="35">
        <v>0</v>
      </c>
      <c r="BQ60" s="36">
        <v>0</v>
      </c>
      <c r="BR60" s="37">
        <f t="shared" si="10"/>
        <v>0</v>
      </c>
      <c r="BS60" s="26"/>
      <c r="BT60" s="34">
        <v>0</v>
      </c>
      <c r="BU60" s="35">
        <v>0</v>
      </c>
      <c r="BV60" s="35">
        <v>0</v>
      </c>
      <c r="BW60" s="36">
        <v>0</v>
      </c>
      <c r="BX60" s="37">
        <f t="shared" si="11"/>
        <v>0</v>
      </c>
      <c r="BY60" s="26"/>
    </row>
    <row r="61" spans="1:77" ht="12" customHeight="1" x14ac:dyDescent="0.2">
      <c r="A61" s="24"/>
      <c r="B61" s="32" t="s">
        <v>71</v>
      </c>
      <c r="C61" s="26"/>
      <c r="D61" s="33">
        <v>0</v>
      </c>
      <c r="E61" s="26"/>
      <c r="F61" s="34">
        <v>0</v>
      </c>
      <c r="G61" s="35">
        <v>0</v>
      </c>
      <c r="H61" s="35">
        <v>0</v>
      </c>
      <c r="I61" s="36">
        <v>0</v>
      </c>
      <c r="J61" s="37">
        <f t="shared" si="0"/>
        <v>0</v>
      </c>
      <c r="K61" s="26"/>
      <c r="L61" s="34">
        <v>0</v>
      </c>
      <c r="M61" s="35">
        <v>0</v>
      </c>
      <c r="N61" s="35">
        <v>0</v>
      </c>
      <c r="O61" s="36">
        <v>0</v>
      </c>
      <c r="P61" s="37">
        <f t="shared" si="1"/>
        <v>0</v>
      </c>
      <c r="Q61" s="26"/>
      <c r="R61" s="34">
        <v>0</v>
      </c>
      <c r="S61" s="35">
        <v>0</v>
      </c>
      <c r="T61" s="35">
        <v>0</v>
      </c>
      <c r="U61" s="36">
        <v>0</v>
      </c>
      <c r="V61" s="37">
        <f t="shared" si="2"/>
        <v>0</v>
      </c>
      <c r="W61" s="26"/>
      <c r="X61" s="34">
        <v>0</v>
      </c>
      <c r="Y61" s="35">
        <v>0</v>
      </c>
      <c r="Z61" s="35">
        <v>0</v>
      </c>
      <c r="AA61" s="36">
        <v>0</v>
      </c>
      <c r="AB61" s="37">
        <f t="shared" si="3"/>
        <v>0</v>
      </c>
      <c r="AC61" s="26"/>
      <c r="AD61" s="34">
        <v>0</v>
      </c>
      <c r="AE61" s="35">
        <v>0</v>
      </c>
      <c r="AF61" s="35">
        <v>0</v>
      </c>
      <c r="AG61" s="36">
        <v>0</v>
      </c>
      <c r="AH61" s="37">
        <f t="shared" si="4"/>
        <v>0</v>
      </c>
      <c r="AI61" s="26"/>
      <c r="AJ61" s="34">
        <v>0</v>
      </c>
      <c r="AK61" s="35">
        <v>0</v>
      </c>
      <c r="AL61" s="35">
        <v>0</v>
      </c>
      <c r="AM61" s="36">
        <v>0</v>
      </c>
      <c r="AN61" s="37">
        <f t="shared" si="5"/>
        <v>0</v>
      </c>
      <c r="AO61" s="26"/>
      <c r="AP61" s="34">
        <v>0</v>
      </c>
      <c r="AQ61" s="35">
        <v>0</v>
      </c>
      <c r="AR61" s="35">
        <v>0</v>
      </c>
      <c r="AS61" s="36">
        <v>0</v>
      </c>
      <c r="AT61" s="37">
        <f t="shared" si="6"/>
        <v>0</v>
      </c>
      <c r="AU61" s="26"/>
      <c r="AV61" s="34">
        <v>0</v>
      </c>
      <c r="AW61" s="35">
        <v>0</v>
      </c>
      <c r="AX61" s="35">
        <v>0</v>
      </c>
      <c r="AY61" s="36">
        <v>0</v>
      </c>
      <c r="AZ61" s="37">
        <f t="shared" si="7"/>
        <v>0</v>
      </c>
      <c r="BA61" s="26"/>
      <c r="BB61" s="34">
        <v>0</v>
      </c>
      <c r="BC61" s="35">
        <v>0</v>
      </c>
      <c r="BD61" s="35">
        <v>0</v>
      </c>
      <c r="BE61" s="36">
        <v>0</v>
      </c>
      <c r="BF61" s="37">
        <f t="shared" si="8"/>
        <v>0</v>
      </c>
      <c r="BG61" s="26"/>
      <c r="BH61" s="34">
        <v>0</v>
      </c>
      <c r="BI61" s="35">
        <v>0</v>
      </c>
      <c r="BJ61" s="35">
        <v>0</v>
      </c>
      <c r="BK61" s="36">
        <v>0</v>
      </c>
      <c r="BL61" s="37">
        <f t="shared" si="9"/>
        <v>0</v>
      </c>
      <c r="BM61" s="26"/>
      <c r="BN61" s="34">
        <v>0</v>
      </c>
      <c r="BO61" s="35">
        <v>0</v>
      </c>
      <c r="BP61" s="35">
        <v>0</v>
      </c>
      <c r="BQ61" s="36">
        <v>0</v>
      </c>
      <c r="BR61" s="37">
        <f t="shared" si="10"/>
        <v>0</v>
      </c>
      <c r="BS61" s="26"/>
      <c r="BT61" s="34">
        <v>0</v>
      </c>
      <c r="BU61" s="35">
        <v>0</v>
      </c>
      <c r="BV61" s="35">
        <v>0</v>
      </c>
      <c r="BW61" s="36">
        <v>0</v>
      </c>
      <c r="BX61" s="37">
        <f t="shared" si="11"/>
        <v>0</v>
      </c>
      <c r="BY61" s="26"/>
    </row>
    <row r="62" spans="1:77" ht="12" customHeight="1" x14ac:dyDescent="0.2">
      <c r="A62" s="24"/>
      <c r="B62" s="32" t="s">
        <v>72</v>
      </c>
      <c r="C62" s="26"/>
      <c r="D62" s="33">
        <v>71111111.111111104</v>
      </c>
      <c r="E62" s="26"/>
      <c r="F62" s="34">
        <v>0</v>
      </c>
      <c r="G62" s="35">
        <v>0</v>
      </c>
      <c r="H62" s="35">
        <v>0</v>
      </c>
      <c r="I62" s="36">
        <v>-2222222.222222222</v>
      </c>
      <c r="J62" s="37">
        <f t="shared" si="0"/>
        <v>68888888.888888881</v>
      </c>
      <c r="K62" s="26"/>
      <c r="L62" s="34">
        <v>0</v>
      </c>
      <c r="M62" s="35">
        <v>0</v>
      </c>
      <c r="N62" s="35">
        <v>0</v>
      </c>
      <c r="O62" s="36">
        <v>-2222222.222222222</v>
      </c>
      <c r="P62" s="37">
        <f t="shared" si="1"/>
        <v>66666666.666666657</v>
      </c>
      <c r="Q62" s="26"/>
      <c r="R62" s="34">
        <v>0</v>
      </c>
      <c r="S62" s="35">
        <v>0</v>
      </c>
      <c r="T62" s="35">
        <v>0</v>
      </c>
      <c r="U62" s="36">
        <v>-2222222.222222222</v>
      </c>
      <c r="V62" s="37">
        <f t="shared" si="2"/>
        <v>64444444.444444433</v>
      </c>
      <c r="W62" s="26"/>
      <c r="X62" s="34">
        <v>0</v>
      </c>
      <c r="Y62" s="35">
        <v>0</v>
      </c>
      <c r="Z62" s="35">
        <v>0</v>
      </c>
      <c r="AA62" s="36">
        <v>-2222222.222222222</v>
      </c>
      <c r="AB62" s="37">
        <f t="shared" si="3"/>
        <v>62222222.222222209</v>
      </c>
      <c r="AC62" s="26"/>
      <c r="AD62" s="34">
        <v>0</v>
      </c>
      <c r="AE62" s="35">
        <v>0</v>
      </c>
      <c r="AF62" s="35">
        <v>0</v>
      </c>
      <c r="AG62" s="36">
        <v>-2222222.222222222</v>
      </c>
      <c r="AH62" s="37">
        <f t="shared" si="4"/>
        <v>59999999.999999985</v>
      </c>
      <c r="AI62" s="26"/>
      <c r="AJ62" s="34">
        <v>0</v>
      </c>
      <c r="AK62" s="35">
        <v>0</v>
      </c>
      <c r="AL62" s="35">
        <v>0</v>
      </c>
      <c r="AM62" s="36">
        <v>-2222222.222222222</v>
      </c>
      <c r="AN62" s="37">
        <f t="shared" si="5"/>
        <v>57777777.777777761</v>
      </c>
      <c r="AO62" s="26"/>
      <c r="AP62" s="34">
        <v>0</v>
      </c>
      <c r="AQ62" s="35">
        <v>0</v>
      </c>
      <c r="AR62" s="35">
        <v>0</v>
      </c>
      <c r="AS62" s="36">
        <v>-2222222.222222222</v>
      </c>
      <c r="AT62" s="37">
        <f t="shared" si="6"/>
        <v>55555555.555555537</v>
      </c>
      <c r="AU62" s="26"/>
      <c r="AV62" s="34">
        <v>0</v>
      </c>
      <c r="AW62" s="35">
        <v>0</v>
      </c>
      <c r="AX62" s="35">
        <v>0</v>
      </c>
      <c r="AY62" s="36">
        <v>-2222222.222222222</v>
      </c>
      <c r="AZ62" s="37">
        <f t="shared" si="7"/>
        <v>53333333.333333313</v>
      </c>
      <c r="BA62" s="26"/>
      <c r="BB62" s="34">
        <v>0</v>
      </c>
      <c r="BC62" s="35">
        <v>0</v>
      </c>
      <c r="BD62" s="35">
        <v>0</v>
      </c>
      <c r="BE62" s="36">
        <v>-2222222.222222222</v>
      </c>
      <c r="BF62" s="37">
        <f t="shared" si="8"/>
        <v>51111111.11111109</v>
      </c>
      <c r="BG62" s="26"/>
      <c r="BH62" s="34">
        <v>0</v>
      </c>
      <c r="BI62" s="35">
        <v>0</v>
      </c>
      <c r="BJ62" s="35">
        <v>0</v>
      </c>
      <c r="BK62" s="36">
        <v>0</v>
      </c>
      <c r="BL62" s="37">
        <f t="shared" si="9"/>
        <v>51111111.11111109</v>
      </c>
      <c r="BM62" s="26"/>
      <c r="BN62" s="34">
        <v>0</v>
      </c>
      <c r="BO62" s="35">
        <v>0</v>
      </c>
      <c r="BP62" s="35">
        <v>0</v>
      </c>
      <c r="BQ62" s="36">
        <v>0</v>
      </c>
      <c r="BR62" s="37">
        <f t="shared" si="10"/>
        <v>51111111.11111109</v>
      </c>
      <c r="BS62" s="26"/>
      <c r="BT62" s="34">
        <v>0</v>
      </c>
      <c r="BU62" s="35">
        <v>0</v>
      </c>
      <c r="BV62" s="35">
        <v>0</v>
      </c>
      <c r="BW62" s="36">
        <v>0</v>
      </c>
      <c r="BX62" s="37">
        <f t="shared" si="11"/>
        <v>51111111.11111109</v>
      </c>
      <c r="BY62" s="26"/>
    </row>
    <row r="63" spans="1:77" ht="12" customHeight="1" x14ac:dyDescent="0.2">
      <c r="A63" s="24"/>
      <c r="B63" s="32" t="s">
        <v>73</v>
      </c>
      <c r="C63" s="26"/>
      <c r="D63" s="33">
        <v>0</v>
      </c>
      <c r="E63" s="26"/>
      <c r="F63" s="34">
        <v>0</v>
      </c>
      <c r="G63" s="35">
        <v>0</v>
      </c>
      <c r="H63" s="35">
        <v>0</v>
      </c>
      <c r="I63" s="36">
        <v>0</v>
      </c>
      <c r="J63" s="37">
        <f t="shared" si="0"/>
        <v>0</v>
      </c>
      <c r="K63" s="26"/>
      <c r="L63" s="34">
        <v>0</v>
      </c>
      <c r="M63" s="35">
        <v>0</v>
      </c>
      <c r="N63" s="35">
        <v>0</v>
      </c>
      <c r="O63" s="36">
        <v>0</v>
      </c>
      <c r="P63" s="37">
        <f t="shared" si="1"/>
        <v>0</v>
      </c>
      <c r="Q63" s="26"/>
      <c r="R63" s="34">
        <v>0</v>
      </c>
      <c r="S63" s="35">
        <v>0</v>
      </c>
      <c r="T63" s="35">
        <v>0</v>
      </c>
      <c r="U63" s="36">
        <v>0</v>
      </c>
      <c r="V63" s="37">
        <f t="shared" si="2"/>
        <v>0</v>
      </c>
      <c r="W63" s="26"/>
      <c r="X63" s="34">
        <v>0</v>
      </c>
      <c r="Y63" s="35">
        <v>0</v>
      </c>
      <c r="Z63" s="35">
        <v>0</v>
      </c>
      <c r="AA63" s="36">
        <v>0</v>
      </c>
      <c r="AB63" s="37">
        <f t="shared" si="3"/>
        <v>0</v>
      </c>
      <c r="AC63" s="26"/>
      <c r="AD63" s="34">
        <v>0</v>
      </c>
      <c r="AE63" s="35">
        <v>0</v>
      </c>
      <c r="AF63" s="35">
        <v>0</v>
      </c>
      <c r="AG63" s="36">
        <v>0</v>
      </c>
      <c r="AH63" s="37">
        <f t="shared" si="4"/>
        <v>0</v>
      </c>
      <c r="AI63" s="26"/>
      <c r="AJ63" s="34">
        <v>0</v>
      </c>
      <c r="AK63" s="35">
        <v>0</v>
      </c>
      <c r="AL63" s="35">
        <v>0</v>
      </c>
      <c r="AM63" s="36">
        <v>0</v>
      </c>
      <c r="AN63" s="37">
        <f t="shared" si="5"/>
        <v>0</v>
      </c>
      <c r="AO63" s="26"/>
      <c r="AP63" s="34">
        <v>0</v>
      </c>
      <c r="AQ63" s="35">
        <v>0</v>
      </c>
      <c r="AR63" s="35">
        <v>0</v>
      </c>
      <c r="AS63" s="36">
        <v>0</v>
      </c>
      <c r="AT63" s="37">
        <f t="shared" si="6"/>
        <v>0</v>
      </c>
      <c r="AU63" s="26"/>
      <c r="AV63" s="34">
        <v>0</v>
      </c>
      <c r="AW63" s="35">
        <v>0</v>
      </c>
      <c r="AX63" s="35">
        <v>0</v>
      </c>
      <c r="AY63" s="36">
        <v>0</v>
      </c>
      <c r="AZ63" s="37">
        <f t="shared" si="7"/>
        <v>0</v>
      </c>
      <c r="BA63" s="26"/>
      <c r="BB63" s="34">
        <v>0</v>
      </c>
      <c r="BC63" s="35">
        <v>0</v>
      </c>
      <c r="BD63" s="35">
        <v>0</v>
      </c>
      <c r="BE63" s="36">
        <v>0</v>
      </c>
      <c r="BF63" s="37">
        <f t="shared" si="8"/>
        <v>0</v>
      </c>
      <c r="BG63" s="26"/>
      <c r="BH63" s="34">
        <v>0</v>
      </c>
      <c r="BI63" s="35">
        <v>0</v>
      </c>
      <c r="BJ63" s="35">
        <v>0</v>
      </c>
      <c r="BK63" s="36">
        <v>0</v>
      </c>
      <c r="BL63" s="37">
        <f t="shared" si="9"/>
        <v>0</v>
      </c>
      <c r="BM63" s="26"/>
      <c r="BN63" s="34">
        <v>0</v>
      </c>
      <c r="BO63" s="35">
        <v>0</v>
      </c>
      <c r="BP63" s="35">
        <v>0</v>
      </c>
      <c r="BQ63" s="36">
        <v>0</v>
      </c>
      <c r="BR63" s="37">
        <f t="shared" si="10"/>
        <v>0</v>
      </c>
      <c r="BS63" s="26"/>
      <c r="BT63" s="34">
        <v>0</v>
      </c>
      <c r="BU63" s="35">
        <v>0</v>
      </c>
      <c r="BV63" s="35">
        <v>0</v>
      </c>
      <c r="BW63" s="36">
        <v>0</v>
      </c>
      <c r="BX63" s="37">
        <f t="shared" si="11"/>
        <v>0</v>
      </c>
      <c r="BY63" s="26"/>
    </row>
    <row r="64" spans="1:77" ht="12" customHeight="1" x14ac:dyDescent="0.2">
      <c r="A64" s="24"/>
      <c r="B64" s="32" t="s">
        <v>74</v>
      </c>
      <c r="C64" s="26"/>
      <c r="D64" s="33">
        <v>31250000.006666653</v>
      </c>
      <c r="E64" s="26"/>
      <c r="F64" s="34">
        <v>0</v>
      </c>
      <c r="G64" s="35">
        <v>0</v>
      </c>
      <c r="H64" s="35">
        <v>0</v>
      </c>
      <c r="I64" s="36">
        <v>-2083333.3333333333</v>
      </c>
      <c r="J64" s="37">
        <f t="shared" si="0"/>
        <v>29166666.673333321</v>
      </c>
      <c r="K64" s="26"/>
      <c r="L64" s="34">
        <v>0</v>
      </c>
      <c r="M64" s="35">
        <v>0</v>
      </c>
      <c r="N64" s="35">
        <v>0</v>
      </c>
      <c r="O64" s="36">
        <v>-2083333.3333333333</v>
      </c>
      <c r="P64" s="37">
        <f t="shared" si="1"/>
        <v>27083333.339999989</v>
      </c>
      <c r="Q64" s="26"/>
      <c r="R64" s="34">
        <v>0</v>
      </c>
      <c r="S64" s="35">
        <v>0</v>
      </c>
      <c r="T64" s="35">
        <v>0</v>
      </c>
      <c r="U64" s="36">
        <v>-2083333.3333333333</v>
      </c>
      <c r="V64" s="37">
        <f t="shared" si="2"/>
        <v>25000000.006666657</v>
      </c>
      <c r="W64" s="26"/>
      <c r="X64" s="34">
        <v>0</v>
      </c>
      <c r="Y64" s="35">
        <v>0</v>
      </c>
      <c r="Z64" s="35">
        <v>0</v>
      </c>
      <c r="AA64" s="36">
        <v>-2083333.3333333333</v>
      </c>
      <c r="AB64" s="37">
        <f t="shared" si="3"/>
        <v>22916666.673333324</v>
      </c>
      <c r="AC64" s="26"/>
      <c r="AD64" s="34">
        <v>0</v>
      </c>
      <c r="AE64" s="35">
        <v>0</v>
      </c>
      <c r="AF64" s="35">
        <v>0</v>
      </c>
      <c r="AG64" s="36">
        <v>-2083333.3333333333</v>
      </c>
      <c r="AH64" s="37">
        <f t="shared" si="4"/>
        <v>20833333.339999992</v>
      </c>
      <c r="AI64" s="26"/>
      <c r="AJ64" s="34">
        <v>0</v>
      </c>
      <c r="AK64" s="35">
        <v>0</v>
      </c>
      <c r="AL64" s="35">
        <v>0</v>
      </c>
      <c r="AM64" s="36">
        <v>-2083333.3333333333</v>
      </c>
      <c r="AN64" s="37">
        <f t="shared" si="5"/>
        <v>18750000.00666666</v>
      </c>
      <c r="AO64" s="26"/>
      <c r="AP64" s="34">
        <v>0</v>
      </c>
      <c r="AQ64" s="35">
        <v>0</v>
      </c>
      <c r="AR64" s="35">
        <v>0</v>
      </c>
      <c r="AS64" s="36">
        <v>-2083333.3333333333</v>
      </c>
      <c r="AT64" s="37">
        <f t="shared" si="6"/>
        <v>16666666.673333326</v>
      </c>
      <c r="AU64" s="26"/>
      <c r="AV64" s="34">
        <v>0</v>
      </c>
      <c r="AW64" s="35">
        <v>0</v>
      </c>
      <c r="AX64" s="35">
        <v>0</v>
      </c>
      <c r="AY64" s="36">
        <v>-2083333.3333333333</v>
      </c>
      <c r="AZ64" s="37">
        <f t="shared" si="7"/>
        <v>14583333.339999992</v>
      </c>
      <c r="BA64" s="26"/>
      <c r="BB64" s="34">
        <v>0</v>
      </c>
      <c r="BC64" s="35">
        <v>0</v>
      </c>
      <c r="BD64" s="35">
        <v>0</v>
      </c>
      <c r="BE64" s="36">
        <v>-2083333.3333333333</v>
      </c>
      <c r="BF64" s="37">
        <f t="shared" si="8"/>
        <v>12500000.006666658</v>
      </c>
      <c r="BG64" s="26"/>
      <c r="BH64" s="34">
        <v>0</v>
      </c>
      <c r="BI64" s="35">
        <v>0</v>
      </c>
      <c r="BJ64" s="35">
        <v>0</v>
      </c>
      <c r="BK64" s="36">
        <v>0</v>
      </c>
      <c r="BL64" s="37">
        <f t="shared" si="9"/>
        <v>12500000.006666658</v>
      </c>
      <c r="BM64" s="26"/>
      <c r="BN64" s="34">
        <v>0</v>
      </c>
      <c r="BO64" s="35">
        <v>0</v>
      </c>
      <c r="BP64" s="35">
        <v>0</v>
      </c>
      <c r="BQ64" s="36">
        <v>0</v>
      </c>
      <c r="BR64" s="37">
        <f t="shared" si="10"/>
        <v>12500000.006666658</v>
      </c>
      <c r="BS64" s="26"/>
      <c r="BT64" s="34">
        <v>0</v>
      </c>
      <c r="BU64" s="35">
        <v>0</v>
      </c>
      <c r="BV64" s="35">
        <v>0</v>
      </c>
      <c r="BW64" s="36">
        <v>0</v>
      </c>
      <c r="BX64" s="37">
        <f t="shared" si="11"/>
        <v>12500000.006666658</v>
      </c>
      <c r="BY64" s="26"/>
    </row>
    <row r="65" spans="1:77" ht="12" customHeight="1" x14ac:dyDescent="0.2">
      <c r="A65" s="24"/>
      <c r="B65" s="32" t="s">
        <v>75</v>
      </c>
      <c r="C65" s="26"/>
      <c r="D65" s="33">
        <v>21666666.663333356</v>
      </c>
      <c r="E65" s="26"/>
      <c r="F65" s="34">
        <v>0</v>
      </c>
      <c r="G65" s="35">
        <v>0</v>
      </c>
      <c r="H65" s="35">
        <v>0</v>
      </c>
      <c r="I65" s="36">
        <v>-1666666.6666666667</v>
      </c>
      <c r="J65" s="37">
        <f t="shared" si="0"/>
        <v>19999999.996666688</v>
      </c>
      <c r="K65" s="26"/>
      <c r="L65" s="34">
        <v>0</v>
      </c>
      <c r="M65" s="35">
        <v>0</v>
      </c>
      <c r="N65" s="35">
        <v>0</v>
      </c>
      <c r="O65" s="36">
        <v>-1666666.6666666667</v>
      </c>
      <c r="P65" s="37">
        <f t="shared" si="1"/>
        <v>18333333.330000021</v>
      </c>
      <c r="Q65" s="26"/>
      <c r="R65" s="34">
        <v>0</v>
      </c>
      <c r="S65" s="35">
        <v>0</v>
      </c>
      <c r="T65" s="35">
        <v>0</v>
      </c>
      <c r="U65" s="36">
        <v>-1666666.6666666667</v>
      </c>
      <c r="V65" s="37">
        <f t="shared" si="2"/>
        <v>16666666.663333355</v>
      </c>
      <c r="W65" s="26"/>
      <c r="X65" s="34">
        <v>0</v>
      </c>
      <c r="Y65" s="35">
        <v>0</v>
      </c>
      <c r="Z65" s="35">
        <v>0</v>
      </c>
      <c r="AA65" s="36">
        <v>-1666666.6666666667</v>
      </c>
      <c r="AB65" s="37">
        <f t="shared" si="3"/>
        <v>14999999.996666688</v>
      </c>
      <c r="AC65" s="26"/>
      <c r="AD65" s="34">
        <v>0</v>
      </c>
      <c r="AE65" s="35">
        <v>0</v>
      </c>
      <c r="AF65" s="35">
        <v>0</v>
      </c>
      <c r="AG65" s="36">
        <v>-1666666.6666666667</v>
      </c>
      <c r="AH65" s="37">
        <f t="shared" si="4"/>
        <v>13333333.330000022</v>
      </c>
      <c r="AI65" s="26"/>
      <c r="AJ65" s="34">
        <v>0</v>
      </c>
      <c r="AK65" s="35">
        <v>0</v>
      </c>
      <c r="AL65" s="35">
        <v>0</v>
      </c>
      <c r="AM65" s="36">
        <v>-1666666.6666666667</v>
      </c>
      <c r="AN65" s="37">
        <f t="shared" si="5"/>
        <v>11666666.663333356</v>
      </c>
      <c r="AO65" s="26"/>
      <c r="AP65" s="34">
        <v>0</v>
      </c>
      <c r="AQ65" s="35">
        <v>0</v>
      </c>
      <c r="AR65" s="35">
        <v>0</v>
      </c>
      <c r="AS65" s="36">
        <v>-1666666.6666666667</v>
      </c>
      <c r="AT65" s="37">
        <f t="shared" si="6"/>
        <v>9999999.9966666903</v>
      </c>
      <c r="AU65" s="26"/>
      <c r="AV65" s="34">
        <v>0</v>
      </c>
      <c r="AW65" s="35">
        <v>0</v>
      </c>
      <c r="AX65" s="35">
        <v>0</v>
      </c>
      <c r="AY65" s="36">
        <v>-1666666.6666666667</v>
      </c>
      <c r="AZ65" s="37">
        <f t="shared" si="7"/>
        <v>8333333.3300000234</v>
      </c>
      <c r="BA65" s="26"/>
      <c r="BB65" s="34">
        <v>0</v>
      </c>
      <c r="BC65" s="35">
        <v>0</v>
      </c>
      <c r="BD65" s="35">
        <v>0</v>
      </c>
      <c r="BE65" s="36">
        <v>-1666666.6666666667</v>
      </c>
      <c r="BF65" s="37">
        <f t="shared" si="8"/>
        <v>6666666.6633333564</v>
      </c>
      <c r="BG65" s="26"/>
      <c r="BH65" s="34">
        <v>0</v>
      </c>
      <c r="BI65" s="35">
        <v>0</v>
      </c>
      <c r="BJ65" s="35">
        <v>0</v>
      </c>
      <c r="BK65" s="36">
        <v>0</v>
      </c>
      <c r="BL65" s="37">
        <f t="shared" si="9"/>
        <v>6666666.6633333564</v>
      </c>
      <c r="BM65" s="26"/>
      <c r="BN65" s="34">
        <v>0</v>
      </c>
      <c r="BO65" s="35">
        <v>0</v>
      </c>
      <c r="BP65" s="35">
        <v>0</v>
      </c>
      <c r="BQ65" s="36">
        <v>0</v>
      </c>
      <c r="BR65" s="37">
        <f t="shared" si="10"/>
        <v>6666666.6633333564</v>
      </c>
      <c r="BS65" s="26"/>
      <c r="BT65" s="34">
        <v>0</v>
      </c>
      <c r="BU65" s="35">
        <v>0</v>
      </c>
      <c r="BV65" s="35">
        <v>0</v>
      </c>
      <c r="BW65" s="36">
        <v>0</v>
      </c>
      <c r="BX65" s="37">
        <f t="shared" si="11"/>
        <v>6666666.6633333564</v>
      </c>
      <c r="BY65" s="26"/>
    </row>
    <row r="66" spans="1:77" ht="12" customHeight="1" x14ac:dyDescent="0.2">
      <c r="A66" s="24"/>
      <c r="B66" s="32" t="s">
        <v>76</v>
      </c>
      <c r="C66" s="26"/>
      <c r="D66" s="33">
        <v>0</v>
      </c>
      <c r="E66" s="26"/>
      <c r="F66" s="34">
        <v>0</v>
      </c>
      <c r="G66" s="35">
        <v>0</v>
      </c>
      <c r="H66" s="35">
        <v>0</v>
      </c>
      <c r="I66" s="36">
        <v>0</v>
      </c>
      <c r="J66" s="37">
        <f t="shared" si="0"/>
        <v>0</v>
      </c>
      <c r="K66" s="26"/>
      <c r="L66" s="34">
        <v>0</v>
      </c>
      <c r="M66" s="35">
        <v>0</v>
      </c>
      <c r="N66" s="35">
        <v>0</v>
      </c>
      <c r="O66" s="36">
        <v>0</v>
      </c>
      <c r="P66" s="37">
        <f t="shared" si="1"/>
        <v>0</v>
      </c>
      <c r="Q66" s="26"/>
      <c r="R66" s="34">
        <v>0</v>
      </c>
      <c r="S66" s="35">
        <v>0</v>
      </c>
      <c r="T66" s="35">
        <v>0</v>
      </c>
      <c r="U66" s="36">
        <v>0</v>
      </c>
      <c r="V66" s="37">
        <f t="shared" si="2"/>
        <v>0</v>
      </c>
      <c r="W66" s="26"/>
      <c r="X66" s="34">
        <v>0</v>
      </c>
      <c r="Y66" s="35">
        <v>0</v>
      </c>
      <c r="Z66" s="35">
        <v>0</v>
      </c>
      <c r="AA66" s="36">
        <v>0</v>
      </c>
      <c r="AB66" s="37">
        <f t="shared" si="3"/>
        <v>0</v>
      </c>
      <c r="AC66" s="26"/>
      <c r="AD66" s="34">
        <v>0</v>
      </c>
      <c r="AE66" s="35">
        <v>0</v>
      </c>
      <c r="AF66" s="35">
        <v>0</v>
      </c>
      <c r="AG66" s="36">
        <v>0</v>
      </c>
      <c r="AH66" s="37">
        <f t="shared" si="4"/>
        <v>0</v>
      </c>
      <c r="AI66" s="26"/>
      <c r="AJ66" s="34">
        <v>0</v>
      </c>
      <c r="AK66" s="35">
        <v>0</v>
      </c>
      <c r="AL66" s="35">
        <v>0</v>
      </c>
      <c r="AM66" s="36">
        <v>0</v>
      </c>
      <c r="AN66" s="37">
        <f t="shared" si="5"/>
        <v>0</v>
      </c>
      <c r="AO66" s="26"/>
      <c r="AP66" s="34">
        <v>0</v>
      </c>
      <c r="AQ66" s="35">
        <v>0</v>
      </c>
      <c r="AR66" s="35">
        <v>0</v>
      </c>
      <c r="AS66" s="36">
        <v>0</v>
      </c>
      <c r="AT66" s="37">
        <f t="shared" si="6"/>
        <v>0</v>
      </c>
      <c r="AU66" s="26"/>
      <c r="AV66" s="34">
        <v>0</v>
      </c>
      <c r="AW66" s="35">
        <v>0</v>
      </c>
      <c r="AX66" s="35">
        <v>0</v>
      </c>
      <c r="AY66" s="36">
        <v>0</v>
      </c>
      <c r="AZ66" s="37">
        <f t="shared" si="7"/>
        <v>0</v>
      </c>
      <c r="BA66" s="26"/>
      <c r="BB66" s="34">
        <v>0</v>
      </c>
      <c r="BC66" s="35">
        <v>0</v>
      </c>
      <c r="BD66" s="35">
        <v>0</v>
      </c>
      <c r="BE66" s="36">
        <v>0</v>
      </c>
      <c r="BF66" s="37">
        <f t="shared" si="8"/>
        <v>0</v>
      </c>
      <c r="BG66" s="26"/>
      <c r="BH66" s="34">
        <v>0</v>
      </c>
      <c r="BI66" s="35">
        <v>0</v>
      </c>
      <c r="BJ66" s="35">
        <v>0</v>
      </c>
      <c r="BK66" s="36">
        <v>0</v>
      </c>
      <c r="BL66" s="37">
        <f t="shared" si="9"/>
        <v>0</v>
      </c>
      <c r="BM66" s="26"/>
      <c r="BN66" s="34">
        <v>0</v>
      </c>
      <c r="BO66" s="35">
        <v>0</v>
      </c>
      <c r="BP66" s="35">
        <v>0</v>
      </c>
      <c r="BQ66" s="36">
        <v>0</v>
      </c>
      <c r="BR66" s="37">
        <f t="shared" si="10"/>
        <v>0</v>
      </c>
      <c r="BS66" s="26"/>
      <c r="BT66" s="34">
        <v>0</v>
      </c>
      <c r="BU66" s="35">
        <v>0</v>
      </c>
      <c r="BV66" s="35">
        <v>0</v>
      </c>
      <c r="BW66" s="36">
        <v>0</v>
      </c>
      <c r="BX66" s="37">
        <f t="shared" si="11"/>
        <v>0</v>
      </c>
      <c r="BY66" s="26"/>
    </row>
    <row r="67" spans="1:77" ht="12" customHeight="1" x14ac:dyDescent="0.2">
      <c r="A67" s="24"/>
      <c r="B67" s="32" t="s">
        <v>77</v>
      </c>
      <c r="C67" s="26"/>
      <c r="D67" s="33">
        <v>0</v>
      </c>
      <c r="E67" s="26"/>
      <c r="F67" s="34">
        <v>0</v>
      </c>
      <c r="G67" s="35">
        <v>0</v>
      </c>
      <c r="H67" s="35">
        <v>0</v>
      </c>
      <c r="I67" s="36">
        <v>0</v>
      </c>
      <c r="J67" s="37">
        <f t="shared" si="0"/>
        <v>0</v>
      </c>
      <c r="K67" s="26"/>
      <c r="L67" s="34">
        <v>0</v>
      </c>
      <c r="M67" s="35">
        <v>0</v>
      </c>
      <c r="N67" s="35">
        <v>0</v>
      </c>
      <c r="O67" s="36">
        <v>0</v>
      </c>
      <c r="P67" s="37">
        <f t="shared" si="1"/>
        <v>0</v>
      </c>
      <c r="Q67" s="26"/>
      <c r="R67" s="34">
        <v>0</v>
      </c>
      <c r="S67" s="35">
        <v>0</v>
      </c>
      <c r="T67" s="35">
        <v>0</v>
      </c>
      <c r="U67" s="36">
        <v>0</v>
      </c>
      <c r="V67" s="37">
        <f t="shared" si="2"/>
        <v>0</v>
      </c>
      <c r="W67" s="26"/>
      <c r="X67" s="34">
        <v>0</v>
      </c>
      <c r="Y67" s="35">
        <v>0</v>
      </c>
      <c r="Z67" s="35">
        <v>0</v>
      </c>
      <c r="AA67" s="36">
        <v>0</v>
      </c>
      <c r="AB67" s="37">
        <f t="shared" si="3"/>
        <v>0</v>
      </c>
      <c r="AC67" s="26"/>
      <c r="AD67" s="34">
        <v>0</v>
      </c>
      <c r="AE67" s="35">
        <v>0</v>
      </c>
      <c r="AF67" s="35">
        <v>0</v>
      </c>
      <c r="AG67" s="36">
        <v>0</v>
      </c>
      <c r="AH67" s="37">
        <f t="shared" si="4"/>
        <v>0</v>
      </c>
      <c r="AI67" s="26"/>
      <c r="AJ67" s="34">
        <v>0</v>
      </c>
      <c r="AK67" s="35">
        <v>0</v>
      </c>
      <c r="AL67" s="35">
        <v>0</v>
      </c>
      <c r="AM67" s="36">
        <v>0</v>
      </c>
      <c r="AN67" s="37">
        <f t="shared" si="5"/>
        <v>0</v>
      </c>
      <c r="AO67" s="26"/>
      <c r="AP67" s="34">
        <v>0</v>
      </c>
      <c r="AQ67" s="35">
        <v>0</v>
      </c>
      <c r="AR67" s="35">
        <v>0</v>
      </c>
      <c r="AS67" s="36">
        <v>0</v>
      </c>
      <c r="AT67" s="37">
        <f t="shared" si="6"/>
        <v>0</v>
      </c>
      <c r="AU67" s="26"/>
      <c r="AV67" s="34">
        <v>0</v>
      </c>
      <c r="AW67" s="35">
        <v>0</v>
      </c>
      <c r="AX67" s="35">
        <v>0</v>
      </c>
      <c r="AY67" s="36">
        <v>0</v>
      </c>
      <c r="AZ67" s="37">
        <f t="shared" si="7"/>
        <v>0</v>
      </c>
      <c r="BA67" s="26"/>
      <c r="BB67" s="34">
        <v>0</v>
      </c>
      <c r="BC67" s="35">
        <v>0</v>
      </c>
      <c r="BD67" s="35">
        <v>0</v>
      </c>
      <c r="BE67" s="36">
        <v>0</v>
      </c>
      <c r="BF67" s="37">
        <f t="shared" si="8"/>
        <v>0</v>
      </c>
      <c r="BG67" s="26"/>
      <c r="BH67" s="34">
        <v>0</v>
      </c>
      <c r="BI67" s="35">
        <v>0</v>
      </c>
      <c r="BJ67" s="35">
        <v>0</v>
      </c>
      <c r="BK67" s="36">
        <v>0</v>
      </c>
      <c r="BL67" s="37">
        <f t="shared" si="9"/>
        <v>0</v>
      </c>
      <c r="BM67" s="26"/>
      <c r="BN67" s="34">
        <v>0</v>
      </c>
      <c r="BO67" s="35">
        <v>0</v>
      </c>
      <c r="BP67" s="35">
        <v>0</v>
      </c>
      <c r="BQ67" s="36">
        <v>0</v>
      </c>
      <c r="BR67" s="37">
        <f t="shared" si="10"/>
        <v>0</v>
      </c>
      <c r="BS67" s="26"/>
      <c r="BT67" s="34">
        <v>0</v>
      </c>
      <c r="BU67" s="35">
        <v>0</v>
      </c>
      <c r="BV67" s="35">
        <v>0</v>
      </c>
      <c r="BW67" s="36">
        <v>0</v>
      </c>
      <c r="BX67" s="37">
        <f t="shared" si="11"/>
        <v>0</v>
      </c>
      <c r="BY67" s="26"/>
    </row>
    <row r="68" spans="1:77" ht="12" customHeight="1" x14ac:dyDescent="0.2">
      <c r="A68" s="24"/>
      <c r="B68" s="32" t="s">
        <v>78</v>
      </c>
      <c r="C68" s="26"/>
      <c r="D68" s="33">
        <v>0</v>
      </c>
      <c r="E68" s="26"/>
      <c r="F68" s="34">
        <v>0</v>
      </c>
      <c r="G68" s="35">
        <v>0</v>
      </c>
      <c r="H68" s="35">
        <v>0</v>
      </c>
      <c r="I68" s="36">
        <v>0</v>
      </c>
      <c r="J68" s="37">
        <f t="shared" si="0"/>
        <v>0</v>
      </c>
      <c r="K68" s="26"/>
      <c r="L68" s="34">
        <v>0</v>
      </c>
      <c r="M68" s="35">
        <v>0</v>
      </c>
      <c r="N68" s="35">
        <v>0</v>
      </c>
      <c r="O68" s="36">
        <v>0</v>
      </c>
      <c r="P68" s="37">
        <f t="shared" si="1"/>
        <v>0</v>
      </c>
      <c r="Q68" s="26"/>
      <c r="R68" s="34">
        <v>0</v>
      </c>
      <c r="S68" s="35">
        <v>0</v>
      </c>
      <c r="T68" s="35">
        <v>0</v>
      </c>
      <c r="U68" s="36">
        <v>0</v>
      </c>
      <c r="V68" s="37">
        <f t="shared" si="2"/>
        <v>0</v>
      </c>
      <c r="W68" s="26"/>
      <c r="X68" s="34">
        <v>0</v>
      </c>
      <c r="Y68" s="35">
        <v>0</v>
      </c>
      <c r="Z68" s="35">
        <v>0</v>
      </c>
      <c r="AA68" s="36">
        <v>0</v>
      </c>
      <c r="AB68" s="37">
        <f t="shared" si="3"/>
        <v>0</v>
      </c>
      <c r="AC68" s="26"/>
      <c r="AD68" s="34">
        <v>0</v>
      </c>
      <c r="AE68" s="35">
        <v>0</v>
      </c>
      <c r="AF68" s="35">
        <v>0</v>
      </c>
      <c r="AG68" s="36">
        <v>0</v>
      </c>
      <c r="AH68" s="37">
        <f t="shared" si="4"/>
        <v>0</v>
      </c>
      <c r="AI68" s="26"/>
      <c r="AJ68" s="34">
        <v>0</v>
      </c>
      <c r="AK68" s="35">
        <v>0</v>
      </c>
      <c r="AL68" s="35">
        <v>0</v>
      </c>
      <c r="AM68" s="36">
        <v>0</v>
      </c>
      <c r="AN68" s="37">
        <f t="shared" si="5"/>
        <v>0</v>
      </c>
      <c r="AO68" s="26"/>
      <c r="AP68" s="34">
        <v>0</v>
      </c>
      <c r="AQ68" s="35">
        <v>0</v>
      </c>
      <c r="AR68" s="35">
        <v>0</v>
      </c>
      <c r="AS68" s="36">
        <v>0</v>
      </c>
      <c r="AT68" s="37">
        <f t="shared" si="6"/>
        <v>0</v>
      </c>
      <c r="AU68" s="26"/>
      <c r="AV68" s="34">
        <v>0</v>
      </c>
      <c r="AW68" s="35">
        <v>0</v>
      </c>
      <c r="AX68" s="35">
        <v>0</v>
      </c>
      <c r="AY68" s="36">
        <v>0</v>
      </c>
      <c r="AZ68" s="37">
        <f t="shared" si="7"/>
        <v>0</v>
      </c>
      <c r="BA68" s="26"/>
      <c r="BB68" s="34">
        <v>0</v>
      </c>
      <c r="BC68" s="35">
        <v>0</v>
      </c>
      <c r="BD68" s="35">
        <v>0</v>
      </c>
      <c r="BE68" s="36">
        <v>0</v>
      </c>
      <c r="BF68" s="37">
        <f t="shared" si="8"/>
        <v>0</v>
      </c>
      <c r="BG68" s="26"/>
      <c r="BH68" s="34">
        <v>0</v>
      </c>
      <c r="BI68" s="35">
        <v>0</v>
      </c>
      <c r="BJ68" s="35">
        <v>0</v>
      </c>
      <c r="BK68" s="36">
        <v>0</v>
      </c>
      <c r="BL68" s="37">
        <f t="shared" si="9"/>
        <v>0</v>
      </c>
      <c r="BM68" s="26"/>
      <c r="BN68" s="34">
        <v>0</v>
      </c>
      <c r="BO68" s="35">
        <v>0</v>
      </c>
      <c r="BP68" s="35">
        <v>0</v>
      </c>
      <c r="BQ68" s="36">
        <v>0</v>
      </c>
      <c r="BR68" s="37">
        <f t="shared" si="10"/>
        <v>0</v>
      </c>
      <c r="BS68" s="26"/>
      <c r="BT68" s="34">
        <v>0</v>
      </c>
      <c r="BU68" s="35">
        <v>0</v>
      </c>
      <c r="BV68" s="35">
        <v>0</v>
      </c>
      <c r="BW68" s="36">
        <v>0</v>
      </c>
      <c r="BX68" s="37">
        <f t="shared" si="11"/>
        <v>0</v>
      </c>
      <c r="BY68" s="26"/>
    </row>
    <row r="69" spans="1:77" ht="12" customHeight="1" x14ac:dyDescent="0.2">
      <c r="A69" s="24"/>
      <c r="B69" s="32" t="s">
        <v>79</v>
      </c>
      <c r="C69" s="26"/>
      <c r="D69" s="33">
        <v>0</v>
      </c>
      <c r="E69" s="26"/>
      <c r="F69" s="34">
        <v>0</v>
      </c>
      <c r="G69" s="35">
        <v>0</v>
      </c>
      <c r="H69" s="35">
        <v>0</v>
      </c>
      <c r="I69" s="36">
        <v>0</v>
      </c>
      <c r="J69" s="37">
        <f t="shared" si="0"/>
        <v>0</v>
      </c>
      <c r="K69" s="26"/>
      <c r="L69" s="34">
        <v>0</v>
      </c>
      <c r="M69" s="35">
        <v>0</v>
      </c>
      <c r="N69" s="35">
        <v>0</v>
      </c>
      <c r="O69" s="36">
        <v>0</v>
      </c>
      <c r="P69" s="37">
        <f t="shared" si="1"/>
        <v>0</v>
      </c>
      <c r="Q69" s="26"/>
      <c r="R69" s="34">
        <v>0</v>
      </c>
      <c r="S69" s="35">
        <v>0</v>
      </c>
      <c r="T69" s="35">
        <v>0</v>
      </c>
      <c r="U69" s="36">
        <v>0</v>
      </c>
      <c r="V69" s="37">
        <f t="shared" si="2"/>
        <v>0</v>
      </c>
      <c r="W69" s="26"/>
      <c r="X69" s="34">
        <v>0</v>
      </c>
      <c r="Y69" s="35">
        <v>0</v>
      </c>
      <c r="Z69" s="35">
        <v>0</v>
      </c>
      <c r="AA69" s="36">
        <v>0</v>
      </c>
      <c r="AB69" s="37">
        <f t="shared" si="3"/>
        <v>0</v>
      </c>
      <c r="AC69" s="26"/>
      <c r="AD69" s="34">
        <v>0</v>
      </c>
      <c r="AE69" s="35">
        <v>0</v>
      </c>
      <c r="AF69" s="35">
        <v>0</v>
      </c>
      <c r="AG69" s="36">
        <v>0</v>
      </c>
      <c r="AH69" s="37">
        <f t="shared" si="4"/>
        <v>0</v>
      </c>
      <c r="AI69" s="26"/>
      <c r="AJ69" s="34">
        <v>0</v>
      </c>
      <c r="AK69" s="35">
        <v>0</v>
      </c>
      <c r="AL69" s="35">
        <v>0</v>
      </c>
      <c r="AM69" s="36">
        <v>0</v>
      </c>
      <c r="AN69" s="37">
        <f t="shared" si="5"/>
        <v>0</v>
      </c>
      <c r="AO69" s="26"/>
      <c r="AP69" s="34">
        <v>0</v>
      </c>
      <c r="AQ69" s="35">
        <v>0</v>
      </c>
      <c r="AR69" s="35">
        <v>0</v>
      </c>
      <c r="AS69" s="36">
        <v>0</v>
      </c>
      <c r="AT69" s="37">
        <f t="shared" si="6"/>
        <v>0</v>
      </c>
      <c r="AU69" s="26"/>
      <c r="AV69" s="34">
        <v>0</v>
      </c>
      <c r="AW69" s="35">
        <v>0</v>
      </c>
      <c r="AX69" s="35">
        <v>0</v>
      </c>
      <c r="AY69" s="36">
        <v>0</v>
      </c>
      <c r="AZ69" s="37">
        <f t="shared" si="7"/>
        <v>0</v>
      </c>
      <c r="BA69" s="26"/>
      <c r="BB69" s="34">
        <v>0</v>
      </c>
      <c r="BC69" s="35">
        <v>0</v>
      </c>
      <c r="BD69" s="35">
        <v>0</v>
      </c>
      <c r="BE69" s="36">
        <v>0</v>
      </c>
      <c r="BF69" s="37">
        <f t="shared" si="8"/>
        <v>0</v>
      </c>
      <c r="BG69" s="26"/>
      <c r="BH69" s="34">
        <v>0</v>
      </c>
      <c r="BI69" s="35">
        <v>0</v>
      </c>
      <c r="BJ69" s="35">
        <v>0</v>
      </c>
      <c r="BK69" s="36">
        <v>0</v>
      </c>
      <c r="BL69" s="37">
        <f t="shared" si="9"/>
        <v>0</v>
      </c>
      <c r="BM69" s="26"/>
      <c r="BN69" s="34">
        <v>0</v>
      </c>
      <c r="BO69" s="35">
        <v>0</v>
      </c>
      <c r="BP69" s="35">
        <v>0</v>
      </c>
      <c r="BQ69" s="36">
        <v>0</v>
      </c>
      <c r="BR69" s="37">
        <f t="shared" si="10"/>
        <v>0</v>
      </c>
      <c r="BS69" s="26"/>
      <c r="BT69" s="34">
        <v>0</v>
      </c>
      <c r="BU69" s="35">
        <v>0</v>
      </c>
      <c r="BV69" s="35">
        <v>0</v>
      </c>
      <c r="BW69" s="36">
        <v>0</v>
      </c>
      <c r="BX69" s="37">
        <f t="shared" si="11"/>
        <v>0</v>
      </c>
      <c r="BY69" s="26"/>
    </row>
    <row r="70" spans="1:77" ht="12" customHeight="1" x14ac:dyDescent="0.2">
      <c r="A70" s="24"/>
      <c r="B70" s="32" t="s">
        <v>80</v>
      </c>
      <c r="C70" s="26"/>
      <c r="D70" s="33">
        <v>0</v>
      </c>
      <c r="E70" s="26"/>
      <c r="F70" s="34">
        <v>0</v>
      </c>
      <c r="G70" s="35">
        <v>0</v>
      </c>
      <c r="H70" s="35">
        <v>0</v>
      </c>
      <c r="I70" s="36">
        <v>0</v>
      </c>
      <c r="J70" s="37">
        <f t="shared" si="0"/>
        <v>0</v>
      </c>
      <c r="K70" s="26"/>
      <c r="L70" s="34">
        <v>0</v>
      </c>
      <c r="M70" s="35">
        <v>0</v>
      </c>
      <c r="N70" s="35">
        <v>0</v>
      </c>
      <c r="O70" s="36">
        <v>0</v>
      </c>
      <c r="P70" s="37">
        <f t="shared" si="1"/>
        <v>0</v>
      </c>
      <c r="Q70" s="26"/>
      <c r="R70" s="34">
        <v>0</v>
      </c>
      <c r="S70" s="35">
        <v>0</v>
      </c>
      <c r="T70" s="35">
        <v>0</v>
      </c>
      <c r="U70" s="36">
        <v>0</v>
      </c>
      <c r="V70" s="37">
        <f t="shared" si="2"/>
        <v>0</v>
      </c>
      <c r="W70" s="26"/>
      <c r="X70" s="34">
        <v>0</v>
      </c>
      <c r="Y70" s="35">
        <v>0</v>
      </c>
      <c r="Z70" s="35">
        <v>0</v>
      </c>
      <c r="AA70" s="36">
        <v>0</v>
      </c>
      <c r="AB70" s="37">
        <f t="shared" si="3"/>
        <v>0</v>
      </c>
      <c r="AC70" s="26"/>
      <c r="AD70" s="34">
        <v>0</v>
      </c>
      <c r="AE70" s="35">
        <v>0</v>
      </c>
      <c r="AF70" s="35">
        <v>0</v>
      </c>
      <c r="AG70" s="36">
        <v>0</v>
      </c>
      <c r="AH70" s="37">
        <f t="shared" si="4"/>
        <v>0</v>
      </c>
      <c r="AI70" s="26"/>
      <c r="AJ70" s="34">
        <v>0</v>
      </c>
      <c r="AK70" s="35">
        <v>0</v>
      </c>
      <c r="AL70" s="35">
        <v>0</v>
      </c>
      <c r="AM70" s="36">
        <v>0</v>
      </c>
      <c r="AN70" s="37">
        <f t="shared" si="5"/>
        <v>0</v>
      </c>
      <c r="AO70" s="26"/>
      <c r="AP70" s="34">
        <v>0</v>
      </c>
      <c r="AQ70" s="35">
        <v>0</v>
      </c>
      <c r="AR70" s="35">
        <v>0</v>
      </c>
      <c r="AS70" s="36">
        <v>0</v>
      </c>
      <c r="AT70" s="37">
        <f t="shared" si="6"/>
        <v>0</v>
      </c>
      <c r="AU70" s="26"/>
      <c r="AV70" s="34">
        <v>0</v>
      </c>
      <c r="AW70" s="35">
        <v>0</v>
      </c>
      <c r="AX70" s="35">
        <v>0</v>
      </c>
      <c r="AY70" s="36">
        <v>0</v>
      </c>
      <c r="AZ70" s="37">
        <f t="shared" si="7"/>
        <v>0</v>
      </c>
      <c r="BA70" s="26"/>
      <c r="BB70" s="34">
        <v>0</v>
      </c>
      <c r="BC70" s="35">
        <v>0</v>
      </c>
      <c r="BD70" s="35">
        <v>0</v>
      </c>
      <c r="BE70" s="36">
        <v>0</v>
      </c>
      <c r="BF70" s="37">
        <f t="shared" si="8"/>
        <v>0</v>
      </c>
      <c r="BG70" s="26"/>
      <c r="BH70" s="34">
        <v>0</v>
      </c>
      <c r="BI70" s="35">
        <v>0</v>
      </c>
      <c r="BJ70" s="35">
        <v>0</v>
      </c>
      <c r="BK70" s="36">
        <v>0</v>
      </c>
      <c r="BL70" s="37">
        <f t="shared" si="9"/>
        <v>0</v>
      </c>
      <c r="BM70" s="26"/>
      <c r="BN70" s="34">
        <v>0</v>
      </c>
      <c r="BO70" s="35">
        <v>0</v>
      </c>
      <c r="BP70" s="35">
        <v>0</v>
      </c>
      <c r="BQ70" s="36">
        <v>0</v>
      </c>
      <c r="BR70" s="37">
        <f t="shared" si="10"/>
        <v>0</v>
      </c>
      <c r="BS70" s="26"/>
      <c r="BT70" s="34">
        <v>0</v>
      </c>
      <c r="BU70" s="35">
        <v>0</v>
      </c>
      <c r="BV70" s="35">
        <v>0</v>
      </c>
      <c r="BW70" s="36">
        <v>0</v>
      </c>
      <c r="BX70" s="37">
        <f t="shared" si="11"/>
        <v>0</v>
      </c>
      <c r="BY70" s="26"/>
    </row>
    <row r="71" spans="1:77" ht="12" customHeight="1" x14ac:dyDescent="0.2">
      <c r="A71" s="24"/>
      <c r="B71" s="32" t="s">
        <v>81</v>
      </c>
      <c r="C71" s="26"/>
      <c r="D71" s="33">
        <v>0</v>
      </c>
      <c r="E71" s="26"/>
      <c r="F71" s="34">
        <v>0</v>
      </c>
      <c r="G71" s="35">
        <v>0</v>
      </c>
      <c r="H71" s="35">
        <v>0</v>
      </c>
      <c r="I71" s="36">
        <v>0</v>
      </c>
      <c r="J71" s="37">
        <f t="shared" si="0"/>
        <v>0</v>
      </c>
      <c r="K71" s="26"/>
      <c r="L71" s="34">
        <v>0</v>
      </c>
      <c r="M71" s="35">
        <v>0</v>
      </c>
      <c r="N71" s="35">
        <v>0</v>
      </c>
      <c r="O71" s="36">
        <v>0</v>
      </c>
      <c r="P71" s="37">
        <f t="shared" si="1"/>
        <v>0</v>
      </c>
      <c r="Q71" s="26"/>
      <c r="R71" s="34">
        <v>0</v>
      </c>
      <c r="S71" s="35">
        <v>0</v>
      </c>
      <c r="T71" s="35">
        <v>0</v>
      </c>
      <c r="U71" s="36">
        <v>0</v>
      </c>
      <c r="V71" s="37">
        <f t="shared" si="2"/>
        <v>0</v>
      </c>
      <c r="W71" s="26"/>
      <c r="X71" s="34">
        <v>0</v>
      </c>
      <c r="Y71" s="35">
        <v>0</v>
      </c>
      <c r="Z71" s="35">
        <v>0</v>
      </c>
      <c r="AA71" s="36">
        <v>0</v>
      </c>
      <c r="AB71" s="37">
        <f t="shared" si="3"/>
        <v>0</v>
      </c>
      <c r="AC71" s="26"/>
      <c r="AD71" s="34">
        <v>0</v>
      </c>
      <c r="AE71" s="35">
        <v>0</v>
      </c>
      <c r="AF71" s="35">
        <v>0</v>
      </c>
      <c r="AG71" s="36">
        <v>0</v>
      </c>
      <c r="AH71" s="37">
        <f t="shared" si="4"/>
        <v>0</v>
      </c>
      <c r="AI71" s="26"/>
      <c r="AJ71" s="34">
        <v>0</v>
      </c>
      <c r="AK71" s="35">
        <v>0</v>
      </c>
      <c r="AL71" s="35">
        <v>0</v>
      </c>
      <c r="AM71" s="36">
        <v>0</v>
      </c>
      <c r="AN71" s="37">
        <f t="shared" si="5"/>
        <v>0</v>
      </c>
      <c r="AO71" s="26"/>
      <c r="AP71" s="34">
        <v>0</v>
      </c>
      <c r="AQ71" s="35">
        <v>0</v>
      </c>
      <c r="AR71" s="35">
        <v>0</v>
      </c>
      <c r="AS71" s="36">
        <v>0</v>
      </c>
      <c r="AT71" s="37">
        <f t="shared" si="6"/>
        <v>0</v>
      </c>
      <c r="AU71" s="26"/>
      <c r="AV71" s="34">
        <v>0</v>
      </c>
      <c r="AW71" s="35">
        <v>0</v>
      </c>
      <c r="AX71" s="35">
        <v>0</v>
      </c>
      <c r="AY71" s="36">
        <v>0</v>
      </c>
      <c r="AZ71" s="37">
        <f t="shared" si="7"/>
        <v>0</v>
      </c>
      <c r="BA71" s="26"/>
      <c r="BB71" s="34">
        <v>0</v>
      </c>
      <c r="BC71" s="35">
        <v>0</v>
      </c>
      <c r="BD71" s="35">
        <v>0</v>
      </c>
      <c r="BE71" s="36">
        <v>0</v>
      </c>
      <c r="BF71" s="37">
        <f t="shared" si="8"/>
        <v>0</v>
      </c>
      <c r="BG71" s="26"/>
      <c r="BH71" s="34">
        <v>0</v>
      </c>
      <c r="BI71" s="35">
        <v>0</v>
      </c>
      <c r="BJ71" s="35">
        <v>0</v>
      </c>
      <c r="BK71" s="36">
        <v>0</v>
      </c>
      <c r="BL71" s="37">
        <f t="shared" si="9"/>
        <v>0</v>
      </c>
      <c r="BM71" s="26"/>
      <c r="BN71" s="34">
        <v>0</v>
      </c>
      <c r="BO71" s="35">
        <v>0</v>
      </c>
      <c r="BP71" s="35">
        <v>0</v>
      </c>
      <c r="BQ71" s="36">
        <v>0</v>
      </c>
      <c r="BR71" s="37">
        <f t="shared" si="10"/>
        <v>0</v>
      </c>
      <c r="BS71" s="26"/>
      <c r="BT71" s="34">
        <v>0</v>
      </c>
      <c r="BU71" s="35">
        <v>0</v>
      </c>
      <c r="BV71" s="35">
        <v>0</v>
      </c>
      <c r="BW71" s="36">
        <v>0</v>
      </c>
      <c r="BX71" s="37">
        <f t="shared" si="11"/>
        <v>0</v>
      </c>
      <c r="BY71" s="26"/>
    </row>
    <row r="72" spans="1:77" ht="12" customHeight="1" x14ac:dyDescent="0.2">
      <c r="A72" s="24"/>
      <c r="B72" s="32" t="s">
        <v>82</v>
      </c>
      <c r="C72" s="26"/>
      <c r="D72" s="33">
        <v>0</v>
      </c>
      <c r="E72" s="26"/>
      <c r="F72" s="34">
        <v>0</v>
      </c>
      <c r="G72" s="35">
        <v>20000000</v>
      </c>
      <c r="H72" s="35">
        <v>0</v>
      </c>
      <c r="I72" s="36">
        <v>-1666666.6666666667</v>
      </c>
      <c r="J72" s="37">
        <f t="shared" si="0"/>
        <v>18333333.333333332</v>
      </c>
      <c r="K72" s="26"/>
      <c r="L72" s="34">
        <v>0</v>
      </c>
      <c r="M72" s="35">
        <v>0</v>
      </c>
      <c r="N72" s="35">
        <v>0</v>
      </c>
      <c r="O72" s="36">
        <v>-1666666.6666666667</v>
      </c>
      <c r="P72" s="37">
        <f t="shared" si="1"/>
        <v>16666666.666666666</v>
      </c>
      <c r="Q72" s="26"/>
      <c r="R72" s="34">
        <v>0</v>
      </c>
      <c r="S72" s="35">
        <v>0</v>
      </c>
      <c r="T72" s="35">
        <v>0</v>
      </c>
      <c r="U72" s="36">
        <v>-1666666.6666666667</v>
      </c>
      <c r="V72" s="37">
        <f t="shared" si="2"/>
        <v>15000000</v>
      </c>
      <c r="W72" s="26"/>
      <c r="X72" s="34">
        <v>0</v>
      </c>
      <c r="Y72" s="35">
        <v>0</v>
      </c>
      <c r="Z72" s="35">
        <v>0</v>
      </c>
      <c r="AA72" s="36">
        <v>-1666666.6666666667</v>
      </c>
      <c r="AB72" s="37">
        <f t="shared" si="3"/>
        <v>13333333.333333334</v>
      </c>
      <c r="AC72" s="26"/>
      <c r="AD72" s="34">
        <v>0</v>
      </c>
      <c r="AE72" s="35">
        <v>0</v>
      </c>
      <c r="AF72" s="35">
        <v>0</v>
      </c>
      <c r="AG72" s="36">
        <v>-1666666.6666666667</v>
      </c>
      <c r="AH72" s="37">
        <f t="shared" si="4"/>
        <v>11666666.666666668</v>
      </c>
      <c r="AI72" s="26"/>
      <c r="AJ72" s="34">
        <v>0</v>
      </c>
      <c r="AK72" s="35">
        <v>0</v>
      </c>
      <c r="AL72" s="35">
        <v>0</v>
      </c>
      <c r="AM72" s="36">
        <v>-1666666.6666666667</v>
      </c>
      <c r="AN72" s="37">
        <f t="shared" si="5"/>
        <v>10000000.000000002</v>
      </c>
      <c r="AO72" s="26"/>
      <c r="AP72" s="34">
        <v>0</v>
      </c>
      <c r="AQ72" s="35">
        <v>0</v>
      </c>
      <c r="AR72" s="35">
        <v>0</v>
      </c>
      <c r="AS72" s="36">
        <v>-1666666.6666666667</v>
      </c>
      <c r="AT72" s="37">
        <f t="shared" si="6"/>
        <v>8333333.3333333349</v>
      </c>
      <c r="AU72" s="26"/>
      <c r="AV72" s="34">
        <v>0</v>
      </c>
      <c r="AW72" s="35">
        <v>0</v>
      </c>
      <c r="AX72" s="35">
        <v>0</v>
      </c>
      <c r="AY72" s="36">
        <v>-1666666.6666666667</v>
      </c>
      <c r="AZ72" s="37">
        <f t="shared" si="7"/>
        <v>6666666.6666666679</v>
      </c>
      <c r="BA72" s="26"/>
      <c r="BB72" s="34">
        <v>0</v>
      </c>
      <c r="BC72" s="35">
        <v>0</v>
      </c>
      <c r="BD72" s="35">
        <v>0</v>
      </c>
      <c r="BE72" s="36">
        <v>-1666666.6666666667</v>
      </c>
      <c r="BF72" s="37">
        <f t="shared" si="8"/>
        <v>5000000.0000000009</v>
      </c>
      <c r="BG72" s="26"/>
      <c r="BH72" s="34">
        <v>0</v>
      </c>
      <c r="BI72" s="35">
        <v>0</v>
      </c>
      <c r="BJ72" s="35">
        <v>0</v>
      </c>
      <c r="BK72" s="36">
        <v>0</v>
      </c>
      <c r="BL72" s="37">
        <f t="shared" si="9"/>
        <v>5000000.0000000009</v>
      </c>
      <c r="BM72" s="26"/>
      <c r="BN72" s="34">
        <v>0</v>
      </c>
      <c r="BO72" s="35">
        <v>0</v>
      </c>
      <c r="BP72" s="35">
        <v>0</v>
      </c>
      <c r="BQ72" s="36">
        <v>0</v>
      </c>
      <c r="BR72" s="37">
        <f t="shared" si="10"/>
        <v>5000000.0000000009</v>
      </c>
      <c r="BS72" s="26"/>
      <c r="BT72" s="34">
        <v>0</v>
      </c>
      <c r="BU72" s="35">
        <v>0</v>
      </c>
      <c r="BV72" s="35">
        <v>0</v>
      </c>
      <c r="BW72" s="36">
        <v>0</v>
      </c>
      <c r="BX72" s="37">
        <f t="shared" si="11"/>
        <v>5000000.0000000009</v>
      </c>
      <c r="BY72" s="26"/>
    </row>
    <row r="73" spans="1:77" ht="12" customHeight="1" x14ac:dyDescent="0.2">
      <c r="A73" s="24"/>
      <c r="B73" s="32" t="s">
        <v>83</v>
      </c>
      <c r="C73" s="26"/>
      <c r="D73" s="33">
        <v>79182916.979999989</v>
      </c>
      <c r="E73" s="26"/>
      <c r="F73" s="34">
        <v>0</v>
      </c>
      <c r="G73" s="35">
        <v>0</v>
      </c>
      <c r="H73" s="35">
        <v>0</v>
      </c>
      <c r="I73" s="36">
        <v>-1342083.3333333333</v>
      </c>
      <c r="J73" s="37">
        <f t="shared" si="0"/>
        <v>77840833.646666661</v>
      </c>
      <c r="K73" s="26"/>
      <c r="L73" s="34">
        <v>0</v>
      </c>
      <c r="M73" s="35">
        <v>0</v>
      </c>
      <c r="N73" s="35">
        <v>0</v>
      </c>
      <c r="O73" s="36">
        <v>-1342083.3333333333</v>
      </c>
      <c r="P73" s="37">
        <f t="shared" si="1"/>
        <v>76498750.313333333</v>
      </c>
      <c r="Q73" s="26"/>
      <c r="R73" s="34">
        <v>0</v>
      </c>
      <c r="S73" s="35">
        <v>0</v>
      </c>
      <c r="T73" s="35">
        <v>0</v>
      </c>
      <c r="U73" s="36">
        <v>-1342083.3333333333</v>
      </c>
      <c r="V73" s="37">
        <f t="shared" si="2"/>
        <v>75156666.980000004</v>
      </c>
      <c r="W73" s="26"/>
      <c r="X73" s="34">
        <v>0</v>
      </c>
      <c r="Y73" s="35">
        <v>10000000</v>
      </c>
      <c r="Z73" s="35">
        <v>0</v>
      </c>
      <c r="AA73" s="36">
        <v>-1342083.3333333333</v>
      </c>
      <c r="AB73" s="37">
        <f t="shared" si="3"/>
        <v>83814583.646666676</v>
      </c>
      <c r="AC73" s="26"/>
      <c r="AD73" s="34">
        <v>0</v>
      </c>
      <c r="AE73" s="35">
        <v>0</v>
      </c>
      <c r="AF73" s="35">
        <v>0</v>
      </c>
      <c r="AG73" s="36">
        <v>-1550416.6666666665</v>
      </c>
      <c r="AH73" s="37">
        <f t="shared" si="4"/>
        <v>82264166.980000004</v>
      </c>
      <c r="AI73" s="26"/>
      <c r="AJ73" s="34">
        <v>0</v>
      </c>
      <c r="AK73" s="35">
        <v>0</v>
      </c>
      <c r="AL73" s="35">
        <v>0</v>
      </c>
      <c r="AM73" s="36">
        <v>-1550416.6666666665</v>
      </c>
      <c r="AN73" s="37">
        <f t="shared" si="5"/>
        <v>80713750.313333333</v>
      </c>
      <c r="AO73" s="26"/>
      <c r="AP73" s="34">
        <v>0</v>
      </c>
      <c r="AQ73" s="35">
        <v>0</v>
      </c>
      <c r="AR73" s="35">
        <v>0</v>
      </c>
      <c r="AS73" s="36">
        <v>-1550416.6666666665</v>
      </c>
      <c r="AT73" s="37">
        <f t="shared" si="6"/>
        <v>79163333.646666661</v>
      </c>
      <c r="AU73" s="26"/>
      <c r="AV73" s="34">
        <v>0</v>
      </c>
      <c r="AW73" s="35">
        <v>0</v>
      </c>
      <c r="AX73" s="35">
        <v>0</v>
      </c>
      <c r="AY73" s="36">
        <v>-1550416.6666666665</v>
      </c>
      <c r="AZ73" s="37">
        <f t="shared" si="7"/>
        <v>77612916.979999989</v>
      </c>
      <c r="BA73" s="26"/>
      <c r="BB73" s="34">
        <v>0</v>
      </c>
      <c r="BC73" s="35">
        <v>0</v>
      </c>
      <c r="BD73" s="35">
        <v>0</v>
      </c>
      <c r="BE73" s="36">
        <v>-1550416.6666666665</v>
      </c>
      <c r="BF73" s="37">
        <f t="shared" si="8"/>
        <v>76062500.313333318</v>
      </c>
      <c r="BG73" s="26"/>
      <c r="BH73" s="34">
        <v>0</v>
      </c>
      <c r="BI73" s="35">
        <v>0</v>
      </c>
      <c r="BJ73" s="35">
        <v>0</v>
      </c>
      <c r="BK73" s="36">
        <v>0</v>
      </c>
      <c r="BL73" s="37">
        <f t="shared" si="9"/>
        <v>76062500.313333318</v>
      </c>
      <c r="BM73" s="26"/>
      <c r="BN73" s="34">
        <v>0</v>
      </c>
      <c r="BO73" s="35">
        <v>0</v>
      </c>
      <c r="BP73" s="35">
        <v>0</v>
      </c>
      <c r="BQ73" s="36">
        <v>0</v>
      </c>
      <c r="BR73" s="37">
        <f t="shared" si="10"/>
        <v>76062500.313333318</v>
      </c>
      <c r="BS73" s="26"/>
      <c r="BT73" s="34">
        <v>0</v>
      </c>
      <c r="BU73" s="35">
        <v>0</v>
      </c>
      <c r="BV73" s="35">
        <v>0</v>
      </c>
      <c r="BW73" s="36">
        <v>0</v>
      </c>
      <c r="BX73" s="37">
        <f t="shared" si="11"/>
        <v>76062500.313333318</v>
      </c>
      <c r="BY73" s="26"/>
    </row>
    <row r="74" spans="1:77" ht="12" customHeight="1" x14ac:dyDescent="0.2">
      <c r="A74" s="24"/>
      <c r="B74" s="32" t="s">
        <v>84</v>
      </c>
      <c r="C74" s="26"/>
      <c r="D74" s="33">
        <v>0</v>
      </c>
      <c r="E74" s="26"/>
      <c r="F74" s="34">
        <v>0</v>
      </c>
      <c r="G74" s="35">
        <v>0</v>
      </c>
      <c r="H74" s="35">
        <v>0</v>
      </c>
      <c r="I74" s="36">
        <v>0</v>
      </c>
      <c r="J74" s="37">
        <f t="shared" si="0"/>
        <v>0</v>
      </c>
      <c r="K74" s="26"/>
      <c r="L74" s="34">
        <v>0</v>
      </c>
      <c r="M74" s="35">
        <v>0</v>
      </c>
      <c r="N74" s="35">
        <v>0</v>
      </c>
      <c r="O74" s="36">
        <v>0</v>
      </c>
      <c r="P74" s="37">
        <f t="shared" si="1"/>
        <v>0</v>
      </c>
      <c r="Q74" s="26"/>
      <c r="R74" s="34">
        <v>0</v>
      </c>
      <c r="S74" s="35">
        <v>0</v>
      </c>
      <c r="T74" s="35">
        <v>0</v>
      </c>
      <c r="U74" s="36">
        <v>0</v>
      </c>
      <c r="V74" s="37">
        <f t="shared" si="2"/>
        <v>0</v>
      </c>
      <c r="W74" s="26"/>
      <c r="X74" s="34">
        <v>0</v>
      </c>
      <c r="Y74" s="35">
        <v>0</v>
      </c>
      <c r="Z74" s="35">
        <v>0</v>
      </c>
      <c r="AA74" s="36">
        <v>0</v>
      </c>
      <c r="AB74" s="37">
        <f t="shared" si="3"/>
        <v>0</v>
      </c>
      <c r="AC74" s="26"/>
      <c r="AD74" s="34">
        <v>0</v>
      </c>
      <c r="AE74" s="35">
        <v>0</v>
      </c>
      <c r="AF74" s="35">
        <v>0</v>
      </c>
      <c r="AG74" s="36">
        <v>0</v>
      </c>
      <c r="AH74" s="37">
        <f t="shared" si="4"/>
        <v>0</v>
      </c>
      <c r="AI74" s="26"/>
      <c r="AJ74" s="34">
        <v>0</v>
      </c>
      <c r="AK74" s="35">
        <v>0</v>
      </c>
      <c r="AL74" s="35">
        <v>0</v>
      </c>
      <c r="AM74" s="36">
        <v>0</v>
      </c>
      <c r="AN74" s="37">
        <f t="shared" si="5"/>
        <v>0</v>
      </c>
      <c r="AO74" s="26"/>
      <c r="AP74" s="34">
        <v>0</v>
      </c>
      <c r="AQ74" s="35">
        <v>0</v>
      </c>
      <c r="AR74" s="35">
        <v>0</v>
      </c>
      <c r="AS74" s="36">
        <v>0</v>
      </c>
      <c r="AT74" s="37">
        <f t="shared" si="6"/>
        <v>0</v>
      </c>
      <c r="AU74" s="26"/>
      <c r="AV74" s="34">
        <v>0</v>
      </c>
      <c r="AW74" s="35">
        <v>0</v>
      </c>
      <c r="AX74" s="35">
        <v>0</v>
      </c>
      <c r="AY74" s="36">
        <v>0</v>
      </c>
      <c r="AZ74" s="37">
        <f t="shared" si="7"/>
        <v>0</v>
      </c>
      <c r="BA74" s="26"/>
      <c r="BB74" s="34">
        <v>0</v>
      </c>
      <c r="BC74" s="35">
        <v>0</v>
      </c>
      <c r="BD74" s="35">
        <v>0</v>
      </c>
      <c r="BE74" s="36">
        <v>0</v>
      </c>
      <c r="BF74" s="37">
        <f t="shared" si="8"/>
        <v>0</v>
      </c>
      <c r="BG74" s="26"/>
      <c r="BH74" s="34">
        <v>0</v>
      </c>
      <c r="BI74" s="35">
        <v>0</v>
      </c>
      <c r="BJ74" s="35">
        <v>0</v>
      </c>
      <c r="BK74" s="36">
        <v>0</v>
      </c>
      <c r="BL74" s="37">
        <f t="shared" si="9"/>
        <v>0</v>
      </c>
      <c r="BM74" s="26"/>
      <c r="BN74" s="34">
        <v>0</v>
      </c>
      <c r="BO74" s="35">
        <v>0</v>
      </c>
      <c r="BP74" s="35">
        <v>0</v>
      </c>
      <c r="BQ74" s="36">
        <v>0</v>
      </c>
      <c r="BR74" s="37">
        <f t="shared" si="10"/>
        <v>0</v>
      </c>
      <c r="BS74" s="26"/>
      <c r="BT74" s="34">
        <v>0</v>
      </c>
      <c r="BU74" s="35">
        <v>0</v>
      </c>
      <c r="BV74" s="35">
        <v>0</v>
      </c>
      <c r="BW74" s="36">
        <v>0</v>
      </c>
      <c r="BX74" s="37">
        <f t="shared" si="11"/>
        <v>0</v>
      </c>
      <c r="BY74" s="26"/>
    </row>
    <row r="75" spans="1:77" ht="12" customHeight="1" x14ac:dyDescent="0.2">
      <c r="A75" s="24"/>
      <c r="B75" s="32" t="s">
        <v>85</v>
      </c>
      <c r="C75" s="26"/>
      <c r="D75" s="33">
        <v>76666666.654444352</v>
      </c>
      <c r="E75" s="26"/>
      <c r="F75" s="34">
        <v>0</v>
      </c>
      <c r="G75" s="35">
        <v>0</v>
      </c>
      <c r="H75" s="35">
        <v>0</v>
      </c>
      <c r="I75" s="36">
        <v>-2222222.222222222</v>
      </c>
      <c r="J75" s="37">
        <f t="shared" ref="J75:J100" si="36">D75+F75+G75+H75+I75</f>
        <v>74444444.432222128</v>
      </c>
      <c r="K75" s="26"/>
      <c r="L75" s="34">
        <v>0</v>
      </c>
      <c r="M75" s="35">
        <v>0</v>
      </c>
      <c r="N75" s="35">
        <v>0</v>
      </c>
      <c r="O75" s="36">
        <v>-2222222.222222222</v>
      </c>
      <c r="P75" s="37">
        <f t="shared" ref="P75:P100" si="37">J75+L75+M75+N75+O75</f>
        <v>72222222.209999904</v>
      </c>
      <c r="Q75" s="26"/>
      <c r="R75" s="34">
        <v>0</v>
      </c>
      <c r="S75" s="35">
        <v>0</v>
      </c>
      <c r="T75" s="35">
        <v>0</v>
      </c>
      <c r="U75" s="36">
        <v>-2222222.222222222</v>
      </c>
      <c r="V75" s="37">
        <f t="shared" ref="V75:V100" si="38">IF(AND(P75+R75+S75+T75+U75&gt;=-2,P75+R75+S75+T75+U75&lt;=2),0,P75+R75+S75+T75+U75)</f>
        <v>69999999.98777768</v>
      </c>
      <c r="W75" s="26"/>
      <c r="X75" s="34">
        <v>0</v>
      </c>
      <c r="Y75" s="35">
        <v>20000000</v>
      </c>
      <c r="Z75" s="35">
        <v>0</v>
      </c>
      <c r="AA75" s="36">
        <v>-2222222.222222222</v>
      </c>
      <c r="AB75" s="37">
        <f t="shared" ref="AB75:AB100" si="39">IF(AND(V75+X75+Y75+Z75+AA75&gt;=-2,V75+X75+Y75+Z75+AA75&lt;=2),0,V75+X75+Y75+Z75+AA75)</f>
        <v>87777777.765555456</v>
      </c>
      <c r="AC75" s="26"/>
      <c r="AD75" s="34">
        <v>0</v>
      </c>
      <c r="AE75" s="35">
        <v>0</v>
      </c>
      <c r="AF75" s="35">
        <v>0</v>
      </c>
      <c r="AG75" s="36">
        <v>-2777777.7777777775</v>
      </c>
      <c r="AH75" s="37">
        <f t="shared" ref="AH75:AH100" si="40">IF(AND(AB75+AD75+AE75+AF75+AG75&gt;=-2,AB75+AD75+AE75+AF75+AG75&lt;=2),0,AB75+AD75+AE75+AF75+AG75)</f>
        <v>84999999.98777768</v>
      </c>
      <c r="AI75" s="26"/>
      <c r="AJ75" s="34">
        <v>0</v>
      </c>
      <c r="AK75" s="35">
        <v>0</v>
      </c>
      <c r="AL75" s="35">
        <v>0</v>
      </c>
      <c r="AM75" s="36">
        <v>-2777777.7777777775</v>
      </c>
      <c r="AN75" s="37">
        <f t="shared" ref="AN75:AN100" si="41">IF(AND(AH75+AJ75+AK75+AL75+AM75&gt;=-2,AH75+AJ75+AK75+AL75+AM75&lt;=2),0,AH75+AJ75+AK75+AL75+AM75)</f>
        <v>82222222.209999904</v>
      </c>
      <c r="AO75" s="26"/>
      <c r="AP75" s="34">
        <v>0</v>
      </c>
      <c r="AQ75" s="35">
        <v>0</v>
      </c>
      <c r="AR75" s="35">
        <v>0</v>
      </c>
      <c r="AS75" s="36">
        <v>-2777777.7777777775</v>
      </c>
      <c r="AT75" s="37">
        <f t="shared" ref="AT75:AT100" si="42">IF(AND(AN75+AP75+AQ75+AR75+AS75&gt;=-2,AN75+AP75+AQ75+AR75+AS75&lt;=2),0,AN75+AP75+AQ75+AR75+AS75)</f>
        <v>79444444.432222128</v>
      </c>
      <c r="AU75" s="26"/>
      <c r="AV75" s="34">
        <v>0</v>
      </c>
      <c r="AW75" s="35">
        <v>0</v>
      </c>
      <c r="AX75" s="35">
        <v>0</v>
      </c>
      <c r="AY75" s="36">
        <v>-2777777.7777777775</v>
      </c>
      <c r="AZ75" s="37">
        <f t="shared" ref="AZ75:AZ100" si="43">IF(AND(AT75+AV75+AW75+AX75+AY75&gt;=-2,AT75+AV75+AW75+AX75+AY75&lt;=2),0,AT75+AV75+AW75+AX75+AY75)</f>
        <v>76666666.654444352</v>
      </c>
      <c r="BA75" s="26"/>
      <c r="BB75" s="34">
        <v>-58333334</v>
      </c>
      <c r="BC75" s="35">
        <v>100000000</v>
      </c>
      <c r="BD75" s="35">
        <v>0</v>
      </c>
      <c r="BE75" s="36">
        <v>-2777777.7777777775</v>
      </c>
      <c r="BF75" s="37">
        <f t="shared" ref="BF75:BF100" si="44">IF(AND(AZ75+BB75+BC75+BD75+BE75&gt;=-2,AZ75+BB75+BC75+BD75+BE75&lt;=2),0,AZ75+BB75+BC75+BD75+BE75)</f>
        <v>115555554.87666658</v>
      </c>
      <c r="BG75" s="26"/>
      <c r="BH75" s="34">
        <v>0</v>
      </c>
      <c r="BI75" s="35">
        <v>0</v>
      </c>
      <c r="BJ75" s="35">
        <v>0</v>
      </c>
      <c r="BK75" s="36">
        <v>0</v>
      </c>
      <c r="BL75" s="37">
        <f t="shared" ref="BL75:BL100" si="45">IF(AND(BF75+BH75+BI75+BJ75+BK75&gt;=-2,BF75+BH75+BI75+BJ75+BK75&lt;=2),0,BF75+BH75+BI75+BJ75+BK75)</f>
        <v>115555554.87666658</v>
      </c>
      <c r="BM75" s="26"/>
      <c r="BN75" s="34">
        <v>0</v>
      </c>
      <c r="BO75" s="35">
        <v>0</v>
      </c>
      <c r="BP75" s="35">
        <v>0</v>
      </c>
      <c r="BQ75" s="36">
        <v>0</v>
      </c>
      <c r="BR75" s="37">
        <f t="shared" ref="BR75:BR100" si="46">IF(AND(BL75+BN75+BO75+BP75+BQ75&gt;=-2,BL75+BN75+BO75+BP75+BQ75&lt;=2),0,BL75+BN75+BO75+BP75+BQ75)</f>
        <v>115555554.87666658</v>
      </c>
      <c r="BS75" s="26"/>
      <c r="BT75" s="34">
        <v>0</v>
      </c>
      <c r="BU75" s="35">
        <v>0</v>
      </c>
      <c r="BV75" s="35">
        <v>0</v>
      </c>
      <c r="BW75" s="36">
        <v>0</v>
      </c>
      <c r="BX75" s="37">
        <f t="shared" ref="BX75:BX100" si="47">IF(AND(BR75+BT75+BU75+BV75+BW75&gt;=-2,BR75+BT75+BU75+BV75+BW75&lt;=2),0,BR75+BT75+BU75+BV75+BW75)</f>
        <v>115555554.87666658</v>
      </c>
      <c r="BY75" s="26"/>
    </row>
    <row r="76" spans="1:77" ht="12" customHeight="1" x14ac:dyDescent="0.2">
      <c r="A76" s="24"/>
      <c r="B76" s="32" t="s">
        <v>86</v>
      </c>
      <c r="C76" s="26"/>
      <c r="D76" s="33">
        <v>2083333.3333333288</v>
      </c>
      <c r="E76" s="26"/>
      <c r="F76" s="34">
        <v>0</v>
      </c>
      <c r="G76" s="35">
        <v>0</v>
      </c>
      <c r="H76" s="35">
        <v>0</v>
      </c>
      <c r="I76" s="36">
        <v>-1041666.6666666666</v>
      </c>
      <c r="J76" s="37">
        <f t="shared" si="36"/>
        <v>1041666.6666666622</v>
      </c>
      <c r="K76" s="26"/>
      <c r="L76" s="34">
        <v>0</v>
      </c>
      <c r="M76" s="35">
        <v>0</v>
      </c>
      <c r="N76" s="35">
        <v>0</v>
      </c>
      <c r="O76" s="36">
        <v>-1041666.6666666666</v>
      </c>
      <c r="P76" s="37">
        <f t="shared" si="37"/>
        <v>-4.4237822294235229E-9</v>
      </c>
      <c r="Q76" s="26"/>
      <c r="R76" s="34">
        <v>0</v>
      </c>
      <c r="S76" s="35">
        <v>0</v>
      </c>
      <c r="T76" s="35">
        <v>0</v>
      </c>
      <c r="U76" s="36">
        <v>0</v>
      </c>
      <c r="V76" s="37">
        <f t="shared" si="38"/>
        <v>0</v>
      </c>
      <c r="W76" s="26"/>
      <c r="X76" s="34">
        <v>0</v>
      </c>
      <c r="Y76" s="35">
        <v>15000000</v>
      </c>
      <c r="Z76" s="35">
        <v>0</v>
      </c>
      <c r="AA76" s="36">
        <v>-1250000</v>
      </c>
      <c r="AB76" s="37">
        <f t="shared" si="39"/>
        <v>13750000</v>
      </c>
      <c r="AC76" s="26"/>
      <c r="AD76" s="34">
        <v>0</v>
      </c>
      <c r="AE76" s="35">
        <v>0</v>
      </c>
      <c r="AF76" s="35">
        <v>0</v>
      </c>
      <c r="AG76" s="36">
        <v>-1250000</v>
      </c>
      <c r="AH76" s="37">
        <f t="shared" si="40"/>
        <v>12500000</v>
      </c>
      <c r="AI76" s="26"/>
      <c r="AJ76" s="34">
        <v>0</v>
      </c>
      <c r="AK76" s="35">
        <v>0</v>
      </c>
      <c r="AL76" s="35">
        <v>0</v>
      </c>
      <c r="AM76" s="36">
        <v>-1250000</v>
      </c>
      <c r="AN76" s="37">
        <f t="shared" si="41"/>
        <v>11250000</v>
      </c>
      <c r="AO76" s="26"/>
      <c r="AP76" s="34">
        <v>0</v>
      </c>
      <c r="AQ76" s="35">
        <v>0</v>
      </c>
      <c r="AR76" s="35">
        <v>0</v>
      </c>
      <c r="AS76" s="36">
        <v>-1250000</v>
      </c>
      <c r="AT76" s="37">
        <f t="shared" si="42"/>
        <v>10000000</v>
      </c>
      <c r="AU76" s="26"/>
      <c r="AV76" s="34">
        <v>0</v>
      </c>
      <c r="AW76" s="35">
        <v>0</v>
      </c>
      <c r="AX76" s="35">
        <v>0</v>
      </c>
      <c r="AY76" s="36">
        <v>-1250000</v>
      </c>
      <c r="AZ76" s="37">
        <f t="shared" si="43"/>
        <v>8750000</v>
      </c>
      <c r="BA76" s="26"/>
      <c r="BB76" s="34">
        <v>0</v>
      </c>
      <c r="BC76" s="35">
        <v>0</v>
      </c>
      <c r="BD76" s="35">
        <v>0</v>
      </c>
      <c r="BE76" s="36">
        <v>-1250000</v>
      </c>
      <c r="BF76" s="37">
        <f t="shared" si="44"/>
        <v>7500000</v>
      </c>
      <c r="BG76" s="26"/>
      <c r="BH76" s="34">
        <v>0</v>
      </c>
      <c r="BI76" s="35">
        <v>0</v>
      </c>
      <c r="BJ76" s="35">
        <v>0</v>
      </c>
      <c r="BK76" s="36">
        <v>0</v>
      </c>
      <c r="BL76" s="37">
        <f t="shared" si="45"/>
        <v>7500000</v>
      </c>
      <c r="BM76" s="26"/>
      <c r="BN76" s="34">
        <v>0</v>
      </c>
      <c r="BO76" s="35">
        <v>0</v>
      </c>
      <c r="BP76" s="35">
        <v>0</v>
      </c>
      <c r="BQ76" s="36">
        <v>0</v>
      </c>
      <c r="BR76" s="37">
        <f t="shared" si="46"/>
        <v>7500000</v>
      </c>
      <c r="BS76" s="26"/>
      <c r="BT76" s="34">
        <v>0</v>
      </c>
      <c r="BU76" s="35">
        <v>0</v>
      </c>
      <c r="BV76" s="35">
        <v>0</v>
      </c>
      <c r="BW76" s="36">
        <v>0</v>
      </c>
      <c r="BX76" s="37">
        <f t="shared" si="47"/>
        <v>7500000</v>
      </c>
      <c r="BY76" s="26"/>
    </row>
    <row r="77" spans="1:77" ht="12" customHeight="1" x14ac:dyDescent="0.2">
      <c r="A77" s="24"/>
      <c r="B77" s="32" t="s">
        <v>87</v>
      </c>
      <c r="C77" s="26"/>
      <c r="D77" s="33">
        <v>36666667</v>
      </c>
      <c r="E77" s="26"/>
      <c r="F77" s="34">
        <v>-36666667</v>
      </c>
      <c r="G77" s="35">
        <v>50000000</v>
      </c>
      <c r="H77" s="35">
        <v>0</v>
      </c>
      <c r="I77" s="36">
        <v>-1388888.888888889</v>
      </c>
      <c r="J77" s="37">
        <f t="shared" si="36"/>
        <v>48611111.111111112</v>
      </c>
      <c r="K77" s="26"/>
      <c r="L77" s="34">
        <v>0</v>
      </c>
      <c r="M77" s="35">
        <v>0</v>
      </c>
      <c r="N77" s="35">
        <v>0</v>
      </c>
      <c r="O77" s="36">
        <v>-1388888.888888889</v>
      </c>
      <c r="P77" s="37">
        <f t="shared" si="37"/>
        <v>47222222.222222224</v>
      </c>
      <c r="Q77" s="26"/>
      <c r="R77" s="34">
        <v>0</v>
      </c>
      <c r="S77" s="35">
        <v>0</v>
      </c>
      <c r="T77" s="35">
        <v>0</v>
      </c>
      <c r="U77" s="36">
        <v>-1388888.888888889</v>
      </c>
      <c r="V77" s="37">
        <f t="shared" si="38"/>
        <v>45833333.333333336</v>
      </c>
      <c r="W77" s="26"/>
      <c r="X77" s="34">
        <v>0</v>
      </c>
      <c r="Y77" s="35">
        <v>0</v>
      </c>
      <c r="Z77" s="35">
        <v>0</v>
      </c>
      <c r="AA77" s="36">
        <v>-1388888.888888889</v>
      </c>
      <c r="AB77" s="37">
        <f t="shared" si="39"/>
        <v>44444444.444444448</v>
      </c>
      <c r="AC77" s="26"/>
      <c r="AD77" s="34">
        <v>0</v>
      </c>
      <c r="AE77" s="35">
        <v>0</v>
      </c>
      <c r="AF77" s="35">
        <v>0</v>
      </c>
      <c r="AG77" s="36">
        <v>-1388888.888888889</v>
      </c>
      <c r="AH77" s="37">
        <f t="shared" si="40"/>
        <v>43055555.55555556</v>
      </c>
      <c r="AI77" s="26"/>
      <c r="AJ77" s="34">
        <v>0</v>
      </c>
      <c r="AK77" s="35">
        <v>0</v>
      </c>
      <c r="AL77" s="35">
        <v>0</v>
      </c>
      <c r="AM77" s="36">
        <v>-1388888.888888889</v>
      </c>
      <c r="AN77" s="37">
        <f t="shared" si="41"/>
        <v>41666666.666666672</v>
      </c>
      <c r="AO77" s="26"/>
      <c r="AP77" s="34">
        <v>0</v>
      </c>
      <c r="AQ77" s="35">
        <v>0</v>
      </c>
      <c r="AR77" s="35">
        <v>0</v>
      </c>
      <c r="AS77" s="36">
        <v>-1388888.888888889</v>
      </c>
      <c r="AT77" s="37">
        <f t="shared" si="42"/>
        <v>40277777.777777784</v>
      </c>
      <c r="AU77" s="26"/>
      <c r="AV77" s="34">
        <v>0</v>
      </c>
      <c r="AW77" s="35">
        <v>0</v>
      </c>
      <c r="AX77" s="35">
        <v>0</v>
      </c>
      <c r="AY77" s="36">
        <v>-1388888.888888889</v>
      </c>
      <c r="AZ77" s="37">
        <f t="shared" si="43"/>
        <v>38888888.888888896</v>
      </c>
      <c r="BA77" s="26"/>
      <c r="BB77" s="34">
        <v>0</v>
      </c>
      <c r="BC77" s="35">
        <v>0</v>
      </c>
      <c r="BD77" s="35">
        <v>0</v>
      </c>
      <c r="BE77" s="36">
        <v>-1388888.888888889</v>
      </c>
      <c r="BF77" s="37">
        <f t="shared" si="44"/>
        <v>37500000.000000007</v>
      </c>
      <c r="BG77" s="26"/>
      <c r="BH77" s="34">
        <v>0</v>
      </c>
      <c r="BI77" s="35">
        <v>0</v>
      </c>
      <c r="BJ77" s="35">
        <v>0</v>
      </c>
      <c r="BK77" s="36">
        <v>0</v>
      </c>
      <c r="BL77" s="37">
        <f t="shared" si="45"/>
        <v>37500000.000000007</v>
      </c>
      <c r="BM77" s="26"/>
      <c r="BN77" s="34">
        <v>0</v>
      </c>
      <c r="BO77" s="35">
        <v>0</v>
      </c>
      <c r="BP77" s="35">
        <v>0</v>
      </c>
      <c r="BQ77" s="36">
        <v>0</v>
      </c>
      <c r="BR77" s="37">
        <f t="shared" si="46"/>
        <v>37500000.000000007</v>
      </c>
      <c r="BS77" s="26"/>
      <c r="BT77" s="34">
        <v>0</v>
      </c>
      <c r="BU77" s="35">
        <v>0</v>
      </c>
      <c r="BV77" s="35">
        <v>0</v>
      </c>
      <c r="BW77" s="36">
        <v>0</v>
      </c>
      <c r="BX77" s="37">
        <f t="shared" si="47"/>
        <v>37500000.000000007</v>
      </c>
      <c r="BY77" s="26"/>
    </row>
    <row r="78" spans="1:77" ht="12" customHeight="1" x14ac:dyDescent="0.2">
      <c r="A78" s="24"/>
      <c r="B78" s="32" t="s">
        <v>88</v>
      </c>
      <c r="C78" s="26"/>
      <c r="D78" s="33">
        <v>0</v>
      </c>
      <c r="E78" s="26"/>
      <c r="F78" s="34">
        <v>0</v>
      </c>
      <c r="G78" s="35">
        <v>0</v>
      </c>
      <c r="H78" s="35">
        <v>0</v>
      </c>
      <c r="I78" s="36">
        <v>0</v>
      </c>
      <c r="J78" s="37">
        <f t="shared" si="36"/>
        <v>0</v>
      </c>
      <c r="K78" s="26"/>
      <c r="L78" s="34">
        <v>0</v>
      </c>
      <c r="M78" s="35">
        <v>0</v>
      </c>
      <c r="N78" s="35">
        <v>0</v>
      </c>
      <c r="O78" s="36">
        <v>0</v>
      </c>
      <c r="P78" s="37">
        <f t="shared" si="37"/>
        <v>0</v>
      </c>
      <c r="Q78" s="26"/>
      <c r="R78" s="34">
        <v>0</v>
      </c>
      <c r="S78" s="35">
        <v>0</v>
      </c>
      <c r="T78" s="35">
        <v>0</v>
      </c>
      <c r="U78" s="36">
        <v>0</v>
      </c>
      <c r="V78" s="37">
        <f t="shared" si="38"/>
        <v>0</v>
      </c>
      <c r="W78" s="26"/>
      <c r="X78" s="34">
        <v>0</v>
      </c>
      <c r="Y78" s="35">
        <v>0</v>
      </c>
      <c r="Z78" s="35">
        <v>0</v>
      </c>
      <c r="AA78" s="36">
        <v>0</v>
      </c>
      <c r="AB78" s="37">
        <f t="shared" si="39"/>
        <v>0</v>
      </c>
      <c r="AC78" s="26"/>
      <c r="AD78" s="34">
        <v>0</v>
      </c>
      <c r="AE78" s="35">
        <v>0</v>
      </c>
      <c r="AF78" s="35">
        <v>0</v>
      </c>
      <c r="AG78" s="36">
        <v>0</v>
      </c>
      <c r="AH78" s="37">
        <f t="shared" si="40"/>
        <v>0</v>
      </c>
      <c r="AI78" s="26"/>
      <c r="AJ78" s="34">
        <v>0</v>
      </c>
      <c r="AK78" s="35">
        <v>0</v>
      </c>
      <c r="AL78" s="35">
        <v>0</v>
      </c>
      <c r="AM78" s="36">
        <v>0</v>
      </c>
      <c r="AN78" s="37">
        <f t="shared" si="41"/>
        <v>0</v>
      </c>
      <c r="AO78" s="26"/>
      <c r="AP78" s="34">
        <v>0</v>
      </c>
      <c r="AQ78" s="35">
        <v>0</v>
      </c>
      <c r="AR78" s="35">
        <v>0</v>
      </c>
      <c r="AS78" s="36">
        <v>0</v>
      </c>
      <c r="AT78" s="37">
        <f t="shared" si="42"/>
        <v>0</v>
      </c>
      <c r="AU78" s="26"/>
      <c r="AV78" s="34">
        <v>0</v>
      </c>
      <c r="AW78" s="35">
        <v>0</v>
      </c>
      <c r="AX78" s="35">
        <v>0</v>
      </c>
      <c r="AY78" s="36">
        <v>0</v>
      </c>
      <c r="AZ78" s="37">
        <f t="shared" si="43"/>
        <v>0</v>
      </c>
      <c r="BA78" s="26"/>
      <c r="BB78" s="34">
        <v>0</v>
      </c>
      <c r="BC78" s="35">
        <v>0</v>
      </c>
      <c r="BD78" s="35">
        <v>0</v>
      </c>
      <c r="BE78" s="36">
        <v>0</v>
      </c>
      <c r="BF78" s="37">
        <f t="shared" si="44"/>
        <v>0</v>
      </c>
      <c r="BG78" s="26"/>
      <c r="BH78" s="34">
        <v>0</v>
      </c>
      <c r="BI78" s="35">
        <v>0</v>
      </c>
      <c r="BJ78" s="35">
        <v>0</v>
      </c>
      <c r="BK78" s="36">
        <v>0</v>
      </c>
      <c r="BL78" s="37">
        <f t="shared" si="45"/>
        <v>0</v>
      </c>
      <c r="BM78" s="26"/>
      <c r="BN78" s="34">
        <v>0</v>
      </c>
      <c r="BO78" s="35">
        <v>0</v>
      </c>
      <c r="BP78" s="35">
        <v>0</v>
      </c>
      <c r="BQ78" s="36">
        <v>0</v>
      </c>
      <c r="BR78" s="37">
        <f t="shared" si="46"/>
        <v>0</v>
      </c>
      <c r="BS78" s="26"/>
      <c r="BT78" s="34">
        <v>0</v>
      </c>
      <c r="BU78" s="35">
        <v>0</v>
      </c>
      <c r="BV78" s="35">
        <v>0</v>
      </c>
      <c r="BW78" s="36">
        <v>0</v>
      </c>
      <c r="BX78" s="37">
        <f t="shared" si="47"/>
        <v>0</v>
      </c>
      <c r="BY78" s="26"/>
    </row>
    <row r="79" spans="1:77" ht="12" customHeight="1" x14ac:dyDescent="0.2">
      <c r="A79" s="24"/>
      <c r="B79" s="32" t="s">
        <v>89</v>
      </c>
      <c r="C79" s="26"/>
      <c r="D79" s="33">
        <v>2933333.343333337</v>
      </c>
      <c r="E79" s="26"/>
      <c r="F79" s="34">
        <v>0</v>
      </c>
      <c r="G79" s="35">
        <v>0</v>
      </c>
      <c r="H79" s="35">
        <v>0</v>
      </c>
      <c r="I79" s="36">
        <v>0</v>
      </c>
      <c r="J79" s="37">
        <f t="shared" si="36"/>
        <v>2933333.343333337</v>
      </c>
      <c r="K79" s="26"/>
      <c r="L79" s="34">
        <v>0</v>
      </c>
      <c r="M79" s="35">
        <v>0</v>
      </c>
      <c r="N79" s="35">
        <v>0</v>
      </c>
      <c r="O79" s="36">
        <v>-1466666.6666666665</v>
      </c>
      <c r="P79" s="37">
        <f t="shared" si="37"/>
        <v>1466666.6766666705</v>
      </c>
      <c r="Q79" s="26"/>
      <c r="R79" s="34">
        <v>0</v>
      </c>
      <c r="S79" s="35">
        <v>0</v>
      </c>
      <c r="T79" s="35">
        <v>0</v>
      </c>
      <c r="U79" s="36">
        <v>-1466666.6666666665</v>
      </c>
      <c r="V79" s="37">
        <f t="shared" si="38"/>
        <v>0</v>
      </c>
      <c r="W79" s="26"/>
      <c r="X79" s="34">
        <v>0</v>
      </c>
      <c r="Y79" s="35">
        <v>15000000</v>
      </c>
      <c r="Z79" s="35">
        <v>0</v>
      </c>
      <c r="AA79" s="36">
        <v>0</v>
      </c>
      <c r="AB79" s="37">
        <f t="shared" si="39"/>
        <v>15000000</v>
      </c>
      <c r="AC79" s="26"/>
      <c r="AD79" s="34">
        <v>0</v>
      </c>
      <c r="AE79" s="35">
        <v>0</v>
      </c>
      <c r="AF79" s="35">
        <v>0</v>
      </c>
      <c r="AG79" s="36">
        <v>-1250000</v>
      </c>
      <c r="AH79" s="37">
        <f t="shared" si="40"/>
        <v>13750000</v>
      </c>
      <c r="AI79" s="26"/>
      <c r="AJ79" s="34">
        <v>0</v>
      </c>
      <c r="AK79" s="35">
        <v>0</v>
      </c>
      <c r="AL79" s="35">
        <v>0</v>
      </c>
      <c r="AM79" s="36">
        <v>-1250000</v>
      </c>
      <c r="AN79" s="37">
        <f t="shared" si="41"/>
        <v>12500000</v>
      </c>
      <c r="AO79" s="26"/>
      <c r="AP79" s="34">
        <v>0</v>
      </c>
      <c r="AQ79" s="35">
        <v>0</v>
      </c>
      <c r="AR79" s="35">
        <v>0</v>
      </c>
      <c r="AS79" s="36">
        <v>-1250000</v>
      </c>
      <c r="AT79" s="37">
        <f t="shared" si="42"/>
        <v>11250000</v>
      </c>
      <c r="AU79" s="26"/>
      <c r="AV79" s="34">
        <v>0</v>
      </c>
      <c r="AW79" s="35">
        <v>0</v>
      </c>
      <c r="AX79" s="35">
        <v>0</v>
      </c>
      <c r="AY79" s="36">
        <v>-1250000</v>
      </c>
      <c r="AZ79" s="37">
        <f t="shared" si="43"/>
        <v>10000000</v>
      </c>
      <c r="BA79" s="26"/>
      <c r="BB79" s="34">
        <v>0</v>
      </c>
      <c r="BC79" s="35">
        <v>0</v>
      </c>
      <c r="BD79" s="35">
        <v>0</v>
      </c>
      <c r="BE79" s="36">
        <v>-1250000</v>
      </c>
      <c r="BF79" s="37">
        <f t="shared" si="44"/>
        <v>8750000</v>
      </c>
      <c r="BG79" s="26"/>
      <c r="BH79" s="34">
        <v>0</v>
      </c>
      <c r="BI79" s="35">
        <v>0</v>
      </c>
      <c r="BJ79" s="35">
        <v>0</v>
      </c>
      <c r="BK79" s="36">
        <v>0</v>
      </c>
      <c r="BL79" s="37">
        <f t="shared" si="45"/>
        <v>8750000</v>
      </c>
      <c r="BM79" s="26"/>
      <c r="BN79" s="34">
        <v>0</v>
      </c>
      <c r="BO79" s="35">
        <v>0</v>
      </c>
      <c r="BP79" s="35">
        <v>0</v>
      </c>
      <c r="BQ79" s="36">
        <v>0</v>
      </c>
      <c r="BR79" s="37">
        <f t="shared" si="46"/>
        <v>8750000</v>
      </c>
      <c r="BS79" s="26"/>
      <c r="BT79" s="34">
        <v>0</v>
      </c>
      <c r="BU79" s="35">
        <v>0</v>
      </c>
      <c r="BV79" s="35">
        <v>0</v>
      </c>
      <c r="BW79" s="36">
        <v>0</v>
      </c>
      <c r="BX79" s="37">
        <f t="shared" si="47"/>
        <v>8750000</v>
      </c>
      <c r="BY79" s="26"/>
    </row>
    <row r="80" spans="1:77" ht="12" customHeight="1" x14ac:dyDescent="0.2">
      <c r="A80" s="24"/>
      <c r="B80" s="32" t="s">
        <v>108</v>
      </c>
      <c r="C80" s="26"/>
      <c r="D80" s="33">
        <v>0</v>
      </c>
      <c r="E80" s="26"/>
      <c r="F80" s="34">
        <v>0</v>
      </c>
      <c r="G80" s="35">
        <v>0</v>
      </c>
      <c r="H80" s="35">
        <v>0</v>
      </c>
      <c r="I80" s="36">
        <v>0</v>
      </c>
      <c r="J80" s="37">
        <f t="shared" si="36"/>
        <v>0</v>
      </c>
      <c r="K80" s="26"/>
      <c r="L80" s="34">
        <v>0</v>
      </c>
      <c r="M80" s="35">
        <v>0</v>
      </c>
      <c r="N80" s="35">
        <v>0</v>
      </c>
      <c r="O80" s="36">
        <v>0</v>
      </c>
      <c r="P80" s="37">
        <f t="shared" si="37"/>
        <v>0</v>
      </c>
      <c r="Q80" s="26"/>
      <c r="R80" s="34">
        <v>0</v>
      </c>
      <c r="S80" s="35">
        <v>0</v>
      </c>
      <c r="T80" s="35">
        <v>0</v>
      </c>
      <c r="U80" s="36">
        <v>0</v>
      </c>
      <c r="V80" s="37">
        <f t="shared" si="38"/>
        <v>0</v>
      </c>
      <c r="W80" s="26"/>
      <c r="X80" s="34">
        <v>0</v>
      </c>
      <c r="Y80" s="35">
        <v>0</v>
      </c>
      <c r="Z80" s="35">
        <v>0</v>
      </c>
      <c r="AA80" s="36">
        <v>0</v>
      </c>
      <c r="AB80" s="37">
        <f t="shared" si="39"/>
        <v>0</v>
      </c>
      <c r="AC80" s="26"/>
      <c r="AD80" s="34">
        <v>0</v>
      </c>
      <c r="AE80" s="35">
        <v>0</v>
      </c>
      <c r="AF80" s="35">
        <v>0</v>
      </c>
      <c r="AG80" s="36">
        <v>0</v>
      </c>
      <c r="AH80" s="37">
        <f t="shared" si="40"/>
        <v>0</v>
      </c>
      <c r="AI80" s="26"/>
      <c r="AJ80" s="34">
        <v>0</v>
      </c>
      <c r="AK80" s="35">
        <v>0</v>
      </c>
      <c r="AL80" s="35">
        <v>0</v>
      </c>
      <c r="AM80" s="36">
        <v>0</v>
      </c>
      <c r="AN80" s="37">
        <f t="shared" si="41"/>
        <v>0</v>
      </c>
      <c r="AO80" s="26"/>
      <c r="AP80" s="34">
        <v>0</v>
      </c>
      <c r="AQ80" s="35">
        <v>0</v>
      </c>
      <c r="AR80" s="35">
        <v>0</v>
      </c>
      <c r="AS80" s="36">
        <v>0</v>
      </c>
      <c r="AT80" s="37">
        <f t="shared" si="42"/>
        <v>0</v>
      </c>
      <c r="AU80" s="26"/>
      <c r="AV80" s="34">
        <v>0</v>
      </c>
      <c r="AW80" s="35">
        <v>0</v>
      </c>
      <c r="AX80" s="35">
        <v>0</v>
      </c>
      <c r="AY80" s="36">
        <v>0</v>
      </c>
      <c r="AZ80" s="37">
        <f t="shared" si="43"/>
        <v>0</v>
      </c>
      <c r="BA80" s="26"/>
      <c r="BB80" s="34">
        <v>0</v>
      </c>
      <c r="BC80" s="35">
        <v>0</v>
      </c>
      <c r="BD80" s="35">
        <v>0</v>
      </c>
      <c r="BE80" s="36">
        <v>0</v>
      </c>
      <c r="BF80" s="37">
        <f t="shared" si="44"/>
        <v>0</v>
      </c>
      <c r="BG80" s="26"/>
      <c r="BH80" s="34">
        <v>0</v>
      </c>
      <c r="BI80" s="35">
        <v>0</v>
      </c>
      <c r="BJ80" s="35">
        <v>0</v>
      </c>
      <c r="BK80" s="36">
        <v>0</v>
      </c>
      <c r="BL80" s="37">
        <f t="shared" si="45"/>
        <v>0</v>
      </c>
      <c r="BM80" s="26"/>
      <c r="BN80" s="34">
        <v>0</v>
      </c>
      <c r="BO80" s="35">
        <v>0</v>
      </c>
      <c r="BP80" s="35">
        <v>0</v>
      </c>
      <c r="BQ80" s="36">
        <v>0</v>
      </c>
      <c r="BR80" s="37">
        <f t="shared" si="46"/>
        <v>0</v>
      </c>
      <c r="BS80" s="26"/>
      <c r="BT80" s="34">
        <v>0</v>
      </c>
      <c r="BU80" s="35">
        <v>0</v>
      </c>
      <c r="BV80" s="35">
        <v>0</v>
      </c>
      <c r="BW80" s="36">
        <v>0</v>
      </c>
      <c r="BX80" s="37">
        <f t="shared" si="47"/>
        <v>0</v>
      </c>
      <c r="BY80" s="26"/>
    </row>
    <row r="81" spans="1:77" ht="12" customHeight="1" x14ac:dyDescent="0.2">
      <c r="A81" s="24"/>
      <c r="B81" s="32" t="s">
        <v>90</v>
      </c>
      <c r="C81" s="26"/>
      <c r="D81" s="33">
        <v>42499999.326666713</v>
      </c>
      <c r="E81" s="26"/>
      <c r="F81" s="34">
        <v>-16666667</v>
      </c>
      <c r="G81" s="35">
        <v>30000000</v>
      </c>
      <c r="H81" s="35">
        <v>0</v>
      </c>
      <c r="I81" s="36">
        <v>-1666666.6666666667</v>
      </c>
      <c r="J81" s="37">
        <f t="shared" si="36"/>
        <v>54166665.660000049</v>
      </c>
      <c r="K81" s="26"/>
      <c r="L81" s="34">
        <v>0</v>
      </c>
      <c r="M81" s="35">
        <v>0</v>
      </c>
      <c r="N81" s="35">
        <v>0</v>
      </c>
      <c r="O81" s="36">
        <v>-1666666.6666666667</v>
      </c>
      <c r="P81" s="37">
        <f t="shared" si="37"/>
        <v>52499998.993333384</v>
      </c>
      <c r="Q81" s="26"/>
      <c r="R81" s="34">
        <v>0</v>
      </c>
      <c r="S81" s="35">
        <v>0</v>
      </c>
      <c r="T81" s="35">
        <v>0</v>
      </c>
      <c r="U81" s="36">
        <v>-1666666.6666666667</v>
      </c>
      <c r="V81" s="37">
        <f t="shared" si="38"/>
        <v>50833332.32666672</v>
      </c>
      <c r="W81" s="26"/>
      <c r="X81" s="34">
        <v>0</v>
      </c>
      <c r="Y81" s="35">
        <v>0</v>
      </c>
      <c r="Z81" s="35">
        <v>0</v>
      </c>
      <c r="AA81" s="36">
        <v>-1666666.6666666667</v>
      </c>
      <c r="AB81" s="37">
        <f t="shared" si="39"/>
        <v>49166665.660000056</v>
      </c>
      <c r="AC81" s="26"/>
      <c r="AD81" s="34">
        <v>0</v>
      </c>
      <c r="AE81" s="35">
        <v>0</v>
      </c>
      <c r="AF81" s="35">
        <v>0</v>
      </c>
      <c r="AG81" s="36">
        <v>-1666666.6666666667</v>
      </c>
      <c r="AH81" s="37">
        <f t="shared" si="40"/>
        <v>47499998.993333392</v>
      </c>
      <c r="AI81" s="26"/>
      <c r="AJ81" s="34">
        <v>0</v>
      </c>
      <c r="AK81" s="35">
        <v>0</v>
      </c>
      <c r="AL81" s="35">
        <v>0</v>
      </c>
      <c r="AM81" s="36">
        <v>-1666666.6666666667</v>
      </c>
      <c r="AN81" s="37">
        <f t="shared" si="41"/>
        <v>45833332.326666728</v>
      </c>
      <c r="AO81" s="26"/>
      <c r="AP81" s="34">
        <v>-15833333</v>
      </c>
      <c r="AQ81" s="35">
        <v>30000000</v>
      </c>
      <c r="AR81" s="35">
        <v>0</v>
      </c>
      <c r="AS81" s="36">
        <v>-1666666.6666666667</v>
      </c>
      <c r="AT81" s="37">
        <f t="shared" si="42"/>
        <v>58333332.660000063</v>
      </c>
      <c r="AU81" s="26"/>
      <c r="AV81" s="34">
        <v>0</v>
      </c>
      <c r="AW81" s="35">
        <v>0</v>
      </c>
      <c r="AX81" s="35">
        <v>0</v>
      </c>
      <c r="AY81" s="36">
        <v>-1666666.6666666667</v>
      </c>
      <c r="AZ81" s="37">
        <f t="shared" si="43"/>
        <v>56666665.993333399</v>
      </c>
      <c r="BA81" s="26"/>
      <c r="BB81" s="34">
        <v>0</v>
      </c>
      <c r="BC81" s="35">
        <v>0</v>
      </c>
      <c r="BD81" s="35">
        <v>0</v>
      </c>
      <c r="BE81" s="36">
        <v>-1666666.6666666667</v>
      </c>
      <c r="BF81" s="37">
        <f t="shared" si="44"/>
        <v>54999999.326666735</v>
      </c>
      <c r="BG81" s="26"/>
      <c r="BH81" s="34">
        <v>0</v>
      </c>
      <c r="BI81" s="35">
        <v>0</v>
      </c>
      <c r="BJ81" s="35">
        <v>0</v>
      </c>
      <c r="BK81" s="36">
        <v>0</v>
      </c>
      <c r="BL81" s="37">
        <f t="shared" si="45"/>
        <v>54999999.326666735</v>
      </c>
      <c r="BM81" s="26"/>
      <c r="BN81" s="34">
        <v>0</v>
      </c>
      <c r="BO81" s="35">
        <v>0</v>
      </c>
      <c r="BP81" s="35">
        <v>0</v>
      </c>
      <c r="BQ81" s="36">
        <v>0</v>
      </c>
      <c r="BR81" s="37">
        <f t="shared" si="46"/>
        <v>54999999.326666735</v>
      </c>
      <c r="BS81" s="26"/>
      <c r="BT81" s="34">
        <v>0</v>
      </c>
      <c r="BU81" s="35">
        <v>0</v>
      </c>
      <c r="BV81" s="35">
        <v>0</v>
      </c>
      <c r="BW81" s="36">
        <v>0</v>
      </c>
      <c r="BX81" s="37">
        <f t="shared" si="47"/>
        <v>54999999.326666735</v>
      </c>
      <c r="BY81" s="26"/>
    </row>
    <row r="82" spans="1:77" ht="12" customHeight="1" x14ac:dyDescent="0.2">
      <c r="A82" s="24"/>
      <c r="B82" s="32" t="s">
        <v>91</v>
      </c>
      <c r="C82" s="26"/>
      <c r="D82" s="33">
        <v>4166666.6666666619</v>
      </c>
      <c r="E82" s="26"/>
      <c r="F82" s="34">
        <v>0</v>
      </c>
      <c r="G82" s="35">
        <v>10000000</v>
      </c>
      <c r="H82" s="35">
        <v>0</v>
      </c>
      <c r="I82" s="36">
        <v>-416666.66666666669</v>
      </c>
      <c r="J82" s="37">
        <f t="shared" si="36"/>
        <v>13749999.999999996</v>
      </c>
      <c r="K82" s="26"/>
      <c r="L82" s="34">
        <v>0</v>
      </c>
      <c r="M82" s="35">
        <v>0</v>
      </c>
      <c r="N82" s="35">
        <v>0</v>
      </c>
      <c r="O82" s="36">
        <v>-833333.33333333337</v>
      </c>
      <c r="P82" s="37">
        <f t="shared" si="37"/>
        <v>12916666.666666662</v>
      </c>
      <c r="Q82" s="26"/>
      <c r="R82" s="34">
        <v>0</v>
      </c>
      <c r="S82" s="35">
        <v>0</v>
      </c>
      <c r="T82" s="35">
        <v>0</v>
      </c>
      <c r="U82" s="36">
        <v>-833333.33333333337</v>
      </c>
      <c r="V82" s="37">
        <f t="shared" si="38"/>
        <v>12083333.333333328</v>
      </c>
      <c r="W82" s="26"/>
      <c r="X82" s="34">
        <v>0</v>
      </c>
      <c r="Y82" s="35">
        <v>0</v>
      </c>
      <c r="Z82" s="35">
        <v>0</v>
      </c>
      <c r="AA82" s="36">
        <v>-833333.33333333337</v>
      </c>
      <c r="AB82" s="37">
        <f t="shared" si="39"/>
        <v>11249999.999999994</v>
      </c>
      <c r="AC82" s="26"/>
      <c r="AD82" s="34">
        <v>0</v>
      </c>
      <c r="AE82" s="35">
        <v>0</v>
      </c>
      <c r="AF82" s="35">
        <v>0</v>
      </c>
      <c r="AG82" s="36">
        <v>-833333.33333333337</v>
      </c>
      <c r="AH82" s="37">
        <f t="shared" si="40"/>
        <v>10416666.66666666</v>
      </c>
      <c r="AI82" s="26"/>
      <c r="AJ82" s="34">
        <v>0</v>
      </c>
      <c r="AK82" s="35">
        <v>0</v>
      </c>
      <c r="AL82" s="35">
        <v>0</v>
      </c>
      <c r="AM82" s="36">
        <v>-833333.33333333337</v>
      </c>
      <c r="AN82" s="37">
        <f t="shared" si="41"/>
        <v>9583333.3333333265</v>
      </c>
      <c r="AO82" s="26"/>
      <c r="AP82" s="34">
        <v>0</v>
      </c>
      <c r="AQ82" s="35">
        <v>0</v>
      </c>
      <c r="AR82" s="35">
        <v>0</v>
      </c>
      <c r="AS82" s="36">
        <v>-833333.33333333337</v>
      </c>
      <c r="AT82" s="37">
        <f t="shared" si="42"/>
        <v>8749999.9999999925</v>
      </c>
      <c r="AU82" s="26"/>
      <c r="AV82" s="34">
        <v>0</v>
      </c>
      <c r="AW82" s="35">
        <v>0</v>
      </c>
      <c r="AX82" s="35">
        <v>0</v>
      </c>
      <c r="AY82" s="36">
        <v>-833333.33333333337</v>
      </c>
      <c r="AZ82" s="37">
        <f t="shared" si="43"/>
        <v>7916666.6666666595</v>
      </c>
      <c r="BA82" s="26"/>
      <c r="BB82" s="34">
        <v>0</v>
      </c>
      <c r="BC82" s="35">
        <v>0</v>
      </c>
      <c r="BD82" s="35">
        <v>0</v>
      </c>
      <c r="BE82" s="36">
        <v>-833333.33333333337</v>
      </c>
      <c r="BF82" s="37">
        <f t="shared" si="44"/>
        <v>7083333.3333333265</v>
      </c>
      <c r="BG82" s="26"/>
      <c r="BH82" s="34">
        <v>0</v>
      </c>
      <c r="BI82" s="35">
        <v>0</v>
      </c>
      <c r="BJ82" s="35">
        <v>0</v>
      </c>
      <c r="BK82" s="36">
        <v>0</v>
      </c>
      <c r="BL82" s="37">
        <f t="shared" si="45"/>
        <v>7083333.3333333265</v>
      </c>
      <c r="BM82" s="26"/>
      <c r="BN82" s="34">
        <v>0</v>
      </c>
      <c r="BO82" s="35">
        <v>0</v>
      </c>
      <c r="BP82" s="35">
        <v>0</v>
      </c>
      <c r="BQ82" s="36">
        <v>0</v>
      </c>
      <c r="BR82" s="37">
        <f t="shared" si="46"/>
        <v>7083333.3333333265</v>
      </c>
      <c r="BS82" s="26"/>
      <c r="BT82" s="34">
        <v>0</v>
      </c>
      <c r="BU82" s="35">
        <v>0</v>
      </c>
      <c r="BV82" s="35">
        <v>0</v>
      </c>
      <c r="BW82" s="36">
        <v>0</v>
      </c>
      <c r="BX82" s="37">
        <f t="shared" si="47"/>
        <v>7083333.3333333265</v>
      </c>
      <c r="BY82" s="26"/>
    </row>
    <row r="83" spans="1:77" ht="12" customHeight="1" x14ac:dyDescent="0.2">
      <c r="A83" s="24"/>
      <c r="B83" s="32" t="s">
        <v>92</v>
      </c>
      <c r="C83" s="26"/>
      <c r="D83" s="33">
        <v>39583333.333333299</v>
      </c>
      <c r="E83" s="26"/>
      <c r="F83" s="34">
        <v>0</v>
      </c>
      <c r="G83" s="35">
        <v>0</v>
      </c>
      <c r="H83" s="35">
        <v>0</v>
      </c>
      <c r="I83" s="36">
        <v>-2083333.3333333333</v>
      </c>
      <c r="J83" s="37">
        <f t="shared" si="36"/>
        <v>37499999.999999963</v>
      </c>
      <c r="K83" s="26"/>
      <c r="L83" s="34">
        <v>0</v>
      </c>
      <c r="M83" s="35">
        <v>0</v>
      </c>
      <c r="N83" s="35">
        <v>0</v>
      </c>
      <c r="O83" s="36">
        <v>-2083333.3333333333</v>
      </c>
      <c r="P83" s="37">
        <f t="shared" si="37"/>
        <v>35416666.666666627</v>
      </c>
      <c r="Q83" s="26"/>
      <c r="R83" s="34">
        <v>0</v>
      </c>
      <c r="S83" s="35">
        <v>0</v>
      </c>
      <c r="T83" s="35">
        <v>0</v>
      </c>
      <c r="U83" s="36">
        <v>-2083333.3333333333</v>
      </c>
      <c r="V83" s="37">
        <f t="shared" si="38"/>
        <v>33333333.333333295</v>
      </c>
      <c r="W83" s="26"/>
      <c r="X83" s="34">
        <v>0</v>
      </c>
      <c r="Y83" s="35">
        <v>0</v>
      </c>
      <c r="Z83" s="35">
        <v>-33333333</v>
      </c>
      <c r="AA83" s="36">
        <v>0</v>
      </c>
      <c r="AB83" s="37">
        <f t="shared" si="39"/>
        <v>0</v>
      </c>
      <c r="AC83" s="26"/>
      <c r="AD83" s="34">
        <v>0</v>
      </c>
      <c r="AE83" s="35">
        <v>0</v>
      </c>
      <c r="AF83" s="35">
        <v>0</v>
      </c>
      <c r="AG83" s="36">
        <v>0</v>
      </c>
      <c r="AH83" s="37">
        <f t="shared" si="40"/>
        <v>0</v>
      </c>
      <c r="AI83" s="26"/>
      <c r="AJ83" s="34">
        <v>0</v>
      </c>
      <c r="AK83" s="35">
        <v>0</v>
      </c>
      <c r="AL83" s="35">
        <v>0</v>
      </c>
      <c r="AM83" s="36">
        <v>0</v>
      </c>
      <c r="AN83" s="37">
        <f t="shared" si="41"/>
        <v>0</v>
      </c>
      <c r="AO83" s="26"/>
      <c r="AP83" s="34">
        <v>0</v>
      </c>
      <c r="AQ83" s="35">
        <v>0</v>
      </c>
      <c r="AR83" s="35">
        <v>0</v>
      </c>
      <c r="AS83" s="36">
        <v>0</v>
      </c>
      <c r="AT83" s="37">
        <f t="shared" si="42"/>
        <v>0</v>
      </c>
      <c r="AU83" s="26"/>
      <c r="AV83" s="34">
        <v>0</v>
      </c>
      <c r="AW83" s="35">
        <v>0</v>
      </c>
      <c r="AX83" s="35">
        <v>0</v>
      </c>
      <c r="AY83" s="36">
        <v>0</v>
      </c>
      <c r="AZ83" s="37">
        <f t="shared" si="43"/>
        <v>0</v>
      </c>
      <c r="BA83" s="26"/>
      <c r="BB83" s="34">
        <v>0</v>
      </c>
      <c r="BC83" s="35">
        <v>0</v>
      </c>
      <c r="BD83" s="35">
        <v>0</v>
      </c>
      <c r="BE83" s="36">
        <v>0</v>
      </c>
      <c r="BF83" s="37">
        <f t="shared" si="44"/>
        <v>0</v>
      </c>
      <c r="BG83" s="26"/>
      <c r="BH83" s="34">
        <v>0</v>
      </c>
      <c r="BI83" s="35">
        <v>0</v>
      </c>
      <c r="BJ83" s="35">
        <v>0</v>
      </c>
      <c r="BK83" s="36">
        <v>0</v>
      </c>
      <c r="BL83" s="37">
        <f t="shared" si="45"/>
        <v>0</v>
      </c>
      <c r="BM83" s="26"/>
      <c r="BN83" s="34">
        <v>0</v>
      </c>
      <c r="BO83" s="35">
        <v>0</v>
      </c>
      <c r="BP83" s="35">
        <v>0</v>
      </c>
      <c r="BQ83" s="36">
        <v>0</v>
      </c>
      <c r="BR83" s="37">
        <f t="shared" si="46"/>
        <v>0</v>
      </c>
      <c r="BS83" s="26"/>
      <c r="BT83" s="34">
        <v>0</v>
      </c>
      <c r="BU83" s="35">
        <v>0</v>
      </c>
      <c r="BV83" s="35">
        <v>0</v>
      </c>
      <c r="BW83" s="36">
        <v>0</v>
      </c>
      <c r="BX83" s="37">
        <f t="shared" si="47"/>
        <v>0</v>
      </c>
      <c r="BY83" s="26"/>
    </row>
    <row r="84" spans="1:77" ht="12" customHeight="1" x14ac:dyDescent="0.2">
      <c r="A84" s="24"/>
      <c r="B84" s="32" t="s">
        <v>93</v>
      </c>
      <c r="C84" s="26"/>
      <c r="D84" s="33">
        <v>0</v>
      </c>
      <c r="E84" s="26"/>
      <c r="F84" s="34">
        <v>0</v>
      </c>
      <c r="G84" s="35">
        <v>0</v>
      </c>
      <c r="H84" s="35">
        <v>0</v>
      </c>
      <c r="I84" s="36">
        <v>0</v>
      </c>
      <c r="J84" s="37">
        <f t="shared" si="36"/>
        <v>0</v>
      </c>
      <c r="K84" s="26"/>
      <c r="L84" s="34">
        <v>0</v>
      </c>
      <c r="M84" s="35">
        <v>0</v>
      </c>
      <c r="N84" s="35">
        <v>0</v>
      </c>
      <c r="O84" s="36">
        <v>0</v>
      </c>
      <c r="P84" s="37">
        <f t="shared" si="37"/>
        <v>0</v>
      </c>
      <c r="Q84" s="26"/>
      <c r="R84" s="34">
        <v>0</v>
      </c>
      <c r="S84" s="35">
        <v>0</v>
      </c>
      <c r="T84" s="35">
        <v>0</v>
      </c>
      <c r="U84" s="36">
        <v>0</v>
      </c>
      <c r="V84" s="37">
        <f t="shared" si="38"/>
        <v>0</v>
      </c>
      <c r="W84" s="26"/>
      <c r="X84" s="34">
        <v>0</v>
      </c>
      <c r="Y84" s="35">
        <v>0</v>
      </c>
      <c r="Z84" s="35">
        <v>0</v>
      </c>
      <c r="AA84" s="36">
        <v>0</v>
      </c>
      <c r="AB84" s="37">
        <f t="shared" si="39"/>
        <v>0</v>
      </c>
      <c r="AC84" s="26"/>
      <c r="AD84" s="34">
        <v>0</v>
      </c>
      <c r="AE84" s="35">
        <v>0</v>
      </c>
      <c r="AF84" s="35">
        <v>0</v>
      </c>
      <c r="AG84" s="36">
        <v>0</v>
      </c>
      <c r="AH84" s="37">
        <f t="shared" si="40"/>
        <v>0</v>
      </c>
      <c r="AI84" s="26"/>
      <c r="AJ84" s="34">
        <v>0</v>
      </c>
      <c r="AK84" s="35">
        <v>0</v>
      </c>
      <c r="AL84" s="35">
        <v>0</v>
      </c>
      <c r="AM84" s="36">
        <v>0</v>
      </c>
      <c r="AN84" s="37">
        <f t="shared" si="41"/>
        <v>0</v>
      </c>
      <c r="AO84" s="26"/>
      <c r="AP84" s="34">
        <v>0</v>
      </c>
      <c r="AQ84" s="35">
        <v>0</v>
      </c>
      <c r="AR84" s="35">
        <v>0</v>
      </c>
      <c r="AS84" s="36">
        <v>0</v>
      </c>
      <c r="AT84" s="37">
        <f t="shared" si="42"/>
        <v>0</v>
      </c>
      <c r="AU84" s="26"/>
      <c r="AV84" s="34">
        <v>0</v>
      </c>
      <c r="AW84" s="35">
        <v>0</v>
      </c>
      <c r="AX84" s="35">
        <v>0</v>
      </c>
      <c r="AY84" s="36">
        <v>0</v>
      </c>
      <c r="AZ84" s="37">
        <f t="shared" si="43"/>
        <v>0</v>
      </c>
      <c r="BA84" s="26"/>
      <c r="BB84" s="34">
        <v>0</v>
      </c>
      <c r="BC84" s="35">
        <v>0</v>
      </c>
      <c r="BD84" s="35">
        <v>0</v>
      </c>
      <c r="BE84" s="36">
        <v>0</v>
      </c>
      <c r="BF84" s="37">
        <f t="shared" si="44"/>
        <v>0</v>
      </c>
      <c r="BG84" s="26"/>
      <c r="BH84" s="34">
        <v>0</v>
      </c>
      <c r="BI84" s="35">
        <v>0</v>
      </c>
      <c r="BJ84" s="35">
        <v>0</v>
      </c>
      <c r="BK84" s="36">
        <v>0</v>
      </c>
      <c r="BL84" s="37">
        <f t="shared" si="45"/>
        <v>0</v>
      </c>
      <c r="BM84" s="26"/>
      <c r="BN84" s="34">
        <v>0</v>
      </c>
      <c r="BO84" s="35">
        <v>0</v>
      </c>
      <c r="BP84" s="35">
        <v>0</v>
      </c>
      <c r="BQ84" s="36">
        <v>0</v>
      </c>
      <c r="BR84" s="37">
        <f t="shared" si="46"/>
        <v>0</v>
      </c>
      <c r="BS84" s="26"/>
      <c r="BT84" s="34">
        <v>0</v>
      </c>
      <c r="BU84" s="35">
        <v>0</v>
      </c>
      <c r="BV84" s="35">
        <v>0</v>
      </c>
      <c r="BW84" s="36">
        <v>0</v>
      </c>
      <c r="BX84" s="37">
        <f t="shared" si="47"/>
        <v>0</v>
      </c>
      <c r="BY84" s="26"/>
    </row>
    <row r="85" spans="1:77" ht="12" customHeight="1" x14ac:dyDescent="0.2">
      <c r="A85" s="24"/>
      <c r="B85" s="32" t="s">
        <v>94</v>
      </c>
      <c r="C85" s="26"/>
      <c r="D85" s="33">
        <v>0</v>
      </c>
      <c r="E85" s="26"/>
      <c r="F85" s="34">
        <v>0</v>
      </c>
      <c r="G85" s="35">
        <v>0</v>
      </c>
      <c r="H85" s="35">
        <v>0</v>
      </c>
      <c r="I85" s="36">
        <v>0</v>
      </c>
      <c r="J85" s="37">
        <f t="shared" si="36"/>
        <v>0</v>
      </c>
      <c r="K85" s="26"/>
      <c r="L85" s="34">
        <v>0</v>
      </c>
      <c r="M85" s="35">
        <v>0</v>
      </c>
      <c r="N85" s="35">
        <v>0</v>
      </c>
      <c r="O85" s="36">
        <v>0</v>
      </c>
      <c r="P85" s="37">
        <f t="shared" si="37"/>
        <v>0</v>
      </c>
      <c r="Q85" s="26"/>
      <c r="R85" s="34">
        <v>0</v>
      </c>
      <c r="S85" s="35">
        <v>0</v>
      </c>
      <c r="T85" s="35">
        <v>0</v>
      </c>
      <c r="U85" s="36">
        <v>0</v>
      </c>
      <c r="V85" s="37">
        <f t="shared" si="38"/>
        <v>0</v>
      </c>
      <c r="W85" s="26"/>
      <c r="X85" s="34">
        <v>0</v>
      </c>
      <c r="Y85" s="35">
        <v>0</v>
      </c>
      <c r="Z85" s="35">
        <v>0</v>
      </c>
      <c r="AA85" s="36">
        <v>0</v>
      </c>
      <c r="AB85" s="37">
        <f t="shared" si="39"/>
        <v>0</v>
      </c>
      <c r="AC85" s="26"/>
      <c r="AD85" s="34">
        <v>0</v>
      </c>
      <c r="AE85" s="35">
        <v>0</v>
      </c>
      <c r="AF85" s="35">
        <v>0</v>
      </c>
      <c r="AG85" s="36">
        <v>0</v>
      </c>
      <c r="AH85" s="37">
        <f t="shared" si="40"/>
        <v>0</v>
      </c>
      <c r="AI85" s="26"/>
      <c r="AJ85" s="34">
        <v>0</v>
      </c>
      <c r="AK85" s="35">
        <v>0</v>
      </c>
      <c r="AL85" s="35">
        <v>0</v>
      </c>
      <c r="AM85" s="36">
        <v>0</v>
      </c>
      <c r="AN85" s="37">
        <f t="shared" si="41"/>
        <v>0</v>
      </c>
      <c r="AO85" s="26"/>
      <c r="AP85" s="34">
        <v>0</v>
      </c>
      <c r="AQ85" s="35">
        <v>0</v>
      </c>
      <c r="AR85" s="35">
        <v>0</v>
      </c>
      <c r="AS85" s="36">
        <v>0</v>
      </c>
      <c r="AT85" s="37">
        <f t="shared" si="42"/>
        <v>0</v>
      </c>
      <c r="AU85" s="26"/>
      <c r="AV85" s="34">
        <v>0</v>
      </c>
      <c r="AW85" s="35">
        <v>0</v>
      </c>
      <c r="AX85" s="35">
        <v>0</v>
      </c>
      <c r="AY85" s="36">
        <v>0</v>
      </c>
      <c r="AZ85" s="37">
        <f t="shared" si="43"/>
        <v>0</v>
      </c>
      <c r="BA85" s="26"/>
      <c r="BB85" s="34">
        <v>0</v>
      </c>
      <c r="BC85" s="35">
        <v>0</v>
      </c>
      <c r="BD85" s="35">
        <v>0</v>
      </c>
      <c r="BE85" s="36">
        <v>0</v>
      </c>
      <c r="BF85" s="37">
        <f t="shared" si="44"/>
        <v>0</v>
      </c>
      <c r="BG85" s="26"/>
      <c r="BH85" s="34">
        <v>0</v>
      </c>
      <c r="BI85" s="35">
        <v>0</v>
      </c>
      <c r="BJ85" s="35">
        <v>0</v>
      </c>
      <c r="BK85" s="36">
        <v>0</v>
      </c>
      <c r="BL85" s="37">
        <f t="shared" si="45"/>
        <v>0</v>
      </c>
      <c r="BM85" s="26"/>
      <c r="BN85" s="34">
        <v>0</v>
      </c>
      <c r="BO85" s="35">
        <v>0</v>
      </c>
      <c r="BP85" s="35">
        <v>0</v>
      </c>
      <c r="BQ85" s="36">
        <v>0</v>
      </c>
      <c r="BR85" s="37">
        <f t="shared" si="46"/>
        <v>0</v>
      </c>
      <c r="BS85" s="26"/>
      <c r="BT85" s="34">
        <v>0</v>
      </c>
      <c r="BU85" s="35">
        <v>0</v>
      </c>
      <c r="BV85" s="35">
        <v>0</v>
      </c>
      <c r="BW85" s="36">
        <v>0</v>
      </c>
      <c r="BX85" s="37">
        <f t="shared" si="47"/>
        <v>0</v>
      </c>
      <c r="BY85" s="26"/>
    </row>
    <row r="86" spans="1:77" ht="12" customHeight="1" x14ac:dyDescent="0.2">
      <c r="A86" s="24"/>
      <c r="B86" s="32" t="s">
        <v>95</v>
      </c>
      <c r="C86" s="26"/>
      <c r="D86" s="33">
        <v>36666666.666666627</v>
      </c>
      <c r="E86" s="26"/>
      <c r="F86" s="34">
        <v>0</v>
      </c>
      <c r="G86" s="35">
        <v>0</v>
      </c>
      <c r="H86" s="35">
        <v>0</v>
      </c>
      <c r="I86" s="36">
        <v>-833333.33333333337</v>
      </c>
      <c r="J86" s="37">
        <f t="shared" si="36"/>
        <v>35833333.333333291</v>
      </c>
      <c r="K86" s="26"/>
      <c r="L86" s="34">
        <v>0</v>
      </c>
      <c r="M86" s="35">
        <v>0</v>
      </c>
      <c r="N86" s="35">
        <v>0</v>
      </c>
      <c r="O86" s="36">
        <v>-833333.33333333337</v>
      </c>
      <c r="P86" s="37">
        <f t="shared" si="37"/>
        <v>34999999.999999955</v>
      </c>
      <c r="Q86" s="26"/>
      <c r="R86" s="34">
        <v>0</v>
      </c>
      <c r="S86" s="35">
        <v>0</v>
      </c>
      <c r="T86" s="35">
        <v>0</v>
      </c>
      <c r="U86" s="36">
        <v>-833333.33333333337</v>
      </c>
      <c r="V86" s="37">
        <f t="shared" si="38"/>
        <v>34166666.666666619</v>
      </c>
      <c r="W86" s="26"/>
      <c r="X86" s="34">
        <v>0</v>
      </c>
      <c r="Y86" s="35">
        <v>0</v>
      </c>
      <c r="Z86" s="35">
        <v>0</v>
      </c>
      <c r="AA86" s="36">
        <v>-833333.33333333337</v>
      </c>
      <c r="AB86" s="37">
        <f t="shared" si="39"/>
        <v>33333333.333333287</v>
      </c>
      <c r="AC86" s="26"/>
      <c r="AD86" s="34">
        <v>0</v>
      </c>
      <c r="AE86" s="35">
        <v>0</v>
      </c>
      <c r="AF86" s="35">
        <v>0</v>
      </c>
      <c r="AG86" s="36">
        <v>-833333.33333333337</v>
      </c>
      <c r="AH86" s="37">
        <f t="shared" si="40"/>
        <v>32499999.999999955</v>
      </c>
      <c r="AI86" s="26"/>
      <c r="AJ86" s="34">
        <v>0</v>
      </c>
      <c r="AK86" s="35">
        <v>0</v>
      </c>
      <c r="AL86" s="35">
        <v>0</v>
      </c>
      <c r="AM86" s="36">
        <v>-833333.33333333337</v>
      </c>
      <c r="AN86" s="37">
        <f t="shared" si="41"/>
        <v>31666666.666666623</v>
      </c>
      <c r="AO86" s="26"/>
      <c r="AP86" s="34">
        <v>0</v>
      </c>
      <c r="AQ86" s="35">
        <v>0</v>
      </c>
      <c r="AR86" s="35">
        <v>0</v>
      </c>
      <c r="AS86" s="36">
        <v>-833333.33333333337</v>
      </c>
      <c r="AT86" s="37">
        <f t="shared" si="42"/>
        <v>30833333.333333291</v>
      </c>
      <c r="AU86" s="26"/>
      <c r="AV86" s="34">
        <v>0</v>
      </c>
      <c r="AW86" s="35">
        <v>0</v>
      </c>
      <c r="AX86" s="35">
        <v>0</v>
      </c>
      <c r="AY86" s="36">
        <v>-833333.33333333337</v>
      </c>
      <c r="AZ86" s="37">
        <f t="shared" si="43"/>
        <v>29999999.999999959</v>
      </c>
      <c r="BA86" s="26"/>
      <c r="BB86" s="34">
        <v>0</v>
      </c>
      <c r="BC86" s="35">
        <v>0</v>
      </c>
      <c r="BD86" s="35">
        <v>0</v>
      </c>
      <c r="BE86" s="36">
        <v>-833333.33333333337</v>
      </c>
      <c r="BF86" s="37">
        <f t="shared" si="44"/>
        <v>29166666.666666627</v>
      </c>
      <c r="BG86" s="26"/>
      <c r="BH86" s="34">
        <v>0</v>
      </c>
      <c r="BI86" s="35">
        <v>0</v>
      </c>
      <c r="BJ86" s="35">
        <v>0</v>
      </c>
      <c r="BK86" s="36">
        <v>0</v>
      </c>
      <c r="BL86" s="37">
        <f t="shared" si="45"/>
        <v>29166666.666666627</v>
      </c>
      <c r="BM86" s="26"/>
      <c r="BN86" s="34">
        <v>0</v>
      </c>
      <c r="BO86" s="35">
        <v>0</v>
      </c>
      <c r="BP86" s="35">
        <v>0</v>
      </c>
      <c r="BQ86" s="36">
        <v>0</v>
      </c>
      <c r="BR86" s="37">
        <f t="shared" si="46"/>
        <v>29166666.666666627</v>
      </c>
      <c r="BS86" s="26"/>
      <c r="BT86" s="34">
        <v>0</v>
      </c>
      <c r="BU86" s="35">
        <v>0</v>
      </c>
      <c r="BV86" s="35">
        <v>0</v>
      </c>
      <c r="BW86" s="36">
        <v>0</v>
      </c>
      <c r="BX86" s="37">
        <f t="shared" si="47"/>
        <v>29166666.666666627</v>
      </c>
      <c r="BY86" s="26"/>
    </row>
    <row r="87" spans="1:77" ht="12" customHeight="1" x14ac:dyDescent="0.2">
      <c r="A87" s="24"/>
      <c r="B87" s="32" t="s">
        <v>96</v>
      </c>
      <c r="C87" s="26"/>
      <c r="D87" s="33">
        <v>0</v>
      </c>
      <c r="E87" s="26"/>
      <c r="F87" s="34">
        <v>0</v>
      </c>
      <c r="G87" s="35">
        <v>0</v>
      </c>
      <c r="H87" s="35">
        <v>0</v>
      </c>
      <c r="I87" s="36">
        <v>0</v>
      </c>
      <c r="J87" s="37">
        <f t="shared" si="36"/>
        <v>0</v>
      </c>
      <c r="K87" s="26"/>
      <c r="L87" s="34">
        <v>0</v>
      </c>
      <c r="M87" s="35">
        <v>0</v>
      </c>
      <c r="N87" s="35">
        <v>0</v>
      </c>
      <c r="O87" s="36">
        <v>0</v>
      </c>
      <c r="P87" s="37">
        <f t="shared" si="37"/>
        <v>0</v>
      </c>
      <c r="Q87" s="26"/>
      <c r="R87" s="34">
        <v>0</v>
      </c>
      <c r="S87" s="35">
        <v>0</v>
      </c>
      <c r="T87" s="35">
        <v>0</v>
      </c>
      <c r="U87" s="36">
        <v>0</v>
      </c>
      <c r="V87" s="37">
        <f t="shared" si="38"/>
        <v>0</v>
      </c>
      <c r="W87" s="26"/>
      <c r="X87" s="34">
        <v>0</v>
      </c>
      <c r="Y87" s="35">
        <v>0</v>
      </c>
      <c r="Z87" s="35">
        <v>0</v>
      </c>
      <c r="AA87" s="36">
        <v>0</v>
      </c>
      <c r="AB87" s="37">
        <f t="shared" si="39"/>
        <v>0</v>
      </c>
      <c r="AC87" s="26"/>
      <c r="AD87" s="34">
        <v>0</v>
      </c>
      <c r="AE87" s="35">
        <v>0</v>
      </c>
      <c r="AF87" s="35">
        <v>0</v>
      </c>
      <c r="AG87" s="36">
        <v>0</v>
      </c>
      <c r="AH87" s="37">
        <f t="shared" si="40"/>
        <v>0</v>
      </c>
      <c r="AI87" s="26"/>
      <c r="AJ87" s="34">
        <v>0</v>
      </c>
      <c r="AK87" s="35">
        <v>0</v>
      </c>
      <c r="AL87" s="35">
        <v>0</v>
      </c>
      <c r="AM87" s="36">
        <v>0</v>
      </c>
      <c r="AN87" s="37">
        <f t="shared" si="41"/>
        <v>0</v>
      </c>
      <c r="AO87" s="26"/>
      <c r="AP87" s="34">
        <v>0</v>
      </c>
      <c r="AQ87" s="35">
        <v>0</v>
      </c>
      <c r="AR87" s="35">
        <v>0</v>
      </c>
      <c r="AS87" s="36">
        <v>0</v>
      </c>
      <c r="AT87" s="37">
        <f t="shared" si="42"/>
        <v>0</v>
      </c>
      <c r="AU87" s="26"/>
      <c r="AV87" s="34">
        <v>0</v>
      </c>
      <c r="AW87" s="35">
        <v>0</v>
      </c>
      <c r="AX87" s="35">
        <v>0</v>
      </c>
      <c r="AY87" s="36">
        <v>0</v>
      </c>
      <c r="AZ87" s="37">
        <f t="shared" si="43"/>
        <v>0</v>
      </c>
      <c r="BA87" s="26"/>
      <c r="BB87" s="34">
        <v>0</v>
      </c>
      <c r="BC87" s="35">
        <v>0</v>
      </c>
      <c r="BD87" s="35">
        <v>0</v>
      </c>
      <c r="BE87" s="36">
        <v>0</v>
      </c>
      <c r="BF87" s="37">
        <f t="shared" si="44"/>
        <v>0</v>
      </c>
      <c r="BG87" s="26"/>
      <c r="BH87" s="34">
        <v>0</v>
      </c>
      <c r="BI87" s="35">
        <v>0</v>
      </c>
      <c r="BJ87" s="35">
        <v>0</v>
      </c>
      <c r="BK87" s="36">
        <v>0</v>
      </c>
      <c r="BL87" s="37">
        <f t="shared" si="45"/>
        <v>0</v>
      </c>
      <c r="BM87" s="26"/>
      <c r="BN87" s="34">
        <v>0</v>
      </c>
      <c r="BO87" s="35">
        <v>0</v>
      </c>
      <c r="BP87" s="35">
        <v>0</v>
      </c>
      <c r="BQ87" s="36">
        <v>0</v>
      </c>
      <c r="BR87" s="37">
        <f t="shared" si="46"/>
        <v>0</v>
      </c>
      <c r="BS87" s="26"/>
      <c r="BT87" s="34">
        <v>0</v>
      </c>
      <c r="BU87" s="35">
        <v>0</v>
      </c>
      <c r="BV87" s="35">
        <v>0</v>
      </c>
      <c r="BW87" s="36">
        <v>0</v>
      </c>
      <c r="BX87" s="37">
        <f t="shared" si="47"/>
        <v>0</v>
      </c>
      <c r="BY87" s="26"/>
    </row>
    <row r="88" spans="1:77" ht="12" customHeight="1" x14ac:dyDescent="0.2">
      <c r="A88" s="24"/>
      <c r="B88" s="32" t="s">
        <v>97</v>
      </c>
      <c r="C88" s="26"/>
      <c r="D88" s="33">
        <v>53104166.57555557</v>
      </c>
      <c r="E88" s="26"/>
      <c r="F88" s="34">
        <v>0</v>
      </c>
      <c r="G88" s="35">
        <v>0</v>
      </c>
      <c r="H88" s="35">
        <v>0</v>
      </c>
      <c r="I88" s="36">
        <v>-1395833.3333333333</v>
      </c>
      <c r="J88" s="37">
        <f t="shared" si="36"/>
        <v>51708333.242222235</v>
      </c>
      <c r="K88" s="26"/>
      <c r="L88" s="34">
        <v>0</v>
      </c>
      <c r="M88" s="35">
        <v>0</v>
      </c>
      <c r="N88" s="35">
        <v>0</v>
      </c>
      <c r="O88" s="36">
        <v>-1395833.3333333333</v>
      </c>
      <c r="P88" s="37">
        <f t="shared" si="37"/>
        <v>50312499.908888899</v>
      </c>
      <c r="Q88" s="26"/>
      <c r="R88" s="34">
        <v>0</v>
      </c>
      <c r="S88" s="35">
        <v>0</v>
      </c>
      <c r="T88" s="35">
        <v>0</v>
      </c>
      <c r="U88" s="36">
        <v>-1395833.3333333333</v>
      </c>
      <c r="V88" s="37">
        <f t="shared" si="38"/>
        <v>48916666.575555563</v>
      </c>
      <c r="W88" s="26"/>
      <c r="X88" s="34">
        <v>0</v>
      </c>
      <c r="Y88" s="35">
        <v>7000000</v>
      </c>
      <c r="Z88" s="35">
        <v>0</v>
      </c>
      <c r="AA88" s="36">
        <v>-1541666.6666666665</v>
      </c>
      <c r="AB88" s="37">
        <f t="shared" si="39"/>
        <v>54374999.908888899</v>
      </c>
      <c r="AC88" s="26"/>
      <c r="AD88" s="34">
        <v>0</v>
      </c>
      <c r="AE88" s="35">
        <v>0</v>
      </c>
      <c r="AF88" s="35">
        <v>0</v>
      </c>
      <c r="AG88" s="36">
        <v>-1541666.6666666665</v>
      </c>
      <c r="AH88" s="37">
        <f t="shared" si="40"/>
        <v>52833333.242222235</v>
      </c>
      <c r="AI88" s="26"/>
      <c r="AJ88" s="34">
        <v>0</v>
      </c>
      <c r="AK88" s="35">
        <v>0</v>
      </c>
      <c r="AL88" s="35">
        <v>0</v>
      </c>
      <c r="AM88" s="36">
        <v>-1541666.6666666665</v>
      </c>
      <c r="AN88" s="37">
        <f t="shared" si="41"/>
        <v>51291666.57555557</v>
      </c>
      <c r="AO88" s="26"/>
      <c r="AP88" s="34">
        <v>0</v>
      </c>
      <c r="AQ88" s="35">
        <v>0</v>
      </c>
      <c r="AR88" s="35">
        <v>0</v>
      </c>
      <c r="AS88" s="36">
        <v>-1541666.6666666665</v>
      </c>
      <c r="AT88" s="37">
        <f t="shared" si="42"/>
        <v>49749999.908888906</v>
      </c>
      <c r="AU88" s="26"/>
      <c r="AV88" s="34">
        <v>0</v>
      </c>
      <c r="AW88" s="35">
        <v>0</v>
      </c>
      <c r="AX88" s="35">
        <v>0</v>
      </c>
      <c r="AY88" s="36">
        <v>-1541666.6666666665</v>
      </c>
      <c r="AZ88" s="37">
        <f t="shared" si="43"/>
        <v>48208333.242222242</v>
      </c>
      <c r="BA88" s="26"/>
      <c r="BB88" s="34">
        <v>0</v>
      </c>
      <c r="BC88" s="35">
        <v>0</v>
      </c>
      <c r="BD88" s="35">
        <v>0</v>
      </c>
      <c r="BE88" s="36">
        <v>-1541666.6666666665</v>
      </c>
      <c r="BF88" s="37">
        <f t="shared" si="44"/>
        <v>46666666.575555578</v>
      </c>
      <c r="BG88" s="26"/>
      <c r="BH88" s="34">
        <v>0</v>
      </c>
      <c r="BI88" s="35">
        <v>0</v>
      </c>
      <c r="BJ88" s="35">
        <v>0</v>
      </c>
      <c r="BK88" s="36">
        <v>0</v>
      </c>
      <c r="BL88" s="37">
        <f t="shared" si="45"/>
        <v>46666666.575555578</v>
      </c>
      <c r="BM88" s="26"/>
      <c r="BN88" s="34">
        <v>0</v>
      </c>
      <c r="BO88" s="35">
        <v>0</v>
      </c>
      <c r="BP88" s="35">
        <v>0</v>
      </c>
      <c r="BQ88" s="36">
        <v>0</v>
      </c>
      <c r="BR88" s="37">
        <f t="shared" si="46"/>
        <v>46666666.575555578</v>
      </c>
      <c r="BS88" s="26"/>
      <c r="BT88" s="34">
        <v>0</v>
      </c>
      <c r="BU88" s="35">
        <v>0</v>
      </c>
      <c r="BV88" s="35">
        <v>0</v>
      </c>
      <c r="BW88" s="36">
        <v>0</v>
      </c>
      <c r="BX88" s="37">
        <f t="shared" si="47"/>
        <v>46666666.575555578</v>
      </c>
      <c r="BY88" s="26"/>
    </row>
    <row r="89" spans="1:77" ht="12" customHeight="1" x14ac:dyDescent="0.2">
      <c r="A89" s="24"/>
      <c r="B89" s="32" t="s">
        <v>98</v>
      </c>
      <c r="C89" s="26"/>
      <c r="D89" s="33">
        <v>0</v>
      </c>
      <c r="E89" s="26"/>
      <c r="F89" s="43">
        <v>0</v>
      </c>
      <c r="G89" s="44">
        <v>0</v>
      </c>
      <c r="H89" s="35">
        <v>0</v>
      </c>
      <c r="I89" s="36">
        <v>0</v>
      </c>
      <c r="J89" s="37">
        <f t="shared" si="36"/>
        <v>0</v>
      </c>
      <c r="K89" s="26"/>
      <c r="L89" s="43">
        <v>0</v>
      </c>
      <c r="M89" s="44">
        <v>0</v>
      </c>
      <c r="N89" s="35">
        <v>0</v>
      </c>
      <c r="O89" s="36">
        <v>0</v>
      </c>
      <c r="P89" s="37">
        <f t="shared" si="37"/>
        <v>0</v>
      </c>
      <c r="Q89" s="26"/>
      <c r="R89" s="43">
        <v>0</v>
      </c>
      <c r="S89" s="44">
        <v>0</v>
      </c>
      <c r="T89" s="35">
        <v>0</v>
      </c>
      <c r="U89" s="36">
        <v>0</v>
      </c>
      <c r="V89" s="37">
        <f t="shared" si="38"/>
        <v>0</v>
      </c>
      <c r="W89" s="26"/>
      <c r="X89" s="43">
        <v>0</v>
      </c>
      <c r="Y89" s="44">
        <v>0</v>
      </c>
      <c r="Z89" s="35">
        <v>0</v>
      </c>
      <c r="AA89" s="36">
        <v>0</v>
      </c>
      <c r="AB89" s="37">
        <f t="shared" si="39"/>
        <v>0</v>
      </c>
      <c r="AC89" s="26"/>
      <c r="AD89" s="43">
        <v>0</v>
      </c>
      <c r="AE89" s="44">
        <v>0</v>
      </c>
      <c r="AF89" s="35">
        <v>0</v>
      </c>
      <c r="AG89" s="36">
        <v>0</v>
      </c>
      <c r="AH89" s="37">
        <f t="shared" si="40"/>
        <v>0</v>
      </c>
      <c r="AI89" s="26"/>
      <c r="AJ89" s="43">
        <v>0</v>
      </c>
      <c r="AK89" s="44">
        <v>0</v>
      </c>
      <c r="AL89" s="35">
        <v>0</v>
      </c>
      <c r="AM89" s="36">
        <v>0</v>
      </c>
      <c r="AN89" s="37">
        <f t="shared" si="41"/>
        <v>0</v>
      </c>
      <c r="AO89" s="26"/>
      <c r="AP89" s="43">
        <v>0</v>
      </c>
      <c r="AQ89" s="44">
        <v>0</v>
      </c>
      <c r="AR89" s="35">
        <v>0</v>
      </c>
      <c r="AS89" s="36">
        <v>0</v>
      </c>
      <c r="AT89" s="37">
        <f t="shared" si="42"/>
        <v>0</v>
      </c>
      <c r="AU89" s="26"/>
      <c r="AV89" s="43">
        <v>0</v>
      </c>
      <c r="AW89" s="44">
        <v>0</v>
      </c>
      <c r="AX89" s="35">
        <v>0</v>
      </c>
      <c r="AY89" s="36">
        <v>0</v>
      </c>
      <c r="AZ89" s="37">
        <f t="shared" si="43"/>
        <v>0</v>
      </c>
      <c r="BA89" s="26"/>
      <c r="BB89" s="43">
        <v>0</v>
      </c>
      <c r="BC89" s="44">
        <v>0</v>
      </c>
      <c r="BD89" s="35">
        <v>0</v>
      </c>
      <c r="BE89" s="36">
        <v>0</v>
      </c>
      <c r="BF89" s="37">
        <f t="shared" si="44"/>
        <v>0</v>
      </c>
      <c r="BG89" s="26"/>
      <c r="BH89" s="43">
        <v>0</v>
      </c>
      <c r="BI89" s="44">
        <v>0</v>
      </c>
      <c r="BJ89" s="35">
        <v>0</v>
      </c>
      <c r="BK89" s="36">
        <v>0</v>
      </c>
      <c r="BL89" s="37">
        <f t="shared" si="45"/>
        <v>0</v>
      </c>
      <c r="BM89" s="26"/>
      <c r="BN89" s="43">
        <v>0</v>
      </c>
      <c r="BO89" s="44">
        <v>0</v>
      </c>
      <c r="BP89" s="35">
        <v>0</v>
      </c>
      <c r="BQ89" s="36">
        <v>0</v>
      </c>
      <c r="BR89" s="37">
        <f t="shared" si="46"/>
        <v>0</v>
      </c>
      <c r="BS89" s="26"/>
      <c r="BT89" s="43">
        <v>0</v>
      </c>
      <c r="BU89" s="44">
        <v>0</v>
      </c>
      <c r="BV89" s="35">
        <v>0</v>
      </c>
      <c r="BW89" s="36">
        <v>0</v>
      </c>
      <c r="BX89" s="37">
        <f t="shared" si="47"/>
        <v>0</v>
      </c>
      <c r="BY89" s="26"/>
    </row>
    <row r="90" spans="1:77" ht="12" customHeight="1" x14ac:dyDescent="0.2">
      <c r="A90" s="24"/>
      <c r="B90" s="32" t="s">
        <v>99</v>
      </c>
      <c r="C90" s="26"/>
      <c r="D90" s="33">
        <v>69999999.999999911</v>
      </c>
      <c r="E90" s="26"/>
      <c r="F90" s="43">
        <v>0</v>
      </c>
      <c r="G90" s="44">
        <v>0</v>
      </c>
      <c r="H90" s="35">
        <v>0</v>
      </c>
      <c r="I90" s="36">
        <v>-1666666.6666666667</v>
      </c>
      <c r="J90" s="37">
        <f t="shared" si="36"/>
        <v>68333333.333333239</v>
      </c>
      <c r="K90" s="26"/>
      <c r="L90" s="43">
        <v>0</v>
      </c>
      <c r="M90" s="44">
        <v>0</v>
      </c>
      <c r="N90" s="35">
        <v>0</v>
      </c>
      <c r="O90" s="36">
        <v>-1666666.6666666667</v>
      </c>
      <c r="P90" s="37">
        <f t="shared" si="37"/>
        <v>66666666.666666575</v>
      </c>
      <c r="Q90" s="26"/>
      <c r="R90" s="43">
        <v>0</v>
      </c>
      <c r="S90" s="44">
        <v>0</v>
      </c>
      <c r="T90" s="35">
        <v>0</v>
      </c>
      <c r="U90" s="36">
        <v>-1666666.6666666667</v>
      </c>
      <c r="V90" s="37">
        <f t="shared" si="38"/>
        <v>64999999.999999911</v>
      </c>
      <c r="W90" s="26"/>
      <c r="X90" s="43">
        <v>0</v>
      </c>
      <c r="Y90" s="44">
        <v>0</v>
      </c>
      <c r="Z90" s="35">
        <v>0</v>
      </c>
      <c r="AA90" s="36">
        <v>-1666666.6666666667</v>
      </c>
      <c r="AB90" s="37">
        <f t="shared" si="39"/>
        <v>63333333.333333246</v>
      </c>
      <c r="AC90" s="26"/>
      <c r="AD90" s="43">
        <v>0</v>
      </c>
      <c r="AE90" s="44">
        <v>0</v>
      </c>
      <c r="AF90" s="35">
        <v>0</v>
      </c>
      <c r="AG90" s="36">
        <v>-1666666.6666666667</v>
      </c>
      <c r="AH90" s="37">
        <f t="shared" si="40"/>
        <v>61666666.666666582</v>
      </c>
      <c r="AI90" s="26"/>
      <c r="AJ90" s="43">
        <v>0</v>
      </c>
      <c r="AK90" s="44">
        <v>0</v>
      </c>
      <c r="AL90" s="35">
        <v>0</v>
      </c>
      <c r="AM90" s="36">
        <v>-1666666.6666666667</v>
      </c>
      <c r="AN90" s="37">
        <f t="shared" si="41"/>
        <v>59999999.999999918</v>
      </c>
      <c r="AO90" s="26"/>
      <c r="AP90" s="43">
        <v>0</v>
      </c>
      <c r="AQ90" s="44">
        <v>0</v>
      </c>
      <c r="AR90" s="35">
        <v>0</v>
      </c>
      <c r="AS90" s="36">
        <v>-1666666.6666666667</v>
      </c>
      <c r="AT90" s="37">
        <f t="shared" si="42"/>
        <v>58333333.333333254</v>
      </c>
      <c r="AU90" s="26"/>
      <c r="AV90" s="43">
        <v>0</v>
      </c>
      <c r="AW90" s="44">
        <v>0</v>
      </c>
      <c r="AX90" s="35">
        <v>0</v>
      </c>
      <c r="AY90" s="36">
        <v>-1666666.6666666667</v>
      </c>
      <c r="AZ90" s="37">
        <f t="shared" si="43"/>
        <v>56666666.66666659</v>
      </c>
      <c r="BA90" s="26"/>
      <c r="BB90" s="43">
        <v>0</v>
      </c>
      <c r="BC90" s="44">
        <v>0</v>
      </c>
      <c r="BD90" s="35">
        <v>0</v>
      </c>
      <c r="BE90" s="36">
        <v>-1666666.6666666667</v>
      </c>
      <c r="BF90" s="37">
        <f t="shared" si="44"/>
        <v>54999999.999999925</v>
      </c>
      <c r="BG90" s="26"/>
      <c r="BH90" s="43">
        <v>0</v>
      </c>
      <c r="BI90" s="44">
        <v>0</v>
      </c>
      <c r="BJ90" s="35">
        <v>0</v>
      </c>
      <c r="BK90" s="36">
        <v>0</v>
      </c>
      <c r="BL90" s="37">
        <f t="shared" si="45"/>
        <v>54999999.999999925</v>
      </c>
      <c r="BM90" s="26"/>
      <c r="BN90" s="43">
        <v>0</v>
      </c>
      <c r="BO90" s="44">
        <v>0</v>
      </c>
      <c r="BP90" s="35">
        <v>0</v>
      </c>
      <c r="BQ90" s="36">
        <v>0</v>
      </c>
      <c r="BR90" s="37">
        <f t="shared" si="46"/>
        <v>54999999.999999925</v>
      </c>
      <c r="BS90" s="26"/>
      <c r="BT90" s="43">
        <v>0</v>
      </c>
      <c r="BU90" s="44">
        <v>0</v>
      </c>
      <c r="BV90" s="35">
        <v>0</v>
      </c>
      <c r="BW90" s="36">
        <v>0</v>
      </c>
      <c r="BX90" s="37">
        <f t="shared" si="47"/>
        <v>54999999.999999925</v>
      </c>
      <c r="BY90" s="26"/>
    </row>
    <row r="91" spans="1:77" ht="12" customHeight="1" x14ac:dyDescent="0.2">
      <c r="A91" s="24"/>
      <c r="B91" s="32" t="s">
        <v>100</v>
      </c>
      <c r="C91" s="26"/>
      <c r="D91" s="33">
        <v>26500000</v>
      </c>
      <c r="E91" s="26"/>
      <c r="F91" s="43">
        <v>0</v>
      </c>
      <c r="G91" s="44">
        <v>0</v>
      </c>
      <c r="H91" s="35">
        <v>0</v>
      </c>
      <c r="I91" s="36">
        <v>-500000</v>
      </c>
      <c r="J91" s="37">
        <f t="shared" si="36"/>
        <v>26000000</v>
      </c>
      <c r="K91" s="26"/>
      <c r="L91" s="43">
        <v>0</v>
      </c>
      <c r="M91" s="44">
        <v>0</v>
      </c>
      <c r="N91" s="35">
        <v>0</v>
      </c>
      <c r="O91" s="36">
        <v>-500000</v>
      </c>
      <c r="P91" s="37">
        <f t="shared" si="37"/>
        <v>25500000</v>
      </c>
      <c r="Q91" s="26"/>
      <c r="R91" s="43">
        <v>0</v>
      </c>
      <c r="S91" s="44">
        <v>0</v>
      </c>
      <c r="T91" s="35">
        <v>0</v>
      </c>
      <c r="U91" s="36">
        <v>-500000</v>
      </c>
      <c r="V91" s="37">
        <f t="shared" si="38"/>
        <v>25000000</v>
      </c>
      <c r="W91" s="26"/>
      <c r="X91" s="43">
        <v>-25000000</v>
      </c>
      <c r="Y91" s="44">
        <v>30000000</v>
      </c>
      <c r="Z91" s="35">
        <v>0</v>
      </c>
      <c r="AA91" s="36">
        <v>-500000</v>
      </c>
      <c r="AB91" s="37">
        <f t="shared" si="39"/>
        <v>29500000</v>
      </c>
      <c r="AC91" s="26"/>
      <c r="AD91" s="43">
        <v>0</v>
      </c>
      <c r="AE91" s="44">
        <v>0</v>
      </c>
      <c r="AF91" s="35">
        <v>0</v>
      </c>
      <c r="AG91" s="36">
        <v>-500000</v>
      </c>
      <c r="AH91" s="37">
        <f t="shared" si="40"/>
        <v>29000000</v>
      </c>
      <c r="AI91" s="26"/>
      <c r="AJ91" s="43">
        <v>0</v>
      </c>
      <c r="AK91" s="44">
        <v>0</v>
      </c>
      <c r="AL91" s="35">
        <v>0</v>
      </c>
      <c r="AM91" s="36">
        <v>-500000</v>
      </c>
      <c r="AN91" s="37">
        <f t="shared" si="41"/>
        <v>28500000</v>
      </c>
      <c r="AO91" s="26"/>
      <c r="AP91" s="43">
        <v>0</v>
      </c>
      <c r="AQ91" s="44">
        <v>0</v>
      </c>
      <c r="AR91" s="35">
        <v>0</v>
      </c>
      <c r="AS91" s="36">
        <v>-500000</v>
      </c>
      <c r="AT91" s="37">
        <f t="shared" si="42"/>
        <v>28000000</v>
      </c>
      <c r="AU91" s="26"/>
      <c r="AV91" s="43">
        <v>0</v>
      </c>
      <c r="AW91" s="44">
        <v>0</v>
      </c>
      <c r="AX91" s="35">
        <v>0</v>
      </c>
      <c r="AY91" s="36">
        <v>-500000</v>
      </c>
      <c r="AZ91" s="37">
        <f t="shared" si="43"/>
        <v>27500000</v>
      </c>
      <c r="BA91" s="26"/>
      <c r="BB91" s="43">
        <v>0</v>
      </c>
      <c r="BC91" s="44">
        <v>0</v>
      </c>
      <c r="BD91" s="35">
        <v>0</v>
      </c>
      <c r="BE91" s="36">
        <v>-500000</v>
      </c>
      <c r="BF91" s="37">
        <f t="shared" si="44"/>
        <v>27000000</v>
      </c>
      <c r="BG91" s="26"/>
      <c r="BH91" s="43">
        <v>0</v>
      </c>
      <c r="BI91" s="44">
        <v>0</v>
      </c>
      <c r="BJ91" s="35">
        <v>0</v>
      </c>
      <c r="BK91" s="36">
        <v>0</v>
      </c>
      <c r="BL91" s="37">
        <f t="shared" si="45"/>
        <v>27000000</v>
      </c>
      <c r="BM91" s="26"/>
      <c r="BN91" s="43">
        <v>0</v>
      </c>
      <c r="BO91" s="44">
        <v>0</v>
      </c>
      <c r="BP91" s="35">
        <v>0</v>
      </c>
      <c r="BQ91" s="36">
        <v>0</v>
      </c>
      <c r="BR91" s="37">
        <f t="shared" si="46"/>
        <v>27000000</v>
      </c>
      <c r="BS91" s="26"/>
      <c r="BT91" s="43">
        <v>0</v>
      </c>
      <c r="BU91" s="44">
        <v>0</v>
      </c>
      <c r="BV91" s="35">
        <v>0</v>
      </c>
      <c r="BW91" s="36">
        <v>0</v>
      </c>
      <c r="BX91" s="37">
        <f t="shared" si="47"/>
        <v>27000000</v>
      </c>
      <c r="BY91" s="26"/>
    </row>
    <row r="92" spans="1:77" ht="12" customHeight="1" x14ac:dyDescent="0.2">
      <c r="A92" s="24"/>
      <c r="B92" s="32" t="s">
        <v>101</v>
      </c>
      <c r="C92" s="26"/>
      <c r="D92" s="33">
        <v>0</v>
      </c>
      <c r="E92" s="26"/>
      <c r="F92" s="43">
        <v>0</v>
      </c>
      <c r="G92" s="44">
        <v>0</v>
      </c>
      <c r="H92" s="35">
        <v>0</v>
      </c>
      <c r="I92" s="36">
        <v>0</v>
      </c>
      <c r="J92" s="37">
        <f t="shared" si="36"/>
        <v>0</v>
      </c>
      <c r="K92" s="26"/>
      <c r="L92" s="43">
        <v>0</v>
      </c>
      <c r="M92" s="44">
        <v>0</v>
      </c>
      <c r="N92" s="35">
        <v>0</v>
      </c>
      <c r="O92" s="36">
        <v>0</v>
      </c>
      <c r="P92" s="37">
        <f t="shared" si="37"/>
        <v>0</v>
      </c>
      <c r="Q92" s="26"/>
      <c r="R92" s="43">
        <v>0</v>
      </c>
      <c r="S92" s="44">
        <v>0</v>
      </c>
      <c r="T92" s="35">
        <v>0</v>
      </c>
      <c r="U92" s="36">
        <v>0</v>
      </c>
      <c r="V92" s="37">
        <f t="shared" si="38"/>
        <v>0</v>
      </c>
      <c r="W92" s="26"/>
      <c r="X92" s="43">
        <v>0</v>
      </c>
      <c r="Y92" s="44">
        <v>0</v>
      </c>
      <c r="Z92" s="35">
        <v>0</v>
      </c>
      <c r="AA92" s="36">
        <v>0</v>
      </c>
      <c r="AB92" s="37">
        <f t="shared" si="39"/>
        <v>0</v>
      </c>
      <c r="AC92" s="26"/>
      <c r="AD92" s="43">
        <v>0</v>
      </c>
      <c r="AE92" s="44">
        <v>0</v>
      </c>
      <c r="AF92" s="35">
        <v>0</v>
      </c>
      <c r="AG92" s="36">
        <v>0</v>
      </c>
      <c r="AH92" s="37">
        <f t="shared" si="40"/>
        <v>0</v>
      </c>
      <c r="AI92" s="26"/>
      <c r="AJ92" s="43">
        <v>0</v>
      </c>
      <c r="AK92" s="44">
        <v>0</v>
      </c>
      <c r="AL92" s="35">
        <v>0</v>
      </c>
      <c r="AM92" s="36">
        <v>0</v>
      </c>
      <c r="AN92" s="37">
        <f t="shared" si="41"/>
        <v>0</v>
      </c>
      <c r="AO92" s="26"/>
      <c r="AP92" s="43">
        <v>0</v>
      </c>
      <c r="AQ92" s="44">
        <v>0</v>
      </c>
      <c r="AR92" s="35">
        <v>0</v>
      </c>
      <c r="AS92" s="36">
        <v>0</v>
      </c>
      <c r="AT92" s="37">
        <f t="shared" si="42"/>
        <v>0</v>
      </c>
      <c r="AU92" s="26"/>
      <c r="AV92" s="43">
        <v>0</v>
      </c>
      <c r="AW92" s="44">
        <v>0</v>
      </c>
      <c r="AX92" s="35">
        <v>0</v>
      </c>
      <c r="AY92" s="36">
        <v>0</v>
      </c>
      <c r="AZ92" s="37">
        <f t="shared" si="43"/>
        <v>0</v>
      </c>
      <c r="BA92" s="26"/>
      <c r="BB92" s="43">
        <v>0</v>
      </c>
      <c r="BC92" s="44">
        <v>0</v>
      </c>
      <c r="BD92" s="35">
        <v>0</v>
      </c>
      <c r="BE92" s="36">
        <v>0</v>
      </c>
      <c r="BF92" s="37">
        <f t="shared" si="44"/>
        <v>0</v>
      </c>
      <c r="BG92" s="26"/>
      <c r="BH92" s="43">
        <v>0</v>
      </c>
      <c r="BI92" s="44">
        <v>0</v>
      </c>
      <c r="BJ92" s="35">
        <v>0</v>
      </c>
      <c r="BK92" s="36">
        <v>0</v>
      </c>
      <c r="BL92" s="37">
        <f t="shared" si="45"/>
        <v>0</v>
      </c>
      <c r="BM92" s="26"/>
      <c r="BN92" s="43">
        <v>0</v>
      </c>
      <c r="BO92" s="44">
        <v>0</v>
      </c>
      <c r="BP92" s="35">
        <v>0</v>
      </c>
      <c r="BQ92" s="36">
        <v>0</v>
      </c>
      <c r="BR92" s="37">
        <f t="shared" si="46"/>
        <v>0</v>
      </c>
      <c r="BS92" s="26"/>
      <c r="BT92" s="43">
        <v>0</v>
      </c>
      <c r="BU92" s="44">
        <v>0</v>
      </c>
      <c r="BV92" s="35">
        <v>0</v>
      </c>
      <c r="BW92" s="36">
        <v>0</v>
      </c>
      <c r="BX92" s="37">
        <f t="shared" si="47"/>
        <v>0</v>
      </c>
      <c r="BY92" s="26"/>
    </row>
    <row r="93" spans="1:77" ht="12" customHeight="1" x14ac:dyDescent="0.2">
      <c r="A93" s="24"/>
      <c r="B93" s="32" t="s">
        <v>102</v>
      </c>
      <c r="C93" s="26"/>
      <c r="D93" s="33">
        <v>0</v>
      </c>
      <c r="E93" s="26"/>
      <c r="F93" s="43">
        <v>0</v>
      </c>
      <c r="G93" s="44">
        <v>0</v>
      </c>
      <c r="H93" s="35">
        <v>0</v>
      </c>
      <c r="I93" s="36">
        <v>0</v>
      </c>
      <c r="J93" s="37">
        <f t="shared" si="36"/>
        <v>0</v>
      </c>
      <c r="K93" s="26"/>
      <c r="L93" s="43">
        <v>0</v>
      </c>
      <c r="M93" s="44">
        <v>0</v>
      </c>
      <c r="N93" s="35">
        <v>0</v>
      </c>
      <c r="O93" s="36">
        <v>0</v>
      </c>
      <c r="P93" s="37">
        <f t="shared" si="37"/>
        <v>0</v>
      </c>
      <c r="Q93" s="26"/>
      <c r="R93" s="43">
        <v>0</v>
      </c>
      <c r="S93" s="44">
        <v>0</v>
      </c>
      <c r="T93" s="35">
        <v>0</v>
      </c>
      <c r="U93" s="36">
        <v>0</v>
      </c>
      <c r="V93" s="37">
        <f t="shared" si="38"/>
        <v>0</v>
      </c>
      <c r="W93" s="26"/>
      <c r="X93" s="43">
        <v>0</v>
      </c>
      <c r="Y93" s="44">
        <v>0</v>
      </c>
      <c r="Z93" s="35">
        <v>0</v>
      </c>
      <c r="AA93" s="36">
        <v>0</v>
      </c>
      <c r="AB93" s="37">
        <f t="shared" si="39"/>
        <v>0</v>
      </c>
      <c r="AC93" s="26"/>
      <c r="AD93" s="43">
        <v>0</v>
      </c>
      <c r="AE93" s="44">
        <v>0</v>
      </c>
      <c r="AF93" s="35">
        <v>0</v>
      </c>
      <c r="AG93" s="36">
        <v>0</v>
      </c>
      <c r="AH93" s="37">
        <f t="shared" si="40"/>
        <v>0</v>
      </c>
      <c r="AI93" s="26"/>
      <c r="AJ93" s="43">
        <v>0</v>
      </c>
      <c r="AK93" s="44">
        <v>0</v>
      </c>
      <c r="AL93" s="35">
        <v>0</v>
      </c>
      <c r="AM93" s="36">
        <v>0</v>
      </c>
      <c r="AN93" s="37">
        <f t="shared" si="41"/>
        <v>0</v>
      </c>
      <c r="AO93" s="26"/>
      <c r="AP93" s="43">
        <v>0</v>
      </c>
      <c r="AQ93" s="44">
        <v>0</v>
      </c>
      <c r="AR93" s="35">
        <v>0</v>
      </c>
      <c r="AS93" s="36">
        <v>0</v>
      </c>
      <c r="AT93" s="37">
        <f t="shared" si="42"/>
        <v>0</v>
      </c>
      <c r="AU93" s="26"/>
      <c r="AV93" s="43">
        <v>0</v>
      </c>
      <c r="AW93" s="44">
        <v>0</v>
      </c>
      <c r="AX93" s="35">
        <v>0</v>
      </c>
      <c r="AY93" s="36">
        <v>0</v>
      </c>
      <c r="AZ93" s="37">
        <f t="shared" si="43"/>
        <v>0</v>
      </c>
      <c r="BA93" s="26"/>
      <c r="BB93" s="43">
        <v>0</v>
      </c>
      <c r="BC93" s="44">
        <v>0</v>
      </c>
      <c r="BD93" s="35">
        <v>0</v>
      </c>
      <c r="BE93" s="36">
        <v>0</v>
      </c>
      <c r="BF93" s="37">
        <f t="shared" si="44"/>
        <v>0</v>
      </c>
      <c r="BG93" s="26"/>
      <c r="BH93" s="43">
        <v>0</v>
      </c>
      <c r="BI93" s="44">
        <v>0</v>
      </c>
      <c r="BJ93" s="35">
        <v>0</v>
      </c>
      <c r="BK93" s="36">
        <v>0</v>
      </c>
      <c r="BL93" s="37">
        <f t="shared" si="45"/>
        <v>0</v>
      </c>
      <c r="BM93" s="26"/>
      <c r="BN93" s="43">
        <v>0</v>
      </c>
      <c r="BO93" s="44">
        <v>0</v>
      </c>
      <c r="BP93" s="35">
        <v>0</v>
      </c>
      <c r="BQ93" s="36">
        <v>0</v>
      </c>
      <c r="BR93" s="37">
        <f t="shared" si="46"/>
        <v>0</v>
      </c>
      <c r="BS93" s="26"/>
      <c r="BT93" s="43">
        <v>0</v>
      </c>
      <c r="BU93" s="44">
        <v>0</v>
      </c>
      <c r="BV93" s="35">
        <v>0</v>
      </c>
      <c r="BW93" s="36">
        <v>0</v>
      </c>
      <c r="BX93" s="37">
        <f t="shared" si="47"/>
        <v>0</v>
      </c>
      <c r="BY93" s="26"/>
    </row>
    <row r="94" spans="1:77" ht="12" customHeight="1" x14ac:dyDescent="0.2">
      <c r="A94" s="24"/>
      <c r="B94" s="32" t="s">
        <v>103</v>
      </c>
      <c r="C94" s="26"/>
      <c r="D94" s="33">
        <v>41666667</v>
      </c>
      <c r="E94" s="26"/>
      <c r="F94" s="43">
        <v>-41666667</v>
      </c>
      <c r="G94" s="44">
        <v>50000000</v>
      </c>
      <c r="H94" s="35">
        <v>0</v>
      </c>
      <c r="I94" s="36">
        <v>-833333.33333333337</v>
      </c>
      <c r="J94" s="37">
        <f t="shared" si="36"/>
        <v>49166666.666666664</v>
      </c>
      <c r="K94" s="26"/>
      <c r="L94" s="43">
        <v>0</v>
      </c>
      <c r="M94" s="44">
        <v>0</v>
      </c>
      <c r="N94" s="35">
        <v>0</v>
      </c>
      <c r="O94" s="36">
        <v>-833333.33333333337</v>
      </c>
      <c r="P94" s="37">
        <f t="shared" si="37"/>
        <v>48333333.333333328</v>
      </c>
      <c r="Q94" s="26"/>
      <c r="R94" s="43">
        <v>0</v>
      </c>
      <c r="S94" s="44">
        <v>0</v>
      </c>
      <c r="T94" s="35">
        <v>0</v>
      </c>
      <c r="U94" s="36">
        <v>-833333.33333333337</v>
      </c>
      <c r="V94" s="37">
        <f t="shared" si="38"/>
        <v>47499999.999999993</v>
      </c>
      <c r="W94" s="26"/>
      <c r="X94" s="43">
        <v>0</v>
      </c>
      <c r="Y94" s="44">
        <v>0</v>
      </c>
      <c r="Z94" s="35">
        <v>0</v>
      </c>
      <c r="AA94" s="36">
        <v>-833333.33333333337</v>
      </c>
      <c r="AB94" s="37">
        <f t="shared" si="39"/>
        <v>46666666.666666657</v>
      </c>
      <c r="AC94" s="26"/>
      <c r="AD94" s="43">
        <v>0</v>
      </c>
      <c r="AE94" s="44">
        <v>0</v>
      </c>
      <c r="AF94" s="35">
        <v>0</v>
      </c>
      <c r="AG94" s="36">
        <v>-833333.33333333337</v>
      </c>
      <c r="AH94" s="37">
        <f t="shared" si="40"/>
        <v>45833333.333333321</v>
      </c>
      <c r="AI94" s="26"/>
      <c r="AJ94" s="43">
        <v>0</v>
      </c>
      <c r="AK94" s="44">
        <v>0</v>
      </c>
      <c r="AL94" s="35">
        <v>0</v>
      </c>
      <c r="AM94" s="36">
        <v>-833333.33333333337</v>
      </c>
      <c r="AN94" s="37">
        <f t="shared" si="41"/>
        <v>44999999.999999985</v>
      </c>
      <c r="AO94" s="26"/>
      <c r="AP94" s="43">
        <v>0</v>
      </c>
      <c r="AQ94" s="44">
        <v>0</v>
      </c>
      <c r="AR94" s="35">
        <v>0</v>
      </c>
      <c r="AS94" s="36">
        <v>-833333.33333333337</v>
      </c>
      <c r="AT94" s="37">
        <f t="shared" si="42"/>
        <v>44166666.666666649</v>
      </c>
      <c r="AU94" s="26"/>
      <c r="AV94" s="43">
        <v>0</v>
      </c>
      <c r="AW94" s="44">
        <v>0</v>
      </c>
      <c r="AX94" s="35">
        <v>0</v>
      </c>
      <c r="AY94" s="36">
        <v>-833333.33333333337</v>
      </c>
      <c r="AZ94" s="37">
        <f t="shared" si="43"/>
        <v>43333333.333333313</v>
      </c>
      <c r="BA94" s="26"/>
      <c r="BB94" s="43">
        <v>0</v>
      </c>
      <c r="BC94" s="44">
        <v>0</v>
      </c>
      <c r="BD94" s="35">
        <v>0</v>
      </c>
      <c r="BE94" s="36">
        <v>-833333.33333333337</v>
      </c>
      <c r="BF94" s="37">
        <f t="shared" si="44"/>
        <v>42499999.999999978</v>
      </c>
      <c r="BG94" s="26"/>
      <c r="BH94" s="43">
        <v>0</v>
      </c>
      <c r="BI94" s="44">
        <v>0</v>
      </c>
      <c r="BJ94" s="35">
        <v>0</v>
      </c>
      <c r="BK94" s="36">
        <v>0</v>
      </c>
      <c r="BL94" s="37">
        <f t="shared" si="45"/>
        <v>42499999.999999978</v>
      </c>
      <c r="BM94" s="26"/>
      <c r="BN94" s="43">
        <v>0</v>
      </c>
      <c r="BO94" s="44">
        <v>0</v>
      </c>
      <c r="BP94" s="35">
        <v>0</v>
      </c>
      <c r="BQ94" s="36">
        <v>0</v>
      </c>
      <c r="BR94" s="37">
        <f t="shared" si="46"/>
        <v>42499999.999999978</v>
      </c>
      <c r="BS94" s="26"/>
      <c r="BT94" s="43">
        <v>0</v>
      </c>
      <c r="BU94" s="44">
        <v>0</v>
      </c>
      <c r="BV94" s="35">
        <v>0</v>
      </c>
      <c r="BW94" s="36">
        <v>0</v>
      </c>
      <c r="BX94" s="37">
        <f t="shared" si="47"/>
        <v>42499999.999999978</v>
      </c>
      <c r="BY94" s="26"/>
    </row>
    <row r="95" spans="1:77" ht="12" customHeight="1" x14ac:dyDescent="0.2">
      <c r="A95" s="24"/>
      <c r="B95" s="32" t="s">
        <v>104</v>
      </c>
      <c r="C95" s="26"/>
      <c r="D95" s="33">
        <v>33020833.336666655</v>
      </c>
      <c r="E95" s="26"/>
      <c r="F95" s="43">
        <v>0</v>
      </c>
      <c r="G95" s="44">
        <v>0</v>
      </c>
      <c r="H95" s="35">
        <v>0</v>
      </c>
      <c r="I95" s="36">
        <v>-1145833.3333333333</v>
      </c>
      <c r="J95" s="37">
        <f t="shared" si="36"/>
        <v>31875000.003333323</v>
      </c>
      <c r="K95" s="26"/>
      <c r="L95" s="43">
        <v>0</v>
      </c>
      <c r="M95" s="44">
        <v>0</v>
      </c>
      <c r="N95" s="35">
        <v>0</v>
      </c>
      <c r="O95" s="36">
        <v>-1145833.3333333333</v>
      </c>
      <c r="P95" s="37">
        <f t="shared" si="37"/>
        <v>30729166.669999991</v>
      </c>
      <c r="Q95" s="26"/>
      <c r="R95" s="43">
        <v>0</v>
      </c>
      <c r="S95" s="44">
        <v>0</v>
      </c>
      <c r="T95" s="35">
        <v>0</v>
      </c>
      <c r="U95" s="36">
        <v>-1145833.3333333333</v>
      </c>
      <c r="V95" s="37">
        <f t="shared" si="38"/>
        <v>29583333.336666659</v>
      </c>
      <c r="W95" s="26"/>
      <c r="X95" s="43">
        <v>0</v>
      </c>
      <c r="Y95" s="44">
        <v>0</v>
      </c>
      <c r="Z95" s="35">
        <v>0</v>
      </c>
      <c r="AA95" s="36">
        <v>-1145833.3333333333</v>
      </c>
      <c r="AB95" s="37">
        <f t="shared" si="39"/>
        <v>28437500.003333326</v>
      </c>
      <c r="AC95" s="26"/>
      <c r="AD95" s="43">
        <v>0</v>
      </c>
      <c r="AE95" s="44">
        <v>0</v>
      </c>
      <c r="AF95" s="35">
        <v>0</v>
      </c>
      <c r="AG95" s="36">
        <v>-1145833.3333333333</v>
      </c>
      <c r="AH95" s="37">
        <f t="shared" si="40"/>
        <v>27291666.669999994</v>
      </c>
      <c r="AI95" s="26"/>
      <c r="AJ95" s="43">
        <v>0</v>
      </c>
      <c r="AK95" s="44">
        <v>0</v>
      </c>
      <c r="AL95" s="35">
        <v>0</v>
      </c>
      <c r="AM95" s="36">
        <v>-1145833.3333333333</v>
      </c>
      <c r="AN95" s="37">
        <f t="shared" si="41"/>
        <v>26145833.336666662</v>
      </c>
      <c r="AO95" s="26"/>
      <c r="AP95" s="43">
        <v>0</v>
      </c>
      <c r="AQ95" s="44">
        <v>0</v>
      </c>
      <c r="AR95" s="35">
        <v>0</v>
      </c>
      <c r="AS95" s="36">
        <v>-1145833.3333333333</v>
      </c>
      <c r="AT95" s="37">
        <f t="shared" si="42"/>
        <v>25000000.00333333</v>
      </c>
      <c r="AU95" s="26"/>
      <c r="AV95" s="43">
        <v>0</v>
      </c>
      <c r="AW95" s="44">
        <v>0</v>
      </c>
      <c r="AX95" s="35">
        <v>0</v>
      </c>
      <c r="AY95" s="36">
        <v>-1145833.3333333333</v>
      </c>
      <c r="AZ95" s="37">
        <f t="shared" si="43"/>
        <v>23854166.669999998</v>
      </c>
      <c r="BA95" s="26"/>
      <c r="BB95" s="43">
        <v>0</v>
      </c>
      <c r="BC95" s="44">
        <v>0</v>
      </c>
      <c r="BD95" s="35">
        <v>0</v>
      </c>
      <c r="BE95" s="36">
        <v>-1145833.3333333333</v>
      </c>
      <c r="BF95" s="37">
        <f t="shared" si="44"/>
        <v>22708333.336666666</v>
      </c>
      <c r="BG95" s="26"/>
      <c r="BH95" s="43">
        <v>0</v>
      </c>
      <c r="BI95" s="44">
        <v>0</v>
      </c>
      <c r="BJ95" s="35">
        <v>0</v>
      </c>
      <c r="BK95" s="36">
        <v>0</v>
      </c>
      <c r="BL95" s="37">
        <f t="shared" si="45"/>
        <v>22708333.336666666</v>
      </c>
      <c r="BM95" s="26"/>
      <c r="BN95" s="43">
        <v>0</v>
      </c>
      <c r="BO95" s="44">
        <v>0</v>
      </c>
      <c r="BP95" s="35">
        <v>0</v>
      </c>
      <c r="BQ95" s="36">
        <v>0</v>
      </c>
      <c r="BR95" s="37">
        <f t="shared" si="46"/>
        <v>22708333.336666666</v>
      </c>
      <c r="BS95" s="26"/>
      <c r="BT95" s="43">
        <v>0</v>
      </c>
      <c r="BU95" s="44">
        <v>0</v>
      </c>
      <c r="BV95" s="35">
        <v>0</v>
      </c>
      <c r="BW95" s="36">
        <v>0</v>
      </c>
      <c r="BX95" s="37">
        <f t="shared" si="47"/>
        <v>22708333.336666666</v>
      </c>
      <c r="BY95" s="26"/>
    </row>
    <row r="96" spans="1:77" ht="12" customHeight="1" x14ac:dyDescent="0.2">
      <c r="A96" s="24"/>
      <c r="B96" s="32" t="s">
        <v>105</v>
      </c>
      <c r="C96" s="26"/>
      <c r="D96" s="33">
        <v>0</v>
      </c>
      <c r="E96" s="26"/>
      <c r="F96" s="43">
        <v>0</v>
      </c>
      <c r="G96" s="44">
        <v>0</v>
      </c>
      <c r="H96" s="35">
        <v>0</v>
      </c>
      <c r="I96" s="36">
        <v>0</v>
      </c>
      <c r="J96" s="37">
        <f t="shared" si="36"/>
        <v>0</v>
      </c>
      <c r="K96" s="26"/>
      <c r="L96" s="43">
        <v>0</v>
      </c>
      <c r="M96" s="44">
        <v>0</v>
      </c>
      <c r="N96" s="35">
        <v>0</v>
      </c>
      <c r="O96" s="36">
        <v>0</v>
      </c>
      <c r="P96" s="37">
        <f t="shared" si="37"/>
        <v>0</v>
      </c>
      <c r="Q96" s="26"/>
      <c r="R96" s="43">
        <v>0</v>
      </c>
      <c r="S96" s="44">
        <v>0</v>
      </c>
      <c r="T96" s="35">
        <v>0</v>
      </c>
      <c r="U96" s="36">
        <v>0</v>
      </c>
      <c r="V96" s="37">
        <f t="shared" si="38"/>
        <v>0</v>
      </c>
      <c r="W96" s="26"/>
      <c r="X96" s="43">
        <v>0</v>
      </c>
      <c r="Y96" s="44">
        <v>0</v>
      </c>
      <c r="Z96" s="35">
        <v>0</v>
      </c>
      <c r="AA96" s="36">
        <v>0</v>
      </c>
      <c r="AB96" s="37">
        <f t="shared" si="39"/>
        <v>0</v>
      </c>
      <c r="AC96" s="26"/>
      <c r="AD96" s="43">
        <v>0</v>
      </c>
      <c r="AE96" s="44">
        <v>0</v>
      </c>
      <c r="AF96" s="35">
        <v>0</v>
      </c>
      <c r="AG96" s="36">
        <v>0</v>
      </c>
      <c r="AH96" s="37">
        <f t="shared" si="40"/>
        <v>0</v>
      </c>
      <c r="AI96" s="26"/>
      <c r="AJ96" s="43">
        <v>0</v>
      </c>
      <c r="AK96" s="44">
        <v>0</v>
      </c>
      <c r="AL96" s="35">
        <v>0</v>
      </c>
      <c r="AM96" s="36">
        <v>0</v>
      </c>
      <c r="AN96" s="37">
        <f t="shared" si="41"/>
        <v>0</v>
      </c>
      <c r="AO96" s="26"/>
      <c r="AP96" s="43">
        <v>0</v>
      </c>
      <c r="AQ96" s="44">
        <v>0</v>
      </c>
      <c r="AR96" s="35">
        <v>0</v>
      </c>
      <c r="AS96" s="36">
        <v>0</v>
      </c>
      <c r="AT96" s="37">
        <f t="shared" si="42"/>
        <v>0</v>
      </c>
      <c r="AU96" s="26"/>
      <c r="AV96" s="43">
        <v>0</v>
      </c>
      <c r="AW96" s="44">
        <v>0</v>
      </c>
      <c r="AX96" s="35">
        <v>0</v>
      </c>
      <c r="AY96" s="36">
        <v>0</v>
      </c>
      <c r="AZ96" s="37">
        <f t="shared" si="43"/>
        <v>0</v>
      </c>
      <c r="BA96" s="26"/>
      <c r="BB96" s="43">
        <v>0</v>
      </c>
      <c r="BC96" s="44">
        <v>0</v>
      </c>
      <c r="BD96" s="35">
        <v>0</v>
      </c>
      <c r="BE96" s="36">
        <v>0</v>
      </c>
      <c r="BF96" s="37">
        <f t="shared" si="44"/>
        <v>0</v>
      </c>
      <c r="BG96" s="26"/>
      <c r="BH96" s="43">
        <v>0</v>
      </c>
      <c r="BI96" s="44">
        <v>0</v>
      </c>
      <c r="BJ96" s="35">
        <v>0</v>
      </c>
      <c r="BK96" s="36">
        <v>0</v>
      </c>
      <c r="BL96" s="37">
        <f t="shared" si="45"/>
        <v>0</v>
      </c>
      <c r="BM96" s="26"/>
      <c r="BN96" s="43">
        <v>0</v>
      </c>
      <c r="BO96" s="44">
        <v>0</v>
      </c>
      <c r="BP96" s="35">
        <v>0</v>
      </c>
      <c r="BQ96" s="36">
        <v>0</v>
      </c>
      <c r="BR96" s="37">
        <f t="shared" si="46"/>
        <v>0</v>
      </c>
      <c r="BS96" s="26"/>
      <c r="BT96" s="43">
        <v>0</v>
      </c>
      <c r="BU96" s="44">
        <v>0</v>
      </c>
      <c r="BV96" s="35">
        <v>0</v>
      </c>
      <c r="BW96" s="36">
        <v>0</v>
      </c>
      <c r="BX96" s="37">
        <f t="shared" si="47"/>
        <v>0</v>
      </c>
      <c r="BY96" s="26"/>
    </row>
    <row r="97" spans="1:77" ht="12" customHeight="1" x14ac:dyDescent="0.2">
      <c r="A97" s="24"/>
      <c r="B97" s="32" t="s">
        <v>106</v>
      </c>
      <c r="C97" s="26"/>
      <c r="D97" s="33">
        <v>58000000.548888884</v>
      </c>
      <c r="E97" s="26"/>
      <c r="F97" s="43">
        <v>0</v>
      </c>
      <c r="G97" s="44">
        <v>0</v>
      </c>
      <c r="H97" s="35">
        <v>0</v>
      </c>
      <c r="I97" s="36">
        <v>-1000000</v>
      </c>
      <c r="J97" s="37">
        <f t="shared" si="36"/>
        <v>57000000.548888884</v>
      </c>
      <c r="K97" s="26"/>
      <c r="L97" s="43">
        <v>0</v>
      </c>
      <c r="M97" s="44">
        <v>0</v>
      </c>
      <c r="N97" s="35">
        <v>0</v>
      </c>
      <c r="O97" s="36">
        <v>-1000000</v>
      </c>
      <c r="P97" s="37">
        <f t="shared" si="37"/>
        <v>56000000.548888884</v>
      </c>
      <c r="Q97" s="26"/>
      <c r="R97" s="43">
        <v>0</v>
      </c>
      <c r="S97" s="44">
        <v>0</v>
      </c>
      <c r="T97" s="35">
        <v>0</v>
      </c>
      <c r="U97" s="36">
        <v>-1000000</v>
      </c>
      <c r="V97" s="37">
        <f t="shared" si="38"/>
        <v>55000000.548888884</v>
      </c>
      <c r="W97" s="26"/>
      <c r="X97" s="43">
        <v>0</v>
      </c>
      <c r="Y97" s="44">
        <v>0</v>
      </c>
      <c r="Z97" s="35">
        <v>0</v>
      </c>
      <c r="AA97" s="36">
        <v>-1000000</v>
      </c>
      <c r="AB97" s="37">
        <f t="shared" si="39"/>
        <v>54000000.548888884</v>
      </c>
      <c r="AC97" s="26"/>
      <c r="AD97" s="43">
        <v>0</v>
      </c>
      <c r="AE97" s="44">
        <v>0</v>
      </c>
      <c r="AF97" s="35">
        <v>0</v>
      </c>
      <c r="AG97" s="36">
        <v>-1000000</v>
      </c>
      <c r="AH97" s="37">
        <f t="shared" si="40"/>
        <v>53000000.548888884</v>
      </c>
      <c r="AI97" s="26"/>
      <c r="AJ97" s="43">
        <v>0</v>
      </c>
      <c r="AK97" s="44">
        <v>0</v>
      </c>
      <c r="AL97" s="35">
        <v>0</v>
      </c>
      <c r="AM97" s="36">
        <v>-1000000</v>
      </c>
      <c r="AN97" s="37">
        <f t="shared" si="41"/>
        <v>52000000.548888884</v>
      </c>
      <c r="AO97" s="26"/>
      <c r="AP97" s="43">
        <v>0</v>
      </c>
      <c r="AQ97" s="44">
        <v>0</v>
      </c>
      <c r="AR97" s="35">
        <v>0</v>
      </c>
      <c r="AS97" s="36">
        <v>-1000000</v>
      </c>
      <c r="AT97" s="37">
        <f t="shared" si="42"/>
        <v>51000000.548888884</v>
      </c>
      <c r="AU97" s="26"/>
      <c r="AV97" s="43">
        <v>0</v>
      </c>
      <c r="AW97" s="44">
        <v>0</v>
      </c>
      <c r="AX97" s="35">
        <v>0</v>
      </c>
      <c r="AY97" s="36">
        <v>-1000000</v>
      </c>
      <c r="AZ97" s="37">
        <f t="shared" si="43"/>
        <v>50000000.548888884</v>
      </c>
      <c r="BA97" s="26"/>
      <c r="BB97" s="43">
        <v>0</v>
      </c>
      <c r="BC97" s="44">
        <v>0</v>
      </c>
      <c r="BD97" s="35">
        <v>0</v>
      </c>
      <c r="BE97" s="36">
        <v>-1000000</v>
      </c>
      <c r="BF97" s="37">
        <f t="shared" si="44"/>
        <v>49000000.548888884</v>
      </c>
      <c r="BG97" s="26"/>
      <c r="BH97" s="43">
        <v>0</v>
      </c>
      <c r="BI97" s="44">
        <v>0</v>
      </c>
      <c r="BJ97" s="35">
        <v>0</v>
      </c>
      <c r="BK97" s="36">
        <v>0</v>
      </c>
      <c r="BL97" s="37">
        <f t="shared" si="45"/>
        <v>49000000.548888884</v>
      </c>
      <c r="BM97" s="26"/>
      <c r="BN97" s="43">
        <v>0</v>
      </c>
      <c r="BO97" s="44">
        <v>0</v>
      </c>
      <c r="BP97" s="35">
        <v>0</v>
      </c>
      <c r="BQ97" s="36">
        <v>0</v>
      </c>
      <c r="BR97" s="37">
        <f t="shared" si="46"/>
        <v>49000000.548888884</v>
      </c>
      <c r="BS97" s="26"/>
      <c r="BT97" s="43">
        <v>0</v>
      </c>
      <c r="BU97" s="44">
        <v>0</v>
      </c>
      <c r="BV97" s="35">
        <v>0</v>
      </c>
      <c r="BW97" s="36">
        <v>0</v>
      </c>
      <c r="BX97" s="37">
        <f t="shared" si="47"/>
        <v>49000000.548888884</v>
      </c>
      <c r="BY97" s="26"/>
    </row>
    <row r="98" spans="1:77" ht="12" customHeight="1" x14ac:dyDescent="0.2">
      <c r="A98" s="24"/>
      <c r="B98" s="32" t="s">
        <v>107</v>
      </c>
      <c r="C98" s="26"/>
      <c r="D98" s="33">
        <v>0</v>
      </c>
      <c r="E98" s="26"/>
      <c r="F98" s="43">
        <v>0</v>
      </c>
      <c r="G98" s="44">
        <v>0</v>
      </c>
      <c r="H98" s="35">
        <v>0</v>
      </c>
      <c r="I98" s="36">
        <v>0</v>
      </c>
      <c r="J98" s="37">
        <f t="shared" si="36"/>
        <v>0</v>
      </c>
      <c r="K98" s="26"/>
      <c r="L98" s="43">
        <v>0</v>
      </c>
      <c r="M98" s="44">
        <v>0</v>
      </c>
      <c r="N98" s="35">
        <v>0</v>
      </c>
      <c r="O98" s="36">
        <v>0</v>
      </c>
      <c r="P98" s="37">
        <f t="shared" si="37"/>
        <v>0</v>
      </c>
      <c r="Q98" s="26"/>
      <c r="R98" s="43">
        <v>0</v>
      </c>
      <c r="S98" s="44">
        <v>0</v>
      </c>
      <c r="T98" s="35">
        <v>0</v>
      </c>
      <c r="U98" s="36">
        <v>0</v>
      </c>
      <c r="V98" s="37">
        <f t="shared" si="38"/>
        <v>0</v>
      </c>
      <c r="W98" s="26"/>
      <c r="X98" s="43">
        <v>0</v>
      </c>
      <c r="Y98" s="44">
        <v>0</v>
      </c>
      <c r="Z98" s="35">
        <v>0</v>
      </c>
      <c r="AA98" s="36">
        <v>0</v>
      </c>
      <c r="AB98" s="37">
        <f t="shared" si="39"/>
        <v>0</v>
      </c>
      <c r="AC98" s="26"/>
      <c r="AD98" s="43">
        <v>0</v>
      </c>
      <c r="AE98" s="44">
        <v>0</v>
      </c>
      <c r="AF98" s="35">
        <v>0</v>
      </c>
      <c r="AG98" s="36">
        <v>0</v>
      </c>
      <c r="AH98" s="37">
        <f t="shared" si="40"/>
        <v>0</v>
      </c>
      <c r="AI98" s="26"/>
      <c r="AJ98" s="43">
        <v>0</v>
      </c>
      <c r="AK98" s="44">
        <v>0</v>
      </c>
      <c r="AL98" s="35">
        <v>0</v>
      </c>
      <c r="AM98" s="36">
        <v>0</v>
      </c>
      <c r="AN98" s="37">
        <f t="shared" si="41"/>
        <v>0</v>
      </c>
      <c r="AO98" s="26"/>
      <c r="AP98" s="43">
        <v>0</v>
      </c>
      <c r="AQ98" s="44">
        <v>0</v>
      </c>
      <c r="AR98" s="35">
        <v>0</v>
      </c>
      <c r="AS98" s="36">
        <v>0</v>
      </c>
      <c r="AT98" s="37">
        <f t="shared" si="42"/>
        <v>0</v>
      </c>
      <c r="AU98" s="26"/>
      <c r="AV98" s="43">
        <v>0</v>
      </c>
      <c r="AW98" s="44">
        <v>0</v>
      </c>
      <c r="AX98" s="35">
        <v>0</v>
      </c>
      <c r="AY98" s="36">
        <v>0</v>
      </c>
      <c r="AZ98" s="37">
        <f t="shared" si="43"/>
        <v>0</v>
      </c>
      <c r="BA98" s="26"/>
      <c r="BB98" s="43">
        <v>0</v>
      </c>
      <c r="BC98" s="44">
        <v>0</v>
      </c>
      <c r="BD98" s="35">
        <v>0</v>
      </c>
      <c r="BE98" s="36">
        <v>0</v>
      </c>
      <c r="BF98" s="37">
        <f t="shared" si="44"/>
        <v>0</v>
      </c>
      <c r="BG98" s="26"/>
      <c r="BH98" s="43">
        <v>0</v>
      </c>
      <c r="BI98" s="44">
        <v>0</v>
      </c>
      <c r="BJ98" s="35">
        <v>0</v>
      </c>
      <c r="BK98" s="36">
        <v>0</v>
      </c>
      <c r="BL98" s="37">
        <f t="shared" si="45"/>
        <v>0</v>
      </c>
      <c r="BM98" s="26"/>
      <c r="BN98" s="43">
        <v>0</v>
      </c>
      <c r="BO98" s="44">
        <v>0</v>
      </c>
      <c r="BP98" s="35">
        <v>0</v>
      </c>
      <c r="BQ98" s="36">
        <v>0</v>
      </c>
      <c r="BR98" s="37">
        <f t="shared" si="46"/>
        <v>0</v>
      </c>
      <c r="BS98" s="26"/>
      <c r="BT98" s="43">
        <v>0</v>
      </c>
      <c r="BU98" s="44">
        <v>0</v>
      </c>
      <c r="BV98" s="35">
        <v>0</v>
      </c>
      <c r="BW98" s="36">
        <v>0</v>
      </c>
      <c r="BX98" s="37">
        <f t="shared" si="47"/>
        <v>0</v>
      </c>
      <c r="BY98" s="26"/>
    </row>
    <row r="99" spans="1:77" ht="12" customHeight="1" x14ac:dyDescent="0.2">
      <c r="A99" s="24"/>
      <c r="B99" s="32"/>
      <c r="C99" s="26"/>
      <c r="D99" s="33">
        <v>0</v>
      </c>
      <c r="E99" s="26"/>
      <c r="F99" s="34">
        <v>0</v>
      </c>
      <c r="G99" s="35">
        <v>0</v>
      </c>
      <c r="H99" s="35">
        <v>0</v>
      </c>
      <c r="I99" s="36">
        <v>0</v>
      </c>
      <c r="J99" s="37">
        <f t="shared" si="36"/>
        <v>0</v>
      </c>
      <c r="K99" s="26"/>
      <c r="L99" s="34">
        <v>0</v>
      </c>
      <c r="M99" s="35">
        <v>0</v>
      </c>
      <c r="N99" s="35">
        <v>0</v>
      </c>
      <c r="O99" s="36">
        <v>0</v>
      </c>
      <c r="P99" s="37">
        <f t="shared" si="37"/>
        <v>0</v>
      </c>
      <c r="Q99" s="26"/>
      <c r="R99" s="34">
        <v>0</v>
      </c>
      <c r="S99" s="35">
        <v>0</v>
      </c>
      <c r="T99" s="35">
        <v>0</v>
      </c>
      <c r="U99" s="36">
        <v>0</v>
      </c>
      <c r="V99" s="37">
        <f t="shared" si="38"/>
        <v>0</v>
      </c>
      <c r="W99" s="26"/>
      <c r="X99" s="34">
        <v>0</v>
      </c>
      <c r="Y99" s="35">
        <v>0</v>
      </c>
      <c r="Z99" s="35">
        <v>0</v>
      </c>
      <c r="AA99" s="36">
        <v>0</v>
      </c>
      <c r="AB99" s="37">
        <f t="shared" si="39"/>
        <v>0</v>
      </c>
      <c r="AC99" s="26"/>
      <c r="AD99" s="34">
        <v>0</v>
      </c>
      <c r="AE99" s="35">
        <v>0</v>
      </c>
      <c r="AF99" s="35">
        <v>0</v>
      </c>
      <c r="AG99" s="36">
        <v>0</v>
      </c>
      <c r="AH99" s="37">
        <f t="shared" si="40"/>
        <v>0</v>
      </c>
      <c r="AI99" s="26"/>
      <c r="AJ99" s="34">
        <v>0</v>
      </c>
      <c r="AK99" s="35">
        <v>0</v>
      </c>
      <c r="AL99" s="35">
        <v>0</v>
      </c>
      <c r="AM99" s="36">
        <v>0</v>
      </c>
      <c r="AN99" s="37">
        <f t="shared" si="41"/>
        <v>0</v>
      </c>
      <c r="AO99" s="26"/>
      <c r="AP99" s="34">
        <v>0</v>
      </c>
      <c r="AQ99" s="35">
        <v>0</v>
      </c>
      <c r="AR99" s="35">
        <v>0</v>
      </c>
      <c r="AS99" s="36">
        <v>0</v>
      </c>
      <c r="AT99" s="37">
        <f t="shared" si="42"/>
        <v>0</v>
      </c>
      <c r="AU99" s="26"/>
      <c r="AV99" s="34">
        <v>0</v>
      </c>
      <c r="AW99" s="35">
        <v>0</v>
      </c>
      <c r="AX99" s="35">
        <v>0</v>
      </c>
      <c r="AY99" s="36">
        <v>0</v>
      </c>
      <c r="AZ99" s="37">
        <f t="shared" si="43"/>
        <v>0</v>
      </c>
      <c r="BA99" s="26"/>
      <c r="BB99" s="34">
        <v>0</v>
      </c>
      <c r="BC99" s="35">
        <v>0</v>
      </c>
      <c r="BD99" s="35">
        <v>0</v>
      </c>
      <c r="BE99" s="36">
        <v>0</v>
      </c>
      <c r="BF99" s="37">
        <f t="shared" si="44"/>
        <v>0</v>
      </c>
      <c r="BG99" s="26"/>
      <c r="BH99" s="34">
        <v>0</v>
      </c>
      <c r="BI99" s="35">
        <v>0</v>
      </c>
      <c r="BJ99" s="35">
        <v>0</v>
      </c>
      <c r="BK99" s="36">
        <v>0</v>
      </c>
      <c r="BL99" s="37">
        <f t="shared" si="45"/>
        <v>0</v>
      </c>
      <c r="BM99" s="26"/>
      <c r="BN99" s="34">
        <v>0</v>
      </c>
      <c r="BO99" s="35">
        <v>0</v>
      </c>
      <c r="BP99" s="35">
        <v>0</v>
      </c>
      <c r="BQ99" s="36">
        <v>0</v>
      </c>
      <c r="BR99" s="37">
        <f t="shared" si="46"/>
        <v>0</v>
      </c>
      <c r="BS99" s="26"/>
      <c r="BT99" s="34">
        <v>0</v>
      </c>
      <c r="BU99" s="35">
        <v>0</v>
      </c>
      <c r="BV99" s="35">
        <v>0</v>
      </c>
      <c r="BW99" s="36">
        <v>0</v>
      </c>
      <c r="BX99" s="37">
        <f t="shared" si="47"/>
        <v>0</v>
      </c>
      <c r="BY99" s="26"/>
    </row>
    <row r="100" spans="1:77" ht="12" customHeight="1" thickBot="1" x14ac:dyDescent="0.25">
      <c r="A100" s="24"/>
      <c r="B100" s="45"/>
      <c r="C100" s="26"/>
      <c r="D100" s="46">
        <v>0</v>
      </c>
      <c r="E100" s="26"/>
      <c r="F100" s="47">
        <v>0</v>
      </c>
      <c r="G100" s="48">
        <v>0</v>
      </c>
      <c r="H100" s="48">
        <v>0</v>
      </c>
      <c r="I100" s="49">
        <v>0</v>
      </c>
      <c r="J100" s="50">
        <f t="shared" si="36"/>
        <v>0</v>
      </c>
      <c r="K100" s="26"/>
      <c r="L100" s="47">
        <v>0</v>
      </c>
      <c r="M100" s="48">
        <v>0</v>
      </c>
      <c r="N100" s="48">
        <v>0</v>
      </c>
      <c r="O100" s="49">
        <v>0</v>
      </c>
      <c r="P100" s="50">
        <f t="shared" si="37"/>
        <v>0</v>
      </c>
      <c r="Q100" s="26"/>
      <c r="R100" s="47">
        <v>0</v>
      </c>
      <c r="S100" s="48">
        <v>0</v>
      </c>
      <c r="T100" s="48">
        <v>0</v>
      </c>
      <c r="U100" s="49">
        <v>0</v>
      </c>
      <c r="V100" s="50">
        <f t="shared" si="38"/>
        <v>0</v>
      </c>
      <c r="W100" s="26"/>
      <c r="X100" s="47">
        <v>0</v>
      </c>
      <c r="Y100" s="48">
        <v>0</v>
      </c>
      <c r="Z100" s="48">
        <v>0</v>
      </c>
      <c r="AA100" s="49">
        <v>0</v>
      </c>
      <c r="AB100" s="50">
        <f t="shared" si="39"/>
        <v>0</v>
      </c>
      <c r="AC100" s="26"/>
      <c r="AD100" s="47">
        <v>0</v>
      </c>
      <c r="AE100" s="48">
        <v>0</v>
      </c>
      <c r="AF100" s="48">
        <v>0</v>
      </c>
      <c r="AG100" s="49">
        <v>0</v>
      </c>
      <c r="AH100" s="50">
        <f t="shared" si="40"/>
        <v>0</v>
      </c>
      <c r="AI100" s="26"/>
      <c r="AJ100" s="47">
        <v>0</v>
      </c>
      <c r="AK100" s="48">
        <v>0</v>
      </c>
      <c r="AL100" s="48">
        <v>0</v>
      </c>
      <c r="AM100" s="49">
        <v>0</v>
      </c>
      <c r="AN100" s="50">
        <f t="shared" si="41"/>
        <v>0</v>
      </c>
      <c r="AO100" s="26"/>
      <c r="AP100" s="47">
        <v>0</v>
      </c>
      <c r="AQ100" s="48">
        <v>0</v>
      </c>
      <c r="AR100" s="48">
        <v>0</v>
      </c>
      <c r="AS100" s="49">
        <v>0</v>
      </c>
      <c r="AT100" s="50">
        <f t="shared" si="42"/>
        <v>0</v>
      </c>
      <c r="AU100" s="26"/>
      <c r="AV100" s="47">
        <v>0</v>
      </c>
      <c r="AW100" s="48">
        <v>0</v>
      </c>
      <c r="AX100" s="48">
        <v>0</v>
      </c>
      <c r="AY100" s="49">
        <v>0</v>
      </c>
      <c r="AZ100" s="50">
        <f t="shared" si="43"/>
        <v>0</v>
      </c>
      <c r="BA100" s="26"/>
      <c r="BB100" s="47">
        <v>0</v>
      </c>
      <c r="BC100" s="48">
        <v>0</v>
      </c>
      <c r="BD100" s="48">
        <v>0</v>
      </c>
      <c r="BE100" s="49">
        <v>0</v>
      </c>
      <c r="BF100" s="50">
        <f t="shared" si="44"/>
        <v>0</v>
      </c>
      <c r="BG100" s="26"/>
      <c r="BH100" s="47">
        <v>0</v>
      </c>
      <c r="BI100" s="48">
        <v>0</v>
      </c>
      <c r="BJ100" s="48">
        <v>0</v>
      </c>
      <c r="BK100" s="49">
        <v>0</v>
      </c>
      <c r="BL100" s="50">
        <f t="shared" si="45"/>
        <v>0</v>
      </c>
      <c r="BM100" s="26"/>
      <c r="BN100" s="47">
        <v>0</v>
      </c>
      <c r="BO100" s="48">
        <v>0</v>
      </c>
      <c r="BP100" s="48">
        <v>0</v>
      </c>
      <c r="BQ100" s="49">
        <v>0</v>
      </c>
      <c r="BR100" s="50">
        <f t="shared" si="46"/>
        <v>0</v>
      </c>
      <c r="BS100" s="26"/>
      <c r="BT100" s="47">
        <v>0</v>
      </c>
      <c r="BU100" s="48">
        <v>0</v>
      </c>
      <c r="BV100" s="48">
        <v>0</v>
      </c>
      <c r="BW100" s="49">
        <v>0</v>
      </c>
      <c r="BX100" s="50">
        <f t="shared" si="47"/>
        <v>0</v>
      </c>
      <c r="BY100" s="26"/>
    </row>
    <row r="101" spans="1:77" ht="12" customHeight="1" thickTop="1" x14ac:dyDescent="0.2"/>
    <row r="102" spans="1:77" ht="12" customHeight="1" x14ac:dyDescent="0.2"/>
    <row r="103" spans="1:77" ht="12" customHeight="1" x14ac:dyDescent="0.2"/>
    <row r="104" spans="1:77" ht="12" customHeight="1" x14ac:dyDescent="0.2"/>
  </sheetData>
  <autoFilter ref="B7:K100" xr:uid="{BE3F99A6-2790-4AD6-A3C5-8344B7456AE0}"/>
  <mergeCells count="13">
    <mergeCell ref="AD5:AH5"/>
    <mergeCell ref="B5:B6"/>
    <mergeCell ref="F5:J5"/>
    <mergeCell ref="L5:P5"/>
    <mergeCell ref="R5:V5"/>
    <mergeCell ref="X5:AB5"/>
    <mergeCell ref="BT5:BX5"/>
    <mergeCell ref="AJ5:AN5"/>
    <mergeCell ref="AP5:AT5"/>
    <mergeCell ref="AV5:AZ5"/>
    <mergeCell ref="BB5:BF5"/>
    <mergeCell ref="BH5:BL5"/>
    <mergeCell ref="BN5:B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4C6-1BC5-4464-A796-3726876A7EDC}">
  <dimension ref="A1:L328"/>
  <sheetViews>
    <sheetView topLeftCell="A292" workbookViewId="0">
      <selection activeCell="B251" sqref="B251:C328"/>
    </sheetView>
  </sheetViews>
  <sheetFormatPr defaultRowHeight="15" x14ac:dyDescent="0.25"/>
  <sheetData>
    <row r="1" spans="1:12" x14ac:dyDescent="0.25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12" x14ac:dyDescent="0.25">
      <c r="E2" t="s">
        <v>114</v>
      </c>
      <c r="F2" t="s">
        <v>115</v>
      </c>
      <c r="G2" t="s">
        <v>116</v>
      </c>
    </row>
    <row r="4" spans="1:12" x14ac:dyDescent="0.25">
      <c r="A4">
        <v>1</v>
      </c>
      <c r="B4" t="s">
        <v>117</v>
      </c>
      <c r="C4" t="s">
        <v>82</v>
      </c>
      <c r="D4" t="s">
        <v>118</v>
      </c>
      <c r="E4">
        <v>1666666.6666666667</v>
      </c>
      <c r="F4">
        <v>116666.66666666669</v>
      </c>
      <c r="G4">
        <v>1783333.3333333335</v>
      </c>
      <c r="J4" t="s">
        <v>82</v>
      </c>
      <c r="K4" t="s">
        <v>118</v>
      </c>
      <c r="L4">
        <v>1666666.6666666667</v>
      </c>
    </row>
    <row r="5" spans="1:12" x14ac:dyDescent="0.25">
      <c r="A5">
        <v>4</v>
      </c>
      <c r="B5" t="s">
        <v>119</v>
      </c>
      <c r="C5" t="s">
        <v>88</v>
      </c>
      <c r="D5" t="s">
        <v>118</v>
      </c>
      <c r="E5">
        <v>0</v>
      </c>
      <c r="F5">
        <v>0</v>
      </c>
      <c r="G5">
        <v>0</v>
      </c>
      <c r="J5" t="s">
        <v>88</v>
      </c>
      <c r="K5" t="s">
        <v>118</v>
      </c>
      <c r="L5">
        <v>0</v>
      </c>
    </row>
    <row r="6" spans="1:12" x14ac:dyDescent="0.25">
      <c r="A6">
        <v>5</v>
      </c>
      <c r="B6" t="s">
        <v>120</v>
      </c>
      <c r="C6" t="s">
        <v>96</v>
      </c>
      <c r="D6" t="s">
        <v>118</v>
      </c>
      <c r="E6">
        <v>0</v>
      </c>
      <c r="F6">
        <v>0</v>
      </c>
      <c r="G6">
        <v>0</v>
      </c>
      <c r="J6" t="s">
        <v>96</v>
      </c>
      <c r="K6" t="s">
        <v>118</v>
      </c>
      <c r="L6">
        <v>0</v>
      </c>
    </row>
    <row r="7" spans="1:12" x14ac:dyDescent="0.25">
      <c r="A7">
        <v>6</v>
      </c>
      <c r="B7" t="s">
        <v>121</v>
      </c>
      <c r="C7" t="s">
        <v>87</v>
      </c>
      <c r="D7" t="s">
        <v>118</v>
      </c>
      <c r="E7">
        <v>1388888.888888889</v>
      </c>
      <c r="F7">
        <v>312500</v>
      </c>
      <c r="G7">
        <v>1701388.888888889</v>
      </c>
      <c r="J7" t="s">
        <v>87</v>
      </c>
      <c r="K7" t="s">
        <v>118</v>
      </c>
      <c r="L7">
        <v>1388888.888888889</v>
      </c>
    </row>
    <row r="8" spans="1:12" x14ac:dyDescent="0.25">
      <c r="A8">
        <v>7</v>
      </c>
      <c r="B8" t="s">
        <v>122</v>
      </c>
      <c r="C8" t="s">
        <v>36</v>
      </c>
      <c r="D8" t="s">
        <v>118</v>
      </c>
      <c r="E8">
        <v>0</v>
      </c>
      <c r="F8">
        <v>0</v>
      </c>
      <c r="G8">
        <v>0</v>
      </c>
      <c r="J8" t="s">
        <v>36</v>
      </c>
      <c r="K8" t="s">
        <v>118</v>
      </c>
      <c r="L8">
        <v>0</v>
      </c>
    </row>
    <row r="9" spans="1:12" x14ac:dyDescent="0.25">
      <c r="A9">
        <v>8</v>
      </c>
      <c r="B9" t="s">
        <v>123</v>
      </c>
      <c r="C9" t="s">
        <v>61</v>
      </c>
      <c r="D9" t="s">
        <v>118</v>
      </c>
      <c r="E9">
        <v>1666666.6666666667</v>
      </c>
      <c r="F9">
        <v>708333.33333333337</v>
      </c>
      <c r="G9">
        <v>2375000</v>
      </c>
      <c r="J9" t="s">
        <v>61</v>
      </c>
      <c r="K9" t="s">
        <v>118</v>
      </c>
      <c r="L9">
        <v>1666666.6666666667</v>
      </c>
    </row>
    <row r="10" spans="1:12" x14ac:dyDescent="0.25">
      <c r="A10">
        <v>9</v>
      </c>
      <c r="B10" t="s">
        <v>124</v>
      </c>
      <c r="C10" t="s">
        <v>64</v>
      </c>
      <c r="D10" t="s">
        <v>118</v>
      </c>
      <c r="E10">
        <v>0</v>
      </c>
      <c r="F10">
        <v>0</v>
      </c>
      <c r="G10">
        <v>0</v>
      </c>
      <c r="J10" t="s">
        <v>64</v>
      </c>
      <c r="K10" t="s">
        <v>118</v>
      </c>
      <c r="L10">
        <v>0</v>
      </c>
    </row>
    <row r="11" spans="1:12" x14ac:dyDescent="0.25">
      <c r="A11">
        <v>10</v>
      </c>
      <c r="B11" t="s">
        <v>125</v>
      </c>
      <c r="C11" t="s">
        <v>56</v>
      </c>
      <c r="D11" t="s">
        <v>118</v>
      </c>
      <c r="E11">
        <v>1250000</v>
      </c>
      <c r="F11">
        <v>400000</v>
      </c>
      <c r="G11">
        <v>1650000</v>
      </c>
      <c r="J11" t="s">
        <v>56</v>
      </c>
      <c r="K11" t="s">
        <v>118</v>
      </c>
      <c r="L11">
        <v>1250000</v>
      </c>
    </row>
    <row r="12" spans="1:12" x14ac:dyDescent="0.25">
      <c r="A12">
        <v>11</v>
      </c>
      <c r="B12" t="s">
        <v>126</v>
      </c>
      <c r="C12" t="s">
        <v>39</v>
      </c>
      <c r="D12" t="s">
        <v>118</v>
      </c>
      <c r="E12">
        <v>0</v>
      </c>
      <c r="F12">
        <v>0</v>
      </c>
      <c r="G12">
        <v>0</v>
      </c>
      <c r="J12" t="s">
        <v>39</v>
      </c>
      <c r="K12" t="s">
        <v>118</v>
      </c>
      <c r="L12">
        <v>0</v>
      </c>
    </row>
    <row r="13" spans="1:12" x14ac:dyDescent="0.25">
      <c r="A13">
        <v>12</v>
      </c>
      <c r="B13" t="s">
        <v>127</v>
      </c>
      <c r="C13" t="s">
        <v>91</v>
      </c>
      <c r="D13" t="s">
        <v>118</v>
      </c>
      <c r="E13">
        <v>833333.33333333337</v>
      </c>
      <c r="F13">
        <v>120833.33333333333</v>
      </c>
      <c r="G13">
        <v>954166.66666666674</v>
      </c>
      <c r="J13" t="s">
        <v>91</v>
      </c>
      <c r="K13" t="s">
        <v>118</v>
      </c>
      <c r="L13">
        <v>833333.33333333337</v>
      </c>
    </row>
    <row r="14" spans="1:12" x14ac:dyDescent="0.25">
      <c r="A14">
        <v>13</v>
      </c>
      <c r="B14" t="s">
        <v>128</v>
      </c>
      <c r="C14" t="s">
        <v>99</v>
      </c>
      <c r="D14" t="s">
        <v>118</v>
      </c>
      <c r="E14">
        <v>1666666.6666666667</v>
      </c>
      <c r="F14">
        <v>708333.33333333337</v>
      </c>
      <c r="G14">
        <v>2375000</v>
      </c>
      <c r="J14" t="s">
        <v>99</v>
      </c>
      <c r="K14" t="s">
        <v>118</v>
      </c>
      <c r="L14">
        <v>1666666.6666666667</v>
      </c>
    </row>
    <row r="15" spans="1:12" x14ac:dyDescent="0.25">
      <c r="A15">
        <v>14</v>
      </c>
      <c r="B15" t="s">
        <v>129</v>
      </c>
      <c r="C15" t="s">
        <v>102</v>
      </c>
      <c r="D15" t="s">
        <v>118</v>
      </c>
      <c r="E15">
        <v>0</v>
      </c>
      <c r="F15">
        <v>0</v>
      </c>
      <c r="G15">
        <v>0</v>
      </c>
      <c r="J15" t="s">
        <v>102</v>
      </c>
      <c r="K15" t="s">
        <v>118</v>
      </c>
      <c r="L15">
        <v>0</v>
      </c>
    </row>
    <row r="16" spans="1:12" x14ac:dyDescent="0.25">
      <c r="A16">
        <v>15</v>
      </c>
      <c r="B16" t="s">
        <v>130</v>
      </c>
      <c r="C16" t="s">
        <v>52</v>
      </c>
      <c r="D16" t="s">
        <v>118</v>
      </c>
      <c r="E16">
        <v>833333.33333333337</v>
      </c>
      <c r="F16">
        <v>354166.66666666669</v>
      </c>
      <c r="G16">
        <v>1187500</v>
      </c>
      <c r="J16" t="s">
        <v>52</v>
      </c>
      <c r="K16" t="s">
        <v>118</v>
      </c>
      <c r="L16">
        <v>833333.33333333337</v>
      </c>
    </row>
    <row r="17" spans="1:12" x14ac:dyDescent="0.25">
      <c r="A17">
        <v>16</v>
      </c>
      <c r="B17" t="s">
        <v>131</v>
      </c>
      <c r="C17" t="s">
        <v>43</v>
      </c>
      <c r="D17" t="s">
        <v>118</v>
      </c>
      <c r="E17">
        <v>1666666.6666666667</v>
      </c>
      <c r="F17">
        <v>533333.33333333337</v>
      </c>
      <c r="G17">
        <v>2200000</v>
      </c>
      <c r="J17" t="s">
        <v>43</v>
      </c>
      <c r="K17" t="s">
        <v>118</v>
      </c>
      <c r="L17">
        <v>1666666.6666666667</v>
      </c>
    </row>
    <row r="18" spans="1:12" x14ac:dyDescent="0.25">
      <c r="A18">
        <v>17</v>
      </c>
      <c r="B18" t="s">
        <v>132</v>
      </c>
      <c r="C18" t="s">
        <v>85</v>
      </c>
      <c r="D18" t="s">
        <v>118</v>
      </c>
      <c r="E18">
        <v>2222222.222222222</v>
      </c>
      <c r="F18">
        <v>833333.33333333337</v>
      </c>
      <c r="G18">
        <v>3055555.5555555555</v>
      </c>
      <c r="J18" t="s">
        <v>85</v>
      </c>
      <c r="K18" t="s">
        <v>118</v>
      </c>
      <c r="L18">
        <v>2777777.7777777775</v>
      </c>
    </row>
    <row r="19" spans="1:12" x14ac:dyDescent="0.25">
      <c r="A19">
        <v>18</v>
      </c>
      <c r="B19" t="s">
        <v>133</v>
      </c>
      <c r="C19" t="s">
        <v>35</v>
      </c>
      <c r="D19" t="s">
        <v>118</v>
      </c>
      <c r="E19">
        <v>1666666.6666666667</v>
      </c>
      <c r="F19">
        <v>708333.33333333337</v>
      </c>
      <c r="G19">
        <v>2375000</v>
      </c>
      <c r="J19" t="s">
        <v>35</v>
      </c>
      <c r="K19" t="s">
        <v>118</v>
      </c>
      <c r="L19">
        <v>1666666.6666666667</v>
      </c>
    </row>
    <row r="20" spans="1:12" x14ac:dyDescent="0.25">
      <c r="A20">
        <v>20</v>
      </c>
      <c r="B20" t="s">
        <v>134</v>
      </c>
      <c r="C20" t="s">
        <v>42</v>
      </c>
      <c r="D20" t="s">
        <v>118</v>
      </c>
      <c r="E20">
        <v>0</v>
      </c>
      <c r="F20">
        <v>0</v>
      </c>
      <c r="G20">
        <v>0</v>
      </c>
      <c r="J20" t="s">
        <v>42</v>
      </c>
      <c r="K20" t="s">
        <v>118</v>
      </c>
      <c r="L20">
        <v>0</v>
      </c>
    </row>
    <row r="21" spans="1:12" x14ac:dyDescent="0.25">
      <c r="A21">
        <v>21</v>
      </c>
      <c r="B21" t="s">
        <v>135</v>
      </c>
      <c r="C21" t="s">
        <v>55</v>
      </c>
      <c r="D21" t="s">
        <v>118</v>
      </c>
      <c r="E21">
        <v>1666666.6666666665</v>
      </c>
      <c r="F21">
        <v>708333.33333333337</v>
      </c>
      <c r="G21">
        <v>2375000</v>
      </c>
      <c r="J21" t="s">
        <v>55</v>
      </c>
      <c r="K21" t="s">
        <v>118</v>
      </c>
      <c r="L21">
        <v>1666666.6666666665</v>
      </c>
    </row>
    <row r="22" spans="1:12" x14ac:dyDescent="0.25">
      <c r="A22">
        <v>22</v>
      </c>
      <c r="B22" t="s">
        <v>136</v>
      </c>
      <c r="C22" t="s">
        <v>44</v>
      </c>
      <c r="D22" t="s">
        <v>118</v>
      </c>
      <c r="E22">
        <v>0</v>
      </c>
      <c r="F22">
        <v>0</v>
      </c>
      <c r="G22">
        <v>0</v>
      </c>
      <c r="J22" t="s">
        <v>44</v>
      </c>
      <c r="K22" t="s">
        <v>118</v>
      </c>
      <c r="L22">
        <v>0</v>
      </c>
    </row>
    <row r="23" spans="1:12" x14ac:dyDescent="0.25">
      <c r="A23">
        <v>23</v>
      </c>
      <c r="B23" t="s">
        <v>137</v>
      </c>
      <c r="C23" t="s">
        <v>26</v>
      </c>
      <c r="D23" t="s">
        <v>118</v>
      </c>
      <c r="E23">
        <v>1166666.6666666667</v>
      </c>
      <c r="F23">
        <v>495833.33333333331</v>
      </c>
      <c r="G23">
        <v>1662500</v>
      </c>
      <c r="J23" t="s">
        <v>26</v>
      </c>
      <c r="K23" t="s">
        <v>118</v>
      </c>
      <c r="L23">
        <v>1166666.6666666667</v>
      </c>
    </row>
    <row r="24" spans="1:12" x14ac:dyDescent="0.25">
      <c r="A24">
        <v>24</v>
      </c>
      <c r="B24" t="s">
        <v>138</v>
      </c>
      <c r="C24" t="s">
        <v>59</v>
      </c>
      <c r="D24" t="s">
        <v>118</v>
      </c>
      <c r="E24">
        <v>2500000</v>
      </c>
      <c r="F24">
        <v>829166.66666666674</v>
      </c>
      <c r="G24">
        <v>3329166.666666667</v>
      </c>
      <c r="J24" t="s">
        <v>59</v>
      </c>
      <c r="K24" t="s">
        <v>118</v>
      </c>
      <c r="L24">
        <v>2500000</v>
      </c>
    </row>
    <row r="25" spans="1:12" x14ac:dyDescent="0.25">
      <c r="A25">
        <v>25</v>
      </c>
      <c r="B25" t="s">
        <v>139</v>
      </c>
      <c r="C25" t="s">
        <v>75</v>
      </c>
      <c r="D25" t="s">
        <v>118</v>
      </c>
      <c r="E25">
        <v>1666666.6666666667</v>
      </c>
      <c r="F25">
        <v>533333.33333333337</v>
      </c>
      <c r="G25">
        <v>2200000</v>
      </c>
      <c r="J25" t="s">
        <v>75</v>
      </c>
      <c r="K25" t="s">
        <v>118</v>
      </c>
      <c r="L25">
        <v>1666666.6666666667</v>
      </c>
    </row>
    <row r="26" spans="1:12" x14ac:dyDescent="0.25">
      <c r="A26">
        <v>26</v>
      </c>
      <c r="B26" t="s">
        <v>140</v>
      </c>
      <c r="C26" t="s">
        <v>20</v>
      </c>
      <c r="D26" t="s">
        <v>118</v>
      </c>
      <c r="E26">
        <v>833333.33333333337</v>
      </c>
      <c r="F26">
        <v>354166.66666666669</v>
      </c>
      <c r="G26">
        <v>1187500</v>
      </c>
      <c r="J26" t="s">
        <v>20</v>
      </c>
      <c r="K26" t="s">
        <v>118</v>
      </c>
      <c r="L26">
        <v>833333.33333333337</v>
      </c>
    </row>
    <row r="27" spans="1:12" x14ac:dyDescent="0.25">
      <c r="A27">
        <v>27</v>
      </c>
      <c r="B27" t="s">
        <v>141</v>
      </c>
      <c r="C27" t="s">
        <v>34</v>
      </c>
      <c r="D27" t="s">
        <v>118</v>
      </c>
      <c r="E27">
        <v>1736111.111111111</v>
      </c>
      <c r="F27">
        <v>340625</v>
      </c>
      <c r="G27">
        <v>2076736.111111111</v>
      </c>
      <c r="J27" t="s">
        <v>34</v>
      </c>
      <c r="K27" t="s">
        <v>118</v>
      </c>
      <c r="L27">
        <v>1736111.111111111</v>
      </c>
    </row>
    <row r="28" spans="1:12" x14ac:dyDescent="0.25">
      <c r="A28">
        <v>28</v>
      </c>
      <c r="B28" t="s">
        <v>142</v>
      </c>
      <c r="C28" t="s">
        <v>89</v>
      </c>
      <c r="D28" t="s">
        <v>118</v>
      </c>
      <c r="E28">
        <v>0</v>
      </c>
      <c r="F28">
        <v>0</v>
      </c>
      <c r="G28">
        <v>0</v>
      </c>
      <c r="J28" t="s">
        <v>89</v>
      </c>
      <c r="K28" t="s">
        <v>118</v>
      </c>
      <c r="L28">
        <v>1250000</v>
      </c>
    </row>
    <row r="29" spans="1:12" x14ac:dyDescent="0.25">
      <c r="A29">
        <v>29</v>
      </c>
      <c r="B29" t="s">
        <v>143</v>
      </c>
      <c r="C29" t="s">
        <v>90</v>
      </c>
      <c r="D29" t="s">
        <v>118</v>
      </c>
      <c r="E29">
        <v>1666666.6666666667</v>
      </c>
      <c r="F29">
        <v>375000</v>
      </c>
      <c r="G29">
        <v>2041666.6666666667</v>
      </c>
      <c r="J29" t="s">
        <v>90</v>
      </c>
      <c r="K29" t="s">
        <v>118</v>
      </c>
      <c r="L29">
        <v>1666666.6666666667</v>
      </c>
    </row>
    <row r="30" spans="1:12" x14ac:dyDescent="0.25">
      <c r="A30">
        <v>30</v>
      </c>
      <c r="B30" t="s">
        <v>144</v>
      </c>
      <c r="C30" t="s">
        <v>66</v>
      </c>
      <c r="D30" t="s">
        <v>118</v>
      </c>
      <c r="E30">
        <v>0</v>
      </c>
      <c r="F30">
        <v>0</v>
      </c>
      <c r="G30">
        <v>0</v>
      </c>
      <c r="J30" t="s">
        <v>66</v>
      </c>
      <c r="K30" t="s">
        <v>118</v>
      </c>
      <c r="L30">
        <v>0</v>
      </c>
    </row>
    <row r="31" spans="1:12" x14ac:dyDescent="0.25">
      <c r="A31">
        <v>31</v>
      </c>
      <c r="B31" t="s">
        <v>145</v>
      </c>
      <c r="C31" t="s">
        <v>31</v>
      </c>
      <c r="D31" t="s">
        <v>118</v>
      </c>
      <c r="E31">
        <v>833333.33333333337</v>
      </c>
      <c r="F31">
        <v>187500</v>
      </c>
      <c r="G31">
        <v>1020833.3333333334</v>
      </c>
      <c r="J31" t="s">
        <v>31</v>
      </c>
      <c r="K31" t="s">
        <v>118</v>
      </c>
      <c r="L31">
        <v>833333.33333333337</v>
      </c>
    </row>
    <row r="32" spans="1:12" x14ac:dyDescent="0.25">
      <c r="A32">
        <v>32</v>
      </c>
      <c r="B32" t="s">
        <v>146</v>
      </c>
      <c r="C32" t="s">
        <v>86</v>
      </c>
      <c r="D32" t="s">
        <v>118</v>
      </c>
      <c r="E32">
        <v>1250000</v>
      </c>
      <c r="F32">
        <v>87500</v>
      </c>
      <c r="G32">
        <v>1337500</v>
      </c>
      <c r="J32" t="s">
        <v>86</v>
      </c>
      <c r="K32" t="s">
        <v>118</v>
      </c>
      <c r="L32">
        <v>1250000</v>
      </c>
    </row>
    <row r="33" spans="1:12" x14ac:dyDescent="0.25">
      <c r="A33">
        <v>33</v>
      </c>
      <c r="B33" t="s">
        <v>147</v>
      </c>
      <c r="C33" t="s">
        <v>95</v>
      </c>
      <c r="D33" t="s">
        <v>118</v>
      </c>
      <c r="E33">
        <v>833333.33333333337</v>
      </c>
      <c r="F33">
        <v>354166.66666666669</v>
      </c>
      <c r="G33">
        <v>1187500</v>
      </c>
      <c r="J33" t="s">
        <v>95</v>
      </c>
      <c r="K33" t="s">
        <v>118</v>
      </c>
      <c r="L33">
        <v>833333.33333333337</v>
      </c>
    </row>
    <row r="34" spans="1:12" x14ac:dyDescent="0.25">
      <c r="A34">
        <v>34</v>
      </c>
      <c r="B34" t="s">
        <v>148</v>
      </c>
      <c r="C34" t="s">
        <v>74</v>
      </c>
      <c r="D34" t="s">
        <v>118</v>
      </c>
      <c r="E34">
        <v>2083333.3333333333</v>
      </c>
      <c r="F34">
        <v>302083.33333333331</v>
      </c>
      <c r="G34">
        <v>2385416.6666666665</v>
      </c>
      <c r="J34" t="s">
        <v>74</v>
      </c>
      <c r="K34" t="s">
        <v>118</v>
      </c>
      <c r="L34">
        <v>2083333.3333333333</v>
      </c>
    </row>
    <row r="35" spans="1:12" x14ac:dyDescent="0.25">
      <c r="A35">
        <v>35</v>
      </c>
      <c r="B35" t="s">
        <v>149</v>
      </c>
      <c r="C35" t="s">
        <v>105</v>
      </c>
      <c r="D35" t="s">
        <v>118</v>
      </c>
      <c r="E35">
        <v>0</v>
      </c>
      <c r="F35">
        <v>0</v>
      </c>
      <c r="G35">
        <v>0</v>
      </c>
      <c r="J35" t="s">
        <v>105</v>
      </c>
      <c r="K35" t="s">
        <v>118</v>
      </c>
      <c r="L35">
        <v>0</v>
      </c>
    </row>
    <row r="36" spans="1:12" x14ac:dyDescent="0.25">
      <c r="A36">
        <v>36</v>
      </c>
      <c r="B36" t="s">
        <v>150</v>
      </c>
      <c r="C36" t="s">
        <v>97</v>
      </c>
      <c r="D36" t="s">
        <v>118</v>
      </c>
      <c r="E36">
        <v>1541666.6666666665</v>
      </c>
      <c r="F36">
        <v>493333.33333333337</v>
      </c>
      <c r="G36">
        <v>2035000</v>
      </c>
      <c r="J36" t="s">
        <v>97</v>
      </c>
      <c r="K36" t="s">
        <v>118</v>
      </c>
      <c r="L36">
        <v>1541666.6666666665</v>
      </c>
    </row>
    <row r="37" spans="1:12" x14ac:dyDescent="0.25">
      <c r="A37">
        <v>37</v>
      </c>
      <c r="B37" t="s">
        <v>151</v>
      </c>
      <c r="C37" t="s">
        <v>53</v>
      </c>
      <c r="D37" t="s">
        <v>118</v>
      </c>
      <c r="E37">
        <v>0</v>
      </c>
      <c r="F37">
        <v>0</v>
      </c>
      <c r="G37">
        <v>0</v>
      </c>
      <c r="J37" t="s">
        <v>53</v>
      </c>
      <c r="K37" t="s">
        <v>118</v>
      </c>
      <c r="L37">
        <v>0</v>
      </c>
    </row>
    <row r="38" spans="1:12" x14ac:dyDescent="0.25">
      <c r="A38">
        <v>38</v>
      </c>
      <c r="B38" t="s">
        <v>152</v>
      </c>
      <c r="C38" t="s">
        <v>83</v>
      </c>
      <c r="D38" t="s">
        <v>118</v>
      </c>
      <c r="E38">
        <v>1342083.3333333333</v>
      </c>
      <c r="F38">
        <v>570385.41666666674</v>
      </c>
      <c r="G38">
        <v>1912468.75</v>
      </c>
      <c r="J38" t="s">
        <v>83</v>
      </c>
      <c r="K38" t="s">
        <v>118</v>
      </c>
      <c r="L38">
        <v>1550416.6666666665</v>
      </c>
    </row>
    <row r="39" spans="1:12" x14ac:dyDescent="0.25">
      <c r="A39">
        <v>39</v>
      </c>
      <c r="B39" t="s">
        <v>153</v>
      </c>
      <c r="C39" t="s">
        <v>45</v>
      </c>
      <c r="D39" t="s">
        <v>118</v>
      </c>
      <c r="E39">
        <v>1166666.6666666667</v>
      </c>
      <c r="F39">
        <v>495833.33333333331</v>
      </c>
      <c r="G39">
        <v>1662500</v>
      </c>
      <c r="J39" t="s">
        <v>45</v>
      </c>
      <c r="K39" t="s">
        <v>118</v>
      </c>
      <c r="L39">
        <v>1166666.6666666667</v>
      </c>
    </row>
    <row r="40" spans="1:12" x14ac:dyDescent="0.25">
      <c r="A40">
        <v>40</v>
      </c>
      <c r="B40" t="s">
        <v>154</v>
      </c>
      <c r="C40" t="s">
        <v>63</v>
      </c>
      <c r="D40" t="s">
        <v>118</v>
      </c>
      <c r="E40">
        <v>0</v>
      </c>
      <c r="F40">
        <v>0</v>
      </c>
      <c r="G40">
        <v>0</v>
      </c>
      <c r="J40" t="s">
        <v>63</v>
      </c>
      <c r="K40" t="s">
        <v>118</v>
      </c>
      <c r="L40">
        <v>0</v>
      </c>
    </row>
    <row r="41" spans="1:12" x14ac:dyDescent="0.25">
      <c r="A41">
        <v>41</v>
      </c>
      <c r="B41" t="s">
        <v>155</v>
      </c>
      <c r="C41" t="s">
        <v>22</v>
      </c>
      <c r="D41" t="s">
        <v>118</v>
      </c>
      <c r="E41">
        <v>1666666.6666666667</v>
      </c>
      <c r="F41">
        <v>264583.33333333337</v>
      </c>
      <c r="G41">
        <v>1931250</v>
      </c>
      <c r="J41" t="s">
        <v>22</v>
      </c>
      <c r="K41" t="s">
        <v>118</v>
      </c>
      <c r="L41">
        <v>1666666.6666666667</v>
      </c>
    </row>
    <row r="42" spans="1:12" x14ac:dyDescent="0.25">
      <c r="A42">
        <v>42</v>
      </c>
      <c r="B42" t="s">
        <v>156</v>
      </c>
      <c r="C42" t="s">
        <v>103</v>
      </c>
      <c r="D42" t="s">
        <v>118</v>
      </c>
      <c r="E42">
        <v>833333.33333333337</v>
      </c>
      <c r="F42">
        <v>354166.66666666669</v>
      </c>
      <c r="G42">
        <v>1187500</v>
      </c>
      <c r="J42" t="s">
        <v>103</v>
      </c>
      <c r="K42" t="s">
        <v>118</v>
      </c>
      <c r="L42">
        <v>833333.33333333337</v>
      </c>
    </row>
    <row r="43" spans="1:12" x14ac:dyDescent="0.25">
      <c r="A43">
        <v>43</v>
      </c>
      <c r="B43" t="s">
        <v>157</v>
      </c>
      <c r="C43" t="s">
        <v>33</v>
      </c>
      <c r="D43" t="s">
        <v>118</v>
      </c>
      <c r="E43">
        <v>972222.22222222225</v>
      </c>
      <c r="F43">
        <v>218750</v>
      </c>
      <c r="G43">
        <v>1190972.2222222222</v>
      </c>
      <c r="J43" t="s">
        <v>33</v>
      </c>
      <c r="K43" t="s">
        <v>118</v>
      </c>
      <c r="L43">
        <v>972222.22222222225</v>
      </c>
    </row>
    <row r="44" spans="1:12" x14ac:dyDescent="0.25">
      <c r="A44">
        <v>44</v>
      </c>
      <c r="B44" t="s">
        <v>158</v>
      </c>
      <c r="C44" t="s">
        <v>32</v>
      </c>
      <c r="D44" t="s">
        <v>118</v>
      </c>
      <c r="E44">
        <v>0</v>
      </c>
      <c r="F44">
        <v>0</v>
      </c>
      <c r="G44">
        <v>0</v>
      </c>
      <c r="J44" t="s">
        <v>32</v>
      </c>
      <c r="K44" t="s">
        <v>118</v>
      </c>
      <c r="L44">
        <v>0</v>
      </c>
    </row>
    <row r="45" spans="1:12" x14ac:dyDescent="0.25">
      <c r="A45">
        <v>45</v>
      </c>
      <c r="B45" t="s">
        <v>159</v>
      </c>
      <c r="C45" t="s">
        <v>48</v>
      </c>
      <c r="D45" t="s">
        <v>118</v>
      </c>
      <c r="E45">
        <v>1150000</v>
      </c>
      <c r="F45">
        <v>488750</v>
      </c>
      <c r="G45">
        <v>1638750</v>
      </c>
      <c r="J45" t="s">
        <v>48</v>
      </c>
      <c r="K45" t="s">
        <v>118</v>
      </c>
      <c r="L45">
        <v>1150000</v>
      </c>
    </row>
    <row r="46" spans="1:12" x14ac:dyDescent="0.25">
      <c r="A46">
        <v>46</v>
      </c>
      <c r="B46" t="s">
        <v>160</v>
      </c>
      <c r="C46" t="s">
        <v>68</v>
      </c>
      <c r="D46" t="s">
        <v>118</v>
      </c>
      <c r="E46">
        <v>0</v>
      </c>
      <c r="F46">
        <v>0</v>
      </c>
      <c r="G46">
        <v>0</v>
      </c>
      <c r="J46" t="s">
        <v>68</v>
      </c>
      <c r="K46" t="s">
        <v>118</v>
      </c>
      <c r="L46">
        <v>0</v>
      </c>
    </row>
    <row r="47" spans="1:12" x14ac:dyDescent="0.25">
      <c r="A47">
        <v>47</v>
      </c>
      <c r="B47" t="s">
        <v>161</v>
      </c>
      <c r="C47" t="s">
        <v>54</v>
      </c>
      <c r="D47" t="s">
        <v>118</v>
      </c>
      <c r="E47">
        <v>916666.66666666674</v>
      </c>
      <c r="F47">
        <v>345833.33333333337</v>
      </c>
      <c r="G47">
        <v>1262500</v>
      </c>
      <c r="J47" t="s">
        <v>54</v>
      </c>
      <c r="K47" t="s">
        <v>118</v>
      </c>
      <c r="L47">
        <v>916666.66666666674</v>
      </c>
    </row>
    <row r="48" spans="1:12" x14ac:dyDescent="0.25">
      <c r="A48">
        <v>48</v>
      </c>
      <c r="B48" t="s">
        <v>162</v>
      </c>
      <c r="C48" t="s">
        <v>47</v>
      </c>
      <c r="D48" t="s">
        <v>118</v>
      </c>
      <c r="E48">
        <v>1041666.6666666666</v>
      </c>
      <c r="F48">
        <v>151041.66666666666</v>
      </c>
      <c r="G48">
        <v>1192708.3333333333</v>
      </c>
      <c r="J48" t="s">
        <v>47</v>
      </c>
      <c r="K48" t="s">
        <v>118</v>
      </c>
      <c r="L48">
        <v>1041666.6666666666</v>
      </c>
    </row>
    <row r="49" spans="1:12" x14ac:dyDescent="0.25">
      <c r="A49">
        <v>49</v>
      </c>
      <c r="B49" t="s">
        <v>163</v>
      </c>
      <c r="C49" t="s">
        <v>29</v>
      </c>
      <c r="D49" t="s">
        <v>118</v>
      </c>
      <c r="E49">
        <v>0</v>
      </c>
      <c r="F49">
        <v>0</v>
      </c>
      <c r="G49">
        <v>0</v>
      </c>
      <c r="J49" t="s">
        <v>29</v>
      </c>
      <c r="K49" t="s">
        <v>118</v>
      </c>
      <c r="L49">
        <v>0</v>
      </c>
    </row>
    <row r="50" spans="1:12" x14ac:dyDescent="0.25">
      <c r="A50">
        <v>50</v>
      </c>
      <c r="B50" t="s">
        <v>164</v>
      </c>
      <c r="C50" t="s">
        <v>107</v>
      </c>
      <c r="D50" t="s">
        <v>118</v>
      </c>
      <c r="E50">
        <v>0</v>
      </c>
      <c r="F50">
        <v>0</v>
      </c>
      <c r="G50">
        <v>0</v>
      </c>
      <c r="J50" t="s">
        <v>107</v>
      </c>
      <c r="K50" t="s">
        <v>118</v>
      </c>
      <c r="L50">
        <v>0</v>
      </c>
    </row>
    <row r="51" spans="1:12" x14ac:dyDescent="0.25">
      <c r="A51">
        <v>51</v>
      </c>
      <c r="B51" t="s">
        <v>165</v>
      </c>
      <c r="C51" t="s">
        <v>78</v>
      </c>
      <c r="D51" t="s">
        <v>118</v>
      </c>
      <c r="E51">
        <v>0</v>
      </c>
      <c r="F51">
        <v>0</v>
      </c>
      <c r="G51">
        <v>0</v>
      </c>
      <c r="J51" t="s">
        <v>78</v>
      </c>
      <c r="K51" t="s">
        <v>118</v>
      </c>
      <c r="L51">
        <v>0</v>
      </c>
    </row>
    <row r="52" spans="1:12" x14ac:dyDescent="0.25">
      <c r="A52">
        <v>52</v>
      </c>
      <c r="B52" t="s">
        <v>166</v>
      </c>
      <c r="C52" t="s">
        <v>57</v>
      </c>
      <c r="D52" t="s">
        <v>118</v>
      </c>
      <c r="E52">
        <v>0</v>
      </c>
      <c r="F52">
        <v>0</v>
      </c>
      <c r="G52">
        <v>0</v>
      </c>
      <c r="J52" t="s">
        <v>57</v>
      </c>
      <c r="K52" t="s">
        <v>118</v>
      </c>
      <c r="L52">
        <v>0</v>
      </c>
    </row>
    <row r="53" spans="1:12" x14ac:dyDescent="0.25">
      <c r="A53">
        <v>53</v>
      </c>
      <c r="B53" t="s">
        <v>167</v>
      </c>
      <c r="C53" t="s">
        <v>30</v>
      </c>
      <c r="D53" t="s">
        <v>118</v>
      </c>
      <c r="E53">
        <v>2000000</v>
      </c>
      <c r="F53">
        <v>850000</v>
      </c>
      <c r="G53">
        <v>2850000</v>
      </c>
      <c r="J53" t="s">
        <v>30</v>
      </c>
      <c r="K53" t="s">
        <v>118</v>
      </c>
      <c r="L53">
        <v>2000000</v>
      </c>
    </row>
    <row r="54" spans="1:12" x14ac:dyDescent="0.25">
      <c r="A54">
        <v>54</v>
      </c>
      <c r="B54" t="s">
        <v>168</v>
      </c>
      <c r="C54" t="s">
        <v>169</v>
      </c>
      <c r="D54" t="s">
        <v>118</v>
      </c>
      <c r="E54">
        <v>0</v>
      </c>
      <c r="F54">
        <v>0</v>
      </c>
      <c r="G54">
        <v>0</v>
      </c>
      <c r="J54" t="s">
        <v>169</v>
      </c>
      <c r="K54" t="s">
        <v>118</v>
      </c>
      <c r="L54">
        <v>0</v>
      </c>
    </row>
    <row r="55" spans="1:12" x14ac:dyDescent="0.25">
      <c r="A55">
        <v>55</v>
      </c>
      <c r="B55" t="s">
        <v>170</v>
      </c>
      <c r="C55" t="s">
        <v>41</v>
      </c>
      <c r="D55" t="s">
        <v>118</v>
      </c>
      <c r="E55">
        <v>2916666.6666666665</v>
      </c>
      <c r="F55">
        <v>204166.66666666672</v>
      </c>
      <c r="G55">
        <v>3120833.333333333</v>
      </c>
      <c r="J55" t="s">
        <v>41</v>
      </c>
      <c r="K55" t="s">
        <v>118</v>
      </c>
      <c r="L55">
        <v>2916666.6666666665</v>
      </c>
    </row>
    <row r="56" spans="1:12" x14ac:dyDescent="0.25">
      <c r="A56">
        <v>56</v>
      </c>
      <c r="B56" t="s">
        <v>171</v>
      </c>
      <c r="C56" t="s">
        <v>27</v>
      </c>
      <c r="D56" t="s">
        <v>118</v>
      </c>
      <c r="E56">
        <v>1666666.6666666667</v>
      </c>
      <c r="F56">
        <v>708333.33333333337</v>
      </c>
      <c r="G56">
        <v>2375000</v>
      </c>
      <c r="J56" t="s">
        <v>27</v>
      </c>
      <c r="K56" t="s">
        <v>118</v>
      </c>
      <c r="L56">
        <v>1666666.6666666667</v>
      </c>
    </row>
    <row r="57" spans="1:12" x14ac:dyDescent="0.25">
      <c r="A57">
        <v>57</v>
      </c>
      <c r="B57" t="s">
        <v>172</v>
      </c>
      <c r="C57" t="s">
        <v>28</v>
      </c>
      <c r="D57" t="s">
        <v>118</v>
      </c>
      <c r="E57">
        <v>0</v>
      </c>
      <c r="F57">
        <v>0</v>
      </c>
      <c r="G57">
        <v>0</v>
      </c>
      <c r="J57" t="s">
        <v>28</v>
      </c>
      <c r="K57" t="s">
        <v>118</v>
      </c>
      <c r="L57">
        <v>0</v>
      </c>
    </row>
    <row r="58" spans="1:12" x14ac:dyDescent="0.25">
      <c r="A58">
        <v>58</v>
      </c>
      <c r="B58" t="s">
        <v>173</v>
      </c>
      <c r="C58" t="s">
        <v>23</v>
      </c>
      <c r="D58" t="s">
        <v>118</v>
      </c>
      <c r="E58">
        <v>2083333.3333333333</v>
      </c>
      <c r="F58">
        <v>666666.66666666663</v>
      </c>
      <c r="G58">
        <v>2750000</v>
      </c>
      <c r="J58" t="s">
        <v>23</v>
      </c>
      <c r="K58" t="s">
        <v>118</v>
      </c>
      <c r="L58">
        <v>2083333.3333333333</v>
      </c>
    </row>
    <row r="59" spans="1:12" x14ac:dyDescent="0.25">
      <c r="A59">
        <v>59</v>
      </c>
      <c r="B59" t="s">
        <v>174</v>
      </c>
      <c r="C59" t="s">
        <v>71</v>
      </c>
      <c r="D59" t="s">
        <v>118</v>
      </c>
      <c r="E59">
        <v>0</v>
      </c>
      <c r="F59">
        <v>0</v>
      </c>
      <c r="G59">
        <v>0</v>
      </c>
      <c r="J59" t="s">
        <v>71</v>
      </c>
      <c r="K59" t="s">
        <v>118</v>
      </c>
      <c r="L59">
        <v>0</v>
      </c>
    </row>
    <row r="60" spans="1:12" x14ac:dyDescent="0.25">
      <c r="A60">
        <v>60</v>
      </c>
      <c r="B60" t="s">
        <v>175</v>
      </c>
      <c r="C60" t="s">
        <v>73</v>
      </c>
      <c r="D60" t="s">
        <v>118</v>
      </c>
      <c r="E60">
        <v>0</v>
      </c>
      <c r="F60">
        <v>0</v>
      </c>
      <c r="G60">
        <v>0</v>
      </c>
      <c r="J60" t="s">
        <v>73</v>
      </c>
      <c r="K60" t="s">
        <v>118</v>
      </c>
      <c r="L60">
        <v>0</v>
      </c>
    </row>
    <row r="61" spans="1:12" x14ac:dyDescent="0.25">
      <c r="A61">
        <v>61</v>
      </c>
      <c r="B61" t="s">
        <v>176</v>
      </c>
      <c r="C61" t="s">
        <v>98</v>
      </c>
      <c r="D61" t="s">
        <v>118</v>
      </c>
      <c r="E61">
        <v>0</v>
      </c>
      <c r="F61">
        <v>0</v>
      </c>
      <c r="G61">
        <v>0</v>
      </c>
      <c r="J61" t="s">
        <v>98</v>
      </c>
      <c r="K61" t="s">
        <v>118</v>
      </c>
      <c r="L61">
        <v>0</v>
      </c>
    </row>
    <row r="62" spans="1:12" x14ac:dyDescent="0.25">
      <c r="A62">
        <v>62</v>
      </c>
      <c r="B62" t="s">
        <v>177</v>
      </c>
      <c r="C62" t="s">
        <v>65</v>
      </c>
      <c r="D62" t="s">
        <v>118</v>
      </c>
      <c r="E62">
        <v>0</v>
      </c>
      <c r="F62">
        <v>0</v>
      </c>
      <c r="G62">
        <v>0</v>
      </c>
      <c r="J62" t="s">
        <v>65</v>
      </c>
      <c r="K62" t="s">
        <v>118</v>
      </c>
      <c r="L62">
        <v>0</v>
      </c>
    </row>
    <row r="63" spans="1:12" x14ac:dyDescent="0.25">
      <c r="A63">
        <v>63</v>
      </c>
      <c r="B63" t="s">
        <v>178</v>
      </c>
      <c r="C63" t="s">
        <v>104</v>
      </c>
      <c r="D63" t="s">
        <v>118</v>
      </c>
      <c r="E63">
        <v>1145833.3333333333</v>
      </c>
      <c r="F63">
        <v>366666.66666666663</v>
      </c>
      <c r="G63">
        <v>1512500</v>
      </c>
      <c r="J63" t="s">
        <v>104</v>
      </c>
      <c r="K63" t="s">
        <v>118</v>
      </c>
      <c r="L63">
        <v>1145833.3333333333</v>
      </c>
    </row>
    <row r="64" spans="1:12" x14ac:dyDescent="0.25">
      <c r="A64">
        <v>64</v>
      </c>
      <c r="B64" t="s">
        <v>179</v>
      </c>
      <c r="C64" t="s">
        <v>93</v>
      </c>
      <c r="D64" t="s">
        <v>118</v>
      </c>
      <c r="E64">
        <v>0</v>
      </c>
      <c r="F64">
        <v>0</v>
      </c>
      <c r="G64">
        <v>0</v>
      </c>
      <c r="J64" t="s">
        <v>93</v>
      </c>
      <c r="K64" t="s">
        <v>118</v>
      </c>
      <c r="L64">
        <v>0</v>
      </c>
    </row>
    <row r="65" spans="1:12" x14ac:dyDescent="0.25">
      <c r="A65">
        <v>65</v>
      </c>
      <c r="B65" t="s">
        <v>180</v>
      </c>
      <c r="C65" t="s">
        <v>72</v>
      </c>
      <c r="D65" t="s">
        <v>118</v>
      </c>
      <c r="E65">
        <v>2222222.222222222</v>
      </c>
      <c r="F65">
        <v>500000</v>
      </c>
      <c r="G65">
        <v>2722222.222222222</v>
      </c>
      <c r="J65" t="s">
        <v>72</v>
      </c>
      <c r="K65" t="s">
        <v>118</v>
      </c>
      <c r="L65">
        <v>2222222.222222222</v>
      </c>
    </row>
    <row r="66" spans="1:12" x14ac:dyDescent="0.25">
      <c r="A66">
        <v>66</v>
      </c>
      <c r="B66" t="s">
        <v>181</v>
      </c>
      <c r="C66" t="s">
        <v>100</v>
      </c>
      <c r="D66" t="s">
        <v>118</v>
      </c>
      <c r="E66">
        <v>500000</v>
      </c>
      <c r="F66">
        <v>212500</v>
      </c>
      <c r="G66">
        <v>712500</v>
      </c>
      <c r="J66" t="s">
        <v>100</v>
      </c>
      <c r="K66" t="s">
        <v>118</v>
      </c>
      <c r="L66">
        <v>500000</v>
      </c>
    </row>
    <row r="67" spans="1:12" x14ac:dyDescent="0.25">
      <c r="A67">
        <v>67</v>
      </c>
      <c r="B67" t="s">
        <v>182</v>
      </c>
      <c r="C67" t="s">
        <v>106</v>
      </c>
      <c r="D67" t="s">
        <v>118</v>
      </c>
      <c r="E67">
        <v>1000000</v>
      </c>
      <c r="F67">
        <v>425000</v>
      </c>
      <c r="G67">
        <v>1425000</v>
      </c>
      <c r="J67" t="s">
        <v>106</v>
      </c>
      <c r="K67" t="s">
        <v>118</v>
      </c>
      <c r="L67">
        <v>1000000</v>
      </c>
    </row>
    <row r="68" spans="1:12" x14ac:dyDescent="0.25">
      <c r="A68">
        <v>68</v>
      </c>
      <c r="B68" t="s">
        <v>183</v>
      </c>
      <c r="C68" t="s">
        <v>62</v>
      </c>
      <c r="D68" t="s">
        <v>118</v>
      </c>
      <c r="E68">
        <v>1250000</v>
      </c>
      <c r="F68">
        <v>214583.33333333331</v>
      </c>
      <c r="G68">
        <v>1464583.3333333333</v>
      </c>
      <c r="J68" t="s">
        <v>62</v>
      </c>
      <c r="K68" t="s">
        <v>118</v>
      </c>
      <c r="L68">
        <v>1250000</v>
      </c>
    </row>
    <row r="69" spans="1:12" x14ac:dyDescent="0.25">
      <c r="A69">
        <v>69</v>
      </c>
      <c r="B69" t="s">
        <v>184</v>
      </c>
      <c r="C69" t="s">
        <v>24</v>
      </c>
      <c r="D69" t="s">
        <v>118</v>
      </c>
      <c r="E69">
        <v>0</v>
      </c>
      <c r="F69">
        <v>0</v>
      </c>
      <c r="G69">
        <v>0</v>
      </c>
      <c r="J69" t="s">
        <v>24</v>
      </c>
      <c r="K69" t="s">
        <v>118</v>
      </c>
      <c r="L69">
        <v>0</v>
      </c>
    </row>
    <row r="70" spans="1:12" x14ac:dyDescent="0.25">
      <c r="A70">
        <v>70</v>
      </c>
      <c r="B70" t="s">
        <v>185</v>
      </c>
      <c r="C70" t="s">
        <v>70</v>
      </c>
      <c r="D70" t="s">
        <v>118</v>
      </c>
      <c r="E70">
        <v>0</v>
      </c>
      <c r="F70">
        <v>0</v>
      </c>
      <c r="G70">
        <v>0</v>
      </c>
      <c r="J70" t="s">
        <v>70</v>
      </c>
      <c r="K70" t="s">
        <v>118</v>
      </c>
      <c r="L70">
        <v>0</v>
      </c>
    </row>
    <row r="71" spans="1:12" x14ac:dyDescent="0.25">
      <c r="A71">
        <v>71</v>
      </c>
      <c r="B71" t="s">
        <v>186</v>
      </c>
      <c r="C71" t="s">
        <v>187</v>
      </c>
      <c r="D71" t="s">
        <v>118</v>
      </c>
      <c r="E71">
        <v>0</v>
      </c>
      <c r="F71">
        <v>0</v>
      </c>
      <c r="G71">
        <v>0</v>
      </c>
      <c r="J71" t="s">
        <v>187</v>
      </c>
      <c r="K71" t="s">
        <v>118</v>
      </c>
      <c r="L71">
        <v>0</v>
      </c>
    </row>
    <row r="72" spans="1:12" x14ac:dyDescent="0.25">
      <c r="A72">
        <v>72</v>
      </c>
      <c r="B72" t="s">
        <v>188</v>
      </c>
      <c r="C72" t="s">
        <v>25</v>
      </c>
      <c r="D72" t="s">
        <v>118</v>
      </c>
      <c r="E72">
        <v>0</v>
      </c>
      <c r="F72">
        <v>0</v>
      </c>
      <c r="G72">
        <v>0</v>
      </c>
      <c r="J72" t="s">
        <v>25</v>
      </c>
      <c r="K72" t="s">
        <v>118</v>
      </c>
      <c r="L72">
        <v>0</v>
      </c>
    </row>
    <row r="73" spans="1:12" x14ac:dyDescent="0.25">
      <c r="A73">
        <v>73</v>
      </c>
      <c r="B73" t="s">
        <v>189</v>
      </c>
      <c r="C73" t="s">
        <v>190</v>
      </c>
      <c r="D73" t="s">
        <v>118</v>
      </c>
      <c r="E73">
        <v>0</v>
      </c>
      <c r="F73">
        <v>0</v>
      </c>
      <c r="G73">
        <v>0</v>
      </c>
      <c r="J73" t="s">
        <v>190</v>
      </c>
      <c r="K73" t="s">
        <v>118</v>
      </c>
      <c r="L73">
        <v>0</v>
      </c>
    </row>
    <row r="74" spans="1:12" x14ac:dyDescent="0.25">
      <c r="A74">
        <v>74</v>
      </c>
      <c r="B74" t="s">
        <v>191</v>
      </c>
      <c r="C74" t="s">
        <v>58</v>
      </c>
      <c r="D74" t="s">
        <v>118</v>
      </c>
      <c r="E74">
        <v>2000000</v>
      </c>
      <c r="F74">
        <v>850000</v>
      </c>
      <c r="G74">
        <v>2850000</v>
      </c>
      <c r="J74" t="s">
        <v>58</v>
      </c>
      <c r="K74" t="s">
        <v>118</v>
      </c>
      <c r="L74">
        <v>2000000</v>
      </c>
    </row>
    <row r="75" spans="1:12" x14ac:dyDescent="0.25">
      <c r="A75">
        <v>75</v>
      </c>
      <c r="B75" t="s">
        <v>192</v>
      </c>
      <c r="C75" t="s">
        <v>38</v>
      </c>
      <c r="D75" t="s">
        <v>118</v>
      </c>
      <c r="E75">
        <v>1388888.888888889</v>
      </c>
      <c r="F75">
        <v>312500</v>
      </c>
      <c r="G75">
        <v>1701388.888888889</v>
      </c>
      <c r="J75" t="s">
        <v>38</v>
      </c>
      <c r="K75" t="s">
        <v>118</v>
      </c>
      <c r="L75">
        <v>1388888.888888889</v>
      </c>
    </row>
    <row r="76" spans="1:12" x14ac:dyDescent="0.25">
      <c r="A76">
        <v>76</v>
      </c>
      <c r="B76" t="s">
        <v>193</v>
      </c>
      <c r="C76" t="s">
        <v>194</v>
      </c>
      <c r="D76" t="s">
        <v>118</v>
      </c>
      <c r="E76">
        <v>0</v>
      </c>
      <c r="F76">
        <v>0</v>
      </c>
      <c r="G76">
        <v>0</v>
      </c>
      <c r="J76" t="s">
        <v>194</v>
      </c>
      <c r="K76" t="s">
        <v>118</v>
      </c>
      <c r="L76">
        <v>833333.33333333337</v>
      </c>
    </row>
    <row r="77" spans="1:12" x14ac:dyDescent="0.25">
      <c r="A77">
        <v>77</v>
      </c>
      <c r="B77" t="s">
        <v>195</v>
      </c>
      <c r="C77" t="s">
        <v>196</v>
      </c>
      <c r="D77" t="s">
        <v>118</v>
      </c>
      <c r="E77">
        <v>0</v>
      </c>
      <c r="F77">
        <v>0</v>
      </c>
      <c r="G77">
        <v>0</v>
      </c>
      <c r="J77" t="s">
        <v>196</v>
      </c>
      <c r="K77" t="s">
        <v>118</v>
      </c>
      <c r="L77">
        <v>0</v>
      </c>
    </row>
    <row r="78" spans="1:12" x14ac:dyDescent="0.25">
      <c r="A78">
        <v>78</v>
      </c>
      <c r="B78" t="s">
        <v>197</v>
      </c>
      <c r="C78" t="s">
        <v>198</v>
      </c>
      <c r="D78" t="s">
        <v>118</v>
      </c>
      <c r="E78">
        <v>0</v>
      </c>
      <c r="F78">
        <v>0</v>
      </c>
      <c r="G78">
        <v>0</v>
      </c>
      <c r="J78" t="s">
        <v>198</v>
      </c>
      <c r="K78" t="s">
        <v>118</v>
      </c>
      <c r="L78">
        <v>0</v>
      </c>
    </row>
    <row r="79" spans="1:12" x14ac:dyDescent="0.25">
      <c r="A79">
        <v>79</v>
      </c>
      <c r="B79" t="s">
        <v>199</v>
      </c>
      <c r="C79" t="s">
        <v>200</v>
      </c>
      <c r="D79" t="s">
        <v>118</v>
      </c>
      <c r="E79">
        <v>0</v>
      </c>
      <c r="F79">
        <v>0</v>
      </c>
      <c r="G79">
        <v>0</v>
      </c>
      <c r="J79" t="s">
        <v>200</v>
      </c>
      <c r="K79" t="s">
        <v>118</v>
      </c>
      <c r="L79">
        <v>0</v>
      </c>
    </row>
    <row r="86" spans="2:4" x14ac:dyDescent="0.25">
      <c r="B86" t="s">
        <v>82</v>
      </c>
      <c r="C86" t="s">
        <v>118</v>
      </c>
      <c r="D86">
        <v>1666666.6666666667</v>
      </c>
    </row>
    <row r="87" spans="2:4" x14ac:dyDescent="0.25">
      <c r="B87" t="s">
        <v>88</v>
      </c>
      <c r="C87" t="s">
        <v>118</v>
      </c>
      <c r="D87">
        <v>0</v>
      </c>
    </row>
    <row r="88" spans="2:4" x14ac:dyDescent="0.25">
      <c r="B88" t="s">
        <v>96</v>
      </c>
      <c r="C88" t="s">
        <v>118</v>
      </c>
      <c r="D88">
        <v>0</v>
      </c>
    </row>
    <row r="89" spans="2:4" x14ac:dyDescent="0.25">
      <c r="B89" t="s">
        <v>87</v>
      </c>
      <c r="C89" t="s">
        <v>118</v>
      </c>
      <c r="D89">
        <v>1388888.888888889</v>
      </c>
    </row>
    <row r="90" spans="2:4" x14ac:dyDescent="0.25">
      <c r="B90" t="s">
        <v>36</v>
      </c>
      <c r="C90" t="s">
        <v>118</v>
      </c>
      <c r="D90">
        <v>0</v>
      </c>
    </row>
    <row r="91" spans="2:4" x14ac:dyDescent="0.25">
      <c r="B91" t="s">
        <v>61</v>
      </c>
      <c r="C91" t="s">
        <v>118</v>
      </c>
      <c r="D91">
        <v>1666666.6666666667</v>
      </c>
    </row>
    <row r="92" spans="2:4" x14ac:dyDescent="0.25">
      <c r="B92" t="s">
        <v>64</v>
      </c>
      <c r="C92" t="s">
        <v>118</v>
      </c>
      <c r="D92">
        <v>0</v>
      </c>
    </row>
    <row r="93" spans="2:4" x14ac:dyDescent="0.25">
      <c r="B93" t="s">
        <v>56</v>
      </c>
      <c r="C93" t="s">
        <v>118</v>
      </c>
      <c r="D93">
        <v>1250000</v>
      </c>
    </row>
    <row r="94" spans="2:4" x14ac:dyDescent="0.25">
      <c r="B94" t="s">
        <v>39</v>
      </c>
      <c r="C94" t="s">
        <v>118</v>
      </c>
      <c r="D94">
        <v>0</v>
      </c>
    </row>
    <row r="95" spans="2:4" x14ac:dyDescent="0.25">
      <c r="B95" t="s">
        <v>91</v>
      </c>
      <c r="C95" t="s">
        <v>118</v>
      </c>
      <c r="D95">
        <v>833333.33333333337</v>
      </c>
    </row>
    <row r="96" spans="2:4" x14ac:dyDescent="0.25">
      <c r="B96" t="s">
        <v>99</v>
      </c>
      <c r="C96" t="s">
        <v>118</v>
      </c>
      <c r="D96">
        <v>1666666.6666666667</v>
      </c>
    </row>
    <row r="97" spans="2:4" x14ac:dyDescent="0.25">
      <c r="B97" t="s">
        <v>102</v>
      </c>
      <c r="C97" t="s">
        <v>118</v>
      </c>
      <c r="D97">
        <v>0</v>
      </c>
    </row>
    <row r="98" spans="2:4" x14ac:dyDescent="0.25">
      <c r="B98" t="s">
        <v>52</v>
      </c>
      <c r="C98" t="s">
        <v>118</v>
      </c>
      <c r="D98">
        <v>833333.33333333337</v>
      </c>
    </row>
    <row r="99" spans="2:4" x14ac:dyDescent="0.25">
      <c r="B99" t="s">
        <v>43</v>
      </c>
      <c r="C99" t="s">
        <v>118</v>
      </c>
      <c r="D99">
        <v>1666666.6666666667</v>
      </c>
    </row>
    <row r="100" spans="2:4" x14ac:dyDescent="0.25">
      <c r="B100" t="s">
        <v>85</v>
      </c>
      <c r="C100" t="s">
        <v>118</v>
      </c>
      <c r="D100">
        <v>2777777.7777777775</v>
      </c>
    </row>
    <row r="101" spans="2:4" x14ac:dyDescent="0.25">
      <c r="B101" t="s">
        <v>35</v>
      </c>
      <c r="C101" t="s">
        <v>118</v>
      </c>
      <c r="D101">
        <v>1666666.6666666667</v>
      </c>
    </row>
    <row r="102" spans="2:4" x14ac:dyDescent="0.25">
      <c r="B102" t="s">
        <v>42</v>
      </c>
      <c r="C102" t="s">
        <v>118</v>
      </c>
      <c r="D102">
        <v>0</v>
      </c>
    </row>
    <row r="103" spans="2:4" x14ac:dyDescent="0.25">
      <c r="B103" t="s">
        <v>55</v>
      </c>
      <c r="C103" t="s">
        <v>118</v>
      </c>
      <c r="D103">
        <v>1666666.6666666665</v>
      </c>
    </row>
    <row r="104" spans="2:4" x14ac:dyDescent="0.25">
      <c r="B104" t="s">
        <v>44</v>
      </c>
      <c r="C104" t="s">
        <v>118</v>
      </c>
      <c r="D104">
        <v>0</v>
      </c>
    </row>
    <row r="105" spans="2:4" x14ac:dyDescent="0.25">
      <c r="B105" t="s">
        <v>26</v>
      </c>
      <c r="C105" t="s">
        <v>118</v>
      </c>
      <c r="D105">
        <v>1166666.6666666667</v>
      </c>
    </row>
    <row r="106" spans="2:4" x14ac:dyDescent="0.25">
      <c r="B106" t="s">
        <v>59</v>
      </c>
      <c r="C106" t="s">
        <v>118</v>
      </c>
      <c r="D106">
        <v>2500000</v>
      </c>
    </row>
    <row r="107" spans="2:4" x14ac:dyDescent="0.25">
      <c r="B107" t="s">
        <v>75</v>
      </c>
      <c r="C107" t="s">
        <v>118</v>
      </c>
      <c r="D107">
        <v>1666666.6666666667</v>
      </c>
    </row>
    <row r="108" spans="2:4" x14ac:dyDescent="0.25">
      <c r="B108" t="s">
        <v>20</v>
      </c>
      <c r="C108" t="s">
        <v>118</v>
      </c>
      <c r="D108">
        <v>833333.33333333337</v>
      </c>
    </row>
    <row r="109" spans="2:4" x14ac:dyDescent="0.25">
      <c r="B109" t="s">
        <v>34</v>
      </c>
      <c r="C109" t="s">
        <v>118</v>
      </c>
      <c r="D109">
        <v>1736111.111111111</v>
      </c>
    </row>
    <row r="110" spans="2:4" x14ac:dyDescent="0.25">
      <c r="B110" t="s">
        <v>89</v>
      </c>
      <c r="C110" t="s">
        <v>118</v>
      </c>
      <c r="D110">
        <v>1250000</v>
      </c>
    </row>
    <row r="111" spans="2:4" x14ac:dyDescent="0.25">
      <c r="B111" t="s">
        <v>90</v>
      </c>
      <c r="C111" t="s">
        <v>118</v>
      </c>
      <c r="D111">
        <v>1666666.6666666667</v>
      </c>
    </row>
    <row r="112" spans="2:4" x14ac:dyDescent="0.25">
      <c r="B112" t="s">
        <v>66</v>
      </c>
      <c r="C112" t="s">
        <v>118</v>
      </c>
      <c r="D112">
        <v>0</v>
      </c>
    </row>
    <row r="113" spans="2:4" x14ac:dyDescent="0.25">
      <c r="B113" t="s">
        <v>31</v>
      </c>
      <c r="C113" t="s">
        <v>118</v>
      </c>
      <c r="D113">
        <v>833333.33333333337</v>
      </c>
    </row>
    <row r="114" spans="2:4" x14ac:dyDescent="0.25">
      <c r="B114" t="s">
        <v>86</v>
      </c>
      <c r="C114" t="s">
        <v>118</v>
      </c>
      <c r="D114">
        <v>1250000</v>
      </c>
    </row>
    <row r="115" spans="2:4" x14ac:dyDescent="0.25">
      <c r="B115" t="s">
        <v>95</v>
      </c>
      <c r="C115" t="s">
        <v>118</v>
      </c>
      <c r="D115">
        <v>833333.33333333337</v>
      </c>
    </row>
    <row r="116" spans="2:4" x14ac:dyDescent="0.25">
      <c r="B116" t="s">
        <v>74</v>
      </c>
      <c r="C116" t="s">
        <v>118</v>
      </c>
      <c r="D116">
        <v>2083333.3333333333</v>
      </c>
    </row>
    <row r="117" spans="2:4" x14ac:dyDescent="0.25">
      <c r="B117" t="s">
        <v>105</v>
      </c>
      <c r="C117" t="s">
        <v>118</v>
      </c>
      <c r="D117">
        <v>0</v>
      </c>
    </row>
    <row r="118" spans="2:4" x14ac:dyDescent="0.25">
      <c r="B118" t="s">
        <v>97</v>
      </c>
      <c r="C118" t="s">
        <v>118</v>
      </c>
      <c r="D118">
        <v>1541666.6666666665</v>
      </c>
    </row>
    <row r="119" spans="2:4" x14ac:dyDescent="0.25">
      <c r="B119" t="s">
        <v>53</v>
      </c>
      <c r="C119" t="s">
        <v>118</v>
      </c>
      <c r="D119">
        <v>0</v>
      </c>
    </row>
    <row r="120" spans="2:4" x14ac:dyDescent="0.25">
      <c r="B120" t="s">
        <v>83</v>
      </c>
      <c r="C120" t="s">
        <v>118</v>
      </c>
      <c r="D120">
        <v>1550416.6666666665</v>
      </c>
    </row>
    <row r="121" spans="2:4" x14ac:dyDescent="0.25">
      <c r="B121" t="s">
        <v>45</v>
      </c>
      <c r="C121" t="s">
        <v>118</v>
      </c>
      <c r="D121">
        <v>1166666.6666666667</v>
      </c>
    </row>
    <row r="122" spans="2:4" x14ac:dyDescent="0.25">
      <c r="B122" t="s">
        <v>63</v>
      </c>
      <c r="C122" t="s">
        <v>118</v>
      </c>
      <c r="D122">
        <v>0</v>
      </c>
    </row>
    <row r="123" spans="2:4" x14ac:dyDescent="0.25">
      <c r="B123" t="s">
        <v>22</v>
      </c>
      <c r="C123" t="s">
        <v>118</v>
      </c>
      <c r="D123">
        <v>1666666.6666666667</v>
      </c>
    </row>
    <row r="124" spans="2:4" x14ac:dyDescent="0.25">
      <c r="B124" t="s">
        <v>103</v>
      </c>
      <c r="C124" t="s">
        <v>118</v>
      </c>
      <c r="D124">
        <v>833333.33333333337</v>
      </c>
    </row>
    <row r="125" spans="2:4" x14ac:dyDescent="0.25">
      <c r="B125" t="s">
        <v>33</v>
      </c>
      <c r="C125" t="s">
        <v>118</v>
      </c>
      <c r="D125">
        <v>972222.22222222225</v>
      </c>
    </row>
    <row r="126" spans="2:4" x14ac:dyDescent="0.25">
      <c r="B126" t="s">
        <v>32</v>
      </c>
      <c r="C126" t="s">
        <v>118</v>
      </c>
      <c r="D126">
        <v>0</v>
      </c>
    </row>
    <row r="127" spans="2:4" x14ac:dyDescent="0.25">
      <c r="B127" t="s">
        <v>48</v>
      </c>
      <c r="C127" t="s">
        <v>118</v>
      </c>
      <c r="D127">
        <v>1150000</v>
      </c>
    </row>
    <row r="128" spans="2:4" x14ac:dyDescent="0.25">
      <c r="B128" t="s">
        <v>68</v>
      </c>
      <c r="C128" t="s">
        <v>118</v>
      </c>
      <c r="D128">
        <v>0</v>
      </c>
    </row>
    <row r="129" spans="2:4" x14ac:dyDescent="0.25">
      <c r="B129" t="s">
        <v>54</v>
      </c>
      <c r="C129" t="s">
        <v>118</v>
      </c>
      <c r="D129">
        <v>916666.66666666674</v>
      </c>
    </row>
    <row r="130" spans="2:4" x14ac:dyDescent="0.25">
      <c r="B130" t="s">
        <v>47</v>
      </c>
      <c r="C130" t="s">
        <v>118</v>
      </c>
      <c r="D130">
        <v>1041666.6666666666</v>
      </c>
    </row>
    <row r="131" spans="2:4" x14ac:dyDescent="0.25">
      <c r="B131" t="s">
        <v>29</v>
      </c>
      <c r="C131" t="s">
        <v>118</v>
      </c>
      <c r="D131">
        <v>0</v>
      </c>
    </row>
    <row r="132" spans="2:4" x14ac:dyDescent="0.25">
      <c r="B132" t="s">
        <v>107</v>
      </c>
      <c r="C132" t="s">
        <v>118</v>
      </c>
      <c r="D132">
        <v>0</v>
      </c>
    </row>
    <row r="133" spans="2:4" x14ac:dyDescent="0.25">
      <c r="B133" t="s">
        <v>78</v>
      </c>
      <c r="C133" t="s">
        <v>118</v>
      </c>
      <c r="D133">
        <v>0</v>
      </c>
    </row>
    <row r="134" spans="2:4" x14ac:dyDescent="0.25">
      <c r="B134" t="s">
        <v>57</v>
      </c>
      <c r="C134" t="s">
        <v>118</v>
      </c>
      <c r="D134">
        <v>666666.66666666663</v>
      </c>
    </row>
    <row r="135" spans="2:4" x14ac:dyDescent="0.25">
      <c r="B135" t="s">
        <v>30</v>
      </c>
      <c r="C135" t="s">
        <v>118</v>
      </c>
      <c r="D135">
        <v>1999999.9999999998</v>
      </c>
    </row>
    <row r="136" spans="2:4" x14ac:dyDescent="0.25">
      <c r="B136" t="s">
        <v>169</v>
      </c>
      <c r="C136" t="s">
        <v>118</v>
      </c>
      <c r="D136">
        <v>0</v>
      </c>
    </row>
    <row r="137" spans="2:4" x14ac:dyDescent="0.25">
      <c r="B137" t="s">
        <v>41</v>
      </c>
      <c r="C137" t="s">
        <v>118</v>
      </c>
      <c r="D137">
        <v>2916666.6666666665</v>
      </c>
    </row>
    <row r="138" spans="2:4" x14ac:dyDescent="0.25">
      <c r="B138" t="s">
        <v>27</v>
      </c>
      <c r="C138" t="s">
        <v>118</v>
      </c>
      <c r="D138">
        <v>1666666.6666666667</v>
      </c>
    </row>
    <row r="139" spans="2:4" x14ac:dyDescent="0.25">
      <c r="B139" t="s">
        <v>28</v>
      </c>
      <c r="C139" t="s">
        <v>118</v>
      </c>
      <c r="D139">
        <v>0</v>
      </c>
    </row>
    <row r="140" spans="2:4" x14ac:dyDescent="0.25">
      <c r="B140" t="s">
        <v>23</v>
      </c>
      <c r="C140" t="s">
        <v>118</v>
      </c>
      <c r="D140">
        <v>2083333.3333333333</v>
      </c>
    </row>
    <row r="141" spans="2:4" x14ac:dyDescent="0.25">
      <c r="B141" t="s">
        <v>71</v>
      </c>
      <c r="C141" t="s">
        <v>118</v>
      </c>
      <c r="D141">
        <v>0</v>
      </c>
    </row>
    <row r="142" spans="2:4" x14ac:dyDescent="0.25">
      <c r="B142" t="s">
        <v>73</v>
      </c>
      <c r="C142" t="s">
        <v>118</v>
      </c>
      <c r="D142">
        <v>0</v>
      </c>
    </row>
    <row r="143" spans="2:4" x14ac:dyDescent="0.25">
      <c r="B143" t="s">
        <v>98</v>
      </c>
      <c r="C143" t="s">
        <v>118</v>
      </c>
      <c r="D143">
        <v>0</v>
      </c>
    </row>
    <row r="144" spans="2:4" x14ac:dyDescent="0.25">
      <c r="B144" t="s">
        <v>65</v>
      </c>
      <c r="C144" t="s">
        <v>118</v>
      </c>
      <c r="D144">
        <v>0</v>
      </c>
    </row>
    <row r="145" spans="2:4" x14ac:dyDescent="0.25">
      <c r="B145" t="s">
        <v>104</v>
      </c>
      <c r="C145" t="s">
        <v>118</v>
      </c>
      <c r="D145">
        <v>1145833.3333333333</v>
      </c>
    </row>
    <row r="146" spans="2:4" x14ac:dyDescent="0.25">
      <c r="B146" t="s">
        <v>93</v>
      </c>
      <c r="C146" t="s">
        <v>118</v>
      </c>
      <c r="D146">
        <v>0</v>
      </c>
    </row>
    <row r="147" spans="2:4" x14ac:dyDescent="0.25">
      <c r="B147" t="s">
        <v>72</v>
      </c>
      <c r="C147" t="s">
        <v>118</v>
      </c>
      <c r="D147">
        <v>2222222.222222222</v>
      </c>
    </row>
    <row r="148" spans="2:4" x14ac:dyDescent="0.25">
      <c r="B148" t="s">
        <v>100</v>
      </c>
      <c r="C148" t="s">
        <v>118</v>
      </c>
      <c r="D148">
        <v>500000</v>
      </c>
    </row>
    <row r="149" spans="2:4" x14ac:dyDescent="0.25">
      <c r="B149" t="s">
        <v>106</v>
      </c>
      <c r="C149" t="s">
        <v>118</v>
      </c>
      <c r="D149">
        <v>1000000</v>
      </c>
    </row>
    <row r="150" spans="2:4" x14ac:dyDescent="0.25">
      <c r="B150" t="s">
        <v>62</v>
      </c>
      <c r="C150" t="s">
        <v>118</v>
      </c>
      <c r="D150">
        <v>1250000</v>
      </c>
    </row>
    <row r="151" spans="2:4" x14ac:dyDescent="0.25">
      <c r="B151" t="s">
        <v>24</v>
      </c>
      <c r="C151" t="s">
        <v>118</v>
      </c>
      <c r="D151">
        <v>0</v>
      </c>
    </row>
    <row r="152" spans="2:4" x14ac:dyDescent="0.25">
      <c r="B152" t="s">
        <v>70</v>
      </c>
      <c r="C152" t="s">
        <v>118</v>
      </c>
      <c r="D152">
        <v>0</v>
      </c>
    </row>
    <row r="153" spans="2:4" x14ac:dyDescent="0.25">
      <c r="B153" t="s">
        <v>187</v>
      </c>
      <c r="C153" t="s">
        <v>118</v>
      </c>
      <c r="D153">
        <v>0</v>
      </c>
    </row>
    <row r="154" spans="2:4" x14ac:dyDescent="0.25">
      <c r="B154" t="s">
        <v>25</v>
      </c>
      <c r="C154" t="s">
        <v>118</v>
      </c>
      <c r="D154">
        <v>0</v>
      </c>
    </row>
    <row r="155" spans="2:4" x14ac:dyDescent="0.25">
      <c r="B155" t="s">
        <v>190</v>
      </c>
      <c r="C155" t="s">
        <v>118</v>
      </c>
      <c r="D155">
        <v>0</v>
      </c>
    </row>
    <row r="156" spans="2:4" x14ac:dyDescent="0.25">
      <c r="B156" t="s">
        <v>58</v>
      </c>
      <c r="C156" t="s">
        <v>118</v>
      </c>
      <c r="D156">
        <v>2000000</v>
      </c>
    </row>
    <row r="157" spans="2:4" x14ac:dyDescent="0.25">
      <c r="B157" t="s">
        <v>38</v>
      </c>
      <c r="C157" t="s">
        <v>118</v>
      </c>
      <c r="D157">
        <v>1388888.888888889</v>
      </c>
    </row>
    <row r="158" spans="2:4" x14ac:dyDescent="0.25">
      <c r="B158" t="s">
        <v>194</v>
      </c>
      <c r="C158" t="s">
        <v>118</v>
      </c>
      <c r="D158">
        <v>833333.33333333337</v>
      </c>
    </row>
    <row r="159" spans="2:4" x14ac:dyDescent="0.25">
      <c r="B159" t="s">
        <v>196</v>
      </c>
      <c r="C159" t="s">
        <v>118</v>
      </c>
      <c r="D159">
        <v>0</v>
      </c>
    </row>
    <row r="160" spans="2:4" x14ac:dyDescent="0.25">
      <c r="B160" t="s">
        <v>198</v>
      </c>
      <c r="C160" t="s">
        <v>118</v>
      </c>
      <c r="D160">
        <v>479166.66666666669</v>
      </c>
    </row>
    <row r="161" spans="2:4" x14ac:dyDescent="0.25">
      <c r="B161" t="s">
        <v>200</v>
      </c>
      <c r="C161" t="s">
        <v>118</v>
      </c>
      <c r="D161">
        <v>0</v>
      </c>
    </row>
    <row r="162" spans="2:4" x14ac:dyDescent="0.25">
      <c r="B162" t="s">
        <v>201</v>
      </c>
      <c r="C162" t="s">
        <v>118</v>
      </c>
      <c r="D162">
        <v>0</v>
      </c>
    </row>
    <row r="168" spans="2:4" x14ac:dyDescent="0.25">
      <c r="B168" t="s">
        <v>82</v>
      </c>
      <c r="C168" t="s">
        <v>118</v>
      </c>
      <c r="D168">
        <v>1666666.6666666667</v>
      </c>
    </row>
    <row r="169" spans="2:4" x14ac:dyDescent="0.25">
      <c r="B169" t="s">
        <v>88</v>
      </c>
      <c r="C169" t="s">
        <v>118</v>
      </c>
      <c r="D169">
        <v>0</v>
      </c>
    </row>
    <row r="170" spans="2:4" x14ac:dyDescent="0.25">
      <c r="B170" t="s">
        <v>96</v>
      </c>
      <c r="C170" t="s">
        <v>118</v>
      </c>
      <c r="D170">
        <v>0</v>
      </c>
    </row>
    <row r="171" spans="2:4" x14ac:dyDescent="0.25">
      <c r="B171" t="s">
        <v>87</v>
      </c>
      <c r="C171" t="s">
        <v>118</v>
      </c>
      <c r="D171">
        <v>1388888.888888889</v>
      </c>
    </row>
    <row r="172" spans="2:4" x14ac:dyDescent="0.25">
      <c r="B172" t="s">
        <v>36</v>
      </c>
      <c r="C172" t="s">
        <v>118</v>
      </c>
      <c r="D172">
        <v>0</v>
      </c>
    </row>
    <row r="173" spans="2:4" x14ac:dyDescent="0.25">
      <c r="B173" t="s">
        <v>61</v>
      </c>
      <c r="C173" t="s">
        <v>118</v>
      </c>
      <c r="D173">
        <v>1666666.6666666667</v>
      </c>
    </row>
    <row r="174" spans="2:4" x14ac:dyDescent="0.25">
      <c r="B174" t="s">
        <v>64</v>
      </c>
      <c r="C174" t="s">
        <v>118</v>
      </c>
      <c r="D174">
        <v>0</v>
      </c>
    </row>
    <row r="175" spans="2:4" x14ac:dyDescent="0.25">
      <c r="B175" t="s">
        <v>56</v>
      </c>
      <c r="C175" t="s">
        <v>118</v>
      </c>
      <c r="D175">
        <v>1250000</v>
      </c>
    </row>
    <row r="176" spans="2:4" x14ac:dyDescent="0.25">
      <c r="B176" t="s">
        <v>39</v>
      </c>
      <c r="C176" t="s">
        <v>118</v>
      </c>
      <c r="D176">
        <v>0</v>
      </c>
    </row>
    <row r="177" spans="2:4" x14ac:dyDescent="0.25">
      <c r="B177" t="s">
        <v>91</v>
      </c>
      <c r="C177" t="s">
        <v>118</v>
      </c>
      <c r="D177">
        <v>833333.33333333337</v>
      </c>
    </row>
    <row r="178" spans="2:4" x14ac:dyDescent="0.25">
      <c r="B178" t="s">
        <v>99</v>
      </c>
      <c r="C178" t="s">
        <v>118</v>
      </c>
      <c r="D178">
        <v>1666666.6666666667</v>
      </c>
    </row>
    <row r="179" spans="2:4" x14ac:dyDescent="0.25">
      <c r="B179" t="s">
        <v>102</v>
      </c>
      <c r="C179" t="s">
        <v>118</v>
      </c>
      <c r="D179">
        <v>0</v>
      </c>
    </row>
    <row r="180" spans="2:4" x14ac:dyDescent="0.25">
      <c r="B180" t="s">
        <v>52</v>
      </c>
      <c r="C180" t="s">
        <v>118</v>
      </c>
      <c r="D180">
        <v>833333.33333333337</v>
      </c>
    </row>
    <row r="181" spans="2:4" x14ac:dyDescent="0.25">
      <c r="B181" t="s">
        <v>43</v>
      </c>
      <c r="C181" t="s">
        <v>118</v>
      </c>
      <c r="D181">
        <v>1666666.6666666667</v>
      </c>
    </row>
    <row r="182" spans="2:4" x14ac:dyDescent="0.25">
      <c r="B182" t="s">
        <v>85</v>
      </c>
      <c r="C182" t="s">
        <v>118</v>
      </c>
      <c r="D182">
        <v>2777777.7777777775</v>
      </c>
    </row>
    <row r="183" spans="2:4" x14ac:dyDescent="0.25">
      <c r="B183" t="s">
        <v>35</v>
      </c>
      <c r="C183" t="s">
        <v>118</v>
      </c>
      <c r="D183">
        <v>1666666.6666666667</v>
      </c>
    </row>
    <row r="184" spans="2:4" x14ac:dyDescent="0.25">
      <c r="B184" t="s">
        <v>42</v>
      </c>
      <c r="C184" t="s">
        <v>118</v>
      </c>
      <c r="D184">
        <v>0</v>
      </c>
    </row>
    <row r="185" spans="2:4" x14ac:dyDescent="0.25">
      <c r="B185" t="s">
        <v>55</v>
      </c>
      <c r="C185" t="s">
        <v>118</v>
      </c>
      <c r="D185">
        <v>1666666.6666666665</v>
      </c>
    </row>
    <row r="186" spans="2:4" x14ac:dyDescent="0.25">
      <c r="B186" t="s">
        <v>44</v>
      </c>
      <c r="C186" t="s">
        <v>118</v>
      </c>
      <c r="D186">
        <v>0</v>
      </c>
    </row>
    <row r="187" spans="2:4" x14ac:dyDescent="0.25">
      <c r="B187" t="s">
        <v>26</v>
      </c>
      <c r="C187" t="s">
        <v>118</v>
      </c>
      <c r="D187">
        <v>1166666.6666666667</v>
      </c>
    </row>
    <row r="188" spans="2:4" x14ac:dyDescent="0.25">
      <c r="B188" t="s">
        <v>59</v>
      </c>
      <c r="C188" t="s">
        <v>118</v>
      </c>
      <c r="D188">
        <v>2500000</v>
      </c>
    </row>
    <row r="189" spans="2:4" x14ac:dyDescent="0.25">
      <c r="B189" t="s">
        <v>75</v>
      </c>
      <c r="C189" t="s">
        <v>118</v>
      </c>
      <c r="D189">
        <v>1666666.6666666667</v>
      </c>
    </row>
    <row r="190" spans="2:4" x14ac:dyDescent="0.25">
      <c r="B190" t="s">
        <v>20</v>
      </c>
      <c r="C190" t="s">
        <v>118</v>
      </c>
      <c r="D190">
        <v>833333.33333333337</v>
      </c>
    </row>
    <row r="191" spans="2:4" x14ac:dyDescent="0.25">
      <c r="B191" t="s">
        <v>34</v>
      </c>
      <c r="C191" t="s">
        <v>118</v>
      </c>
      <c r="D191">
        <v>1736111.111111111</v>
      </c>
    </row>
    <row r="192" spans="2:4" x14ac:dyDescent="0.25">
      <c r="B192" t="s">
        <v>89</v>
      </c>
      <c r="C192" t="s">
        <v>118</v>
      </c>
      <c r="D192">
        <v>1250000</v>
      </c>
    </row>
    <row r="193" spans="2:4" x14ac:dyDescent="0.25">
      <c r="B193" t="s">
        <v>90</v>
      </c>
      <c r="C193" t="s">
        <v>118</v>
      </c>
      <c r="D193">
        <v>1666666.6666666667</v>
      </c>
    </row>
    <row r="194" spans="2:4" x14ac:dyDescent="0.25">
      <c r="B194" t="s">
        <v>66</v>
      </c>
      <c r="C194" t="s">
        <v>118</v>
      </c>
      <c r="D194">
        <v>0</v>
      </c>
    </row>
    <row r="195" spans="2:4" x14ac:dyDescent="0.25">
      <c r="B195" t="s">
        <v>31</v>
      </c>
      <c r="C195" t="s">
        <v>118</v>
      </c>
      <c r="D195">
        <v>1111111.111111111</v>
      </c>
    </row>
    <row r="196" spans="2:4" x14ac:dyDescent="0.25">
      <c r="B196" t="s">
        <v>86</v>
      </c>
      <c r="C196" t="s">
        <v>118</v>
      </c>
      <c r="D196">
        <v>1250000</v>
      </c>
    </row>
    <row r="197" spans="2:4" x14ac:dyDescent="0.25">
      <c r="B197" t="s">
        <v>95</v>
      </c>
      <c r="C197" t="s">
        <v>118</v>
      </c>
      <c r="D197">
        <v>833333.33333333337</v>
      </c>
    </row>
    <row r="198" spans="2:4" x14ac:dyDescent="0.25">
      <c r="B198" t="s">
        <v>74</v>
      </c>
      <c r="C198" t="s">
        <v>118</v>
      </c>
      <c r="D198">
        <v>2083333.3333333333</v>
      </c>
    </row>
    <row r="199" spans="2:4" x14ac:dyDescent="0.25">
      <c r="B199" t="s">
        <v>105</v>
      </c>
      <c r="C199" t="s">
        <v>118</v>
      </c>
      <c r="D199">
        <v>0</v>
      </c>
    </row>
    <row r="200" spans="2:4" x14ac:dyDescent="0.25">
      <c r="B200" t="s">
        <v>97</v>
      </c>
      <c r="C200" t="s">
        <v>118</v>
      </c>
      <c r="D200">
        <v>1541666.6666666665</v>
      </c>
    </row>
    <row r="201" spans="2:4" x14ac:dyDescent="0.25">
      <c r="B201" t="s">
        <v>53</v>
      </c>
      <c r="C201" t="s">
        <v>118</v>
      </c>
      <c r="D201">
        <v>0</v>
      </c>
    </row>
    <row r="202" spans="2:4" x14ac:dyDescent="0.25">
      <c r="B202" t="s">
        <v>83</v>
      </c>
      <c r="C202" t="s">
        <v>118</v>
      </c>
      <c r="D202">
        <v>1550416.6666666665</v>
      </c>
    </row>
    <row r="203" spans="2:4" x14ac:dyDescent="0.25">
      <c r="B203" t="s">
        <v>45</v>
      </c>
      <c r="C203" t="s">
        <v>118</v>
      </c>
      <c r="D203">
        <v>1166666.6666666667</v>
      </c>
    </row>
    <row r="204" spans="2:4" x14ac:dyDescent="0.25">
      <c r="B204" t="s">
        <v>63</v>
      </c>
      <c r="C204" t="s">
        <v>118</v>
      </c>
      <c r="D204">
        <v>0</v>
      </c>
    </row>
    <row r="205" spans="2:4" x14ac:dyDescent="0.25">
      <c r="B205" t="s">
        <v>22</v>
      </c>
      <c r="C205" t="s">
        <v>118</v>
      </c>
      <c r="D205">
        <v>1666666.6666666667</v>
      </c>
    </row>
    <row r="206" spans="2:4" x14ac:dyDescent="0.25">
      <c r="B206" t="s">
        <v>103</v>
      </c>
      <c r="C206" t="s">
        <v>118</v>
      </c>
      <c r="D206">
        <v>833333.33333333337</v>
      </c>
    </row>
    <row r="207" spans="2:4" x14ac:dyDescent="0.25">
      <c r="B207" t="s">
        <v>33</v>
      </c>
      <c r="C207" t="s">
        <v>118</v>
      </c>
      <c r="D207">
        <v>972222.22222222225</v>
      </c>
    </row>
    <row r="208" spans="2:4" x14ac:dyDescent="0.25">
      <c r="B208" t="s">
        <v>32</v>
      </c>
      <c r="C208" t="s">
        <v>118</v>
      </c>
      <c r="D208">
        <v>0</v>
      </c>
    </row>
    <row r="209" spans="2:4" x14ac:dyDescent="0.25">
      <c r="B209" t="s">
        <v>48</v>
      </c>
      <c r="C209" t="s">
        <v>118</v>
      </c>
      <c r="D209">
        <v>1150000</v>
      </c>
    </row>
    <row r="210" spans="2:4" x14ac:dyDescent="0.25">
      <c r="B210" t="s">
        <v>68</v>
      </c>
      <c r="C210" t="s">
        <v>118</v>
      </c>
      <c r="D210">
        <v>0</v>
      </c>
    </row>
    <row r="211" spans="2:4" x14ac:dyDescent="0.25">
      <c r="B211" t="s">
        <v>54</v>
      </c>
      <c r="C211" t="s">
        <v>118</v>
      </c>
      <c r="D211">
        <v>1472222.2222222222</v>
      </c>
    </row>
    <row r="212" spans="2:4" x14ac:dyDescent="0.25">
      <c r="B212" t="s">
        <v>47</v>
      </c>
      <c r="C212" t="s">
        <v>118</v>
      </c>
      <c r="D212">
        <v>1041666.6666666666</v>
      </c>
    </row>
    <row r="213" spans="2:4" x14ac:dyDescent="0.25">
      <c r="B213" t="s">
        <v>29</v>
      </c>
      <c r="C213" t="s">
        <v>118</v>
      </c>
      <c r="D213">
        <v>0</v>
      </c>
    </row>
    <row r="214" spans="2:4" x14ac:dyDescent="0.25">
      <c r="B214" t="s">
        <v>107</v>
      </c>
      <c r="C214" t="s">
        <v>118</v>
      </c>
      <c r="D214">
        <v>0</v>
      </c>
    </row>
    <row r="215" spans="2:4" x14ac:dyDescent="0.25">
      <c r="B215" t="s">
        <v>78</v>
      </c>
      <c r="C215" t="s">
        <v>118</v>
      </c>
      <c r="D215">
        <v>0</v>
      </c>
    </row>
    <row r="216" spans="2:4" x14ac:dyDescent="0.25">
      <c r="B216" t="s">
        <v>57</v>
      </c>
      <c r="C216" t="s">
        <v>118</v>
      </c>
      <c r="D216">
        <v>666666.66666666663</v>
      </c>
    </row>
    <row r="217" spans="2:4" x14ac:dyDescent="0.25">
      <c r="B217" t="s">
        <v>30</v>
      </c>
      <c r="C217" t="s">
        <v>118</v>
      </c>
      <c r="D217">
        <v>1999999.9999999998</v>
      </c>
    </row>
    <row r="218" spans="2:4" x14ac:dyDescent="0.25">
      <c r="B218" t="s">
        <v>169</v>
      </c>
      <c r="C218" t="s">
        <v>118</v>
      </c>
      <c r="D218">
        <v>0</v>
      </c>
    </row>
    <row r="219" spans="2:4" x14ac:dyDescent="0.25">
      <c r="B219" t="s">
        <v>41</v>
      </c>
      <c r="C219" t="s">
        <v>118</v>
      </c>
      <c r="D219">
        <v>2916666.6666666665</v>
      </c>
    </row>
    <row r="220" spans="2:4" x14ac:dyDescent="0.25">
      <c r="B220" t="s">
        <v>27</v>
      </c>
      <c r="C220" t="s">
        <v>118</v>
      </c>
      <c r="D220">
        <v>1666666.6666666667</v>
      </c>
    </row>
    <row r="221" spans="2:4" x14ac:dyDescent="0.25">
      <c r="B221" t="s">
        <v>28</v>
      </c>
      <c r="C221" t="s">
        <v>118</v>
      </c>
      <c r="D221">
        <v>0</v>
      </c>
    </row>
    <row r="222" spans="2:4" x14ac:dyDescent="0.25">
      <c r="B222" t="s">
        <v>23</v>
      </c>
      <c r="C222" t="s">
        <v>118</v>
      </c>
      <c r="D222">
        <v>2083333.3333333333</v>
      </c>
    </row>
    <row r="223" spans="2:4" x14ac:dyDescent="0.25">
      <c r="B223" t="s">
        <v>71</v>
      </c>
      <c r="C223" t="s">
        <v>118</v>
      </c>
      <c r="D223">
        <v>0</v>
      </c>
    </row>
    <row r="224" spans="2:4" x14ac:dyDescent="0.25">
      <c r="B224" t="s">
        <v>73</v>
      </c>
      <c r="C224" t="s">
        <v>118</v>
      </c>
      <c r="D224">
        <v>0</v>
      </c>
    </row>
    <row r="225" spans="2:4" x14ac:dyDescent="0.25">
      <c r="B225" t="s">
        <v>98</v>
      </c>
      <c r="C225" t="s">
        <v>118</v>
      </c>
      <c r="D225">
        <v>0</v>
      </c>
    </row>
    <row r="226" spans="2:4" x14ac:dyDescent="0.25">
      <c r="B226" t="s">
        <v>65</v>
      </c>
      <c r="C226" t="s">
        <v>118</v>
      </c>
      <c r="D226">
        <v>0</v>
      </c>
    </row>
    <row r="227" spans="2:4" x14ac:dyDescent="0.25">
      <c r="B227" t="s">
        <v>104</v>
      </c>
      <c r="C227" t="s">
        <v>118</v>
      </c>
      <c r="D227">
        <v>1145833.3333333333</v>
      </c>
    </row>
    <row r="228" spans="2:4" x14ac:dyDescent="0.25">
      <c r="B228" t="s">
        <v>93</v>
      </c>
      <c r="C228" t="s">
        <v>118</v>
      </c>
      <c r="D228">
        <v>0</v>
      </c>
    </row>
    <row r="229" spans="2:4" x14ac:dyDescent="0.25">
      <c r="B229" t="s">
        <v>72</v>
      </c>
      <c r="C229" t="s">
        <v>118</v>
      </c>
      <c r="D229">
        <v>2222222.222222222</v>
      </c>
    </row>
    <row r="230" spans="2:4" x14ac:dyDescent="0.25">
      <c r="B230" t="s">
        <v>100</v>
      </c>
      <c r="C230" t="s">
        <v>118</v>
      </c>
      <c r="D230">
        <v>500000</v>
      </c>
    </row>
    <row r="231" spans="2:4" x14ac:dyDescent="0.25">
      <c r="B231" t="s">
        <v>106</v>
      </c>
      <c r="C231" t="s">
        <v>118</v>
      </c>
      <c r="D231">
        <v>1000000</v>
      </c>
    </row>
    <row r="232" spans="2:4" x14ac:dyDescent="0.25">
      <c r="B232" t="s">
        <v>62</v>
      </c>
      <c r="C232" t="s">
        <v>118</v>
      </c>
      <c r="D232">
        <v>1250000</v>
      </c>
    </row>
    <row r="233" spans="2:4" x14ac:dyDescent="0.25">
      <c r="B233" t="s">
        <v>24</v>
      </c>
      <c r="C233" t="s">
        <v>118</v>
      </c>
      <c r="D233">
        <v>0</v>
      </c>
    </row>
    <row r="234" spans="2:4" x14ac:dyDescent="0.25">
      <c r="B234" t="s">
        <v>70</v>
      </c>
      <c r="C234" t="s">
        <v>118</v>
      </c>
      <c r="D234">
        <v>0</v>
      </c>
    </row>
    <row r="235" spans="2:4" x14ac:dyDescent="0.25">
      <c r="B235" t="s">
        <v>187</v>
      </c>
      <c r="C235" t="s">
        <v>118</v>
      </c>
      <c r="D235">
        <v>0</v>
      </c>
    </row>
    <row r="236" spans="2:4" x14ac:dyDescent="0.25">
      <c r="B236" t="s">
        <v>25</v>
      </c>
      <c r="C236" t="s">
        <v>118</v>
      </c>
      <c r="D236">
        <v>0</v>
      </c>
    </row>
    <row r="237" spans="2:4" x14ac:dyDescent="0.25">
      <c r="B237" t="s">
        <v>190</v>
      </c>
      <c r="C237" t="s">
        <v>118</v>
      </c>
      <c r="D237">
        <v>0</v>
      </c>
    </row>
    <row r="238" spans="2:4" x14ac:dyDescent="0.25">
      <c r="B238" t="s">
        <v>58</v>
      </c>
      <c r="C238" t="s">
        <v>118</v>
      </c>
      <c r="D238">
        <v>2000000</v>
      </c>
    </row>
    <row r="239" spans="2:4" x14ac:dyDescent="0.25">
      <c r="B239" t="s">
        <v>38</v>
      </c>
      <c r="C239" t="s">
        <v>118</v>
      </c>
      <c r="D239">
        <v>1388888.888888889</v>
      </c>
    </row>
    <row r="240" spans="2:4" x14ac:dyDescent="0.25">
      <c r="B240" t="s">
        <v>194</v>
      </c>
      <c r="C240" t="s">
        <v>118</v>
      </c>
      <c r="D240">
        <v>833333.33333333337</v>
      </c>
    </row>
    <row r="241" spans="2:4" x14ac:dyDescent="0.25">
      <c r="B241" t="s">
        <v>196</v>
      </c>
      <c r="C241" t="s">
        <v>118</v>
      </c>
      <c r="D241">
        <v>400000</v>
      </c>
    </row>
    <row r="242" spans="2:4" x14ac:dyDescent="0.25">
      <c r="B242" t="s">
        <v>198</v>
      </c>
      <c r="C242" t="s">
        <v>118</v>
      </c>
      <c r="D242">
        <v>479166.66666666669</v>
      </c>
    </row>
    <row r="243" spans="2:4" x14ac:dyDescent="0.25">
      <c r="B243" t="s">
        <v>200</v>
      </c>
      <c r="C243" t="s">
        <v>118</v>
      </c>
      <c r="D243">
        <v>0</v>
      </c>
    </row>
    <row r="244" spans="2:4" x14ac:dyDescent="0.25">
      <c r="B244" t="s">
        <v>201</v>
      </c>
      <c r="C244" t="s">
        <v>118</v>
      </c>
      <c r="D244">
        <v>0</v>
      </c>
    </row>
    <row r="251" spans="2:4" x14ac:dyDescent="0.25">
      <c r="B251" t="s">
        <v>82</v>
      </c>
      <c r="C251">
        <v>1666666.6666666667</v>
      </c>
    </row>
    <row r="252" spans="2:4" x14ac:dyDescent="0.25">
      <c r="B252" t="s">
        <v>88</v>
      </c>
      <c r="C252">
        <v>0</v>
      </c>
    </row>
    <row r="253" spans="2:4" x14ac:dyDescent="0.25">
      <c r="B253" t="s">
        <v>96</v>
      </c>
      <c r="C253">
        <v>0</v>
      </c>
    </row>
    <row r="254" spans="2:4" x14ac:dyDescent="0.25">
      <c r="B254" t="s">
        <v>87</v>
      </c>
      <c r="C254">
        <v>1388888.888888889</v>
      </c>
    </row>
    <row r="255" spans="2:4" x14ac:dyDescent="0.25">
      <c r="B255" t="s">
        <v>36</v>
      </c>
      <c r="C255">
        <v>0</v>
      </c>
    </row>
    <row r="256" spans="2:4" x14ac:dyDescent="0.25">
      <c r="B256" t="s">
        <v>61</v>
      </c>
      <c r="C256">
        <v>1666666.6666666667</v>
      </c>
    </row>
    <row r="257" spans="2:3" x14ac:dyDescent="0.25">
      <c r="B257" t="s">
        <v>64</v>
      </c>
      <c r="C257">
        <v>0</v>
      </c>
    </row>
    <row r="258" spans="2:3" x14ac:dyDescent="0.25">
      <c r="B258" t="s">
        <v>56</v>
      </c>
      <c r="C258">
        <v>1250000</v>
      </c>
    </row>
    <row r="259" spans="2:3" x14ac:dyDescent="0.25">
      <c r="B259" t="s">
        <v>39</v>
      </c>
      <c r="C259">
        <v>0</v>
      </c>
    </row>
    <row r="260" spans="2:3" x14ac:dyDescent="0.25">
      <c r="B260" t="s">
        <v>91</v>
      </c>
      <c r="C260">
        <v>833333.33333333337</v>
      </c>
    </row>
    <row r="261" spans="2:3" x14ac:dyDescent="0.25">
      <c r="B261" t="s">
        <v>99</v>
      </c>
      <c r="C261">
        <v>1666666.6666666667</v>
      </c>
    </row>
    <row r="262" spans="2:3" x14ac:dyDescent="0.25">
      <c r="B262" t="s">
        <v>102</v>
      </c>
      <c r="C262">
        <v>0</v>
      </c>
    </row>
    <row r="263" spans="2:3" x14ac:dyDescent="0.25">
      <c r="B263" t="s">
        <v>52</v>
      </c>
      <c r="C263">
        <v>833333.33333333337</v>
      </c>
    </row>
    <row r="264" spans="2:3" x14ac:dyDescent="0.25">
      <c r="B264" t="s">
        <v>43</v>
      </c>
      <c r="C264">
        <v>1666666.6666666667</v>
      </c>
    </row>
    <row r="265" spans="2:3" x14ac:dyDescent="0.25">
      <c r="B265" t="s">
        <v>85</v>
      </c>
      <c r="C265">
        <v>2777777.7777777775</v>
      </c>
    </row>
    <row r="266" spans="2:3" x14ac:dyDescent="0.25">
      <c r="B266" t="s">
        <v>35</v>
      </c>
      <c r="C266">
        <v>1666666.6666666667</v>
      </c>
    </row>
    <row r="267" spans="2:3" x14ac:dyDescent="0.25">
      <c r="B267" t="s">
        <v>55</v>
      </c>
      <c r="C267">
        <v>1666666.6666666665</v>
      </c>
    </row>
    <row r="268" spans="2:3" x14ac:dyDescent="0.25">
      <c r="B268" t="s">
        <v>44</v>
      </c>
      <c r="C268">
        <v>0</v>
      </c>
    </row>
    <row r="269" spans="2:3" x14ac:dyDescent="0.25">
      <c r="B269" t="s">
        <v>26</v>
      </c>
      <c r="C269">
        <v>1166666.6666666667</v>
      </c>
    </row>
    <row r="270" spans="2:3" x14ac:dyDescent="0.25">
      <c r="B270" t="s">
        <v>59</v>
      </c>
      <c r="C270">
        <v>2500000</v>
      </c>
    </row>
    <row r="271" spans="2:3" x14ac:dyDescent="0.25">
      <c r="B271" t="s">
        <v>75</v>
      </c>
      <c r="C271">
        <v>1666666.6666666667</v>
      </c>
    </row>
    <row r="272" spans="2:3" x14ac:dyDescent="0.25">
      <c r="B272" t="s">
        <v>20</v>
      </c>
      <c r="C272">
        <v>833333.33333333337</v>
      </c>
    </row>
    <row r="273" spans="2:3" x14ac:dyDescent="0.25">
      <c r="B273" t="s">
        <v>34</v>
      </c>
      <c r="C273">
        <v>1736111.111111111</v>
      </c>
    </row>
    <row r="274" spans="2:3" x14ac:dyDescent="0.25">
      <c r="B274" t="s">
        <v>89</v>
      </c>
      <c r="C274">
        <v>1250000</v>
      </c>
    </row>
    <row r="275" spans="2:3" x14ac:dyDescent="0.25">
      <c r="B275" t="s">
        <v>90</v>
      </c>
      <c r="C275">
        <v>1666666.6666666667</v>
      </c>
    </row>
    <row r="276" spans="2:3" x14ac:dyDescent="0.25">
      <c r="B276" t="s">
        <v>66</v>
      </c>
      <c r="C276">
        <v>0</v>
      </c>
    </row>
    <row r="277" spans="2:3" x14ac:dyDescent="0.25">
      <c r="B277" t="s">
        <v>31</v>
      </c>
      <c r="C277">
        <v>1111111.111111111</v>
      </c>
    </row>
    <row r="278" spans="2:3" x14ac:dyDescent="0.25">
      <c r="B278" t="s">
        <v>86</v>
      </c>
      <c r="C278">
        <v>1250000</v>
      </c>
    </row>
    <row r="279" spans="2:3" x14ac:dyDescent="0.25">
      <c r="B279" t="s">
        <v>95</v>
      </c>
      <c r="C279">
        <v>833333.33333333337</v>
      </c>
    </row>
    <row r="280" spans="2:3" x14ac:dyDescent="0.25">
      <c r="B280" t="s">
        <v>74</v>
      </c>
      <c r="C280">
        <v>2083333.3333333333</v>
      </c>
    </row>
    <row r="281" spans="2:3" x14ac:dyDescent="0.25">
      <c r="B281" t="s">
        <v>105</v>
      </c>
      <c r="C281">
        <v>0</v>
      </c>
    </row>
    <row r="282" spans="2:3" x14ac:dyDescent="0.25">
      <c r="B282" t="s">
        <v>97</v>
      </c>
      <c r="C282">
        <v>1541666.6666666665</v>
      </c>
    </row>
    <row r="283" spans="2:3" x14ac:dyDescent="0.25">
      <c r="B283" t="s">
        <v>53</v>
      </c>
      <c r="C283">
        <v>0</v>
      </c>
    </row>
    <row r="284" spans="2:3" x14ac:dyDescent="0.25">
      <c r="B284" t="s">
        <v>83</v>
      </c>
      <c r="C284">
        <v>1550416.6666666665</v>
      </c>
    </row>
    <row r="285" spans="2:3" x14ac:dyDescent="0.25">
      <c r="B285" t="s">
        <v>45</v>
      </c>
      <c r="C285">
        <v>1166666.6666666667</v>
      </c>
    </row>
    <row r="286" spans="2:3" x14ac:dyDescent="0.25">
      <c r="B286" t="s">
        <v>63</v>
      </c>
      <c r="C286">
        <v>0</v>
      </c>
    </row>
    <row r="287" spans="2:3" x14ac:dyDescent="0.25">
      <c r="B287" t="s">
        <v>22</v>
      </c>
      <c r="C287">
        <v>1666666.6666666667</v>
      </c>
    </row>
    <row r="288" spans="2:3" x14ac:dyDescent="0.25">
      <c r="B288" t="s">
        <v>103</v>
      </c>
      <c r="C288">
        <v>833333.33333333337</v>
      </c>
    </row>
    <row r="289" spans="2:3" x14ac:dyDescent="0.25">
      <c r="B289" t="s">
        <v>33</v>
      </c>
      <c r="C289">
        <v>2083333.3333333333</v>
      </c>
    </row>
    <row r="290" spans="2:3" x14ac:dyDescent="0.25">
      <c r="B290" t="s">
        <v>32</v>
      </c>
      <c r="C290">
        <v>0</v>
      </c>
    </row>
    <row r="291" spans="2:3" x14ac:dyDescent="0.25">
      <c r="B291" t="s">
        <v>48</v>
      </c>
      <c r="C291">
        <v>1150000</v>
      </c>
    </row>
    <row r="292" spans="2:3" x14ac:dyDescent="0.25">
      <c r="B292" t="s">
        <v>68</v>
      </c>
      <c r="C292">
        <v>0</v>
      </c>
    </row>
    <row r="293" spans="2:3" x14ac:dyDescent="0.25">
      <c r="B293" t="s">
        <v>54</v>
      </c>
      <c r="C293">
        <v>1472222.2222222222</v>
      </c>
    </row>
    <row r="294" spans="2:3" x14ac:dyDescent="0.25">
      <c r="B294" t="s">
        <v>47</v>
      </c>
      <c r="C294">
        <v>1041666.6666666666</v>
      </c>
    </row>
    <row r="295" spans="2:3" x14ac:dyDescent="0.25">
      <c r="B295" t="s">
        <v>29</v>
      </c>
      <c r="C295">
        <v>0</v>
      </c>
    </row>
    <row r="296" spans="2:3" x14ac:dyDescent="0.25">
      <c r="B296" t="s">
        <v>107</v>
      </c>
      <c r="C296">
        <v>0</v>
      </c>
    </row>
    <row r="297" spans="2:3" x14ac:dyDescent="0.25">
      <c r="B297" t="s">
        <v>78</v>
      </c>
      <c r="C297">
        <v>0</v>
      </c>
    </row>
    <row r="298" spans="2:3" x14ac:dyDescent="0.25">
      <c r="B298" t="s">
        <v>57</v>
      </c>
      <c r="C298">
        <v>666666.66666666663</v>
      </c>
    </row>
    <row r="299" spans="2:3" x14ac:dyDescent="0.25">
      <c r="B299" t="s">
        <v>30</v>
      </c>
      <c r="C299">
        <v>1999999.9999999998</v>
      </c>
    </row>
    <row r="300" spans="2:3" x14ac:dyDescent="0.25">
      <c r="B300" t="s">
        <v>169</v>
      </c>
      <c r="C300">
        <v>0</v>
      </c>
    </row>
    <row r="301" spans="2:3" x14ac:dyDescent="0.25">
      <c r="B301" t="s">
        <v>41</v>
      </c>
      <c r="C301">
        <v>2083333.3333333333</v>
      </c>
    </row>
    <row r="302" spans="2:3" x14ac:dyDescent="0.25">
      <c r="B302" t="s">
        <v>27</v>
      </c>
      <c r="C302">
        <v>1666666.6666666667</v>
      </c>
    </row>
    <row r="303" spans="2:3" x14ac:dyDescent="0.25">
      <c r="B303" t="s">
        <v>28</v>
      </c>
      <c r="C303">
        <v>0</v>
      </c>
    </row>
    <row r="304" spans="2:3" x14ac:dyDescent="0.25">
      <c r="B304" t="s">
        <v>23</v>
      </c>
      <c r="C304">
        <v>2083333.3333333333</v>
      </c>
    </row>
    <row r="305" spans="2:3" x14ac:dyDescent="0.25">
      <c r="B305" t="s">
        <v>71</v>
      </c>
      <c r="C305">
        <v>0</v>
      </c>
    </row>
    <row r="306" spans="2:3" x14ac:dyDescent="0.25">
      <c r="B306" t="s">
        <v>73</v>
      </c>
      <c r="C306">
        <v>0</v>
      </c>
    </row>
    <row r="307" spans="2:3" x14ac:dyDescent="0.25">
      <c r="B307" t="s">
        <v>98</v>
      </c>
      <c r="C307">
        <v>0</v>
      </c>
    </row>
    <row r="308" spans="2:3" x14ac:dyDescent="0.25">
      <c r="B308" t="s">
        <v>65</v>
      </c>
      <c r="C308">
        <v>0</v>
      </c>
    </row>
    <row r="309" spans="2:3" x14ac:dyDescent="0.25">
      <c r="B309" t="s">
        <v>104</v>
      </c>
      <c r="C309">
        <v>1145833.3333333333</v>
      </c>
    </row>
    <row r="310" spans="2:3" x14ac:dyDescent="0.25">
      <c r="B310" t="s">
        <v>93</v>
      </c>
      <c r="C310">
        <v>0</v>
      </c>
    </row>
    <row r="311" spans="2:3" x14ac:dyDescent="0.25">
      <c r="B311" t="s">
        <v>72</v>
      </c>
      <c r="C311">
        <v>2222222.222222222</v>
      </c>
    </row>
    <row r="312" spans="2:3" x14ac:dyDescent="0.25">
      <c r="B312" t="s">
        <v>100</v>
      </c>
      <c r="C312">
        <v>500000</v>
      </c>
    </row>
    <row r="313" spans="2:3" x14ac:dyDescent="0.25">
      <c r="B313" t="s">
        <v>106</v>
      </c>
      <c r="C313">
        <v>1000000</v>
      </c>
    </row>
    <row r="314" spans="2:3" x14ac:dyDescent="0.25">
      <c r="B314" t="s">
        <v>62</v>
      </c>
      <c r="C314">
        <v>1250000</v>
      </c>
    </row>
    <row r="315" spans="2:3" x14ac:dyDescent="0.25">
      <c r="B315" t="s">
        <v>24</v>
      </c>
      <c r="C315">
        <v>0</v>
      </c>
    </row>
    <row r="316" spans="2:3" x14ac:dyDescent="0.25">
      <c r="B316" t="s">
        <v>70</v>
      </c>
      <c r="C316">
        <v>0</v>
      </c>
    </row>
    <row r="317" spans="2:3" x14ac:dyDescent="0.25">
      <c r="B317" t="s">
        <v>187</v>
      </c>
      <c r="C317">
        <v>0</v>
      </c>
    </row>
    <row r="318" spans="2:3" x14ac:dyDescent="0.25">
      <c r="B318" t="s">
        <v>25</v>
      </c>
      <c r="C318">
        <v>0</v>
      </c>
    </row>
    <row r="319" spans="2:3" x14ac:dyDescent="0.25">
      <c r="B319" t="s">
        <v>190</v>
      </c>
      <c r="C319">
        <v>0</v>
      </c>
    </row>
    <row r="320" spans="2:3" x14ac:dyDescent="0.25">
      <c r="B320" t="s">
        <v>58</v>
      </c>
      <c r="C320">
        <v>2000000</v>
      </c>
    </row>
    <row r="321" spans="2:3" x14ac:dyDescent="0.25">
      <c r="B321" t="s">
        <v>38</v>
      </c>
      <c r="C321">
        <v>1388888.888888889</v>
      </c>
    </row>
    <row r="322" spans="2:3" x14ac:dyDescent="0.25">
      <c r="B322" t="s">
        <v>194</v>
      </c>
      <c r="C322">
        <v>833333.33333333337</v>
      </c>
    </row>
    <row r="323" spans="2:3" x14ac:dyDescent="0.25">
      <c r="B323" t="s">
        <v>196</v>
      </c>
      <c r="C323">
        <v>400000</v>
      </c>
    </row>
    <row r="324" spans="2:3" x14ac:dyDescent="0.25">
      <c r="B324" t="s">
        <v>198</v>
      </c>
      <c r="C324">
        <v>479166.66666666669</v>
      </c>
    </row>
    <row r="325" spans="2:3" x14ac:dyDescent="0.25">
      <c r="B325" t="s">
        <v>200</v>
      </c>
      <c r="C325">
        <v>0</v>
      </c>
    </row>
    <row r="326" spans="2:3" x14ac:dyDescent="0.25">
      <c r="B326" t="s">
        <v>201</v>
      </c>
      <c r="C326">
        <v>0</v>
      </c>
    </row>
    <row r="327" spans="2:3" x14ac:dyDescent="0.25">
      <c r="B327" t="s">
        <v>202</v>
      </c>
      <c r="C327">
        <v>0</v>
      </c>
    </row>
    <row r="328" spans="2:3" x14ac:dyDescent="0.25">
      <c r="B328" t="s">
        <v>203</v>
      </c>
      <c r="C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dcterms:created xsi:type="dcterms:W3CDTF">2025-01-04T08:40:43Z</dcterms:created>
  <dcterms:modified xsi:type="dcterms:W3CDTF">2026-09-29T02:33:32Z</dcterms:modified>
</cp:coreProperties>
</file>